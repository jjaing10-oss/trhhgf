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M&amp;S실적\수수료\관리수수료\트렌드\"/>
    </mc:Choice>
  </mc:AlternateContent>
  <xr:revisionPtr revIDLastSave="0" documentId="13_ncr:1_{B0076760-F989-4DEA-A557-95CB152B8A08}" xr6:coauthVersionLast="47" xr6:coauthVersionMax="47" xr10:uidLastSave="{00000000-0000-0000-0000-000000000000}"/>
  <bookViews>
    <workbookView xWindow="38290" yWindow="-110" windowWidth="29020" windowHeight="15700" firstSheet="1" activeTab="1" xr2:uid="{00000000-000D-0000-FFFF-FFFF00000000}"/>
  </bookViews>
  <sheets>
    <sheet name="종합" sheetId="14" state="hidden" r:id="rId1"/>
    <sheet name="종합(E)" sheetId="28" r:id="rId2"/>
    <sheet name="소매" sheetId="15" state="hidden" r:id="rId3"/>
    <sheet name="소매 (E)" sheetId="23" r:id="rId4"/>
    <sheet name="도매" sheetId="18" state="hidden" r:id="rId5"/>
    <sheet name="도매(E)" sheetId="24" r:id="rId6"/>
    <sheet name="디지털" sheetId="19" state="hidden" r:id="rId7"/>
    <sheet name="디지털(E)" sheetId="25" r:id="rId8"/>
    <sheet name="디지털 보고서" sheetId="29" r:id="rId9"/>
    <sheet name="B2B" sheetId="21" state="hidden" r:id="rId10"/>
    <sheet name="B2B(E)" sheetId="26" r:id="rId11"/>
    <sheet name="소상공인" sheetId="22" state="hidden" r:id="rId12"/>
    <sheet name="소상공인(E)" sheetId="27" r:id="rId13"/>
    <sheet name="관리수수료 트렌드 정리" sheetId="9" r:id="rId14"/>
    <sheet name="최근 5개년 관리수수료 트렌드" sheetId="20" state="hidden" r:id="rId15"/>
    <sheet name="(참고) 연결용" sheetId="10" state="hidden" r:id="rId16"/>
    <sheet name="(참고) 연결용 (가입자 무선)" sheetId="11" state="hidden" r:id="rId17"/>
    <sheet name="(참고) 연결용 (가입자 포함) (2)" sheetId="12" state="hidden" r:id="rId18"/>
  </sheets>
  <externalReferences>
    <externalReference r:id="rId19"/>
  </externalReferences>
  <definedNames>
    <definedName name="_xlnm._FilterDatabase" localSheetId="13" hidden="1">'관리수수료 트렌드 정리'!$Y$2:$AC$2</definedName>
    <definedName name="_xlnm.Print_Area" localSheetId="9">B2B!$A$1:$S$32</definedName>
    <definedName name="_xlnm.Print_Area" localSheetId="10">'B2B(E)'!$A$1:$AS$8</definedName>
    <definedName name="_xlnm.Print_Area" localSheetId="4">도매!$A$1:$S$38</definedName>
    <definedName name="_xlnm.Print_Area" localSheetId="5">'도매(E)'!$A$1:$AQ$21</definedName>
    <definedName name="_xlnm.Print_Area" localSheetId="6">디지털!$A$1:$S$7</definedName>
    <definedName name="_xlnm.Print_Area" localSheetId="7">'디지털(E)'!$A$1:$AE$12</definedName>
    <definedName name="_xlnm.Print_Area" localSheetId="2">소매!$A$9:$AE$77</definedName>
    <definedName name="_xlnm.Print_Area" localSheetId="3">'소매 (E)'!$A$3:$AS$65</definedName>
    <definedName name="_xlnm.Print_Area" localSheetId="11">소상공인!$A$1:$S$3</definedName>
    <definedName name="_xlnm.Print_Area" localSheetId="12">'소상공인(E)'!$A$1:$AD$9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" i="26" l="1"/>
  <c r="AC23" i="26"/>
  <c r="AB23" i="26"/>
  <c r="AA23" i="26"/>
  <c r="Z23" i="26"/>
  <c r="Y23" i="26"/>
  <c r="X23" i="26"/>
  <c r="W23" i="26"/>
  <c r="V23" i="26"/>
  <c r="U23" i="26"/>
  <c r="T23" i="26"/>
  <c r="AC22" i="26"/>
  <c r="AB22" i="26"/>
  <c r="AA22" i="26"/>
  <c r="Z22" i="26"/>
  <c r="Y22" i="26"/>
  <c r="X22" i="26"/>
  <c r="W22" i="26"/>
  <c r="V22" i="26"/>
  <c r="U22" i="26"/>
  <c r="T22" i="26"/>
  <c r="AC21" i="26"/>
  <c r="AB21" i="26"/>
  <c r="AA21" i="26"/>
  <c r="Z21" i="26"/>
  <c r="Y21" i="26"/>
  <c r="X21" i="26"/>
  <c r="W21" i="26"/>
  <c r="V21" i="26"/>
  <c r="U21" i="26"/>
  <c r="T21" i="26"/>
  <c r="S23" i="26"/>
  <c r="S22" i="26"/>
  <c r="S21" i="26"/>
  <c r="R23" i="26"/>
  <c r="R22" i="26"/>
  <c r="AC25" i="26"/>
  <c r="AB25" i="26"/>
  <c r="AA25" i="26"/>
  <c r="Z25" i="26"/>
  <c r="Y25" i="26"/>
  <c r="X25" i="26"/>
  <c r="W25" i="26"/>
  <c r="V25" i="26"/>
  <c r="U25" i="26"/>
  <c r="T25" i="26"/>
  <c r="S25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R25" i="26"/>
  <c r="F25" i="26"/>
  <c r="P27" i="26"/>
  <c r="O27" i="26"/>
  <c r="N27" i="26"/>
  <c r="M27" i="26"/>
  <c r="L27" i="26"/>
  <c r="K27" i="26"/>
  <c r="J27" i="26"/>
  <c r="I27" i="26"/>
  <c r="H27" i="26"/>
  <c r="G27" i="26"/>
  <c r="P26" i="26"/>
  <c r="O26" i="26"/>
  <c r="N26" i="26"/>
  <c r="M26" i="26"/>
  <c r="L26" i="26"/>
  <c r="K26" i="26"/>
  <c r="J26" i="26"/>
  <c r="I26" i="26"/>
  <c r="H26" i="26"/>
  <c r="G26" i="26"/>
  <c r="P25" i="26"/>
  <c r="O25" i="26"/>
  <c r="N25" i="26"/>
  <c r="M25" i="26"/>
  <c r="L25" i="26"/>
  <c r="K25" i="26"/>
  <c r="J25" i="26"/>
  <c r="I25" i="26"/>
  <c r="H25" i="26"/>
  <c r="G25" i="26"/>
  <c r="F27" i="26"/>
  <c r="F26" i="26"/>
  <c r="P23" i="26"/>
  <c r="O23" i="26"/>
  <c r="N23" i="26"/>
  <c r="M23" i="26"/>
  <c r="L23" i="26"/>
  <c r="K23" i="26"/>
  <c r="J23" i="26"/>
  <c r="I23" i="26"/>
  <c r="H23" i="26"/>
  <c r="G23" i="26"/>
  <c r="P22" i="26"/>
  <c r="O22" i="26"/>
  <c r="N22" i="26"/>
  <c r="M22" i="26"/>
  <c r="L22" i="26"/>
  <c r="K22" i="26"/>
  <c r="J22" i="26"/>
  <c r="I22" i="26"/>
  <c r="H22" i="26"/>
  <c r="G22" i="26"/>
  <c r="P21" i="26"/>
  <c r="O21" i="26"/>
  <c r="N21" i="26"/>
  <c r="M21" i="26"/>
  <c r="L21" i="26"/>
  <c r="K21" i="26"/>
  <c r="J21" i="26"/>
  <c r="I21" i="26"/>
  <c r="H21" i="26"/>
  <c r="G21" i="26"/>
  <c r="F23" i="26"/>
  <c r="F22" i="26"/>
  <c r="F21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Z47" i="26"/>
  <c r="Y47" i="26"/>
  <c r="X47" i="26"/>
  <c r="W47" i="26"/>
  <c r="V47" i="26"/>
  <c r="U47" i="26"/>
  <c r="T47" i="26"/>
  <c r="S47" i="26"/>
  <c r="R47" i="26"/>
  <c r="Q47" i="26"/>
  <c r="P47" i="26"/>
  <c r="O47" i="26"/>
  <c r="Z46" i="26"/>
  <c r="Y46" i="26"/>
  <c r="X46" i="26"/>
  <c r="W46" i="26"/>
  <c r="V46" i="26"/>
  <c r="U46" i="26"/>
  <c r="T46" i="26"/>
  <c r="S46" i="26"/>
  <c r="R46" i="26"/>
  <c r="Q46" i="26"/>
  <c r="P46" i="26"/>
  <c r="O46" i="26"/>
  <c r="N47" i="26"/>
  <c r="M47" i="26"/>
  <c r="L47" i="26"/>
  <c r="K47" i="26"/>
  <c r="J47" i="26"/>
  <c r="I47" i="26"/>
  <c r="H47" i="26"/>
  <c r="G47" i="26"/>
  <c r="F47" i="26"/>
  <c r="E47" i="26"/>
  <c r="D47" i="26"/>
  <c r="N46" i="26"/>
  <c r="M46" i="26"/>
  <c r="L46" i="26"/>
  <c r="K46" i="26"/>
  <c r="J46" i="26"/>
  <c r="I46" i="26"/>
  <c r="H46" i="26"/>
  <c r="G46" i="26"/>
  <c r="F46" i="26"/>
  <c r="E46" i="26"/>
  <c r="D46" i="26"/>
  <c r="C47" i="26"/>
  <c r="C46" i="26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Z39" i="26"/>
  <c r="Y39" i="26"/>
  <c r="X39" i="26"/>
  <c r="W39" i="26"/>
  <c r="V39" i="26"/>
  <c r="U39" i="26"/>
  <c r="T39" i="26"/>
  <c r="S39" i="26"/>
  <c r="R39" i="26"/>
  <c r="Q39" i="26"/>
  <c r="Z38" i="26"/>
  <c r="Y38" i="26"/>
  <c r="X38" i="26"/>
  <c r="W38" i="26"/>
  <c r="V38" i="26"/>
  <c r="U38" i="26"/>
  <c r="T38" i="26"/>
  <c r="S38" i="26"/>
  <c r="R38" i="26"/>
  <c r="Q38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9" i="26"/>
  <c r="D38" i="26"/>
  <c r="C39" i="26"/>
  <c r="C38" i="26"/>
  <c r="P5" i="26"/>
  <c r="O5" i="26"/>
  <c r="N5" i="26"/>
  <c r="M5" i="26"/>
  <c r="L5" i="26"/>
  <c r="K5" i="26"/>
  <c r="J5" i="26"/>
  <c r="I5" i="26"/>
  <c r="H5" i="26"/>
  <c r="G5" i="26"/>
  <c r="F5" i="26"/>
  <c r="E5" i="26"/>
  <c r="G86" i="9"/>
  <c r="G85" i="9"/>
  <c r="G84" i="9"/>
  <c r="G83" i="9"/>
  <c r="G82" i="9"/>
  <c r="G81" i="9"/>
  <c r="G80" i="9"/>
  <c r="G79" i="9"/>
  <c r="G78" i="9"/>
  <c r="G77" i="9"/>
  <c r="G76" i="9"/>
  <c r="G75" i="9"/>
  <c r="AC20" i="26" l="1"/>
  <c r="AB20" i="26"/>
  <c r="AA20" i="26"/>
  <c r="Z20" i="26"/>
  <c r="Y20" i="26"/>
  <c r="X20" i="26"/>
  <c r="AC26" i="26"/>
  <c r="AB26" i="26"/>
  <c r="AA26" i="26"/>
  <c r="Z26" i="26"/>
  <c r="Y26" i="26"/>
  <c r="X26" i="26"/>
  <c r="X24" i="26" s="1"/>
  <c r="W26" i="26"/>
  <c r="W24" i="26" s="1"/>
  <c r="V26" i="26"/>
  <c r="U26" i="26"/>
  <c r="T26" i="26"/>
  <c r="T24" i="26" s="1"/>
  <c r="S26" i="26"/>
  <c r="S24" i="26" s="1"/>
  <c r="R26" i="26"/>
  <c r="AC9" i="26"/>
  <c r="AB9" i="26"/>
  <c r="AA9" i="26"/>
  <c r="Z9" i="26"/>
  <c r="Y9" i="26"/>
  <c r="X9" i="26"/>
  <c r="W9" i="26"/>
  <c r="V9" i="26"/>
  <c r="U9" i="26"/>
  <c r="T9" i="26"/>
  <c r="S9" i="26"/>
  <c r="R9" i="26"/>
  <c r="AB24" i="26" l="1"/>
  <c r="R24" i="26"/>
  <c r="AC24" i="26"/>
  <c r="V24" i="26"/>
  <c r="U24" i="26"/>
  <c r="Y24" i="26"/>
  <c r="Z24" i="26"/>
  <c r="AA24" i="26"/>
  <c r="AR10" i="25" l="1"/>
  <c r="AT17" i="25"/>
  <c r="AU17" i="25" s="1"/>
  <c r="AV17" i="25" s="1"/>
  <c r="AW17" i="25" s="1"/>
  <c r="AX17" i="25" s="1"/>
  <c r="AY17" i="25" s="1"/>
  <c r="AZ17" i="25" s="1"/>
  <c r="BA17" i="25" s="1"/>
  <c r="BB17" i="25" s="1"/>
  <c r="BC17" i="25" s="1"/>
  <c r="AS17" i="25"/>
  <c r="AR17" i="25"/>
  <c r="I8" i="29"/>
  <c r="H10" i="29"/>
  <c r="H9" i="29"/>
  <c r="I9" i="29" s="1"/>
  <c r="AE17" i="25"/>
  <c r="AF17" i="25" s="1"/>
  <c r="AG17" i="25" s="1"/>
  <c r="AH17" i="25" s="1"/>
  <c r="AI17" i="25" s="1"/>
  <c r="AJ17" i="25" s="1"/>
  <c r="AK17" i="25" s="1"/>
  <c r="AL17" i="25" s="1"/>
  <c r="AM17" i="25" s="1"/>
  <c r="AN17" i="25" s="1"/>
  <c r="AO17" i="25" s="1"/>
  <c r="AP17" i="25" s="1"/>
  <c r="AC7" i="25"/>
  <c r="AB7" i="25"/>
  <c r="AA7" i="25"/>
  <c r="Z7" i="25"/>
  <c r="Y7" i="25"/>
  <c r="X7" i="25"/>
  <c r="W7" i="25"/>
  <c r="V7" i="25"/>
  <c r="U7" i="25"/>
  <c r="T7" i="25"/>
  <c r="S7" i="25"/>
  <c r="AC6" i="25"/>
  <c r="AE6" i="25" l="1"/>
  <c r="I10" i="29"/>
  <c r="H5" i="29" l="1"/>
  <c r="E5" i="29" s="1"/>
  <c r="H6" i="29"/>
  <c r="AC10" i="25"/>
  <c r="AB10" i="25"/>
  <c r="AA10" i="25"/>
  <c r="Z10" i="25"/>
  <c r="Y10" i="25"/>
  <c r="X10" i="25"/>
  <c r="W10" i="25"/>
  <c r="V10" i="25"/>
  <c r="U10" i="25"/>
  <c r="T10" i="25"/>
  <c r="S10" i="25"/>
  <c r="E6" i="29" l="1"/>
  <c r="I7" i="29"/>
  <c r="AC5" i="26" l="1"/>
  <c r="AB5" i="26"/>
  <c r="AA5" i="26"/>
  <c r="Z5" i="26"/>
  <c r="Y5" i="26"/>
  <c r="X5" i="26"/>
  <c r="W5" i="26"/>
  <c r="V5" i="26"/>
  <c r="U5" i="26"/>
  <c r="T5" i="26"/>
  <c r="S5" i="26"/>
  <c r="R5" i="26"/>
  <c r="AE23" i="24"/>
  <c r="AG23" i="24"/>
  <c r="AH23" i="24" s="1"/>
  <c r="AI23" i="24" s="1"/>
  <c r="AJ23" i="24" s="1"/>
  <c r="AK23" i="24" s="1"/>
  <c r="AL23" i="24" s="1"/>
  <c r="AM23" i="24" s="1"/>
  <c r="AN23" i="24" s="1"/>
  <c r="AO23" i="24" s="1"/>
  <c r="AP23" i="24" s="1"/>
  <c r="AR23" i="24" s="1"/>
  <c r="AF23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R40" i="24"/>
  <c r="AC52" i="24"/>
  <c r="AB52" i="24"/>
  <c r="AA52" i="24"/>
  <c r="Z52" i="24"/>
  <c r="Y52" i="24"/>
  <c r="X52" i="24"/>
  <c r="W52" i="24"/>
  <c r="V52" i="24"/>
  <c r="U52" i="24"/>
  <c r="T52" i="24"/>
  <c r="S52" i="24"/>
  <c r="AS23" i="24" l="1"/>
  <c r="AR18" i="24"/>
  <c r="AF18" i="24"/>
  <c r="AE18" i="24"/>
  <c r="AI18" i="24"/>
  <c r="AG18" i="24"/>
  <c r="AS18" i="24" l="1"/>
  <c r="AT23" i="24"/>
  <c r="AK18" i="24"/>
  <c r="AH18" i="24"/>
  <c r="AU23" i="24" l="1"/>
  <c r="AT18" i="24"/>
  <c r="AM18" i="24"/>
  <c r="AJ18" i="24"/>
  <c r="AV23" i="24" l="1"/>
  <c r="AU18" i="24"/>
  <c r="AO18" i="24"/>
  <c r="AL18" i="24"/>
  <c r="AW23" i="24" l="1"/>
  <c r="AV18" i="24"/>
  <c r="AP18" i="24"/>
  <c r="AN18" i="24"/>
  <c r="AX23" i="24" l="1"/>
  <c r="AW18" i="24"/>
  <c r="AY23" i="24" l="1"/>
  <c r="AX18" i="24"/>
  <c r="AZ23" i="24" l="1"/>
  <c r="AY18" i="24"/>
  <c r="BA23" i="24" l="1"/>
  <c r="AZ18" i="24"/>
  <c r="BB23" i="24" l="1"/>
  <c r="BA18" i="24"/>
  <c r="BC23" i="24" l="1"/>
  <c r="BC18" i="24" s="1"/>
  <c r="BB18" i="24"/>
  <c r="F4" i="25" l="1"/>
  <c r="E4" i="25"/>
  <c r="D4" i="25"/>
  <c r="R34" i="25"/>
  <c r="R37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X34" i="25"/>
  <c r="AC37" i="25"/>
  <c r="AB37" i="25"/>
  <c r="AA37" i="25"/>
  <c r="Z37" i="25"/>
  <c r="Y37" i="25"/>
  <c r="X37" i="25"/>
  <c r="W37" i="25"/>
  <c r="V37" i="25"/>
  <c r="U37" i="25"/>
  <c r="T37" i="25"/>
  <c r="S37" i="25"/>
  <c r="AC36" i="25"/>
  <c r="AB36" i="25"/>
  <c r="AA36" i="25"/>
  <c r="Z36" i="25"/>
  <c r="Y36" i="25"/>
  <c r="X36" i="25"/>
  <c r="W36" i="25"/>
  <c r="V36" i="25"/>
  <c r="U36" i="25"/>
  <c r="T36" i="25"/>
  <c r="S36" i="25"/>
  <c r="AC35" i="25"/>
  <c r="AB35" i="25"/>
  <c r="AA35" i="25"/>
  <c r="Z35" i="25"/>
  <c r="Y35" i="25"/>
  <c r="X35" i="25"/>
  <c r="W35" i="25"/>
  <c r="V35" i="25"/>
  <c r="U35" i="25"/>
  <c r="T35" i="25"/>
  <c r="S35" i="25"/>
  <c r="S33" i="25" s="1"/>
  <c r="AC34" i="25"/>
  <c r="AC33" i="25" s="1"/>
  <c r="AB34" i="25"/>
  <c r="AB33" i="25" s="1"/>
  <c r="AA34" i="25"/>
  <c r="Z34" i="25"/>
  <c r="Y34" i="25"/>
  <c r="Y33" i="25" s="1"/>
  <c r="W34" i="25"/>
  <c r="W33" i="25" s="1"/>
  <c r="V34" i="25"/>
  <c r="U34" i="25"/>
  <c r="T34" i="25"/>
  <c r="T33" i="25" s="1"/>
  <c r="S34" i="25"/>
  <c r="R36" i="25"/>
  <c r="AE16" i="25" s="1"/>
  <c r="AF16" i="25" s="1"/>
  <c r="AG16" i="25" s="1"/>
  <c r="AH16" i="25" s="1"/>
  <c r="AI16" i="25" s="1"/>
  <c r="AJ16" i="25" s="1"/>
  <c r="AK16" i="25" s="1"/>
  <c r="AL16" i="25" s="1"/>
  <c r="AM16" i="25" s="1"/>
  <c r="AN16" i="25" s="1"/>
  <c r="AO16" i="25" s="1"/>
  <c r="AP16" i="25" s="1"/>
  <c r="AR16" i="25" s="1"/>
  <c r="R35" i="25"/>
  <c r="R33" i="25" s="1"/>
  <c r="AC18" i="25"/>
  <c r="AB18" i="25"/>
  <c r="AA18" i="25"/>
  <c r="Z18" i="25"/>
  <c r="Y18" i="25"/>
  <c r="X18" i="25"/>
  <c r="W18" i="25"/>
  <c r="V18" i="25"/>
  <c r="U18" i="25"/>
  <c r="T18" i="25"/>
  <c r="S18" i="25"/>
  <c r="R18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Z33" i="25" l="1"/>
  <c r="AA33" i="25"/>
  <c r="AR7" i="25"/>
  <c r="AE7" i="25"/>
  <c r="U33" i="25"/>
  <c r="V33" i="25"/>
  <c r="AE15" i="25"/>
  <c r="AF15" i="25" s="1"/>
  <c r="AG15" i="25" s="1"/>
  <c r="AH15" i="25" s="1"/>
  <c r="AI15" i="25" s="1"/>
  <c r="AJ15" i="25" s="1"/>
  <c r="AK15" i="25" s="1"/>
  <c r="AL15" i="25" s="1"/>
  <c r="AM15" i="25" s="1"/>
  <c r="AN15" i="25" s="1"/>
  <c r="AO15" i="25" s="1"/>
  <c r="AP15" i="25" s="1"/>
  <c r="AR15" i="25" s="1"/>
  <c r="AT15" i="25" s="1"/>
  <c r="X33" i="25"/>
  <c r="AT16" i="25"/>
  <c r="AV16" i="25" s="1"/>
  <c r="AW16" i="25" s="1"/>
  <c r="AS16" i="25"/>
  <c r="AE14" i="25"/>
  <c r="AE10" i="25"/>
  <c r="AF10" i="25" s="1"/>
  <c r="AG10" i="25" s="1"/>
  <c r="AH10" i="25" s="1"/>
  <c r="AI10" i="25" s="1"/>
  <c r="AJ10" i="25" s="1"/>
  <c r="AK10" i="25" s="1"/>
  <c r="AL10" i="25" s="1"/>
  <c r="AM10" i="25" s="1"/>
  <c r="AN10" i="25" s="1"/>
  <c r="AO10" i="25" s="1"/>
  <c r="AP10" i="25" s="1"/>
  <c r="AS10" i="25" s="1"/>
  <c r="AT10" i="25" s="1"/>
  <c r="AU10" i="25" s="1"/>
  <c r="AV10" i="25" s="1"/>
  <c r="AW10" i="25" s="1"/>
  <c r="AX10" i="25" s="1"/>
  <c r="AY10" i="25" s="1"/>
  <c r="AZ10" i="25" s="1"/>
  <c r="BA10" i="25" s="1"/>
  <c r="BB10" i="25" s="1"/>
  <c r="BC10" i="25" s="1"/>
  <c r="AE11" i="25"/>
  <c r="R51" i="24"/>
  <c r="AV15" i="25" l="1"/>
  <c r="AU15" i="25"/>
  <c r="AS15" i="25"/>
  <c r="AX16" i="25"/>
  <c r="AU16" i="25"/>
  <c r="AF7" i="25"/>
  <c r="AF6" i="25"/>
  <c r="D5" i="25"/>
  <c r="AF11" i="25"/>
  <c r="AG11" i="25" s="1"/>
  <c r="AH11" i="25" s="1"/>
  <c r="AI11" i="25" s="1"/>
  <c r="AJ11" i="25" s="1"/>
  <c r="AK11" i="25" s="1"/>
  <c r="AL11" i="25" s="1"/>
  <c r="AM11" i="25" s="1"/>
  <c r="AN11" i="25" s="1"/>
  <c r="AO11" i="25" s="1"/>
  <c r="AP11" i="25" s="1"/>
  <c r="AR11" i="25" s="1"/>
  <c r="AE4" i="25"/>
  <c r="AF14" i="25"/>
  <c r="AZ16" i="25"/>
  <c r="AY16" i="25"/>
  <c r="AC48" i="24"/>
  <c r="AC51" i="24"/>
  <c r="AB51" i="24"/>
  <c r="AA51" i="24"/>
  <c r="Z51" i="24"/>
  <c r="Y51" i="24"/>
  <c r="X51" i="24"/>
  <c r="W51" i="24"/>
  <c r="V51" i="24"/>
  <c r="U51" i="24"/>
  <c r="T51" i="24"/>
  <c r="S51" i="24"/>
  <c r="T47" i="24"/>
  <c r="AC50" i="24"/>
  <c r="AB50" i="24"/>
  <c r="AA50" i="24"/>
  <c r="Z50" i="24"/>
  <c r="Y50" i="24"/>
  <c r="X50" i="24"/>
  <c r="W50" i="24"/>
  <c r="V50" i="24"/>
  <c r="U50" i="24"/>
  <c r="T50" i="24"/>
  <c r="W49" i="24"/>
  <c r="V49" i="24"/>
  <c r="U49" i="24"/>
  <c r="T49" i="24"/>
  <c r="AB48" i="24"/>
  <c r="AA48" i="24"/>
  <c r="Z48" i="24"/>
  <c r="Y48" i="24"/>
  <c r="X48" i="24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W48" i="24"/>
  <c r="V48" i="24"/>
  <c r="U48" i="24"/>
  <c r="T48" i="24"/>
  <c r="V47" i="24"/>
  <c r="U47" i="24"/>
  <c r="S50" i="24"/>
  <c r="S49" i="24"/>
  <c r="R50" i="24"/>
  <c r="R49" i="24"/>
  <c r="R48" i="24"/>
  <c r="S48" i="24"/>
  <c r="AC45" i="24"/>
  <c r="AB45" i="24"/>
  <c r="AA45" i="24"/>
  <c r="Z45" i="24"/>
  <c r="Y45" i="24"/>
  <c r="X45" i="24"/>
  <c r="W45" i="24"/>
  <c r="AC43" i="24"/>
  <c r="AB43" i="24"/>
  <c r="AA43" i="24"/>
  <c r="Z43" i="24"/>
  <c r="Y43" i="24"/>
  <c r="X43" i="24"/>
  <c r="W43" i="24"/>
  <c r="R43" i="24"/>
  <c r="AC40" i="24"/>
  <c r="AB40" i="24"/>
  <c r="AA40" i="24"/>
  <c r="Z40" i="24"/>
  <c r="Y40" i="24"/>
  <c r="X40" i="24"/>
  <c r="W40" i="24"/>
  <c r="V40" i="24"/>
  <c r="U40" i="24"/>
  <c r="T40" i="24"/>
  <c r="S40" i="24"/>
  <c r="V39" i="24"/>
  <c r="U39" i="24"/>
  <c r="T39" i="24"/>
  <c r="S39" i="24"/>
  <c r="I6" i="23"/>
  <c r="AF55" i="23"/>
  <c r="AP55" i="23"/>
  <c r="AO55" i="23"/>
  <c r="AN55" i="23"/>
  <c r="AM55" i="23"/>
  <c r="AL55" i="23"/>
  <c r="AK55" i="23"/>
  <c r="AJ55" i="23"/>
  <c r="AI55" i="23"/>
  <c r="AH55" i="23"/>
  <c r="AG55" i="23"/>
  <c r="AE55" i="23"/>
  <c r="R76" i="23"/>
  <c r="S76" i="23"/>
  <c r="T76" i="23"/>
  <c r="U76" i="23"/>
  <c r="V76" i="23"/>
  <c r="W76" i="23"/>
  <c r="X76" i="23"/>
  <c r="Y76" i="23"/>
  <c r="Z76" i="23"/>
  <c r="AA76" i="23"/>
  <c r="AB76" i="23"/>
  <c r="AC76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E64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AW15" i="25" l="1"/>
  <c r="AX15" i="25"/>
  <c r="AG7" i="25"/>
  <c r="AG6" i="25"/>
  <c r="AF4" i="25"/>
  <c r="AG14" i="25"/>
  <c r="AS11" i="25"/>
  <c r="AT11" i="25" s="1"/>
  <c r="AU11" i="25" s="1"/>
  <c r="AV11" i="25" s="1"/>
  <c r="AW11" i="25" s="1"/>
  <c r="AX11" i="25" s="1"/>
  <c r="AY11" i="25" s="1"/>
  <c r="AZ11" i="25" s="1"/>
  <c r="BA11" i="25" s="1"/>
  <c r="BB11" i="25" s="1"/>
  <c r="BC11" i="25" s="1"/>
  <c r="E5" i="25"/>
  <c r="BA16" i="25"/>
  <c r="BB16" i="25"/>
  <c r="BC16" i="25" s="1"/>
  <c r="AE17" i="24"/>
  <c r="AF17" i="24" s="1"/>
  <c r="AG17" i="24" s="1"/>
  <c r="AH17" i="24" s="1"/>
  <c r="AI17" i="24" s="1"/>
  <c r="AJ17" i="24" s="1"/>
  <c r="AK17" i="24" s="1"/>
  <c r="AL17" i="24" s="1"/>
  <c r="AM17" i="24" s="1"/>
  <c r="AN17" i="24" s="1"/>
  <c r="AO17" i="24" s="1"/>
  <c r="AP17" i="24" s="1"/>
  <c r="AR17" i="24" s="1"/>
  <c r="AS17" i="24" s="1"/>
  <c r="AT17" i="24" s="1"/>
  <c r="AU17" i="24" s="1"/>
  <c r="AV17" i="24" s="1"/>
  <c r="AW17" i="24" s="1"/>
  <c r="AX17" i="24" s="1"/>
  <c r="AY17" i="24" s="1"/>
  <c r="AZ17" i="24" s="1"/>
  <c r="BA17" i="24" s="1"/>
  <c r="BB17" i="24" s="1"/>
  <c r="BC17" i="24" s="1"/>
  <c r="X49" i="24"/>
  <c r="AB73" i="23"/>
  <c r="AC74" i="23"/>
  <c r="AC73" i="23"/>
  <c r="W69" i="23"/>
  <c r="AC63" i="23"/>
  <c r="AZ15" i="25" l="1"/>
  <c r="AY15" i="25"/>
  <c r="AH7" i="25"/>
  <c r="AH6" i="25"/>
  <c r="E6" i="25"/>
  <c r="AH14" i="25"/>
  <c r="AI14" i="25" s="1"/>
  <c r="AJ14" i="25" s="1"/>
  <c r="AK14" i="25" s="1"/>
  <c r="AL14" i="25" s="1"/>
  <c r="AM14" i="25" s="1"/>
  <c r="AN14" i="25" s="1"/>
  <c r="AO14" i="25" s="1"/>
  <c r="AP14" i="25" s="1"/>
  <c r="AR14" i="25" s="1"/>
  <c r="AG4" i="25"/>
  <c r="Y49" i="24"/>
  <c r="BA15" i="25" l="1"/>
  <c r="BB15" i="25"/>
  <c r="BC15" i="25" s="1"/>
  <c r="AJ7" i="25"/>
  <c r="AJ6" i="25"/>
  <c r="AI7" i="25"/>
  <c r="AI6" i="25"/>
  <c r="AS14" i="25"/>
  <c r="AT14" i="25"/>
  <c r="Z49" i="24"/>
  <c r="AK7" i="25" l="1"/>
  <c r="AK6" i="25"/>
  <c r="AV14" i="25"/>
  <c r="AU14" i="25"/>
  <c r="AA49" i="24"/>
  <c r="AL7" i="25" l="1"/>
  <c r="AL6" i="25"/>
  <c r="AW14" i="25"/>
  <c r="AX14" i="25"/>
  <c r="AB49" i="24"/>
  <c r="AC49" i="24"/>
  <c r="AM7" i="25" l="1"/>
  <c r="AM6" i="25"/>
  <c r="AZ14" i="25"/>
  <c r="AY14" i="25"/>
  <c r="AE16" i="24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D10" i="23"/>
  <c r="E10" i="23"/>
  <c r="F10" i="23"/>
  <c r="D11" i="23"/>
  <c r="E11" i="23"/>
  <c r="C5" i="23"/>
  <c r="AC55" i="23"/>
  <c r="AC61" i="23"/>
  <c r="F11" i="23" s="1"/>
  <c r="AN7" i="25" l="1"/>
  <c r="AN6" i="25"/>
  <c r="BA14" i="25"/>
  <c r="BB14" i="25"/>
  <c r="BC14" i="25" s="1"/>
  <c r="AO6" i="25"/>
  <c r="C10" i="23"/>
  <c r="C11" i="23"/>
  <c r="AO7" i="25" l="1"/>
  <c r="W98" i="9"/>
  <c r="G98" i="9"/>
  <c r="AP6" i="25" l="1"/>
  <c r="AP7" i="25"/>
  <c r="J98" i="9"/>
  <c r="AF97" i="9" l="1"/>
  <c r="W55" i="23"/>
  <c r="X55" i="23"/>
  <c r="Y55" i="23"/>
  <c r="Z55" i="23"/>
  <c r="AA55" i="23"/>
  <c r="AB55" i="23"/>
  <c r="AS7" i="25" l="1"/>
  <c r="J6" i="23"/>
  <c r="I5" i="23"/>
  <c r="AT7" i="25" l="1"/>
  <c r="AB63" i="23"/>
  <c r="AA63" i="23"/>
  <c r="Z63" i="23"/>
  <c r="Y63" i="23"/>
  <c r="X63" i="23"/>
  <c r="AU7" i="25" l="1"/>
  <c r="D5" i="23"/>
  <c r="W97" i="9"/>
  <c r="F97" i="9"/>
  <c r="AV7" i="25" l="1"/>
  <c r="F6" i="25"/>
  <c r="G97" i="9"/>
  <c r="J97" i="9"/>
  <c r="AW7" i="25" l="1"/>
  <c r="N31" i="18"/>
  <c r="N42" i="18"/>
  <c r="N36" i="18"/>
  <c r="N38" i="18"/>
  <c r="M38" i="18"/>
  <c r="L38" i="18"/>
  <c r="K38" i="18"/>
  <c r="J38" i="18"/>
  <c r="I38" i="18"/>
  <c r="H38" i="18"/>
  <c r="G38" i="18"/>
  <c r="F38" i="18"/>
  <c r="E38" i="18"/>
  <c r="Z64" i="15"/>
  <c r="Z68" i="15"/>
  <c r="Z79" i="15"/>
  <c r="Z86" i="15"/>
  <c r="Y86" i="15"/>
  <c r="X86" i="15"/>
  <c r="W86" i="15"/>
  <c r="V86" i="15"/>
  <c r="U86" i="15"/>
  <c r="T86" i="15"/>
  <c r="S86" i="15"/>
  <c r="R86" i="15"/>
  <c r="Q86" i="15"/>
  <c r="Z81" i="15"/>
  <c r="Y81" i="15"/>
  <c r="X81" i="15"/>
  <c r="W81" i="15"/>
  <c r="V81" i="15"/>
  <c r="U81" i="15"/>
  <c r="T81" i="15"/>
  <c r="S81" i="15"/>
  <c r="R81" i="15"/>
  <c r="Q81" i="15"/>
  <c r="Z73" i="15"/>
  <c r="Z75" i="15"/>
  <c r="Y75" i="15"/>
  <c r="X75" i="15"/>
  <c r="W75" i="15"/>
  <c r="V75" i="15"/>
  <c r="U75" i="15"/>
  <c r="T75" i="15"/>
  <c r="S75" i="15"/>
  <c r="R75" i="15"/>
  <c r="R91" i="15" s="1"/>
  <c r="Q75" i="15"/>
  <c r="Y91" i="15"/>
  <c r="X91" i="15"/>
  <c r="W91" i="15"/>
  <c r="V91" i="15"/>
  <c r="U91" i="15"/>
  <c r="T91" i="15"/>
  <c r="S91" i="15"/>
  <c r="Q91" i="15"/>
  <c r="N13" i="19"/>
  <c r="M13" i="19"/>
  <c r="L13" i="19"/>
  <c r="K13" i="19"/>
  <c r="J13" i="19"/>
  <c r="I13" i="19"/>
  <c r="H13" i="19"/>
  <c r="G13" i="19"/>
  <c r="F13" i="19"/>
  <c r="E13" i="19"/>
  <c r="N29" i="21"/>
  <c r="N33" i="21"/>
  <c r="M33" i="21"/>
  <c r="L33" i="21"/>
  <c r="K33" i="21"/>
  <c r="N42" i="21"/>
  <c r="M42" i="21"/>
  <c r="L42" i="21"/>
  <c r="K42" i="21"/>
  <c r="J42" i="21"/>
  <c r="I42" i="21"/>
  <c r="H42" i="21"/>
  <c r="G42" i="21"/>
  <c r="F42" i="21"/>
  <c r="E42" i="21"/>
  <c r="N36" i="21"/>
  <c r="M36" i="21"/>
  <c r="L36" i="21"/>
  <c r="K36" i="21"/>
  <c r="J36" i="21"/>
  <c r="I36" i="21"/>
  <c r="H36" i="21"/>
  <c r="G36" i="21"/>
  <c r="F36" i="21"/>
  <c r="R6" i="27"/>
  <c r="AX7" i="25" l="1"/>
  <c r="W96" i="9"/>
  <c r="F96" i="9"/>
  <c r="W95" i="9"/>
  <c r="AY7" i="25" l="1"/>
  <c r="G96" i="9"/>
  <c r="J96" i="9"/>
  <c r="AZ7" i="25" l="1"/>
  <c r="Q90" i="15"/>
  <c r="BA7" i="25" l="1"/>
  <c r="M4" i="22"/>
  <c r="L4" i="22"/>
  <c r="K4" i="22"/>
  <c r="BB7" i="25" l="1"/>
  <c r="M7" i="22"/>
  <c r="L7" i="22"/>
  <c r="K7" i="22"/>
  <c r="J7" i="22"/>
  <c r="M11" i="22"/>
  <c r="L11" i="22"/>
  <c r="K11" i="22"/>
  <c r="J11" i="22"/>
  <c r="M19" i="22"/>
  <c r="L19" i="22"/>
  <c r="K19" i="22"/>
  <c r="M29" i="21"/>
  <c r="L29" i="21"/>
  <c r="K29" i="21"/>
  <c r="M5" i="19"/>
  <c r="L5" i="19"/>
  <c r="K5" i="19"/>
  <c r="M36" i="18"/>
  <c r="L36" i="18"/>
  <c r="K36" i="18"/>
  <c r="M42" i="18"/>
  <c r="L42" i="18"/>
  <c r="K42" i="18"/>
  <c r="J42" i="18"/>
  <c r="M31" i="18"/>
  <c r="L31" i="18"/>
  <c r="K31" i="18"/>
  <c r="E29" i="18"/>
  <c r="V99" i="15"/>
  <c r="U99" i="15"/>
  <c r="V93" i="15"/>
  <c r="V90" i="15" s="1"/>
  <c r="W90" i="15"/>
  <c r="Y79" i="15"/>
  <c r="X79" i="15"/>
  <c r="W79" i="15"/>
  <c r="Y90" i="15"/>
  <c r="X90" i="15"/>
  <c r="Y73" i="15"/>
  <c r="X73" i="15"/>
  <c r="W73" i="15"/>
  <c r="Y68" i="15"/>
  <c r="X68" i="15"/>
  <c r="W68" i="15"/>
  <c r="Y64" i="15"/>
  <c r="X64" i="15"/>
  <c r="W64" i="15"/>
  <c r="BC7" i="25" l="1"/>
  <c r="AK95" i="9"/>
  <c r="AE95" i="9"/>
  <c r="U95" i="9"/>
  <c r="G95" i="9" l="1"/>
  <c r="G94" i="9"/>
  <c r="J95" i="9"/>
  <c r="J94" i="9" l="1"/>
  <c r="W94" i="9" l="1"/>
  <c r="G92" i="9" l="1"/>
  <c r="C93" i="9" l="1"/>
  <c r="D93" i="9" l="1"/>
  <c r="G89" i="9"/>
  <c r="W89" i="9"/>
  <c r="G93" i="9" l="1"/>
  <c r="W93" i="9" s="1"/>
  <c r="J93" i="9" l="1"/>
  <c r="C8" i="28" l="1"/>
  <c r="R3" i="25"/>
  <c r="R6" i="25"/>
  <c r="J5" i="23" l="1"/>
  <c r="L5" i="23" s="1"/>
  <c r="L7" i="23"/>
  <c r="K7" i="23"/>
  <c r="L6" i="23"/>
  <c r="K6" i="23"/>
  <c r="K5" i="23"/>
  <c r="J4" i="23"/>
  <c r="L4" i="23" s="1"/>
  <c r="I4" i="23"/>
  <c r="K4" i="23" s="1"/>
  <c r="W3" i="26"/>
  <c r="V3" i="26"/>
  <c r="U3" i="26"/>
  <c r="T3" i="26"/>
  <c r="W2" i="26"/>
  <c r="V2" i="26"/>
  <c r="U2" i="26"/>
  <c r="T2" i="26"/>
  <c r="S3" i="26"/>
  <c r="S2" i="26"/>
  <c r="W20" i="26"/>
  <c r="V20" i="26"/>
  <c r="U20" i="26"/>
  <c r="T20" i="26"/>
  <c r="S20" i="26"/>
  <c r="R20" i="26"/>
  <c r="AQ5" i="26"/>
  <c r="G10" i="28" s="1"/>
  <c r="J19" i="22"/>
  <c r="I19" i="22"/>
  <c r="H19" i="22"/>
  <c r="G19" i="22"/>
  <c r="F19" i="22"/>
  <c r="E19" i="22"/>
  <c r="J33" i="21"/>
  <c r="J36" i="18" l="1"/>
  <c r="V79" i="15"/>
  <c r="J29" i="21" l="1"/>
  <c r="J30" i="21"/>
  <c r="J32" i="21"/>
  <c r="E31" i="18"/>
  <c r="F29" i="18"/>
  <c r="F31" i="18"/>
  <c r="G31" i="18"/>
  <c r="H31" i="18"/>
  <c r="I31" i="18"/>
  <c r="J30" i="18"/>
  <c r="J31" i="18" s="1"/>
  <c r="V71" i="15"/>
  <c r="V70" i="15"/>
  <c r="V69" i="15"/>
  <c r="V64" i="15"/>
  <c r="J91" i="9"/>
  <c r="J90" i="9"/>
  <c r="J89" i="9"/>
  <c r="J88" i="9"/>
  <c r="J87" i="9"/>
  <c r="W92" i="9"/>
  <c r="J29" i="18" l="1"/>
  <c r="V68" i="15"/>
  <c r="W91" i="9"/>
  <c r="F92" i="9"/>
  <c r="G90" i="9"/>
  <c r="J92" i="9"/>
  <c r="G9" i="28" l="1"/>
  <c r="F3" i="28"/>
  <c r="E3" i="28"/>
  <c r="D3" i="28"/>
  <c r="E4" i="28"/>
  <c r="D4" i="28"/>
  <c r="E5" i="28"/>
  <c r="D5" i="28"/>
  <c r="C5" i="28" s="1"/>
  <c r="C6" i="28"/>
  <c r="F7" i="28"/>
  <c r="E7" i="28"/>
  <c r="D7" i="28"/>
  <c r="G8" i="28"/>
  <c r="F8" i="28"/>
  <c r="E8" i="28"/>
  <c r="D8" i="28"/>
  <c r="H12" i="28"/>
  <c r="U6" i="27"/>
  <c r="T6" i="27"/>
  <c r="S6" i="27"/>
  <c r="E3" i="27"/>
  <c r="D3" i="27"/>
  <c r="E5" i="27"/>
  <c r="D5" i="27"/>
  <c r="W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C3" i="27" l="1"/>
  <c r="H9" i="28" s="1"/>
  <c r="V6" i="27"/>
  <c r="W6" i="27"/>
  <c r="X6" i="27"/>
  <c r="Y6" i="27" s="1"/>
  <c r="C4" i="28"/>
  <c r="C3" i="28"/>
  <c r="C7" i="28"/>
  <c r="I12" i="28"/>
  <c r="E6" i="23"/>
  <c r="E5" i="23"/>
  <c r="E4" i="23"/>
  <c r="Z6" i="27" l="1"/>
  <c r="AA6" i="27" s="1"/>
  <c r="X12" i="27"/>
  <c r="Y12" i="27" s="1"/>
  <c r="Z12" i="27" s="1"/>
  <c r="AA12" i="27" s="1"/>
  <c r="AB12" i="27" s="1"/>
  <c r="AC12" i="27" s="1"/>
  <c r="X11" i="27"/>
  <c r="I9" i="28"/>
  <c r="I10" i="28"/>
  <c r="E4" i="27" l="1"/>
  <c r="Y11" i="27"/>
  <c r="X10" i="27"/>
  <c r="F3" i="25"/>
  <c r="E3" i="25"/>
  <c r="D3" i="25"/>
  <c r="C3" i="25"/>
  <c r="F9" i="28" s="1"/>
  <c r="Z11" i="27" l="1"/>
  <c r="Y10" i="27"/>
  <c r="P6" i="25"/>
  <c r="O6" i="25"/>
  <c r="N6" i="25"/>
  <c r="M6" i="25"/>
  <c r="L6" i="25"/>
  <c r="K6" i="25"/>
  <c r="V6" i="25"/>
  <c r="U6" i="25"/>
  <c r="T6" i="25"/>
  <c r="S6" i="25"/>
  <c r="V5" i="25"/>
  <c r="U5" i="25"/>
  <c r="T5" i="25"/>
  <c r="S5" i="25"/>
  <c r="R5" i="25"/>
  <c r="V4" i="25"/>
  <c r="U4" i="25"/>
  <c r="T4" i="25"/>
  <c r="S4" i="25"/>
  <c r="R4" i="25"/>
  <c r="V3" i="25"/>
  <c r="U3" i="25"/>
  <c r="T3" i="25"/>
  <c r="S3" i="25"/>
  <c r="H4" i="24"/>
  <c r="G4" i="24"/>
  <c r="F4" i="24"/>
  <c r="E4" i="24"/>
  <c r="D4" i="24"/>
  <c r="F10" i="24"/>
  <c r="P10" i="24"/>
  <c r="O10" i="24"/>
  <c r="N10" i="24"/>
  <c r="M10" i="24"/>
  <c r="L10" i="24"/>
  <c r="K10" i="24"/>
  <c r="J10" i="24"/>
  <c r="I10" i="24"/>
  <c r="H10" i="24"/>
  <c r="G10" i="24"/>
  <c r="R10" i="24"/>
  <c r="V10" i="24"/>
  <c r="U10" i="24"/>
  <c r="T10" i="24"/>
  <c r="S10" i="24"/>
  <c r="AA11" i="27" l="1"/>
  <c r="Z10" i="27"/>
  <c r="W14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E9" i="24" s="1"/>
  <c r="P50" i="24"/>
  <c r="O50" i="24"/>
  <c r="N50" i="24"/>
  <c r="M50" i="24"/>
  <c r="L50" i="24"/>
  <c r="K50" i="24"/>
  <c r="J50" i="24"/>
  <c r="I50" i="24"/>
  <c r="H50" i="24"/>
  <c r="G50" i="24"/>
  <c r="F50" i="24"/>
  <c r="P49" i="24"/>
  <c r="O49" i="24"/>
  <c r="N49" i="24"/>
  <c r="M49" i="24"/>
  <c r="L49" i="24"/>
  <c r="K49" i="24"/>
  <c r="J49" i="24"/>
  <c r="I49" i="24"/>
  <c r="H49" i="24"/>
  <c r="G49" i="24"/>
  <c r="F49" i="24"/>
  <c r="P48" i="24"/>
  <c r="O48" i="24"/>
  <c r="N48" i="24"/>
  <c r="M48" i="24"/>
  <c r="L48" i="24"/>
  <c r="K48" i="24"/>
  <c r="J48" i="24"/>
  <c r="I48" i="24"/>
  <c r="H48" i="24"/>
  <c r="G48" i="24"/>
  <c r="F48" i="24"/>
  <c r="P47" i="24"/>
  <c r="O47" i="24"/>
  <c r="N47" i="24"/>
  <c r="M47" i="24"/>
  <c r="L47" i="24"/>
  <c r="K47" i="24"/>
  <c r="J47" i="24"/>
  <c r="I47" i="24"/>
  <c r="H47" i="24"/>
  <c r="G47" i="24"/>
  <c r="F47" i="24"/>
  <c r="P45" i="24"/>
  <c r="O45" i="24"/>
  <c r="N45" i="24"/>
  <c r="M45" i="24"/>
  <c r="L45" i="24"/>
  <c r="K45" i="24"/>
  <c r="J45" i="24"/>
  <c r="I45" i="24"/>
  <c r="H45" i="24"/>
  <c r="G45" i="24"/>
  <c r="F45" i="24"/>
  <c r="P44" i="24"/>
  <c r="O44" i="24"/>
  <c r="N44" i="24"/>
  <c r="M44" i="24"/>
  <c r="L44" i="24"/>
  <c r="K44" i="24"/>
  <c r="J44" i="24"/>
  <c r="I44" i="24"/>
  <c r="H44" i="24"/>
  <c r="G44" i="24"/>
  <c r="F44" i="24"/>
  <c r="P43" i="24"/>
  <c r="O43" i="24"/>
  <c r="N43" i="24"/>
  <c r="M43" i="24"/>
  <c r="L43" i="24"/>
  <c r="K43" i="24"/>
  <c r="J43" i="24"/>
  <c r="I43" i="24"/>
  <c r="H43" i="24"/>
  <c r="G43" i="24"/>
  <c r="F43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R12" i="24"/>
  <c r="R42" i="24" s="1"/>
  <c r="C4" i="24" l="1"/>
  <c r="X14" i="24"/>
  <c r="W39" i="24"/>
  <c r="W47" i="24"/>
  <c r="AB11" i="27"/>
  <c r="AA10" i="27"/>
  <c r="F5" i="25"/>
  <c r="Y14" i="24"/>
  <c r="E5" i="24"/>
  <c r="H5" i="24"/>
  <c r="E9" i="28"/>
  <c r="Y47" i="24" l="1"/>
  <c r="Y39" i="24"/>
  <c r="X39" i="24"/>
  <c r="X47" i="24"/>
  <c r="AC11" i="27"/>
  <c r="AC10" i="27" s="1"/>
  <c r="AB10" i="27"/>
  <c r="C4" i="27" s="1"/>
  <c r="H10" i="28" s="1"/>
  <c r="D4" i="27"/>
  <c r="E6" i="24"/>
  <c r="H6" i="24"/>
  <c r="G5" i="24"/>
  <c r="F5" i="24"/>
  <c r="X12" i="24"/>
  <c r="Z14" i="24"/>
  <c r="Y12" i="24"/>
  <c r="Z47" i="24" l="1"/>
  <c r="Z39" i="24"/>
  <c r="G6" i="24"/>
  <c r="F6" i="24"/>
  <c r="AA14" i="24"/>
  <c r="Z12" i="24"/>
  <c r="AA39" i="24" l="1"/>
  <c r="AA47" i="24"/>
  <c r="AB14" i="24"/>
  <c r="AA12" i="24"/>
  <c r="AB39" i="24" l="1"/>
  <c r="AB47" i="24"/>
  <c r="C4" i="25"/>
  <c r="F10" i="28" s="1"/>
  <c r="AC14" i="24"/>
  <c r="AB12" i="24"/>
  <c r="AC39" i="24" l="1"/>
  <c r="AC47" i="24"/>
  <c r="AE9" i="25"/>
  <c r="AC12" i="24"/>
  <c r="C57" i="24"/>
  <c r="R44" i="24"/>
  <c r="AF9" i="25" l="1"/>
  <c r="R14" i="24"/>
  <c r="R39" i="24" s="1"/>
  <c r="V45" i="24"/>
  <c r="U45" i="24"/>
  <c r="T45" i="24"/>
  <c r="S45" i="24"/>
  <c r="R45" i="24"/>
  <c r="V44" i="24"/>
  <c r="U44" i="24"/>
  <c r="T44" i="24"/>
  <c r="S44" i="24"/>
  <c r="C54" i="24" s="1"/>
  <c r="W21" i="24" s="1"/>
  <c r="V43" i="24"/>
  <c r="U43" i="24"/>
  <c r="T43" i="24"/>
  <c r="S43" i="24"/>
  <c r="S47" i="24" l="1"/>
  <c r="R47" i="24"/>
  <c r="X21" i="24"/>
  <c r="W44" i="24"/>
  <c r="AG9" i="25"/>
  <c r="C53" i="24"/>
  <c r="D5" i="24"/>
  <c r="C55" i="24"/>
  <c r="AE14" i="24" l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R14" i="24" s="1"/>
  <c r="Y21" i="24"/>
  <c r="X44" i="24"/>
  <c r="AH9" i="25"/>
  <c r="C4" i="23"/>
  <c r="D9" i="28" s="1"/>
  <c r="C9" i="28" s="1"/>
  <c r="AP58" i="23"/>
  <c r="AO58" i="23"/>
  <c r="AN58" i="23"/>
  <c r="AM58" i="23"/>
  <c r="AL58" i="23"/>
  <c r="AK58" i="23"/>
  <c r="AJ58" i="23"/>
  <c r="AI58" i="23"/>
  <c r="AH58" i="23"/>
  <c r="AG58" i="23"/>
  <c r="AF58" i="23"/>
  <c r="AE58" i="23"/>
  <c r="AC58" i="23"/>
  <c r="AB58" i="23"/>
  <c r="AA58" i="23"/>
  <c r="Z58" i="23"/>
  <c r="Y58" i="23"/>
  <c r="X58" i="23"/>
  <c r="W58" i="23"/>
  <c r="AQ27" i="26"/>
  <c r="AQ26" i="26"/>
  <c r="AQ23" i="26"/>
  <c r="AQ22" i="26"/>
  <c r="AQ19" i="26"/>
  <c r="AQ18" i="26"/>
  <c r="AQ16" i="26"/>
  <c r="W12" i="24"/>
  <c r="V12" i="24"/>
  <c r="U12" i="24"/>
  <c r="T12" i="24"/>
  <c r="S12" i="24"/>
  <c r="C5" i="24" s="1"/>
  <c r="V85" i="23"/>
  <c r="U85" i="23"/>
  <c r="T85" i="23"/>
  <c r="S85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P55" i="23"/>
  <c r="P76" i="23" s="1"/>
  <c r="O55" i="23"/>
  <c r="O76" i="23" s="1"/>
  <c r="N55" i="23"/>
  <c r="N76" i="23" s="1"/>
  <c r="M55" i="23"/>
  <c r="M76" i="23" s="1"/>
  <c r="L55" i="23"/>
  <c r="L76" i="23" s="1"/>
  <c r="K55" i="23"/>
  <c r="J55" i="23"/>
  <c r="J76" i="23" s="1"/>
  <c r="I55" i="23"/>
  <c r="I76" i="23" s="1"/>
  <c r="H55" i="23"/>
  <c r="H76" i="23" s="1"/>
  <c r="G55" i="23"/>
  <c r="G76" i="23" s="1"/>
  <c r="F55" i="23"/>
  <c r="F76" i="23" s="1"/>
  <c r="E55" i="23"/>
  <c r="T99" i="15"/>
  <c r="S99" i="15"/>
  <c r="R99" i="15"/>
  <c r="V98" i="15"/>
  <c r="AE13" i="24" l="1"/>
  <c r="AE12" i="24" s="1"/>
  <c r="AS14" i="24"/>
  <c r="AT14" i="24" s="1"/>
  <c r="AR13" i="24"/>
  <c r="AR12" i="24" s="1"/>
  <c r="AS13" i="24"/>
  <c r="AS12" i="24" s="1"/>
  <c r="AF13" i="24"/>
  <c r="AF12" i="24" s="1"/>
  <c r="Z21" i="24"/>
  <c r="Y44" i="24"/>
  <c r="AI9" i="25"/>
  <c r="K76" i="23"/>
  <c r="E76" i="23"/>
  <c r="D4" i="23"/>
  <c r="E10" i="28"/>
  <c r="AQ20" i="26"/>
  <c r="AQ24" i="26"/>
  <c r="AQ17" i="26"/>
  <c r="AT13" i="24" l="1"/>
  <c r="AT12" i="24" s="1"/>
  <c r="AU14" i="24"/>
  <c r="AG13" i="24"/>
  <c r="AG12" i="24" s="1"/>
  <c r="AA21" i="24"/>
  <c r="Z44" i="24"/>
  <c r="AJ9" i="25"/>
  <c r="AU13" i="24" l="1"/>
  <c r="AU12" i="24" s="1"/>
  <c r="AV14" i="24"/>
  <c r="AH13" i="24"/>
  <c r="AH12" i="24" s="1"/>
  <c r="AB21" i="24"/>
  <c r="AA44" i="24"/>
  <c r="AK9" i="25"/>
  <c r="AF64" i="23"/>
  <c r="AG64" i="23" s="1"/>
  <c r="AH64" i="23" s="1"/>
  <c r="W63" i="23"/>
  <c r="AV13" i="24" l="1"/>
  <c r="AV12" i="24" s="1"/>
  <c r="AW14" i="24"/>
  <c r="AI13" i="24"/>
  <c r="AI12" i="24" s="1"/>
  <c r="AC21" i="24"/>
  <c r="AB44" i="24"/>
  <c r="AL9" i="25"/>
  <c r="P30" i="14"/>
  <c r="O30" i="14"/>
  <c r="N30" i="14"/>
  <c r="M30" i="14"/>
  <c r="L30" i="14"/>
  <c r="K30" i="14"/>
  <c r="J30" i="14"/>
  <c r="I30" i="14"/>
  <c r="H30" i="14"/>
  <c r="G30" i="14"/>
  <c r="F30" i="14"/>
  <c r="E30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AX14" i="24" l="1"/>
  <c r="AW13" i="24"/>
  <c r="AW12" i="24" s="1"/>
  <c r="AJ13" i="24"/>
  <c r="AJ12" i="24" s="1"/>
  <c r="AC44" i="24"/>
  <c r="AM9" i="25"/>
  <c r="AQ55" i="23"/>
  <c r="D10" i="28"/>
  <c r="C10" i="28" s="1"/>
  <c r="AX13" i="24" l="1"/>
  <c r="AX12" i="24" s="1"/>
  <c r="AY14" i="24"/>
  <c r="AK13" i="24"/>
  <c r="AK12" i="24" s="1"/>
  <c r="AN9" i="25"/>
  <c r="AY13" i="24" l="1"/>
  <c r="AY12" i="24" s="1"/>
  <c r="AZ14" i="24"/>
  <c r="AL13" i="24"/>
  <c r="AL12" i="24" s="1"/>
  <c r="AO9" i="25"/>
  <c r="AZ13" i="24" l="1"/>
  <c r="AZ12" i="24" s="1"/>
  <c r="BA14" i="24"/>
  <c r="AM13" i="24"/>
  <c r="AM12" i="24" s="1"/>
  <c r="AP9" i="25"/>
  <c r="AI64" i="23"/>
  <c r="C5" i="25" l="1"/>
  <c r="F11" i="28" s="1"/>
  <c r="BB14" i="24"/>
  <c r="BA13" i="24"/>
  <c r="BA12" i="24" s="1"/>
  <c r="AN13" i="24"/>
  <c r="AN12" i="24" s="1"/>
  <c r="AR9" i="25"/>
  <c r="AJ64" i="23"/>
  <c r="BC14" i="24" l="1"/>
  <c r="BC13" i="24" s="1"/>
  <c r="BC12" i="24" s="1"/>
  <c r="BB13" i="24"/>
  <c r="BB12" i="24" s="1"/>
  <c r="AO13" i="24"/>
  <c r="AO12" i="24" s="1"/>
  <c r="AS9" i="25"/>
  <c r="AK64" i="23"/>
  <c r="C7" i="24" l="1"/>
  <c r="D6" i="24"/>
  <c r="C6" i="24" s="1"/>
  <c r="E11" i="28" s="1"/>
  <c r="AP13" i="24"/>
  <c r="AP12" i="24" s="1"/>
  <c r="AT9" i="25"/>
  <c r="AL64" i="23"/>
  <c r="AU9" i="25" l="1"/>
  <c r="AM64" i="23"/>
  <c r="AV9" i="25" l="1"/>
  <c r="AN64" i="23"/>
  <c r="AW9" i="25" l="1"/>
  <c r="AO64" i="23"/>
  <c r="AX9" i="25" l="1"/>
  <c r="AP64" i="23"/>
  <c r="AY9" i="25" l="1"/>
  <c r="E18" i="14"/>
  <c r="P18" i="14"/>
  <c r="O18" i="14"/>
  <c r="N18" i="14"/>
  <c r="M18" i="14"/>
  <c r="L18" i="14"/>
  <c r="K18" i="14"/>
  <c r="J18" i="14"/>
  <c r="I18" i="14"/>
  <c r="H18" i="14"/>
  <c r="G18" i="14"/>
  <c r="F18" i="14"/>
  <c r="AZ9" i="25" l="1"/>
  <c r="P91" i="15"/>
  <c r="O91" i="15"/>
  <c r="N91" i="15"/>
  <c r="M91" i="15"/>
  <c r="L91" i="15"/>
  <c r="K91" i="15"/>
  <c r="J91" i="15"/>
  <c r="I91" i="15"/>
  <c r="H91" i="15"/>
  <c r="G91" i="15"/>
  <c r="F91" i="15"/>
  <c r="E91" i="15"/>
  <c r="N90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P65" i="15"/>
  <c r="P90" i="15" s="1"/>
  <c r="O65" i="15"/>
  <c r="O90" i="15" s="1"/>
  <c r="N65" i="15"/>
  <c r="M65" i="15"/>
  <c r="M90" i="15" s="1"/>
  <c r="L65" i="15"/>
  <c r="L90" i="15" s="1"/>
  <c r="K65" i="15"/>
  <c r="K90" i="15" s="1"/>
  <c r="J65" i="15"/>
  <c r="J90" i="15" s="1"/>
  <c r="I65" i="15"/>
  <c r="I90" i="15" s="1"/>
  <c r="H65" i="15"/>
  <c r="H90" i="15" s="1"/>
  <c r="G65" i="15"/>
  <c r="G90" i="15" s="1"/>
  <c r="F65" i="15"/>
  <c r="F90" i="15" s="1"/>
  <c r="E65" i="15"/>
  <c r="E90" i="15" s="1"/>
  <c r="BA9" i="25" l="1"/>
  <c r="Q47" i="21"/>
  <c r="Q46" i="21"/>
  <c r="I45" i="21"/>
  <c r="H45" i="21"/>
  <c r="G45" i="21"/>
  <c r="F45" i="21"/>
  <c r="E45" i="21"/>
  <c r="Q44" i="21"/>
  <c r="Q43" i="21"/>
  <c r="Q41" i="21"/>
  <c r="Q40" i="21"/>
  <c r="I39" i="21"/>
  <c r="H39" i="21"/>
  <c r="G39" i="21"/>
  <c r="F39" i="21"/>
  <c r="E39" i="21"/>
  <c r="Q38" i="21"/>
  <c r="Q37" i="21"/>
  <c r="E36" i="21"/>
  <c r="BB9" i="25" l="1"/>
  <c r="Q45" i="21"/>
  <c r="Q42" i="21"/>
  <c r="Q39" i="21"/>
  <c r="Q36" i="21"/>
  <c r="BC9" i="25" l="1"/>
  <c r="C6" i="25" s="1"/>
  <c r="F12" i="28" s="1"/>
  <c r="C12" i="28" s="1"/>
  <c r="D6" i="25"/>
  <c r="Q97" i="15"/>
  <c r="R97" i="15"/>
  <c r="S97" i="15"/>
  <c r="T97" i="15"/>
  <c r="U97" i="15"/>
  <c r="V97" i="15" s="1"/>
  <c r="I29" i="18"/>
  <c r="H29" i="18"/>
  <c r="G29" i="18"/>
  <c r="U90" i="15" l="1"/>
  <c r="T90" i="15"/>
  <c r="S90" i="15"/>
  <c r="R90" i="15"/>
  <c r="V73" i="15" l="1"/>
  <c r="G26" i="20"/>
  <c r="H26" i="20" s="1"/>
  <c r="BI19" i="20"/>
  <c r="BH19" i="20"/>
  <c r="BG19" i="20"/>
  <c r="BF19" i="20"/>
  <c r="BE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AY17" i="20"/>
  <c r="AW17" i="20"/>
  <c r="AY13" i="20"/>
  <c r="AX13" i="20"/>
  <c r="AW13" i="20"/>
  <c r="AV13" i="20"/>
  <c r="AU13" i="20"/>
  <c r="AT13" i="20"/>
  <c r="AS13" i="20"/>
  <c r="AR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C13" i="20"/>
  <c r="AB13" i="20"/>
  <c r="AA13" i="20"/>
  <c r="Z13" i="20"/>
  <c r="Y13" i="20"/>
  <c r="X13" i="20"/>
  <c r="W13" i="20"/>
  <c r="V13" i="20"/>
  <c r="U13" i="20"/>
  <c r="Q13" i="20" s="1"/>
  <c r="T13" i="20"/>
  <c r="S13" i="20"/>
  <c r="R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 s="1"/>
  <c r="BI10" i="20"/>
  <c r="BI20" i="20" s="1"/>
  <c r="BH10" i="20"/>
  <c r="BH20" i="20" s="1"/>
  <c r="BG10" i="20"/>
  <c r="BG20" i="20" s="1"/>
  <c r="BF10" i="20"/>
  <c r="BF20" i="20" s="1"/>
  <c r="BE10" i="20"/>
  <c r="BE20" i="20" s="1"/>
  <c r="BD10" i="20"/>
  <c r="BD20" i="20" s="1"/>
  <c r="BC10" i="20"/>
  <c r="BC20" i="20" s="1"/>
  <c r="BB10" i="20"/>
  <c r="BB20" i="20" s="1"/>
  <c r="BA10" i="20"/>
  <c r="BA20" i="20" s="1"/>
  <c r="AZ10" i="20"/>
  <c r="AZ20" i="20" s="1"/>
  <c r="AY10" i="20"/>
  <c r="AY20" i="20" s="1"/>
  <c r="AX10" i="20"/>
  <c r="AX20" i="20" s="1"/>
  <c r="AW10" i="20"/>
  <c r="AW20" i="20" s="1"/>
  <c r="AV10" i="20"/>
  <c r="AU10" i="20"/>
  <c r="AU20" i="20" s="1"/>
  <c r="AT10" i="20"/>
  <c r="AT20" i="20" s="1"/>
  <c r="AS10" i="20"/>
  <c r="AS20" i="20" s="1"/>
  <c r="AR10" i="20"/>
  <c r="AQ10" i="20"/>
  <c r="AP10" i="20"/>
  <c r="AP20" i="20" s="1"/>
  <c r="AO10" i="20"/>
  <c r="AO20" i="20" s="1"/>
  <c r="AN10" i="20"/>
  <c r="AN20" i="20" s="1"/>
  <c r="AM10" i="20"/>
  <c r="AM20" i="20" s="1"/>
  <c r="AL10" i="20"/>
  <c r="AL20" i="20" s="1"/>
  <c r="AK10" i="20"/>
  <c r="AK20" i="20" s="1"/>
  <c r="AJ10" i="20"/>
  <c r="AJ20" i="20" s="1"/>
  <c r="AI10" i="20"/>
  <c r="AI20" i="20" s="1"/>
  <c r="AH10" i="20"/>
  <c r="AH20" i="20" s="1"/>
  <c r="AG10" i="20"/>
  <c r="AG20" i="20" s="1"/>
  <c r="AF10" i="20"/>
  <c r="AF20" i="20" s="1"/>
  <c r="AE10" i="20"/>
  <c r="AE20" i="20" s="1"/>
  <c r="AD10" i="20"/>
  <c r="AD20" i="20" s="1"/>
  <c r="AC10" i="20"/>
  <c r="AB10" i="20"/>
  <c r="AB20" i="20" s="1"/>
  <c r="AA10" i="20"/>
  <c r="AA20" i="20" s="1"/>
  <c r="Z10" i="20"/>
  <c r="Z20" i="20" s="1"/>
  <c r="Y10" i="20"/>
  <c r="Y20" i="20" s="1"/>
  <c r="X10" i="20"/>
  <c r="X20" i="20" s="1"/>
  <c r="W10" i="20"/>
  <c r="W20" i="20" s="1"/>
  <c r="V10" i="20"/>
  <c r="V20" i="20" s="1"/>
  <c r="U10" i="20"/>
  <c r="U20" i="20" s="1"/>
  <c r="T10" i="20"/>
  <c r="T20" i="20" s="1"/>
  <c r="S10" i="20"/>
  <c r="S20" i="20" s="1"/>
  <c r="R10" i="20"/>
  <c r="R20" i="20" s="1"/>
  <c r="Q10" i="20"/>
  <c r="Q20" i="20" s="1"/>
  <c r="P10" i="20"/>
  <c r="P20" i="20" s="1"/>
  <c r="O10" i="20"/>
  <c r="O20" i="20" s="1"/>
  <c r="N10" i="20"/>
  <c r="N20" i="20" s="1"/>
  <c r="M10" i="20"/>
  <c r="L10" i="20"/>
  <c r="K10" i="20"/>
  <c r="J10" i="20"/>
  <c r="J20" i="20" s="1"/>
  <c r="I10" i="20"/>
  <c r="I20" i="20" s="1"/>
  <c r="H10" i="20"/>
  <c r="H20" i="20" s="1"/>
  <c r="G10" i="20"/>
  <c r="G20" i="20" s="1"/>
  <c r="F10" i="20"/>
  <c r="F20" i="20" s="1"/>
  <c r="E10" i="20"/>
  <c r="E20" i="20" s="1"/>
  <c r="D10" i="20"/>
  <c r="D20" i="20" s="1"/>
  <c r="BD9" i="20"/>
  <c r="BD19" i="20" s="1"/>
  <c r="AQ9" i="20"/>
  <c r="AQ19" i="20" s="1"/>
  <c r="AD9" i="20"/>
  <c r="AD19" i="20" s="1"/>
  <c r="Q9" i="20"/>
  <c r="D9" i="20"/>
  <c r="D19" i="20" s="1"/>
  <c r="BI7" i="20"/>
  <c r="BI17" i="20" s="1"/>
  <c r="BH7" i="20"/>
  <c r="BH17" i="20" s="1"/>
  <c r="BG7" i="20"/>
  <c r="BG17" i="20" s="1"/>
  <c r="BF7" i="20"/>
  <c r="BF17" i="20" s="1"/>
  <c r="BE7" i="20"/>
  <c r="BE17" i="20" s="1"/>
  <c r="BD7" i="20"/>
  <c r="BD17" i="20" s="1"/>
  <c r="BC7" i="20"/>
  <c r="BC17" i="20" s="1"/>
  <c r="BB7" i="20"/>
  <c r="BB8" i="20" s="1"/>
  <c r="BA7" i="20"/>
  <c r="AZ7" i="20"/>
  <c r="AZ17" i="20" s="1"/>
  <c r="AY7" i="20"/>
  <c r="AX7" i="20"/>
  <c r="AX17" i="20" s="1"/>
  <c r="AW7" i="20"/>
  <c r="AV7" i="20"/>
  <c r="AV17" i="20" s="1"/>
  <c r="AU7" i="20"/>
  <c r="AU17" i="20" s="1"/>
  <c r="AT7" i="20"/>
  <c r="AT17" i="20" s="1"/>
  <c r="AS7" i="20"/>
  <c r="AS17" i="20" s="1"/>
  <c r="AR7" i="20"/>
  <c r="AR17" i="20" s="1"/>
  <c r="AQ7" i="20"/>
  <c r="AQ17" i="20" s="1"/>
  <c r="AP7" i="20"/>
  <c r="AP17" i="20" s="1"/>
  <c r="AO7" i="20"/>
  <c r="AO17" i="20" s="1"/>
  <c r="AN7" i="20"/>
  <c r="AN17" i="20" s="1"/>
  <c r="AM7" i="20"/>
  <c r="AM17" i="20" s="1"/>
  <c r="AL7" i="20"/>
  <c r="AL8" i="20" s="1"/>
  <c r="AK7" i="20"/>
  <c r="AJ7" i="20"/>
  <c r="AJ8" i="20" s="1"/>
  <c r="AI7" i="20"/>
  <c r="AI17" i="20" s="1"/>
  <c r="AH7" i="20"/>
  <c r="AG7" i="20"/>
  <c r="AF7" i="20"/>
  <c r="AF8" i="20" s="1"/>
  <c r="AE7" i="20"/>
  <c r="AE17" i="20" s="1"/>
  <c r="AD7" i="20"/>
  <c r="AD17" i="20" s="1"/>
  <c r="AC7" i="20"/>
  <c r="AC17" i="20" s="1"/>
  <c r="AB7" i="20"/>
  <c r="AB17" i="20" s="1"/>
  <c r="AA7" i="20"/>
  <c r="AA17" i="20" s="1"/>
  <c r="Z7" i="20"/>
  <c r="Z17" i="20" s="1"/>
  <c r="Y7" i="20"/>
  <c r="Y17" i="20" s="1"/>
  <c r="X7" i="20"/>
  <c r="X17" i="20" s="1"/>
  <c r="W7" i="20"/>
  <c r="W17" i="20" s="1"/>
  <c r="V7" i="20"/>
  <c r="V8" i="20" s="1"/>
  <c r="U7" i="20"/>
  <c r="T7" i="20"/>
  <c r="T8" i="20" s="1"/>
  <c r="S7" i="20"/>
  <c r="S17" i="20" s="1"/>
  <c r="S18" i="20" s="1"/>
  <c r="R7" i="20"/>
  <c r="R17" i="20" s="1"/>
  <c r="Q7" i="20"/>
  <c r="Q17" i="20" s="1"/>
  <c r="P7" i="20"/>
  <c r="P8" i="20" s="1"/>
  <c r="O7" i="20"/>
  <c r="O17" i="20" s="1"/>
  <c r="N7" i="20"/>
  <c r="N17" i="20" s="1"/>
  <c r="M7" i="20"/>
  <c r="M17" i="20" s="1"/>
  <c r="L7" i="20"/>
  <c r="L17" i="20" s="1"/>
  <c r="K7" i="20"/>
  <c r="K17" i="20" s="1"/>
  <c r="J7" i="20"/>
  <c r="J17" i="20" s="1"/>
  <c r="I7" i="20"/>
  <c r="I17" i="20" s="1"/>
  <c r="H7" i="20"/>
  <c r="H17" i="20" s="1"/>
  <c r="G7" i="20"/>
  <c r="G17" i="20" s="1"/>
  <c r="F7" i="20"/>
  <c r="F8" i="20" s="1"/>
  <c r="E7" i="20"/>
  <c r="D7" i="20"/>
  <c r="E8" i="20" l="1"/>
  <c r="U8" i="20"/>
  <c r="AK8" i="20"/>
  <c r="I18" i="20"/>
  <c r="BF18" i="20"/>
  <c r="BH18" i="20"/>
  <c r="BE18" i="20"/>
  <c r="AT18" i="20"/>
  <c r="BG18" i="20"/>
  <c r="AP18" i="20"/>
  <c r="Y18" i="20"/>
  <c r="BI18" i="20"/>
  <c r="J18" i="20"/>
  <c r="AA18" i="20"/>
  <c r="AO18" i="20"/>
  <c r="Z18" i="20"/>
  <c r="AI18" i="20"/>
  <c r="BA8" i="20"/>
  <c r="W18" i="20"/>
  <c r="AM18" i="20"/>
  <c r="BC18" i="20"/>
  <c r="J8" i="20"/>
  <c r="K8" i="20"/>
  <c r="Z8" i="20"/>
  <c r="AR8" i="20"/>
  <c r="M8" i="20"/>
  <c r="L8" i="20"/>
  <c r="AC8" i="20"/>
  <c r="AG8" i="20"/>
  <c r="AW8" i="20"/>
  <c r="BF8" i="20"/>
  <c r="R8" i="20"/>
  <c r="AH8" i="20"/>
  <c r="AX8" i="20"/>
  <c r="AG17" i="20"/>
  <c r="AP8" i="20"/>
  <c r="S8" i="20"/>
  <c r="AI8" i="20"/>
  <c r="AY8" i="20"/>
  <c r="AV8" i="20"/>
  <c r="AH17" i="20"/>
  <c r="AH18" i="20" s="1"/>
  <c r="G18" i="20"/>
  <c r="AW18" i="20"/>
  <c r="AQ13" i="20"/>
  <c r="AY18" i="20"/>
  <c r="AB18" i="20"/>
  <c r="AS18" i="20"/>
  <c r="AX18" i="20"/>
  <c r="AD13" i="20"/>
  <c r="AQ8" i="20"/>
  <c r="O18" i="20"/>
  <c r="AE18" i="20"/>
  <c r="Q18" i="20"/>
  <c r="Q8" i="20"/>
  <c r="R18" i="20"/>
  <c r="D8" i="20"/>
  <c r="AZ18" i="20"/>
  <c r="H18" i="20"/>
  <c r="X18" i="20"/>
  <c r="AN18" i="20"/>
  <c r="BD18" i="20"/>
  <c r="AU18" i="20"/>
  <c r="N18" i="20"/>
  <c r="AG18" i="20"/>
  <c r="AD18" i="20"/>
  <c r="AA8" i="20"/>
  <c r="BI8" i="20"/>
  <c r="D17" i="20"/>
  <c r="D18" i="20" s="1"/>
  <c r="AD8" i="20"/>
  <c r="E17" i="20"/>
  <c r="E18" i="20" s="1"/>
  <c r="AK17" i="20"/>
  <c r="AK18" i="20" s="1"/>
  <c r="G8" i="20"/>
  <c r="W8" i="20"/>
  <c r="AM8" i="20"/>
  <c r="BC8" i="20"/>
  <c r="H8" i="20"/>
  <c r="X8" i="20"/>
  <c r="AN8" i="20"/>
  <c r="BD8" i="20"/>
  <c r="BG8" i="20"/>
  <c r="BH8" i="20"/>
  <c r="AS8" i="20"/>
  <c r="T17" i="20"/>
  <c r="T18" i="20" s="1"/>
  <c r="N8" i="20"/>
  <c r="U17" i="20"/>
  <c r="U18" i="20" s="1"/>
  <c r="BA17" i="20"/>
  <c r="BA18" i="20" s="1"/>
  <c r="AV20" i="20"/>
  <c r="AV18" i="20" s="1"/>
  <c r="I8" i="20"/>
  <c r="Y8" i="20"/>
  <c r="AO8" i="20"/>
  <c r="BE8" i="20"/>
  <c r="P17" i="20"/>
  <c r="P18" i="20" s="1"/>
  <c r="AF17" i="20"/>
  <c r="AF18" i="20" s="1"/>
  <c r="AB8" i="20"/>
  <c r="AU8" i="20"/>
  <c r="BB17" i="20"/>
  <c r="BB18" i="20" s="1"/>
  <c r="F17" i="20"/>
  <c r="F18" i="20" s="1"/>
  <c r="K20" i="20"/>
  <c r="K18" i="20" s="1"/>
  <c r="AQ20" i="20"/>
  <c r="AQ18" i="20" s="1"/>
  <c r="AJ17" i="20"/>
  <c r="AJ18" i="20" s="1"/>
  <c r="O8" i="20"/>
  <c r="V17" i="20"/>
  <c r="V18" i="20" s="1"/>
  <c r="L20" i="20"/>
  <c r="L18" i="20" s="1"/>
  <c r="AR20" i="20"/>
  <c r="AR18" i="20" s="1"/>
  <c r="AT8" i="20"/>
  <c r="AE8" i="20"/>
  <c r="AZ8" i="20"/>
  <c r="M20" i="20"/>
  <c r="M18" i="20" s="1"/>
  <c r="AC20" i="20"/>
  <c r="AC18" i="20" s="1"/>
  <c r="AL17" i="20"/>
  <c r="AL18" i="20" s="1"/>
  <c r="U125" i="14" l="1"/>
  <c r="T125" i="14"/>
  <c r="S125" i="14"/>
  <c r="R125" i="14"/>
  <c r="AC197" i="14"/>
  <c r="AC196" i="14"/>
  <c r="AC195" i="14"/>
  <c r="AC194" i="14"/>
  <c r="AC193" i="14"/>
  <c r="AC172" i="14"/>
  <c r="AC229" i="14"/>
  <c r="AC228" i="14"/>
  <c r="AC227" i="14"/>
  <c r="AC226" i="14"/>
  <c r="AC225" i="14"/>
  <c r="AC204" i="14"/>
  <c r="AC165" i="14"/>
  <c r="AC164" i="14"/>
  <c r="AC163" i="14"/>
  <c r="AC162" i="14"/>
  <c r="AC161" i="14"/>
  <c r="AC160" i="14"/>
  <c r="AC158" i="14"/>
  <c r="AC157" i="14"/>
  <c r="AC156" i="14"/>
  <c r="AC155" i="14"/>
  <c r="AC153" i="14"/>
  <c r="AC152" i="14"/>
  <c r="AC151" i="14"/>
  <c r="AC149" i="14"/>
  <c r="AC148" i="14"/>
  <c r="AC147" i="14"/>
  <c r="AC146" i="14"/>
  <c r="AC144" i="14"/>
  <c r="AC143" i="14"/>
  <c r="AC142" i="14"/>
  <c r="AC140" i="14"/>
  <c r="AC132" i="14"/>
  <c r="AC131" i="14"/>
  <c r="AC130" i="14"/>
  <c r="AC129" i="14"/>
  <c r="AC128" i="14"/>
  <c r="AC127" i="14"/>
  <c r="AC124" i="14"/>
  <c r="AC123" i="14"/>
  <c r="AC122" i="14"/>
  <c r="AC120" i="14"/>
  <c r="AC119" i="14"/>
  <c r="AC118" i="14"/>
  <c r="AC116" i="14"/>
  <c r="AC115" i="14"/>
  <c r="AC114" i="14"/>
  <c r="AC113" i="14"/>
  <c r="AC111" i="14"/>
  <c r="AC110" i="14"/>
  <c r="AC109" i="14"/>
  <c r="AC107" i="14"/>
  <c r="AC100" i="14"/>
  <c r="AC99" i="14"/>
  <c r="AC98" i="14"/>
  <c r="AC97" i="14"/>
  <c r="AC96" i="14"/>
  <c r="AC95" i="14"/>
  <c r="AC92" i="14"/>
  <c r="AC91" i="14"/>
  <c r="AC90" i="14"/>
  <c r="AC88" i="14"/>
  <c r="AC87" i="14"/>
  <c r="AC86" i="14"/>
  <c r="AC84" i="14"/>
  <c r="AC83" i="14"/>
  <c r="AC82" i="14"/>
  <c r="AC81" i="14"/>
  <c r="AC79" i="14"/>
  <c r="AC78" i="14"/>
  <c r="AC77" i="14"/>
  <c r="AC75" i="14"/>
  <c r="AC68" i="14"/>
  <c r="AC67" i="14"/>
  <c r="AC66" i="14"/>
  <c r="AC65" i="14"/>
  <c r="AC60" i="14"/>
  <c r="AC59" i="14"/>
  <c r="AC56" i="14"/>
  <c r="AC55" i="14"/>
  <c r="AC51" i="14"/>
  <c r="AC50" i="14"/>
  <c r="AC47" i="14"/>
  <c r="AC46" i="14"/>
  <c r="AC43" i="14"/>
  <c r="AC125" i="14" l="1"/>
  <c r="Q174" i="14"/>
  <c r="U221" i="14" l="1"/>
  <c r="T221" i="14"/>
  <c r="S221" i="14"/>
  <c r="R221" i="14"/>
  <c r="Q221" i="14"/>
  <c r="U220" i="14"/>
  <c r="T220" i="14"/>
  <c r="S220" i="14"/>
  <c r="R220" i="14"/>
  <c r="Q220" i="14"/>
  <c r="U217" i="14"/>
  <c r="T217" i="14"/>
  <c r="S217" i="14"/>
  <c r="R217" i="14"/>
  <c r="Q217" i="14"/>
  <c r="U216" i="14"/>
  <c r="T216" i="14"/>
  <c r="S216" i="14"/>
  <c r="R216" i="14"/>
  <c r="Q216" i="14"/>
  <c r="U212" i="14"/>
  <c r="T212" i="14"/>
  <c r="S212" i="14"/>
  <c r="R212" i="14"/>
  <c r="Q212" i="14"/>
  <c r="U211" i="14"/>
  <c r="T211" i="14"/>
  <c r="S211" i="14"/>
  <c r="R211" i="14"/>
  <c r="Q211" i="14"/>
  <c r="U208" i="14"/>
  <c r="T208" i="14"/>
  <c r="S208" i="14"/>
  <c r="R208" i="14"/>
  <c r="Q208" i="14"/>
  <c r="U207" i="14"/>
  <c r="T207" i="14"/>
  <c r="S207" i="14"/>
  <c r="R207" i="14"/>
  <c r="Q207" i="14"/>
  <c r="U106" i="14"/>
  <c r="T106" i="14"/>
  <c r="S106" i="14"/>
  <c r="R106" i="14"/>
  <c r="U105" i="14"/>
  <c r="T105" i="14"/>
  <c r="S105" i="14"/>
  <c r="R105" i="14"/>
  <c r="U104" i="14"/>
  <c r="T104" i="14"/>
  <c r="S104" i="14"/>
  <c r="R104" i="14"/>
  <c r="Q106" i="14"/>
  <c r="Q105" i="14"/>
  <c r="Q104" i="14"/>
  <c r="AC216" i="14" l="1"/>
  <c r="AC217" i="14"/>
  <c r="AC207" i="14"/>
  <c r="AC220" i="14"/>
  <c r="AC212" i="14"/>
  <c r="AC211" i="14"/>
  <c r="AC208" i="14"/>
  <c r="AC105" i="14"/>
  <c r="AC221" i="14"/>
  <c r="AC104" i="14"/>
  <c r="AC106" i="14"/>
  <c r="U192" i="14" l="1"/>
  <c r="T192" i="14"/>
  <c r="S192" i="14"/>
  <c r="R192" i="14"/>
  <c r="Q192" i="14"/>
  <c r="U189" i="14"/>
  <c r="T189" i="14"/>
  <c r="S189" i="14"/>
  <c r="R189" i="14"/>
  <c r="Q189" i="14"/>
  <c r="U188" i="14"/>
  <c r="T188" i="14"/>
  <c r="S188" i="14"/>
  <c r="R188" i="14"/>
  <c r="Q188" i="14"/>
  <c r="U187" i="14"/>
  <c r="T187" i="14"/>
  <c r="S187" i="14"/>
  <c r="R187" i="14"/>
  <c r="Q187" i="14"/>
  <c r="U185" i="14"/>
  <c r="T185" i="14"/>
  <c r="S185" i="14"/>
  <c r="R185" i="14"/>
  <c r="Q185" i="14"/>
  <c r="U184" i="14"/>
  <c r="T184" i="14"/>
  <c r="S184" i="14"/>
  <c r="R184" i="14"/>
  <c r="Q184" i="14"/>
  <c r="U183" i="14"/>
  <c r="T183" i="14"/>
  <c r="S183" i="14"/>
  <c r="R183" i="14"/>
  <c r="Q183" i="14"/>
  <c r="U181" i="14"/>
  <c r="T181" i="14"/>
  <c r="S181" i="14"/>
  <c r="R181" i="14"/>
  <c r="Q181" i="14"/>
  <c r="U180" i="14"/>
  <c r="T180" i="14"/>
  <c r="S180" i="14"/>
  <c r="R180" i="14"/>
  <c r="Q180" i="14"/>
  <c r="U179" i="14"/>
  <c r="T179" i="14"/>
  <c r="S179" i="14"/>
  <c r="R179" i="14"/>
  <c r="Q179" i="14"/>
  <c r="U178" i="14"/>
  <c r="T178" i="14"/>
  <c r="S178" i="14"/>
  <c r="R178" i="14"/>
  <c r="Q178" i="14"/>
  <c r="U176" i="14"/>
  <c r="T176" i="14"/>
  <c r="S176" i="14"/>
  <c r="R176" i="14"/>
  <c r="Q176" i="14"/>
  <c r="U175" i="14"/>
  <c r="T175" i="14"/>
  <c r="S175" i="14"/>
  <c r="R175" i="14"/>
  <c r="Q175" i="14"/>
  <c r="U174" i="14"/>
  <c r="T174" i="14"/>
  <c r="S174" i="14"/>
  <c r="R174" i="14"/>
  <c r="U72" i="14"/>
  <c r="T72" i="14"/>
  <c r="S72" i="14"/>
  <c r="R72" i="14"/>
  <c r="Q72" i="14"/>
  <c r="U139" i="14"/>
  <c r="T139" i="14"/>
  <c r="S139" i="14"/>
  <c r="R139" i="14"/>
  <c r="U138" i="14"/>
  <c r="T138" i="14"/>
  <c r="S138" i="14"/>
  <c r="R138" i="14"/>
  <c r="U137" i="14"/>
  <c r="T137" i="14"/>
  <c r="S137" i="14"/>
  <c r="R137" i="14"/>
  <c r="Q139" i="14"/>
  <c r="Q138" i="14"/>
  <c r="Q137" i="14"/>
  <c r="U169" i="14" l="1"/>
  <c r="AC178" i="14"/>
  <c r="AC189" i="14"/>
  <c r="AC185" i="14"/>
  <c r="AC179" i="14"/>
  <c r="AC175" i="14"/>
  <c r="AC176" i="14"/>
  <c r="AC72" i="14"/>
  <c r="AC192" i="14"/>
  <c r="AC137" i="14"/>
  <c r="AC139" i="14"/>
  <c r="AC180" i="14"/>
  <c r="AC183" i="14"/>
  <c r="AC138" i="14"/>
  <c r="AC187" i="14"/>
  <c r="AC174" i="14"/>
  <c r="AC184" i="14"/>
  <c r="AC188" i="14"/>
  <c r="AC181" i="14"/>
  <c r="U159" i="14"/>
  <c r="T159" i="14"/>
  <c r="S159" i="14"/>
  <c r="R159" i="14"/>
  <c r="Q159" i="14"/>
  <c r="U154" i="14"/>
  <c r="T154" i="14"/>
  <c r="S154" i="14"/>
  <c r="R154" i="14"/>
  <c r="Q154" i="14"/>
  <c r="U150" i="14"/>
  <c r="T150" i="14"/>
  <c r="S150" i="14"/>
  <c r="R150" i="14"/>
  <c r="Q150" i="14"/>
  <c r="U145" i="14"/>
  <c r="T145" i="14"/>
  <c r="S145" i="14"/>
  <c r="R145" i="14"/>
  <c r="Q145" i="14"/>
  <c r="U141" i="14"/>
  <c r="T141" i="14"/>
  <c r="S141" i="14"/>
  <c r="R141" i="14"/>
  <c r="Q141" i="14"/>
  <c r="U136" i="14"/>
  <c r="T136" i="14"/>
  <c r="S136" i="14"/>
  <c r="R136" i="14"/>
  <c r="Q136" i="14"/>
  <c r="T169" i="14"/>
  <c r="S169" i="14"/>
  <c r="R169" i="14"/>
  <c r="Q169" i="14"/>
  <c r="U93" i="14"/>
  <c r="T93" i="14"/>
  <c r="S93" i="14"/>
  <c r="R93" i="14"/>
  <c r="AC154" i="14" l="1"/>
  <c r="AC141" i="14"/>
  <c r="AC150" i="14"/>
  <c r="AC136" i="14"/>
  <c r="AC159" i="14"/>
  <c r="AC145" i="14"/>
  <c r="R74" i="14"/>
  <c r="R171" i="14" s="1"/>
  <c r="R190" i="14"/>
  <c r="T74" i="14"/>
  <c r="T171" i="14" s="1"/>
  <c r="T190" i="14"/>
  <c r="S74" i="14"/>
  <c r="S171" i="14" s="1"/>
  <c r="S190" i="14"/>
  <c r="U74" i="14"/>
  <c r="U171" i="14" s="1"/>
  <c r="U190" i="14"/>
  <c r="AC169" i="14"/>
  <c r="U255" i="14"/>
  <c r="T255" i="14"/>
  <c r="S255" i="14"/>
  <c r="R255" i="14"/>
  <c r="Q255" i="14"/>
  <c r="U250" i="14"/>
  <c r="T250" i="14"/>
  <c r="S250" i="14"/>
  <c r="R250" i="14"/>
  <c r="Q250" i="14"/>
  <c r="U246" i="14"/>
  <c r="T246" i="14"/>
  <c r="S246" i="14"/>
  <c r="R246" i="14"/>
  <c r="Q246" i="14"/>
  <c r="U241" i="14"/>
  <c r="T241" i="14"/>
  <c r="S241" i="14"/>
  <c r="R241" i="14"/>
  <c r="Q241" i="14"/>
  <c r="U237" i="14"/>
  <c r="T237" i="14"/>
  <c r="S237" i="14"/>
  <c r="R237" i="14"/>
  <c r="Q237" i="14"/>
  <c r="U232" i="14"/>
  <c r="T232" i="14"/>
  <c r="S232" i="14"/>
  <c r="R232" i="14"/>
  <c r="Q232" i="14"/>
  <c r="U89" i="14"/>
  <c r="T89" i="14"/>
  <c r="Q93" i="14"/>
  <c r="R89" i="14"/>
  <c r="U126" i="14"/>
  <c r="T126" i="14"/>
  <c r="S126" i="14"/>
  <c r="R126" i="14"/>
  <c r="Q126" i="14"/>
  <c r="U121" i="14"/>
  <c r="T121" i="14"/>
  <c r="S121" i="14"/>
  <c r="R121" i="14"/>
  <c r="Q121" i="14"/>
  <c r="U117" i="14"/>
  <c r="T117" i="14"/>
  <c r="S117" i="14"/>
  <c r="R117" i="14"/>
  <c r="Q117" i="14"/>
  <c r="U112" i="14"/>
  <c r="T112" i="14"/>
  <c r="S112" i="14"/>
  <c r="R112" i="14"/>
  <c r="Q112" i="14"/>
  <c r="U108" i="14"/>
  <c r="T108" i="14"/>
  <c r="S108" i="14"/>
  <c r="R108" i="14"/>
  <c r="Q108" i="14"/>
  <c r="U103" i="14"/>
  <c r="T103" i="14"/>
  <c r="R103" i="14"/>
  <c r="S103" i="14"/>
  <c r="Q103" i="14"/>
  <c r="U73" i="14"/>
  <c r="U170" i="14" s="1"/>
  <c r="T73" i="14"/>
  <c r="T170" i="14" s="1"/>
  <c r="S73" i="14"/>
  <c r="S170" i="14" s="1"/>
  <c r="R73" i="14"/>
  <c r="R170" i="14" s="1"/>
  <c r="Q73" i="14"/>
  <c r="R94" i="14"/>
  <c r="U94" i="14"/>
  <c r="T94" i="14"/>
  <c r="S94" i="14"/>
  <c r="Q94" i="14"/>
  <c r="S89" i="14"/>
  <c r="U85" i="14"/>
  <c r="T85" i="14"/>
  <c r="S85" i="14"/>
  <c r="R85" i="14"/>
  <c r="Q85" i="14"/>
  <c r="Q80" i="14"/>
  <c r="U80" i="14"/>
  <c r="U177" i="14" s="1"/>
  <c r="T80" i="14"/>
  <c r="T177" i="14" s="1"/>
  <c r="R76" i="14"/>
  <c r="U76" i="14"/>
  <c r="T76" i="14"/>
  <c r="S76" i="14"/>
  <c r="U41" i="14"/>
  <c r="U202" i="14" s="1"/>
  <c r="T41" i="14"/>
  <c r="T202" i="14" s="1"/>
  <c r="S41" i="14"/>
  <c r="S202" i="14" s="1"/>
  <c r="R41" i="14"/>
  <c r="R202" i="14" s="1"/>
  <c r="Q41" i="14"/>
  <c r="U52" i="14"/>
  <c r="U213" i="14" s="1"/>
  <c r="T52" i="14"/>
  <c r="T213" i="14" s="1"/>
  <c r="S52" i="14"/>
  <c r="S213" i="14" s="1"/>
  <c r="R52" i="14"/>
  <c r="R213" i="14" s="1"/>
  <c r="Q52" i="14"/>
  <c r="R191" i="14" l="1"/>
  <c r="S168" i="14"/>
  <c r="AC108" i="14"/>
  <c r="U191" i="14"/>
  <c r="U168" i="14"/>
  <c r="T168" i="14"/>
  <c r="R168" i="14"/>
  <c r="AC52" i="14"/>
  <c r="Q213" i="14"/>
  <c r="AC213" i="14" s="1"/>
  <c r="AC93" i="14"/>
  <c r="Q74" i="14"/>
  <c r="Q71" i="14" s="1"/>
  <c r="Q190" i="14"/>
  <c r="AC190" i="14" s="1"/>
  <c r="AC85" i="14"/>
  <c r="Q182" i="14"/>
  <c r="S182" i="14"/>
  <c r="T182" i="14"/>
  <c r="AC41" i="14"/>
  <c r="Q202" i="14"/>
  <c r="AC202" i="14" s="1"/>
  <c r="S191" i="14"/>
  <c r="Q177" i="14"/>
  <c r="AC117" i="14"/>
  <c r="R182" i="14"/>
  <c r="U182" i="14"/>
  <c r="AC94" i="14"/>
  <c r="Q191" i="14"/>
  <c r="T191" i="14"/>
  <c r="AC126" i="14"/>
  <c r="AC112" i="14"/>
  <c r="U173" i="14"/>
  <c r="AC73" i="14"/>
  <c r="Q170" i="14"/>
  <c r="U186" i="14"/>
  <c r="T186" i="14"/>
  <c r="AC103" i="14"/>
  <c r="S186" i="14"/>
  <c r="AC121" i="14"/>
  <c r="R186" i="14"/>
  <c r="T173" i="14"/>
  <c r="S173" i="14"/>
  <c r="R173" i="14"/>
  <c r="U71" i="14"/>
  <c r="R71" i="14"/>
  <c r="Q89" i="14"/>
  <c r="S71" i="14"/>
  <c r="T71" i="14"/>
  <c r="R80" i="14"/>
  <c r="R177" i="14" s="1"/>
  <c r="S80" i="14"/>
  <c r="S177" i="14" s="1"/>
  <c r="Q76" i="14"/>
  <c r="AC76" i="14" s="1"/>
  <c r="AC71" i="14" l="1"/>
  <c r="AC182" i="14"/>
  <c r="AC170" i="14"/>
  <c r="AC74" i="14"/>
  <c r="Q171" i="14"/>
  <c r="AC171" i="14" s="1"/>
  <c r="AC177" i="14"/>
  <c r="AC80" i="14"/>
  <c r="Q173" i="14"/>
  <c r="AC173" i="14" s="1"/>
  <c r="AC89" i="14"/>
  <c r="Q186" i="14"/>
  <c r="AC186" i="14" s="1"/>
  <c r="AC191" i="14"/>
  <c r="U64" i="14"/>
  <c r="T64" i="14"/>
  <c r="S64" i="14"/>
  <c r="R64" i="14"/>
  <c r="Q64" i="14"/>
  <c r="U63" i="14"/>
  <c r="T63" i="14"/>
  <c r="T224" i="14" s="1"/>
  <c r="S63" i="14"/>
  <c r="S224" i="14" s="1"/>
  <c r="R63" i="14"/>
  <c r="R224" i="14" s="1"/>
  <c r="Q63" i="14"/>
  <c r="U61" i="14"/>
  <c r="T61" i="14"/>
  <c r="S61" i="14"/>
  <c r="R61" i="14"/>
  <c r="Q61" i="14"/>
  <c r="U58" i="14"/>
  <c r="U219" i="14" s="1"/>
  <c r="T58" i="14"/>
  <c r="T219" i="14" s="1"/>
  <c r="S58" i="14"/>
  <c r="S219" i="14" s="1"/>
  <c r="R58" i="14"/>
  <c r="R219" i="14" s="1"/>
  <c r="Q58" i="14"/>
  <c r="U54" i="14"/>
  <c r="T54" i="14"/>
  <c r="S54" i="14"/>
  <c r="R54" i="14"/>
  <c r="Q54" i="14"/>
  <c r="U49" i="14"/>
  <c r="T49" i="14"/>
  <c r="S49" i="14"/>
  <c r="R49" i="14"/>
  <c r="Q49" i="14"/>
  <c r="U45" i="14"/>
  <c r="T45" i="14"/>
  <c r="S45" i="14"/>
  <c r="R45" i="14"/>
  <c r="Q45" i="14"/>
  <c r="Q206" i="14" s="1"/>
  <c r="U40" i="14" l="1"/>
  <c r="AC64" i="14"/>
  <c r="U62" i="14"/>
  <c r="U223" i="14" s="1"/>
  <c r="U224" i="14"/>
  <c r="U53" i="14"/>
  <c r="U214" i="14" s="1"/>
  <c r="U215" i="14"/>
  <c r="R44" i="14"/>
  <c r="R205" i="14" s="1"/>
  <c r="R206" i="14"/>
  <c r="S44" i="14"/>
  <c r="S205" i="14" s="1"/>
  <c r="S206" i="14"/>
  <c r="S53" i="14"/>
  <c r="S214" i="14" s="1"/>
  <c r="S215" i="14"/>
  <c r="T53" i="14"/>
  <c r="T214" i="14" s="1"/>
  <c r="T215" i="14"/>
  <c r="AC58" i="14"/>
  <c r="Q219" i="14"/>
  <c r="AC219" i="14" s="1"/>
  <c r="Q44" i="14"/>
  <c r="AC45" i="14"/>
  <c r="T44" i="14"/>
  <c r="T205" i="14" s="1"/>
  <c r="T206" i="14"/>
  <c r="U44" i="14"/>
  <c r="U205" i="14" s="1"/>
  <c r="U206" i="14"/>
  <c r="Q42" i="14"/>
  <c r="AC61" i="14"/>
  <c r="Q222" i="14"/>
  <c r="Q48" i="14"/>
  <c r="AC49" i="14"/>
  <c r="Q210" i="14"/>
  <c r="R42" i="14"/>
  <c r="R203" i="14" s="1"/>
  <c r="R222" i="14"/>
  <c r="R48" i="14"/>
  <c r="R209" i="14" s="1"/>
  <c r="R210" i="14"/>
  <c r="S42" i="14"/>
  <c r="S203" i="14" s="1"/>
  <c r="S222" i="14"/>
  <c r="S48" i="14"/>
  <c r="S209" i="14" s="1"/>
  <c r="S210" i="14"/>
  <c r="T42" i="14"/>
  <c r="T203" i="14" s="1"/>
  <c r="T222" i="14"/>
  <c r="T48" i="14"/>
  <c r="T209" i="14" s="1"/>
  <c r="T210" i="14"/>
  <c r="U42" i="14"/>
  <c r="U203" i="14" s="1"/>
  <c r="U222" i="14"/>
  <c r="U48" i="14"/>
  <c r="U209" i="14" s="1"/>
  <c r="U210" i="14"/>
  <c r="AC63" i="14"/>
  <c r="Q224" i="14"/>
  <c r="AC224" i="14" s="1"/>
  <c r="Q53" i="14"/>
  <c r="AC54" i="14"/>
  <c r="Q215" i="14"/>
  <c r="R53" i="14"/>
  <c r="R214" i="14" s="1"/>
  <c r="R215" i="14"/>
  <c r="Q168" i="14"/>
  <c r="AC168" i="14" s="1"/>
  <c r="Q57" i="14"/>
  <c r="R57" i="14"/>
  <c r="R218" i="14" s="1"/>
  <c r="S57" i="14"/>
  <c r="S218" i="14" s="1"/>
  <c r="T57" i="14"/>
  <c r="T218" i="14" s="1"/>
  <c r="U57" i="14"/>
  <c r="U218" i="14" s="1"/>
  <c r="Q62" i="14"/>
  <c r="S62" i="14"/>
  <c r="S223" i="14" s="1"/>
  <c r="R62" i="14"/>
  <c r="R223" i="14" s="1"/>
  <c r="T62" i="14"/>
  <c r="T223" i="14" s="1"/>
  <c r="Q40" i="14"/>
  <c r="R40" i="14"/>
  <c r="S40" i="14"/>
  <c r="T40" i="14"/>
  <c r="AC210" i="14" l="1"/>
  <c r="R39" i="14"/>
  <c r="R201" i="14"/>
  <c r="R200" i="14" s="1"/>
  <c r="AC206" i="14"/>
  <c r="T39" i="14"/>
  <c r="T201" i="14"/>
  <c r="T200" i="14" s="1"/>
  <c r="S39" i="14"/>
  <c r="S201" i="14"/>
  <c r="S200" i="14" s="1"/>
  <c r="Q39" i="14"/>
  <c r="AC40" i="14"/>
  <c r="Q201" i="14"/>
  <c r="AC215" i="14"/>
  <c r="AC44" i="14"/>
  <c r="Q205" i="14"/>
  <c r="AC205" i="14" s="1"/>
  <c r="AC53" i="14"/>
  <c r="Q214" i="14"/>
  <c r="AC214" i="14" s="1"/>
  <c r="AC62" i="14"/>
  <c r="Q223" i="14"/>
  <c r="AC223" i="14" s="1"/>
  <c r="AC48" i="14"/>
  <c r="Q209" i="14"/>
  <c r="AC209" i="14" s="1"/>
  <c r="AC222" i="14"/>
  <c r="U39" i="14"/>
  <c r="U201" i="14"/>
  <c r="U200" i="14" s="1"/>
  <c r="AC42" i="14"/>
  <c r="Q203" i="14"/>
  <c r="AC203" i="14" s="1"/>
  <c r="AC57" i="14"/>
  <c r="Q218" i="14"/>
  <c r="AC218" i="14" s="1"/>
  <c r="AC201" i="14" l="1"/>
  <c r="Q200" i="14"/>
  <c r="AC200" i="14" s="1"/>
  <c r="AC39" i="14"/>
  <c r="J73" i="12" l="1"/>
  <c r="I73" i="12"/>
  <c r="H73" i="12"/>
  <c r="G73" i="12"/>
  <c r="F73" i="12"/>
  <c r="J71" i="12"/>
  <c r="I71" i="12"/>
  <c r="H71" i="12"/>
  <c r="G71" i="12"/>
  <c r="F71" i="12"/>
  <c r="J70" i="12"/>
  <c r="I70" i="12"/>
  <c r="H70" i="12"/>
  <c r="G70" i="12"/>
  <c r="F70" i="12"/>
  <c r="J69" i="12"/>
  <c r="I69" i="12"/>
  <c r="H69" i="12"/>
  <c r="G69" i="12"/>
  <c r="F69" i="12"/>
  <c r="Q68" i="12"/>
  <c r="P68" i="12"/>
  <c r="O68" i="12"/>
  <c r="O79" i="12" s="1"/>
  <c r="N68" i="12"/>
  <c r="N79" i="12" s="1"/>
  <c r="M68" i="12"/>
  <c r="L68" i="12"/>
  <c r="K68" i="12"/>
  <c r="K65" i="12"/>
  <c r="K64" i="12"/>
  <c r="K63" i="12"/>
  <c r="K62" i="12"/>
  <c r="K61" i="12"/>
  <c r="K60" i="12"/>
  <c r="K59" i="12"/>
  <c r="K58" i="12"/>
  <c r="J58" i="12"/>
  <c r="I58" i="12"/>
  <c r="H58" i="12"/>
  <c r="G58" i="12"/>
  <c r="F58" i="12"/>
  <c r="K57" i="12"/>
  <c r="K56" i="12"/>
  <c r="J56" i="12"/>
  <c r="I56" i="12"/>
  <c r="H56" i="12"/>
  <c r="G56" i="12"/>
  <c r="F56" i="12"/>
  <c r="K55" i="12"/>
  <c r="K54" i="12"/>
  <c r="K53" i="12"/>
  <c r="Q52" i="12"/>
  <c r="P52" i="12"/>
  <c r="O52" i="12"/>
  <c r="N52" i="12"/>
  <c r="M52" i="12"/>
  <c r="L52" i="12"/>
  <c r="K47" i="12"/>
  <c r="J47" i="12"/>
  <c r="I47" i="12"/>
  <c r="H47" i="12"/>
  <c r="G47" i="12"/>
  <c r="K46" i="12"/>
  <c r="J46" i="12"/>
  <c r="I46" i="12"/>
  <c r="H46" i="12"/>
  <c r="G46" i="12"/>
  <c r="K44" i="12"/>
  <c r="J44" i="12"/>
  <c r="I44" i="12"/>
  <c r="H44" i="12"/>
  <c r="G44" i="12"/>
  <c r="K43" i="12"/>
  <c r="J43" i="12"/>
  <c r="I43" i="12"/>
  <c r="H43" i="12"/>
  <c r="G43" i="12"/>
  <c r="K42" i="12"/>
  <c r="J42" i="12"/>
  <c r="I42" i="12"/>
  <c r="H42" i="12"/>
  <c r="G42" i="12"/>
  <c r="F42" i="12"/>
  <c r="K41" i="12"/>
  <c r="J41" i="12"/>
  <c r="I41" i="12"/>
  <c r="H41" i="12"/>
  <c r="G41" i="12"/>
  <c r="K40" i="12"/>
  <c r="J40" i="12"/>
  <c r="I40" i="12"/>
  <c r="H40" i="12"/>
  <c r="G40" i="12"/>
  <c r="F40" i="12"/>
  <c r="K39" i="12"/>
  <c r="J39" i="12"/>
  <c r="I39" i="12"/>
  <c r="H39" i="12"/>
  <c r="G39" i="12"/>
  <c r="K38" i="12"/>
  <c r="J38" i="12"/>
  <c r="I38" i="12"/>
  <c r="H38" i="12"/>
  <c r="G38" i="12"/>
  <c r="K37" i="12"/>
  <c r="J37" i="12"/>
  <c r="I37" i="12"/>
  <c r="H37" i="12"/>
  <c r="G37" i="12"/>
  <c r="Q36" i="12"/>
  <c r="P36" i="12"/>
  <c r="O36" i="12"/>
  <c r="N36" i="12"/>
  <c r="M36" i="12"/>
  <c r="L36" i="12"/>
  <c r="J33" i="12"/>
  <c r="K49" i="12" s="1"/>
  <c r="I33" i="12"/>
  <c r="H33" i="12"/>
  <c r="G33" i="12"/>
  <c r="H49" i="12" s="1"/>
  <c r="F33" i="12"/>
  <c r="J32" i="12"/>
  <c r="K48" i="12" s="1"/>
  <c r="I32" i="12"/>
  <c r="H32" i="12"/>
  <c r="G32" i="12"/>
  <c r="F32" i="12"/>
  <c r="F64" i="12" s="1"/>
  <c r="J29" i="12"/>
  <c r="K45" i="12" s="1"/>
  <c r="I29" i="12"/>
  <c r="H29" i="12"/>
  <c r="H20" i="12" s="1"/>
  <c r="G29" i="12"/>
  <c r="G20" i="12" s="1"/>
  <c r="F29" i="12"/>
  <c r="Q20" i="12"/>
  <c r="P20" i="12"/>
  <c r="O20" i="12"/>
  <c r="N20" i="12"/>
  <c r="M20" i="12"/>
  <c r="L20" i="12"/>
  <c r="K20" i="12"/>
  <c r="F20" i="12"/>
  <c r="J17" i="12"/>
  <c r="J65" i="12" s="1"/>
  <c r="I17" i="12"/>
  <c r="I65" i="12" s="1"/>
  <c r="H17" i="12"/>
  <c r="H65" i="12" s="1"/>
  <c r="G17" i="12"/>
  <c r="G65" i="12" s="1"/>
  <c r="F17" i="12"/>
  <c r="J16" i="12"/>
  <c r="I16" i="12"/>
  <c r="H16" i="12"/>
  <c r="G16" i="12"/>
  <c r="F16" i="12"/>
  <c r="F48" i="12" s="1"/>
  <c r="J15" i="12"/>
  <c r="J63" i="12" s="1"/>
  <c r="I15" i="12"/>
  <c r="I63" i="12" s="1"/>
  <c r="H15" i="12"/>
  <c r="H63" i="12" s="1"/>
  <c r="G15" i="12"/>
  <c r="G63" i="12" s="1"/>
  <c r="F15" i="12"/>
  <c r="F47" i="12" s="1"/>
  <c r="J14" i="12"/>
  <c r="J62" i="12" s="1"/>
  <c r="I14" i="12"/>
  <c r="I62" i="12" s="1"/>
  <c r="H14" i="12"/>
  <c r="H62" i="12" s="1"/>
  <c r="G14" i="12"/>
  <c r="G62" i="12" s="1"/>
  <c r="F14" i="12"/>
  <c r="F62" i="12" s="1"/>
  <c r="J13" i="12"/>
  <c r="I13" i="12"/>
  <c r="H13" i="12"/>
  <c r="G13" i="12"/>
  <c r="J12" i="12"/>
  <c r="J60" i="12" s="1"/>
  <c r="I12" i="12"/>
  <c r="I60" i="12" s="1"/>
  <c r="H12" i="12"/>
  <c r="H60" i="12" s="1"/>
  <c r="G12" i="12"/>
  <c r="G60" i="12" s="1"/>
  <c r="F12" i="12"/>
  <c r="F44" i="12" s="1"/>
  <c r="J11" i="12"/>
  <c r="J59" i="12" s="1"/>
  <c r="I11" i="12"/>
  <c r="I59" i="12" s="1"/>
  <c r="H11" i="12"/>
  <c r="H59" i="12" s="1"/>
  <c r="G11" i="12"/>
  <c r="G59" i="12" s="1"/>
  <c r="F11" i="12"/>
  <c r="F43" i="12" s="1"/>
  <c r="J9" i="12"/>
  <c r="J57" i="12" s="1"/>
  <c r="I9" i="12"/>
  <c r="I57" i="12" s="1"/>
  <c r="H9" i="12"/>
  <c r="H57" i="12" s="1"/>
  <c r="G9" i="12"/>
  <c r="G57" i="12" s="1"/>
  <c r="F9" i="12"/>
  <c r="F57" i="12" s="1"/>
  <c r="J7" i="12"/>
  <c r="J55" i="12" s="1"/>
  <c r="I7" i="12"/>
  <c r="I55" i="12" s="1"/>
  <c r="H7" i="12"/>
  <c r="H55" i="12" s="1"/>
  <c r="G7" i="12"/>
  <c r="G55" i="12" s="1"/>
  <c r="F7" i="12"/>
  <c r="F39" i="12" s="1"/>
  <c r="J6" i="12"/>
  <c r="J54" i="12" s="1"/>
  <c r="H6" i="12"/>
  <c r="H54" i="12" s="1"/>
  <c r="G6" i="12"/>
  <c r="G54" i="12" s="1"/>
  <c r="F6" i="12"/>
  <c r="F54" i="12" s="1"/>
  <c r="J5" i="12"/>
  <c r="J53" i="12" s="1"/>
  <c r="I5" i="12"/>
  <c r="I53" i="12" s="1"/>
  <c r="H5" i="12"/>
  <c r="H53" i="12" s="1"/>
  <c r="G5" i="12"/>
  <c r="F5" i="12"/>
  <c r="F37" i="12" s="1"/>
  <c r="Q4" i="12"/>
  <c r="Q79" i="12" s="1"/>
  <c r="P4" i="12"/>
  <c r="P79" i="12" s="1"/>
  <c r="O4" i="12"/>
  <c r="N4" i="12"/>
  <c r="M4" i="12"/>
  <c r="M79" i="12" s="1"/>
  <c r="L4" i="12"/>
  <c r="L79" i="12" s="1"/>
  <c r="K4" i="12"/>
  <c r="K79" i="12" s="1"/>
  <c r="K47" i="11"/>
  <c r="J47" i="11"/>
  <c r="I47" i="11"/>
  <c r="H47" i="11"/>
  <c r="G47" i="11"/>
  <c r="K46" i="11"/>
  <c r="J46" i="11"/>
  <c r="I46" i="11"/>
  <c r="H46" i="11"/>
  <c r="G46" i="11"/>
  <c r="K44" i="11"/>
  <c r="J44" i="11"/>
  <c r="I44" i="11"/>
  <c r="H44" i="11"/>
  <c r="G44" i="11"/>
  <c r="K43" i="11"/>
  <c r="J43" i="11"/>
  <c r="I43" i="11"/>
  <c r="H43" i="11"/>
  <c r="G43" i="11"/>
  <c r="K42" i="11"/>
  <c r="J42" i="11"/>
  <c r="I42" i="11"/>
  <c r="H42" i="11"/>
  <c r="G42" i="11"/>
  <c r="K41" i="11"/>
  <c r="J41" i="11"/>
  <c r="I41" i="11"/>
  <c r="H41" i="11"/>
  <c r="G41" i="11"/>
  <c r="K40" i="11"/>
  <c r="J40" i="11"/>
  <c r="I40" i="11"/>
  <c r="H40" i="11"/>
  <c r="G40" i="11"/>
  <c r="K39" i="11"/>
  <c r="J39" i="11"/>
  <c r="I39" i="11"/>
  <c r="H39" i="11"/>
  <c r="G39" i="11"/>
  <c r="K38" i="11"/>
  <c r="J38" i="11"/>
  <c r="I38" i="11"/>
  <c r="H38" i="11"/>
  <c r="G38" i="11"/>
  <c r="K37" i="11"/>
  <c r="J37" i="11"/>
  <c r="I37" i="11"/>
  <c r="H37" i="11"/>
  <c r="G37" i="11"/>
  <c r="F42" i="11"/>
  <c r="F40" i="11"/>
  <c r="Q36" i="11"/>
  <c r="P36" i="11"/>
  <c r="O36" i="11"/>
  <c r="N36" i="11"/>
  <c r="M36" i="11"/>
  <c r="L36" i="11"/>
  <c r="K65" i="11"/>
  <c r="K64" i="11"/>
  <c r="K63" i="11"/>
  <c r="K62" i="11"/>
  <c r="K61" i="11"/>
  <c r="K60" i="11"/>
  <c r="K59" i="11"/>
  <c r="K58" i="11"/>
  <c r="J58" i="11"/>
  <c r="I58" i="11"/>
  <c r="H58" i="11"/>
  <c r="G58" i="11"/>
  <c r="F58" i="11"/>
  <c r="K57" i="11"/>
  <c r="K56" i="11"/>
  <c r="J56" i="11"/>
  <c r="I56" i="11"/>
  <c r="H56" i="11"/>
  <c r="G56" i="11"/>
  <c r="F56" i="11"/>
  <c r="K55" i="11"/>
  <c r="K54" i="11"/>
  <c r="K53" i="11"/>
  <c r="Q52" i="11"/>
  <c r="P52" i="11"/>
  <c r="O52" i="11"/>
  <c r="N52" i="11"/>
  <c r="M52" i="11"/>
  <c r="L52" i="11"/>
  <c r="J33" i="11"/>
  <c r="K49" i="11" s="1"/>
  <c r="I33" i="11"/>
  <c r="H33" i="11"/>
  <c r="G33" i="11"/>
  <c r="F33" i="11"/>
  <c r="J32" i="11"/>
  <c r="K48" i="11" s="1"/>
  <c r="I32" i="11"/>
  <c r="H32" i="11"/>
  <c r="G32" i="11"/>
  <c r="F32" i="11"/>
  <c r="J29" i="11"/>
  <c r="K45" i="11" s="1"/>
  <c r="I29" i="11"/>
  <c r="H29" i="11"/>
  <c r="G29" i="11"/>
  <c r="F29" i="11"/>
  <c r="Q20" i="11"/>
  <c r="P20" i="11"/>
  <c r="O20" i="11"/>
  <c r="N20" i="11"/>
  <c r="M20" i="11"/>
  <c r="L20" i="11"/>
  <c r="K20" i="11"/>
  <c r="J73" i="11"/>
  <c r="I73" i="11"/>
  <c r="H73" i="11"/>
  <c r="G73" i="11"/>
  <c r="F73" i="11"/>
  <c r="J71" i="11"/>
  <c r="I71" i="11"/>
  <c r="H71" i="11"/>
  <c r="G71" i="11"/>
  <c r="F71" i="11"/>
  <c r="J70" i="11"/>
  <c r="I70" i="11"/>
  <c r="H70" i="11"/>
  <c r="G70" i="11"/>
  <c r="F70" i="11"/>
  <c r="J69" i="11"/>
  <c r="I69" i="11"/>
  <c r="H69" i="11"/>
  <c r="G69" i="11"/>
  <c r="F69" i="11"/>
  <c r="Q68" i="11"/>
  <c r="P68" i="11"/>
  <c r="O68" i="11"/>
  <c r="N68" i="11"/>
  <c r="M68" i="11"/>
  <c r="L68" i="11"/>
  <c r="K68" i="11"/>
  <c r="J17" i="11"/>
  <c r="I17" i="11"/>
  <c r="H17" i="11"/>
  <c r="G17" i="11"/>
  <c r="F17" i="11"/>
  <c r="F49" i="11" s="1"/>
  <c r="J16" i="11"/>
  <c r="I16" i="11"/>
  <c r="H16" i="11"/>
  <c r="G16" i="11"/>
  <c r="F16" i="11"/>
  <c r="F48" i="11" s="1"/>
  <c r="J15" i="11"/>
  <c r="J63" i="11" s="1"/>
  <c r="I15" i="11"/>
  <c r="I63" i="11" s="1"/>
  <c r="H15" i="11"/>
  <c r="H63" i="11" s="1"/>
  <c r="G15" i="11"/>
  <c r="G63" i="11" s="1"/>
  <c r="F15" i="11"/>
  <c r="F47" i="11" s="1"/>
  <c r="J14" i="11"/>
  <c r="J62" i="11" s="1"/>
  <c r="I14" i="11"/>
  <c r="H14" i="11"/>
  <c r="H62" i="11" s="1"/>
  <c r="G14" i="11"/>
  <c r="F14" i="11"/>
  <c r="F46" i="11" s="1"/>
  <c r="J13" i="11"/>
  <c r="I13" i="11"/>
  <c r="H13" i="11"/>
  <c r="G13" i="11"/>
  <c r="J12" i="11"/>
  <c r="J60" i="11" s="1"/>
  <c r="I12" i="11"/>
  <c r="H12" i="11"/>
  <c r="G12" i="11"/>
  <c r="F12" i="11"/>
  <c r="F44" i="11" s="1"/>
  <c r="J11" i="11"/>
  <c r="J59" i="11" s="1"/>
  <c r="I11" i="11"/>
  <c r="H11" i="11"/>
  <c r="G11" i="11"/>
  <c r="G59" i="11" s="1"/>
  <c r="F11" i="11"/>
  <c r="F43" i="11" s="1"/>
  <c r="J9" i="11"/>
  <c r="I9" i="11"/>
  <c r="H9" i="11"/>
  <c r="G9" i="11"/>
  <c r="F9" i="11"/>
  <c r="F41" i="11" s="1"/>
  <c r="J7" i="11"/>
  <c r="J55" i="11" s="1"/>
  <c r="I7" i="11"/>
  <c r="I55" i="11" s="1"/>
  <c r="H7" i="11"/>
  <c r="H55" i="11" s="1"/>
  <c r="G7" i="11"/>
  <c r="F7" i="11"/>
  <c r="F39" i="11" s="1"/>
  <c r="J6" i="11"/>
  <c r="J54" i="11" s="1"/>
  <c r="H6" i="11"/>
  <c r="H54" i="11" s="1"/>
  <c r="G6" i="11"/>
  <c r="F6" i="11"/>
  <c r="F54" i="11" s="1"/>
  <c r="J5" i="11"/>
  <c r="J53" i="11" s="1"/>
  <c r="I5" i="11"/>
  <c r="I53" i="11" s="1"/>
  <c r="H5" i="11"/>
  <c r="H53" i="11" s="1"/>
  <c r="G5" i="11"/>
  <c r="G53" i="11" s="1"/>
  <c r="F5" i="11"/>
  <c r="F37" i="11" s="1"/>
  <c r="Q4" i="11"/>
  <c r="P4" i="11"/>
  <c r="O4" i="11"/>
  <c r="O79" i="11" s="1"/>
  <c r="N4" i="11"/>
  <c r="M4" i="11"/>
  <c r="L4" i="11"/>
  <c r="K4" i="11"/>
  <c r="J25" i="10"/>
  <c r="U28" i="14" s="1"/>
  <c r="J23" i="10"/>
  <c r="U25" i="14" s="1"/>
  <c r="J22" i="10"/>
  <c r="U16" i="14" s="1"/>
  <c r="J21" i="10"/>
  <c r="U20" i="14" s="1"/>
  <c r="J17" i="10"/>
  <c r="U35" i="14" s="1"/>
  <c r="J16" i="10"/>
  <c r="U34" i="14" s="1"/>
  <c r="J15" i="10"/>
  <c r="U29" i="14" s="1"/>
  <c r="J14" i="10"/>
  <c r="J13" i="10"/>
  <c r="U36" i="14" s="1"/>
  <c r="J12" i="10"/>
  <c r="U32" i="14" s="1"/>
  <c r="J11" i="10"/>
  <c r="U31" i="14" s="1"/>
  <c r="U30" i="14" s="1"/>
  <c r="J9" i="10"/>
  <c r="U27" i="14" s="1"/>
  <c r="J7" i="10"/>
  <c r="U24" i="14" s="1"/>
  <c r="J6" i="10"/>
  <c r="U15" i="14" s="1"/>
  <c r="J5" i="10"/>
  <c r="U18" i="14" s="1"/>
  <c r="I9" i="10"/>
  <c r="T27" i="14" s="1"/>
  <c r="I25" i="10"/>
  <c r="T28" i="14" s="1"/>
  <c r="I23" i="10"/>
  <c r="T25" i="14" s="1"/>
  <c r="I22" i="10"/>
  <c r="T16" i="14" s="1"/>
  <c r="I21" i="10"/>
  <c r="T20" i="14" s="1"/>
  <c r="I17" i="10"/>
  <c r="T35" i="14" s="1"/>
  <c r="I16" i="10"/>
  <c r="T34" i="14" s="1"/>
  <c r="I15" i="10"/>
  <c r="T29" i="14" s="1"/>
  <c r="I14" i="10"/>
  <c r="I13" i="10"/>
  <c r="T36" i="14" s="1"/>
  <c r="I12" i="10"/>
  <c r="T32" i="14" s="1"/>
  <c r="I11" i="10"/>
  <c r="T31" i="14" s="1"/>
  <c r="T30" i="14" s="1"/>
  <c r="I7" i="10"/>
  <c r="T24" i="14" s="1"/>
  <c r="I5" i="10"/>
  <c r="T18" i="14" s="1"/>
  <c r="H22" i="10"/>
  <c r="H25" i="10"/>
  <c r="S28" i="14" s="1"/>
  <c r="H23" i="10"/>
  <c r="S25" i="14" s="1"/>
  <c r="H21" i="10"/>
  <c r="S20" i="14" s="1"/>
  <c r="U12" i="14" l="1"/>
  <c r="G61" i="12"/>
  <c r="G45" i="12"/>
  <c r="G61" i="11"/>
  <c r="H61" i="11"/>
  <c r="T12" i="14"/>
  <c r="U23" i="14"/>
  <c r="T23" i="14"/>
  <c r="J68" i="12"/>
  <c r="J48" i="12"/>
  <c r="G48" i="11"/>
  <c r="I45" i="11"/>
  <c r="H4" i="12"/>
  <c r="I48" i="11"/>
  <c r="H45" i="11"/>
  <c r="G49" i="11"/>
  <c r="G64" i="12"/>
  <c r="T33" i="14"/>
  <c r="T13" i="14" s="1"/>
  <c r="T11" i="14"/>
  <c r="G64" i="11"/>
  <c r="U26" i="14"/>
  <c r="H48" i="11"/>
  <c r="J61" i="11"/>
  <c r="J48" i="11"/>
  <c r="F64" i="11"/>
  <c r="H49" i="11"/>
  <c r="G49" i="12"/>
  <c r="I65" i="11"/>
  <c r="U33" i="14"/>
  <c r="U13" i="14" s="1"/>
  <c r="U11" i="14"/>
  <c r="G45" i="11"/>
  <c r="T26" i="14"/>
  <c r="I49" i="11"/>
  <c r="J49" i="11"/>
  <c r="I45" i="12"/>
  <c r="F59" i="12"/>
  <c r="F59" i="11"/>
  <c r="H45" i="12"/>
  <c r="G48" i="12"/>
  <c r="F60" i="12"/>
  <c r="J4" i="12"/>
  <c r="J79" i="12" s="1"/>
  <c r="H64" i="12"/>
  <c r="F60" i="11"/>
  <c r="U10" i="14"/>
  <c r="U14" i="14"/>
  <c r="F38" i="12"/>
  <c r="F57" i="11"/>
  <c r="F38" i="11"/>
  <c r="F41" i="12"/>
  <c r="I49" i="12"/>
  <c r="F55" i="12"/>
  <c r="F68" i="12"/>
  <c r="H64" i="11"/>
  <c r="F63" i="11"/>
  <c r="J45" i="11"/>
  <c r="H61" i="12"/>
  <c r="I64" i="12"/>
  <c r="G68" i="12"/>
  <c r="I61" i="11"/>
  <c r="G4" i="12"/>
  <c r="I61" i="12"/>
  <c r="J64" i="12"/>
  <c r="H68" i="12"/>
  <c r="H79" i="12" s="1"/>
  <c r="H20" i="10"/>
  <c r="S16" i="14"/>
  <c r="S11" i="14" s="1"/>
  <c r="J61" i="12"/>
  <c r="F65" i="12"/>
  <c r="I68" i="12"/>
  <c r="F63" i="12"/>
  <c r="I20" i="12"/>
  <c r="J45" i="12"/>
  <c r="H48" i="12"/>
  <c r="F53" i="12"/>
  <c r="J20" i="12"/>
  <c r="I48" i="12"/>
  <c r="G53" i="12"/>
  <c r="F46" i="12"/>
  <c r="F49" i="12"/>
  <c r="J49" i="12"/>
  <c r="I64" i="11"/>
  <c r="H59" i="11"/>
  <c r="F62" i="11"/>
  <c r="J64" i="11"/>
  <c r="G54" i="11"/>
  <c r="I59" i="11"/>
  <c r="G62" i="11"/>
  <c r="G57" i="11"/>
  <c r="I62" i="11"/>
  <c r="G65" i="11"/>
  <c r="H57" i="11"/>
  <c r="H65" i="11"/>
  <c r="I57" i="11"/>
  <c r="G60" i="11"/>
  <c r="F65" i="11"/>
  <c r="F55" i="11"/>
  <c r="J57" i="11"/>
  <c r="H60" i="11"/>
  <c r="J65" i="11"/>
  <c r="G55" i="11"/>
  <c r="I60" i="11"/>
  <c r="F53" i="11"/>
  <c r="L79" i="11"/>
  <c r="M79" i="11"/>
  <c r="I68" i="11"/>
  <c r="H4" i="11"/>
  <c r="F20" i="11"/>
  <c r="G20" i="11"/>
  <c r="K79" i="11"/>
  <c r="G4" i="11"/>
  <c r="H68" i="11"/>
  <c r="H20" i="11"/>
  <c r="J20" i="11"/>
  <c r="I20" i="11"/>
  <c r="P79" i="11"/>
  <c r="Q79" i="11"/>
  <c r="F68" i="11"/>
  <c r="G68" i="11"/>
  <c r="J68" i="11"/>
  <c r="J4" i="11"/>
  <c r="N79" i="11"/>
  <c r="J20" i="10"/>
  <c r="I20" i="10"/>
  <c r="U9" i="14" l="1"/>
  <c r="G79" i="12"/>
  <c r="J79" i="11"/>
  <c r="H79" i="11"/>
  <c r="G79" i="11"/>
  <c r="H17" i="10" l="1"/>
  <c r="S35" i="14" s="1"/>
  <c r="H16" i="10"/>
  <c r="S34" i="14" s="1"/>
  <c r="H15" i="10"/>
  <c r="S29" i="14" s="1"/>
  <c r="H14" i="10"/>
  <c r="H13" i="10"/>
  <c r="S36" i="14" s="1"/>
  <c r="H12" i="10"/>
  <c r="S32" i="14" s="1"/>
  <c r="H11" i="10"/>
  <c r="S31" i="14" s="1"/>
  <c r="H9" i="10"/>
  <c r="S27" i="14" s="1"/>
  <c r="H7" i="10"/>
  <c r="S24" i="14" s="1"/>
  <c r="S23" i="14" s="1"/>
  <c r="H6" i="10"/>
  <c r="S15" i="14" s="1"/>
  <c r="H5" i="10"/>
  <c r="S18" i="14" s="1"/>
  <c r="G5" i="10"/>
  <c r="R18" i="14" s="1"/>
  <c r="G25" i="10"/>
  <c r="R28" i="14" s="1"/>
  <c r="G23" i="10"/>
  <c r="R25" i="14" s="1"/>
  <c r="G22" i="10"/>
  <c r="R16" i="14" s="1"/>
  <c r="G21" i="10"/>
  <c r="R20" i="14" s="1"/>
  <c r="F25" i="10"/>
  <c r="F5" i="10"/>
  <c r="Q18" i="14" s="1"/>
  <c r="F23" i="10"/>
  <c r="Q25" i="14" s="1"/>
  <c r="F22" i="10"/>
  <c r="Q16" i="14" s="1"/>
  <c r="F21" i="10"/>
  <c r="Q20" i="14" s="1"/>
  <c r="J4" i="10"/>
  <c r="G17" i="10"/>
  <c r="R35" i="14" s="1"/>
  <c r="G16" i="10"/>
  <c r="R34" i="14" s="1"/>
  <c r="G15" i="10"/>
  <c r="R29" i="14" s="1"/>
  <c r="G14" i="10"/>
  <c r="R12" i="14" s="1"/>
  <c r="G13" i="10"/>
  <c r="R36" i="14" s="1"/>
  <c r="G12" i="10"/>
  <c r="R32" i="14" s="1"/>
  <c r="G11" i="10"/>
  <c r="R31" i="14" s="1"/>
  <c r="F17" i="10"/>
  <c r="Q35" i="14" s="1"/>
  <c r="F16" i="10"/>
  <c r="Q34" i="14" s="1"/>
  <c r="F15" i="10"/>
  <c r="Q29" i="14" s="1"/>
  <c r="F14" i="10"/>
  <c r="F12" i="10"/>
  <c r="Q32" i="14" s="1"/>
  <c r="G9" i="10"/>
  <c r="R27" i="14" s="1"/>
  <c r="G7" i="10"/>
  <c r="R24" i="14" s="1"/>
  <c r="G6" i="10"/>
  <c r="R15" i="14" s="1"/>
  <c r="F6" i="10"/>
  <c r="Q15" i="14" s="1"/>
  <c r="R30" i="14" l="1"/>
  <c r="S26" i="14"/>
  <c r="S12" i="14"/>
  <c r="S30" i="14"/>
  <c r="R33" i="14"/>
  <c r="R13" i="14" s="1"/>
  <c r="S10" i="14"/>
  <c r="S14" i="14"/>
  <c r="Q14" i="14"/>
  <c r="R23" i="14"/>
  <c r="R11" i="14"/>
  <c r="R14" i="14"/>
  <c r="R10" i="14"/>
  <c r="R9" i="14" s="1"/>
  <c r="AC20" i="14"/>
  <c r="AD20" i="14"/>
  <c r="R26" i="14"/>
  <c r="AD25" i="14"/>
  <c r="AC25" i="14"/>
  <c r="AD18" i="14"/>
  <c r="AC18" i="14"/>
  <c r="S33" i="14"/>
  <c r="S13" i="14" s="1"/>
  <c r="G4" i="10"/>
  <c r="AC32" i="14"/>
  <c r="AD32" i="14"/>
  <c r="AC16" i="14"/>
  <c r="AD16" i="14"/>
  <c r="Q11" i="14"/>
  <c r="Q12" i="14"/>
  <c r="AD29" i="14"/>
  <c r="AC29" i="14"/>
  <c r="AC34" i="14"/>
  <c r="AD34" i="14"/>
  <c r="AD28" i="14"/>
  <c r="AC28" i="14"/>
  <c r="AD35" i="14"/>
  <c r="AC35" i="14"/>
  <c r="G20" i="10"/>
  <c r="H4" i="10"/>
  <c r="AD11" i="14" l="1"/>
  <c r="AC11" i="14"/>
  <c r="AD12" i="14"/>
  <c r="AC12" i="14"/>
  <c r="S9" i="14"/>
  <c r="AC17" i="14"/>
  <c r="AD17" i="14"/>
  <c r="F11" i="10"/>
  <c r="Q31" i="14" s="1"/>
  <c r="F9" i="10"/>
  <c r="Q27" i="14" s="1"/>
  <c r="F7" i="10"/>
  <c r="Q24" i="14" s="1"/>
  <c r="AC27" i="14" l="1"/>
  <c r="Q26" i="14"/>
  <c r="AD27" i="14"/>
  <c r="Q23" i="14"/>
  <c r="AC24" i="14"/>
  <c r="AD24" i="14"/>
  <c r="Q10" i="14"/>
  <c r="Q30" i="14"/>
  <c r="AD31" i="14"/>
  <c r="AC31" i="14"/>
  <c r="AC30" i="14" l="1"/>
  <c r="AD30" i="14"/>
  <c r="AD23" i="14"/>
  <c r="AC23" i="14"/>
  <c r="AD26" i="14"/>
  <c r="AC26" i="14"/>
  <c r="G88" i="9"/>
  <c r="W88" i="9" s="1"/>
  <c r="D90" i="9" l="1"/>
  <c r="I6" i="10" l="1"/>
  <c r="I6" i="12"/>
  <c r="I6" i="11"/>
  <c r="W90" i="9"/>
  <c r="Q20" i="10"/>
  <c r="P20" i="10"/>
  <c r="O20" i="10"/>
  <c r="N20" i="10"/>
  <c r="M20" i="10"/>
  <c r="L20" i="10"/>
  <c r="K20" i="10"/>
  <c r="Q4" i="10"/>
  <c r="Q31" i="10" s="1"/>
  <c r="P4" i="10"/>
  <c r="P31" i="10" s="1"/>
  <c r="O4" i="10"/>
  <c r="O31" i="10" s="1"/>
  <c r="N4" i="10"/>
  <c r="N31" i="10" s="1"/>
  <c r="M4" i="10"/>
  <c r="M31" i="10" s="1"/>
  <c r="L4" i="10"/>
  <c r="L31" i="10" s="1"/>
  <c r="K4" i="10"/>
  <c r="K31" i="10" s="1"/>
  <c r="H133" i="9"/>
  <c r="I133" i="9"/>
  <c r="H136" i="9"/>
  <c r="I136" i="9"/>
  <c r="H139" i="9"/>
  <c r="I139" i="9"/>
  <c r="W75" i="9"/>
  <c r="W84" i="9"/>
  <c r="W83" i="9"/>
  <c r="W82" i="9"/>
  <c r="W81" i="9"/>
  <c r="W80" i="9"/>
  <c r="W79" i="9"/>
  <c r="W78" i="9"/>
  <c r="W77" i="9"/>
  <c r="W76" i="9"/>
  <c r="I54" i="11" l="1"/>
  <c r="I4" i="11"/>
  <c r="I79" i="11" s="1"/>
  <c r="I54" i="12"/>
  <c r="I4" i="12"/>
  <c r="I79" i="12" s="1"/>
  <c r="T15" i="14"/>
  <c r="I4" i="10"/>
  <c r="I31" i="10" s="1"/>
  <c r="G31" i="10"/>
  <c r="H31" i="10"/>
  <c r="J31" i="10"/>
  <c r="F20" i="10"/>
  <c r="P85" i="9"/>
  <c r="W85" i="9" s="1"/>
  <c r="P86" i="9"/>
  <c r="W86" i="9" s="1"/>
  <c r="T14" i="14" l="1"/>
  <c r="T10" i="14"/>
  <c r="AC15" i="14"/>
  <c r="AD15" i="14"/>
  <c r="P87" i="9"/>
  <c r="O139" i="9"/>
  <c r="O136" i="9"/>
  <c r="O133" i="9"/>
  <c r="F13" i="12" l="1"/>
  <c r="F13" i="11"/>
  <c r="F13" i="10"/>
  <c r="G87" i="9"/>
  <c r="W87" i="9" s="1"/>
  <c r="T9" i="14"/>
  <c r="AC10" i="14"/>
  <c r="AD10" i="14"/>
  <c r="AD14" i="14"/>
  <c r="AC14" i="14"/>
  <c r="AC86" i="9"/>
  <c r="AC85" i="9"/>
  <c r="AC84" i="9"/>
  <c r="AC83" i="9"/>
  <c r="AC82" i="9"/>
  <c r="AC81" i="9"/>
  <c r="AC80" i="9"/>
  <c r="AC79" i="9"/>
  <c r="AC78" i="9"/>
  <c r="AC77" i="9"/>
  <c r="AC76" i="9"/>
  <c r="AC75" i="9"/>
  <c r="Q36" i="14" l="1"/>
  <c r="F4" i="10"/>
  <c r="F31" i="10" s="1"/>
  <c r="F61" i="11"/>
  <c r="F45" i="11"/>
  <c r="F4" i="11"/>
  <c r="F79" i="11" s="1"/>
  <c r="F61" i="12"/>
  <c r="F45" i="12"/>
  <c r="F4" i="12"/>
  <c r="F79" i="12" s="1"/>
  <c r="AL87" i="9"/>
  <c r="AL86" i="9"/>
  <c r="AL85" i="9"/>
  <c r="AL84" i="9"/>
  <c r="AL83" i="9"/>
  <c r="AL82" i="9"/>
  <c r="AL81" i="9"/>
  <c r="AL80" i="9"/>
  <c r="AL79" i="9"/>
  <c r="AL78" i="9"/>
  <c r="AF87" i="9"/>
  <c r="AF86" i="9"/>
  <c r="AF85" i="9"/>
  <c r="AF84" i="9"/>
  <c r="AF83" i="9"/>
  <c r="AF82" i="9"/>
  <c r="AF81" i="9"/>
  <c r="AF80" i="9"/>
  <c r="AF79" i="9"/>
  <c r="AF78" i="9"/>
  <c r="AF77" i="9"/>
  <c r="AF76" i="9"/>
  <c r="AD36" i="14" l="1"/>
  <c r="AC36" i="14"/>
  <c r="Q33" i="14"/>
  <c r="AB139" i="9"/>
  <c r="AA139" i="9"/>
  <c r="Z139" i="9"/>
  <c r="Y139" i="9"/>
  <c r="X139" i="9"/>
  <c r="W139" i="9"/>
  <c r="P139" i="9"/>
  <c r="N139" i="9"/>
  <c r="M139" i="9"/>
  <c r="J139" i="9"/>
  <c r="E139" i="9"/>
  <c r="AB136" i="9"/>
  <c r="AA136" i="9"/>
  <c r="Z136" i="9"/>
  <c r="Y136" i="9"/>
  <c r="X136" i="9"/>
  <c r="W136" i="9"/>
  <c r="P136" i="9"/>
  <c r="N136" i="9"/>
  <c r="M136" i="9"/>
  <c r="J136" i="9"/>
  <c r="E136" i="9"/>
  <c r="AA133" i="9"/>
  <c r="Z133" i="9"/>
  <c r="Y133" i="9"/>
  <c r="X133" i="9"/>
  <c r="W133" i="9"/>
  <c r="P133" i="9"/>
  <c r="N133" i="9"/>
  <c r="M133" i="9"/>
  <c r="J133" i="9"/>
  <c r="E133" i="9"/>
  <c r="AD33" i="14" l="1"/>
  <c r="AC33" i="14"/>
  <c r="Q13" i="14"/>
  <c r="AC13" i="14" l="1"/>
  <c r="AD13" i="14"/>
  <c r="Q9" i="14"/>
  <c r="AC9" i="14" l="1"/>
  <c r="AD9" i="14"/>
  <c r="AP54" i="23"/>
  <c r="AO54" i="23"/>
  <c r="AN54" i="23"/>
  <c r="AM54" i="23"/>
  <c r="AL54" i="23"/>
  <c r="AK54" i="23"/>
  <c r="AJ54" i="23"/>
  <c r="AI54" i="23"/>
  <c r="AH54" i="23"/>
  <c r="AG54" i="23"/>
  <c r="AF54" i="23"/>
  <c r="D6" i="23" l="1"/>
  <c r="AE54" i="23" l="1"/>
  <c r="C6" i="23" s="1"/>
  <c r="D11" i="28" s="1"/>
  <c r="C11" i="28" s="1"/>
  <c r="X13" i="26"/>
  <c r="Z13" i="26"/>
  <c r="AQ15" i="26"/>
  <c r="S13" i="26"/>
  <c r="T13" i="26"/>
  <c r="U13" i="26"/>
  <c r="V13" i="26"/>
  <c r="W13" i="26"/>
  <c r="Y13" i="26"/>
  <c r="AA13" i="26"/>
  <c r="AB13" i="26"/>
  <c r="AC13" i="26"/>
  <c r="R13" i="26"/>
  <c r="AQ13" i="26"/>
</calcChain>
</file>

<file path=xl/sharedStrings.xml><?xml version="1.0" encoding="utf-8"?>
<sst xmlns="http://schemas.openxmlformats.org/spreadsheetml/2006/main" count="1552" uniqueCount="305">
  <si>
    <r>
      <t>2월</t>
    </r>
    <r>
      <rPr>
        <b/>
        <sz val="11"/>
        <color theme="1"/>
        <rFont val="돋움"/>
        <family val="3"/>
        <charset val="129"/>
      </rPr>
      <t/>
    </r>
  </si>
  <si>
    <r>
      <t>4월</t>
    </r>
    <r>
      <rPr>
        <b/>
        <sz val="11"/>
        <color theme="1"/>
        <rFont val="돋움"/>
        <family val="3"/>
        <charset val="129"/>
      </rPr>
      <t/>
    </r>
  </si>
  <si>
    <r>
      <t>5월</t>
    </r>
    <r>
      <rPr>
        <b/>
        <sz val="11"/>
        <color theme="1"/>
        <rFont val="돋움"/>
        <family val="3"/>
        <charset val="129"/>
      </rPr>
      <t/>
    </r>
  </si>
  <si>
    <r>
      <t>6월</t>
    </r>
    <r>
      <rPr>
        <b/>
        <sz val="11"/>
        <color theme="1"/>
        <rFont val="돋움"/>
        <family val="3"/>
        <charset val="129"/>
      </rPr>
      <t/>
    </r>
  </si>
  <si>
    <r>
      <t>7월</t>
    </r>
    <r>
      <rPr>
        <b/>
        <sz val="11"/>
        <color theme="1"/>
        <rFont val="돋움"/>
        <family val="3"/>
        <charset val="129"/>
      </rPr>
      <t/>
    </r>
  </si>
  <si>
    <r>
      <t>8월</t>
    </r>
    <r>
      <rPr>
        <b/>
        <sz val="11"/>
        <color theme="1"/>
        <rFont val="돋움"/>
        <family val="3"/>
        <charset val="129"/>
      </rPr>
      <t/>
    </r>
  </si>
  <si>
    <r>
      <t>9월</t>
    </r>
    <r>
      <rPr>
        <b/>
        <sz val="11"/>
        <color theme="1"/>
        <rFont val="돋움"/>
        <family val="3"/>
        <charset val="129"/>
      </rPr>
      <t/>
    </r>
  </si>
  <si>
    <r>
      <t>10월</t>
    </r>
    <r>
      <rPr>
        <b/>
        <sz val="11"/>
        <color theme="1"/>
        <rFont val="돋움"/>
        <family val="3"/>
        <charset val="129"/>
      </rPr>
      <t/>
    </r>
  </si>
  <si>
    <r>
      <t>11월</t>
    </r>
    <r>
      <rPr>
        <b/>
        <sz val="11"/>
        <color theme="1"/>
        <rFont val="돋움"/>
        <family val="3"/>
        <charset val="129"/>
      </rPr>
      <t/>
    </r>
  </si>
  <si>
    <r>
      <t>12월</t>
    </r>
    <r>
      <rPr>
        <b/>
        <sz val="11"/>
        <color theme="1"/>
        <rFont val="돋움"/>
        <family val="3"/>
        <charset val="129"/>
      </rPr>
      <t/>
    </r>
  </si>
  <si>
    <t>구분</t>
    <phoneticPr fontId="2" type="noConversion"/>
  </si>
  <si>
    <r>
      <t>3월</t>
    </r>
    <r>
      <rPr>
        <b/>
        <sz val="11"/>
        <color theme="1"/>
        <rFont val="돋움"/>
        <family val="3"/>
        <charset val="129"/>
      </rPr>
      <t/>
    </r>
    <phoneticPr fontId="2" type="noConversion"/>
  </si>
  <si>
    <t>만기환수 재위탁</t>
    <phoneticPr fontId="2" type="noConversion"/>
  </si>
  <si>
    <t>점프업 시즌1</t>
    <phoneticPr fontId="2" type="noConversion"/>
  </si>
  <si>
    <t>점프업 시즌2</t>
    <phoneticPr fontId="2" type="noConversion"/>
  </si>
  <si>
    <t>점프업 시즌3</t>
    <phoneticPr fontId="2" type="noConversion"/>
  </si>
  <si>
    <r>
      <t>'24.1월</t>
    </r>
    <r>
      <rPr>
        <b/>
        <sz val="11"/>
        <color theme="1"/>
        <rFont val="돋움"/>
        <family val="3"/>
        <charset val="129"/>
      </rPr>
      <t/>
    </r>
    <phoneticPr fontId="2" type="noConversion"/>
  </si>
  <si>
    <r>
      <t>'25.1월</t>
    </r>
    <r>
      <rPr>
        <b/>
        <sz val="11"/>
        <color theme="1"/>
        <rFont val="돋움"/>
        <family val="3"/>
        <charset val="129"/>
      </rPr>
      <t/>
    </r>
    <phoneticPr fontId="2" type="noConversion"/>
  </si>
  <si>
    <r>
      <t>'26.1월</t>
    </r>
    <r>
      <rPr>
        <b/>
        <sz val="11"/>
        <color theme="1"/>
        <rFont val="돋움"/>
        <family val="3"/>
        <charset val="129"/>
      </rPr>
      <t/>
    </r>
    <phoneticPr fontId="2" type="noConversion"/>
  </si>
  <si>
    <r>
      <t>'27.1월</t>
    </r>
    <r>
      <rPr>
        <b/>
        <sz val="11"/>
        <color theme="1"/>
        <rFont val="돋움"/>
        <family val="3"/>
        <charset val="129"/>
      </rPr>
      <t/>
    </r>
    <phoneticPr fontId="2" type="noConversion"/>
  </si>
  <si>
    <t>P3.0</t>
    <phoneticPr fontId="2" type="noConversion"/>
  </si>
  <si>
    <t>매장성수수료</t>
    <phoneticPr fontId="2" type="noConversion"/>
  </si>
  <si>
    <t>기업</t>
    <phoneticPr fontId="2" type="noConversion"/>
  </si>
  <si>
    <t>법인</t>
    <phoneticPr fontId="2" type="noConversion"/>
  </si>
  <si>
    <t>도매 윈윈 수수료</t>
    <phoneticPr fontId="2" type="noConversion"/>
  </si>
  <si>
    <t>도매</t>
    <phoneticPr fontId="2" type="noConversion"/>
  </si>
  <si>
    <t>소매</t>
    <phoneticPr fontId="2" type="noConversion"/>
  </si>
  <si>
    <t>디지털</t>
    <phoneticPr fontId="2" type="noConversion"/>
  </si>
  <si>
    <t>소상공인</t>
    <phoneticPr fontId="2" type="noConversion"/>
  </si>
  <si>
    <t>팩트북 기타</t>
    <phoneticPr fontId="2" type="noConversion"/>
  </si>
  <si>
    <t>홈쇼핑</t>
    <phoneticPr fontId="2" type="noConversion"/>
  </si>
  <si>
    <t>대형마트</t>
    <phoneticPr fontId="2" type="noConversion"/>
  </si>
  <si>
    <t>기타</t>
    <phoneticPr fontId="2" type="noConversion"/>
  </si>
  <si>
    <t>대표코드</t>
    <phoneticPr fontId="2" type="noConversion"/>
  </si>
  <si>
    <t>기타공통비</t>
    <phoneticPr fontId="2" type="noConversion"/>
  </si>
  <si>
    <t>소매점프업</t>
    <phoneticPr fontId="2" type="noConversion"/>
  </si>
  <si>
    <t>점프업 합계</t>
    <phoneticPr fontId="2" type="noConversion"/>
  </si>
  <si>
    <t>관리수수료 합계</t>
    <phoneticPr fontId="2" type="noConversion"/>
  </si>
  <si>
    <t>도매 유선관리수수료</t>
    <phoneticPr fontId="2" type="noConversion"/>
  </si>
  <si>
    <t>도매 H/C</t>
    <phoneticPr fontId="2" type="noConversion"/>
  </si>
  <si>
    <t>디지털 유선 관리수수료</t>
    <phoneticPr fontId="2" type="noConversion"/>
  </si>
  <si>
    <t>kt닷컴 H/C</t>
    <phoneticPr fontId="2" type="noConversion"/>
  </si>
  <si>
    <t>관리수수료
(백만원)</t>
    <phoneticPr fontId="14" type="noConversion"/>
  </si>
  <si>
    <t>관리수수료 계</t>
    <phoneticPr fontId="15" type="noConversion"/>
  </si>
  <si>
    <t>도매</t>
  </si>
  <si>
    <t>소매</t>
  </si>
  <si>
    <t>소상공인</t>
    <phoneticPr fontId="14" type="noConversion"/>
  </si>
  <si>
    <t>대형마트</t>
  </si>
  <si>
    <t>kt shop/제휴</t>
  </si>
  <si>
    <t>전략</t>
    <phoneticPr fontId="15" type="noConversion"/>
  </si>
  <si>
    <t>기업/미8군/IoT</t>
  </si>
  <si>
    <t>Biz (25년 법인영업)</t>
  </si>
  <si>
    <t>도매 H/C  (`18년 위탁 이후 가입자 수납요금의 2%)</t>
    <phoneticPr fontId="15" type="noConversion"/>
  </si>
  <si>
    <t>kt닷컴 H/C  (`24년 위탁 이후 가입자 수납요금의 2%)</t>
    <phoneticPr fontId="15" type="noConversion"/>
  </si>
  <si>
    <t>플라자 대가 P3.0</t>
    <phoneticPr fontId="15" type="noConversion"/>
  </si>
  <si>
    <t>전사</t>
    <phoneticPr fontId="14" type="noConversion"/>
  </si>
  <si>
    <t>매장성 수수료</t>
    <phoneticPr fontId="14" type="noConversion"/>
  </si>
  <si>
    <t>25.1월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</si>
  <si>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</si>
  <si>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</si>
  <si>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</si>
  <si>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</si>
  <si>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</si>
  <si>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</si>
  <si>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</si>
  <si>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</si>
  <si>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</si>
  <si>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</si>
  <si>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</si>
  <si>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※ 참고. 관리수수료 예측 파일에서 본 아래 형식으로 수식 연결 참고용</t>
    <phoneticPr fontId="2" type="noConversion"/>
  </si>
  <si>
    <t>무선</t>
    <phoneticPr fontId="2" type="noConversion"/>
  </si>
  <si>
    <t>유선</t>
    <phoneticPr fontId="2" type="noConversion"/>
  </si>
  <si>
    <t>도매</t>
    <phoneticPr fontId="14" type="noConversion"/>
  </si>
  <si>
    <t>소매</t>
    <phoneticPr fontId="14" type="noConversion"/>
  </si>
  <si>
    <t>대형마트</t>
    <phoneticPr fontId="14" type="noConversion"/>
  </si>
  <si>
    <t>kt shop/제휴</t>
    <phoneticPr fontId="14" type="noConversion"/>
  </si>
  <si>
    <t>기업/공공</t>
    <phoneticPr fontId="14" type="noConversion"/>
  </si>
  <si>
    <t>본사공통</t>
  </si>
  <si>
    <t>전략</t>
    <phoneticPr fontId="14" type="noConversion"/>
  </si>
  <si>
    <t>소매 전체 - 소매 유선</t>
    <phoneticPr fontId="14" type="noConversion"/>
  </si>
  <si>
    <t>기업 퉁</t>
    <phoneticPr fontId="14" type="noConversion"/>
  </si>
  <si>
    <t>법인 퉁</t>
    <phoneticPr fontId="14" type="noConversion"/>
  </si>
  <si>
    <t>기타 퉁</t>
    <phoneticPr fontId="14" type="noConversion"/>
  </si>
  <si>
    <t>HC</t>
    <phoneticPr fontId="14" type="noConversion"/>
  </si>
  <si>
    <t>P3.0</t>
    <phoneticPr fontId="14" type="noConversion"/>
  </si>
  <si>
    <t>매장성</t>
    <phoneticPr fontId="14" type="noConversion"/>
  </si>
  <si>
    <t>도매 유선</t>
    <phoneticPr fontId="14" type="noConversion"/>
  </si>
  <si>
    <t>소매 유선</t>
    <phoneticPr fontId="14" type="noConversion"/>
  </si>
  <si>
    <t>디지털 유선</t>
    <phoneticPr fontId="14" type="noConversion"/>
  </si>
  <si>
    <t xml:space="preserve">도매 전체(점프업 포함) - 유선관리 - HC + 도매 윈윈 추가 </t>
    <phoneticPr fontId="14" type="noConversion"/>
  </si>
  <si>
    <t>디지털 전체 - 디지털 유선-디지털HC</t>
    <phoneticPr fontId="14" type="noConversion"/>
  </si>
  <si>
    <t>소상공인 유선 가정</t>
    <phoneticPr fontId="14" type="noConversion"/>
  </si>
  <si>
    <t>소매유선관리수수료</t>
    <phoneticPr fontId="2" type="noConversion"/>
  </si>
  <si>
    <t>소상공인유선관리수수료</t>
    <phoneticPr fontId="2" type="noConversion"/>
  </si>
  <si>
    <t>본사공통(도매 윈윈 포함)</t>
    <phoneticPr fontId="14" type="noConversion"/>
  </si>
  <si>
    <t>무선 가입자</t>
    <phoneticPr fontId="2" type="noConversion"/>
  </si>
  <si>
    <t>무선 관리수수료</t>
    <phoneticPr fontId="2" type="noConversion"/>
  </si>
  <si>
    <t>가입자
(명)</t>
    <phoneticPr fontId="14" type="noConversion"/>
  </si>
  <si>
    <t>관리수수료
(억원)</t>
    <phoneticPr fontId="14" type="noConversion"/>
  </si>
  <si>
    <t>인당 수수료
(원)</t>
    <phoneticPr fontId="14" type="noConversion"/>
  </si>
  <si>
    <t>무선 인당 수수료</t>
    <phoneticPr fontId="2" type="noConversion"/>
  </si>
  <si>
    <t>무선 가입자 증감율</t>
    <phoneticPr fontId="2" type="noConversion"/>
  </si>
  <si>
    <t>가입자</t>
    <phoneticPr fontId="2" type="noConversion"/>
  </si>
  <si>
    <t>해지율</t>
    <phoneticPr fontId="2" type="noConversion"/>
  </si>
  <si>
    <t>순증</t>
    <phoneticPr fontId="2" type="noConversion"/>
  </si>
  <si>
    <t>H.C</t>
    <phoneticPr fontId="2" type="noConversion"/>
  </si>
  <si>
    <t>B2B</t>
    <phoneticPr fontId="2" type="noConversion"/>
  </si>
  <si>
    <t>무선(기업)</t>
    <phoneticPr fontId="2" type="noConversion"/>
  </si>
  <si>
    <t>무선(Biz)</t>
    <phoneticPr fontId="2" type="noConversion"/>
  </si>
  <si>
    <t>계</t>
    <phoneticPr fontId="2" type="noConversion"/>
  </si>
  <si>
    <t>본사공통</t>
    <phoneticPr fontId="2" type="noConversion"/>
  </si>
  <si>
    <t>관리수수료</t>
    <phoneticPr fontId="2" type="noConversion"/>
  </si>
  <si>
    <t>25년 누적</t>
    <phoneticPr fontId="2" type="noConversion"/>
  </si>
  <si>
    <t>25년 월평균</t>
    <phoneticPr fontId="2" type="noConversion"/>
  </si>
  <si>
    <t>유선(TV)</t>
    <phoneticPr fontId="2" type="noConversion"/>
  </si>
  <si>
    <t>유선(I)</t>
    <phoneticPr fontId="2" type="noConversion"/>
  </si>
  <si>
    <t>신규+기변</t>
    <phoneticPr fontId="2" type="noConversion"/>
  </si>
  <si>
    <t>해지+기변OUT</t>
    <phoneticPr fontId="2" type="noConversion"/>
  </si>
  <si>
    <t>유지ARPU</t>
    <phoneticPr fontId="2" type="noConversion"/>
  </si>
  <si>
    <t>만기환수</t>
    <phoneticPr fontId="2" type="noConversion"/>
  </si>
  <si>
    <t>*단위 : 억 원</t>
    <phoneticPr fontId="14" type="noConversion"/>
  </si>
  <si>
    <t>구분</t>
    <phoneticPr fontId="14" type="noConversion"/>
  </si>
  <si>
    <t>합계</t>
    <phoneticPr fontId="14" type="noConversion"/>
  </si>
  <si>
    <t>기본</t>
    <phoneticPr fontId="14" type="noConversion"/>
  </si>
  <si>
    <t>추가 (전체 H/C)</t>
    <phoneticPr fontId="14" type="noConversion"/>
  </si>
  <si>
    <t>플라자 위탁 대가</t>
    <phoneticPr fontId="14" type="noConversion"/>
  </si>
  <si>
    <t>23.1월</t>
    <phoneticPr fontId="2" type="noConversion"/>
  </si>
  <si>
    <t>22.1월</t>
    <phoneticPr fontId="2" type="noConversion"/>
  </si>
  <si>
    <t>관리수수료 분류 (21~25년)</t>
    <phoneticPr fontId="14" type="noConversion"/>
  </si>
  <si>
    <t>*단위 : 원</t>
    <phoneticPr fontId="14" type="noConversion"/>
  </si>
  <si>
    <t>'2021년</t>
    <phoneticPr fontId="14" type="noConversion"/>
  </si>
  <si>
    <t>'2022년</t>
    <phoneticPr fontId="14" type="noConversion"/>
  </si>
  <si>
    <t>'2023년</t>
    <phoneticPr fontId="14" type="noConversion"/>
  </si>
  <si>
    <t>'2024년</t>
    <phoneticPr fontId="14" type="noConversion"/>
  </si>
  <si>
    <t>'2025년</t>
    <phoneticPr fontId="14" type="noConversion"/>
  </si>
  <si>
    <t>관리
수수료</t>
    <phoneticPr fontId="14" type="noConversion"/>
  </si>
  <si>
    <t>'21년 전체</t>
    <phoneticPr fontId="14" type="noConversion"/>
  </si>
  <si>
    <t>'21년 1월</t>
    <phoneticPr fontId="14" type="noConversion"/>
  </si>
  <si>
    <t>'21년 2월</t>
  </si>
  <si>
    <t>'21년 3월</t>
  </si>
  <si>
    <t>'21년 4월</t>
  </si>
  <si>
    <t>'21년 5월</t>
  </si>
  <si>
    <t>'21년 6월</t>
  </si>
  <si>
    <t>'21년 7월</t>
  </si>
  <si>
    <t>'21년 8월</t>
  </si>
  <si>
    <t>'21년 9월</t>
  </si>
  <si>
    <t>'21년 10월</t>
  </si>
  <si>
    <t>'21년 11월</t>
  </si>
  <si>
    <t>'21년 12월</t>
  </si>
  <si>
    <t>'22년 전체</t>
    <phoneticPr fontId="14" type="noConversion"/>
  </si>
  <si>
    <t>'22년 1월</t>
    <phoneticPr fontId="14" type="noConversion"/>
  </si>
  <si>
    <t>'22년 2월</t>
  </si>
  <si>
    <t>'22년 3월</t>
  </si>
  <si>
    <t>'22년 4월</t>
  </si>
  <si>
    <t>'22년 5월</t>
  </si>
  <si>
    <t>'22년 6월</t>
  </si>
  <si>
    <t>'22년 7월</t>
  </si>
  <si>
    <t>'22년 8월</t>
  </si>
  <si>
    <t>'22년 9월</t>
  </si>
  <si>
    <t>'22년 10월</t>
  </si>
  <si>
    <t>'22년 11월</t>
  </si>
  <si>
    <t>'22년 12월</t>
  </si>
  <si>
    <t>'23년 전체</t>
    <phoneticPr fontId="14" type="noConversion"/>
  </si>
  <si>
    <t>'23년 1월</t>
    <phoneticPr fontId="14" type="noConversion"/>
  </si>
  <si>
    <t>'23년 2월</t>
  </si>
  <si>
    <t>'23년 3월</t>
  </si>
  <si>
    <t>'23년 4월</t>
  </si>
  <si>
    <t>'23년 5월</t>
  </si>
  <si>
    <t>'23년 6월</t>
  </si>
  <si>
    <t>'23년 7월</t>
  </si>
  <si>
    <t>'23년 8월</t>
  </si>
  <si>
    <t>'23년 9월</t>
  </si>
  <si>
    <t>'23년 10월</t>
  </si>
  <si>
    <t>'23년 11월</t>
  </si>
  <si>
    <t>'23년 12월</t>
  </si>
  <si>
    <t>'24년 전체</t>
    <phoneticPr fontId="14" type="noConversion"/>
  </si>
  <si>
    <t>'24년 1월</t>
    <phoneticPr fontId="14" type="noConversion"/>
  </si>
  <si>
    <t>'24년 2월</t>
  </si>
  <si>
    <t>'24년 3월</t>
  </si>
  <si>
    <t>'24년 4월</t>
  </si>
  <si>
    <t>'24년 5월</t>
  </si>
  <si>
    <t>'24년 6월</t>
  </si>
  <si>
    <t>'24년 7월</t>
  </si>
  <si>
    <t>'24년 8월</t>
  </si>
  <si>
    <t>'24년 9월</t>
  </si>
  <si>
    <t>'24년 10월</t>
  </si>
  <si>
    <t>'24년 11월</t>
  </si>
  <si>
    <t>'24년 12월</t>
  </si>
  <si>
    <t>'25년 전체</t>
    <phoneticPr fontId="14" type="noConversion"/>
  </si>
  <si>
    <t>'25년 1월</t>
    <phoneticPr fontId="14" type="noConversion"/>
  </si>
  <si>
    <t>'25년 2월</t>
  </si>
  <si>
    <t>'25년 3월</t>
  </si>
  <si>
    <t>'25년 4월</t>
  </si>
  <si>
    <t>'25년 5월</t>
  </si>
  <si>
    <t>플라자 (부가세 제외)</t>
    <phoneticPr fontId="14" type="noConversion"/>
  </si>
  <si>
    <t>'2024년</t>
  </si>
  <si>
    <t>'25년 1월~5월</t>
    <phoneticPr fontId="14" type="noConversion"/>
  </si>
  <si>
    <t>vat포함</t>
    <phoneticPr fontId="14" type="noConversion"/>
  </si>
  <si>
    <t>21.1월</t>
    <phoneticPr fontId="2" type="noConversion"/>
  </si>
  <si>
    <t>20.1월</t>
    <phoneticPr fontId="2" type="noConversion"/>
  </si>
  <si>
    <t>18.1월</t>
    <phoneticPr fontId="2" type="noConversion"/>
  </si>
  <si>
    <t>19.1월</t>
    <phoneticPr fontId="2" type="noConversion"/>
  </si>
  <si>
    <t>도매
(h.c포함)</t>
    <phoneticPr fontId="2" type="noConversion"/>
  </si>
  <si>
    <t>소매 순증</t>
    <phoneticPr fontId="2" type="noConversion"/>
  </si>
  <si>
    <t>소매 capa</t>
    <phoneticPr fontId="2" type="noConversion"/>
  </si>
  <si>
    <t>소매 가입자</t>
    <phoneticPr fontId="2" type="noConversion"/>
  </si>
  <si>
    <t>소매 유지 arpu</t>
    <phoneticPr fontId="2" type="noConversion"/>
  </si>
  <si>
    <t>도매 가입자</t>
    <phoneticPr fontId="2" type="noConversion"/>
  </si>
  <si>
    <t>도매 CAPA</t>
    <phoneticPr fontId="2" type="noConversion"/>
  </si>
  <si>
    <t xml:space="preserve">도매 유지 ARPU </t>
    <phoneticPr fontId="2" type="noConversion"/>
  </si>
  <si>
    <t>소매 해지율</t>
    <phoneticPr fontId="2" type="noConversion"/>
  </si>
  <si>
    <t>유선 객관리수수료</t>
    <phoneticPr fontId="2" type="noConversion"/>
  </si>
  <si>
    <t>객관리 수수료</t>
    <phoneticPr fontId="2" type="noConversion"/>
  </si>
  <si>
    <t>24년</t>
    <phoneticPr fontId="2" type="noConversion"/>
  </si>
  <si>
    <t>점프업</t>
    <phoneticPr fontId="2" type="noConversion"/>
  </si>
  <si>
    <t>Win-Win H.C</t>
    <phoneticPr fontId="2" type="noConversion"/>
  </si>
  <si>
    <t>계(win-win 포함)</t>
    <phoneticPr fontId="2" type="noConversion"/>
  </si>
  <si>
    <t>도매 순증</t>
    <phoneticPr fontId="2" type="noConversion"/>
  </si>
  <si>
    <t>도매 해지</t>
    <phoneticPr fontId="2" type="noConversion"/>
  </si>
  <si>
    <t>디지털 관리수수료</t>
    <phoneticPr fontId="2" type="noConversion"/>
  </si>
  <si>
    <t>도매 관리수수료</t>
    <phoneticPr fontId="2" type="noConversion"/>
  </si>
  <si>
    <t>디지털 가입자</t>
    <phoneticPr fontId="2" type="noConversion"/>
  </si>
  <si>
    <t>디지털 CAPA</t>
    <phoneticPr fontId="2" type="noConversion"/>
  </si>
  <si>
    <t>디지털 해지</t>
    <phoneticPr fontId="2" type="noConversion"/>
  </si>
  <si>
    <t>디지털 순증</t>
    <phoneticPr fontId="2" type="noConversion"/>
  </si>
  <si>
    <t>디지털 해지율</t>
    <phoneticPr fontId="2" type="noConversion"/>
  </si>
  <si>
    <t>계</t>
  </si>
  <si>
    <t>무선(기업)</t>
  </si>
  <si>
    <t>무선(Biz)</t>
  </si>
  <si>
    <t>B2B 관리수수료</t>
    <phoneticPr fontId="2" type="noConversion"/>
  </si>
  <si>
    <t>B2B 가입자</t>
    <phoneticPr fontId="2" type="noConversion"/>
  </si>
  <si>
    <t>B2B 해지</t>
    <phoneticPr fontId="2" type="noConversion"/>
  </si>
  <si>
    <t>B2B CAPA</t>
    <phoneticPr fontId="2" type="noConversion"/>
  </si>
  <si>
    <t>B2B 순증</t>
    <phoneticPr fontId="2" type="noConversion"/>
  </si>
  <si>
    <t>B2B ARPU</t>
    <phoneticPr fontId="2" type="noConversion"/>
  </si>
  <si>
    <t>무선(IOT)</t>
    <phoneticPr fontId="2" type="noConversion"/>
  </si>
  <si>
    <t>무선</t>
  </si>
  <si>
    <t>유선</t>
  </si>
  <si>
    <t>소상공인 관리수수료</t>
    <phoneticPr fontId="2" type="noConversion"/>
  </si>
  <si>
    <t>소상공인 CAPA</t>
    <phoneticPr fontId="2" type="noConversion"/>
  </si>
  <si>
    <t>유선(I)</t>
  </si>
  <si>
    <t>유선(TV)</t>
  </si>
  <si>
    <t>소상공인 가입자</t>
    <phoneticPr fontId="2" type="noConversion"/>
  </si>
  <si>
    <t>소상공인 해지</t>
    <phoneticPr fontId="2" type="noConversion"/>
  </si>
  <si>
    <t>소상공인 ARPU</t>
    <phoneticPr fontId="2" type="noConversion"/>
  </si>
  <si>
    <t>무선CAPA</t>
    <phoneticPr fontId="2" type="noConversion"/>
  </si>
  <si>
    <t>유선CAPA</t>
    <phoneticPr fontId="2" type="noConversion"/>
  </si>
  <si>
    <t xml:space="preserve">소매 </t>
    <phoneticPr fontId="2" type="noConversion"/>
  </si>
  <si>
    <t>25년 (E)</t>
    <phoneticPr fontId="2" type="noConversion"/>
  </si>
  <si>
    <t>26년 (E)</t>
    <phoneticPr fontId="2" type="noConversion"/>
  </si>
  <si>
    <t>27년 (E)</t>
    <phoneticPr fontId="2" type="noConversion"/>
  </si>
  <si>
    <t>도매 객관리수수료</t>
    <phoneticPr fontId="2" type="noConversion"/>
  </si>
  <si>
    <t>도매 해지율</t>
    <phoneticPr fontId="2" type="noConversion"/>
  </si>
  <si>
    <t>h.c</t>
    <phoneticPr fontId="2" type="noConversion"/>
  </si>
  <si>
    <t>관리수수료 감소율</t>
    <phoneticPr fontId="2" type="noConversion"/>
  </si>
  <si>
    <t>해지율 월평균</t>
    <phoneticPr fontId="2" type="noConversion"/>
  </si>
  <si>
    <t>순증 월평균</t>
    <phoneticPr fontId="2" type="noConversion"/>
  </si>
  <si>
    <t>win-win</t>
    <phoneticPr fontId="2" type="noConversion"/>
  </si>
  <si>
    <t>비고</t>
    <phoneticPr fontId="2" type="noConversion"/>
  </si>
  <si>
    <t>매장성</t>
    <phoneticPr fontId="2" type="noConversion"/>
  </si>
  <si>
    <t>본사 공통</t>
    <phoneticPr fontId="2" type="noConversion"/>
  </si>
  <si>
    <t>종합</t>
    <phoneticPr fontId="2" type="noConversion"/>
  </si>
  <si>
    <t>소상공인
무선수수료</t>
    <phoneticPr fontId="2" type="noConversion"/>
  </si>
  <si>
    <t>23년</t>
    <phoneticPr fontId="2" type="noConversion"/>
  </si>
  <si>
    <t>22년</t>
    <phoneticPr fontId="2" type="noConversion"/>
  </si>
  <si>
    <t>21년</t>
    <phoneticPr fontId="2" type="noConversion"/>
  </si>
  <si>
    <t>20년</t>
    <phoneticPr fontId="2" type="noConversion"/>
  </si>
  <si>
    <t>18년</t>
    <phoneticPr fontId="2" type="noConversion"/>
  </si>
  <si>
    <t>19년</t>
    <phoneticPr fontId="2" type="noConversion"/>
  </si>
  <si>
    <t>기업공공</t>
    <phoneticPr fontId="2" type="noConversion"/>
  </si>
  <si>
    <t>IOT</t>
    <phoneticPr fontId="2" type="noConversion"/>
  </si>
  <si>
    <t>소상공인 순증</t>
    <phoneticPr fontId="2" type="noConversion"/>
  </si>
  <si>
    <t>무선(IOT)</t>
  </si>
  <si>
    <t>무선 CAPA</t>
    <phoneticPr fontId="2" type="noConversion"/>
  </si>
  <si>
    <t>유선 CAPA</t>
    <phoneticPr fontId="2" type="noConversion"/>
  </si>
  <si>
    <t>무선 CAPA 월평균</t>
    <phoneticPr fontId="2" type="noConversion"/>
  </si>
  <si>
    <t>유선 CAPA  월평균</t>
    <phoneticPr fontId="2" type="noConversion"/>
  </si>
  <si>
    <t>무선(점프업포함)</t>
    <phoneticPr fontId="2" type="noConversion"/>
  </si>
  <si>
    <t>인터넷</t>
    <phoneticPr fontId="2" type="noConversion"/>
  </si>
  <si>
    <t>TV</t>
    <phoneticPr fontId="2" type="noConversion"/>
  </si>
  <si>
    <t xml:space="preserve">□ 소매 관리수수료 </t>
    <phoneticPr fontId="2" type="noConversion"/>
  </si>
  <si>
    <t xml:space="preserve">25년 </t>
    <phoneticPr fontId="2" type="noConversion"/>
  </si>
  <si>
    <r>
      <t>200</t>
    </r>
    <r>
      <rPr>
        <sz val="11"/>
        <rFont val="Arial Unicode MS"/>
        <family val="3"/>
        <charset val="129"/>
      </rPr>
      <t>억</t>
    </r>
    <phoneticPr fontId="2" type="noConversion"/>
  </si>
  <si>
    <t>ARPU</t>
    <phoneticPr fontId="2" type="noConversion"/>
  </si>
  <si>
    <t>구분</t>
  </si>
  <si>
    <t>영업이익</t>
    <phoneticPr fontId="2" type="noConversion"/>
  </si>
  <si>
    <t>-</t>
    <phoneticPr fontId="2" type="noConversion"/>
  </si>
  <si>
    <t>무선
ⓐ</t>
    <phoneticPr fontId="2" type="noConversion"/>
  </si>
  <si>
    <t>유선
ⓑ</t>
    <phoneticPr fontId="2" type="noConversion"/>
  </si>
  <si>
    <t>h/c
ⓒ</t>
    <phoneticPr fontId="2" type="noConversion"/>
  </si>
  <si>
    <t>전년대비
GAP</t>
    <phoneticPr fontId="2" type="noConversion"/>
  </si>
  <si>
    <t>관리수수료합계
ⓐ+ⓑ+ⓒ</t>
    <phoneticPr fontId="2" type="noConversion"/>
  </si>
  <si>
    <t>무선 월평균
CAPA</t>
    <phoneticPr fontId="2" type="noConversion"/>
  </si>
  <si>
    <t>□ 디지털영업팀 연도별 관리수수료 현황</t>
    <phoneticPr fontId="2" type="noConversion"/>
  </si>
  <si>
    <t>'22년</t>
    <phoneticPr fontId="2" type="noConversion"/>
  </si>
  <si>
    <t>'23년</t>
    <phoneticPr fontId="2" type="noConversion"/>
  </si>
  <si>
    <t>'24년</t>
    <phoneticPr fontId="2" type="noConversion"/>
  </si>
  <si>
    <t xml:space="preserve">'25년 </t>
    <phoneticPr fontId="2" type="noConversion"/>
  </si>
  <si>
    <t>'26년 (E)</t>
    <phoneticPr fontId="2" type="noConversion"/>
  </si>
  <si>
    <t>'27년 (E)</t>
    <phoneticPr fontId="2" type="noConversion"/>
  </si>
  <si>
    <t>※ '24년 하반기 kt닷컴
    100% 위탁채널 운영</t>
    <phoneticPr fontId="2" type="noConversion"/>
  </si>
  <si>
    <t>※ 월 1.5만명 순증 가정
('25년은 월 1.3만명 순증)</t>
    <phoneticPr fontId="2" type="noConversion"/>
  </si>
  <si>
    <t>공공</t>
    <phoneticPr fontId="2" type="noConversion"/>
  </si>
  <si>
    <t>iot</t>
    <phoneticPr fontId="2" type="noConversion"/>
  </si>
  <si>
    <t>신규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</si>
</sst>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#,##0.0&quot;억&quot;_ "/>
    <numFmt numFmtId="177" formatCode="0.0&quot;억&quot;_);[Red]\(0.0\)"/>
    <numFmt numFmtId="178" formatCode="0.00&quot;억&quot;_);[Red]\(0.00\)"/>
    <numFmt numFmtId="179" formatCode="0.0"/>
    <numFmt numFmtId="180" formatCode="#,##0\ "/>
    <numFmt numFmtId="181" formatCode="#,##0&quot;명&quot;"/>
    <numFmt numFmtId="182" formatCode="#,##0.0&quot;원&quot;"/>
    <numFmt numFmtId="183" formatCode="#,##0&quot;건&quot;"/>
    <numFmt numFmtId="184" formatCode="#,##0&quot;원&quot;"/>
    <numFmt numFmtId="185" formatCode="0.0&quot;억&quot;"/>
    <numFmt numFmtId="186" formatCode="#,##0.00000000000000_ "/>
    <numFmt numFmtId="187" formatCode="0.0%"/>
    <numFmt numFmtId="188" formatCode="0.0&quot;억&quot;_);[Red]\△0.0&quot;억&quot;"/>
    <numFmt numFmtId="189" formatCode="\+#,##0.0&quot;억&quot;"/>
  </numFmts>
  <fonts count="50" x14ac:knownFonts="1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name val="Calibri"/>
      <family val="2"/>
    </font>
    <font>
      <b/>
      <sz val="11"/>
      <color theme="1"/>
      <name val="돋움"/>
      <family val="3"/>
      <charset val="129"/>
    </font>
    <font>
      <sz val="11"/>
      <name val="KT서체 Light"/>
      <family val="3"/>
      <charset val="129"/>
    </font>
    <font>
      <b/>
      <sz val="11"/>
      <color theme="1"/>
      <name val="KT서체 Light"/>
      <family val="3"/>
      <charset val="129"/>
    </font>
    <font>
      <sz val="11"/>
      <name val="Calibri"/>
      <family val="2"/>
    </font>
    <font>
      <b/>
      <sz val="11"/>
      <name val="KT서체 Light"/>
      <family val="3"/>
      <charset val="129"/>
    </font>
    <font>
      <b/>
      <sz val="11"/>
      <color theme="0"/>
      <name val="KT서체 Light"/>
      <family val="3"/>
      <charset val="129"/>
    </font>
    <font>
      <sz val="15"/>
      <name val="Calibri"/>
      <family val="2"/>
    </font>
    <font>
      <sz val="15"/>
      <name val="KT서체 Medium"/>
      <family val="3"/>
      <charset val="129"/>
    </font>
    <font>
      <sz val="10"/>
      <color rgb="FF00206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.5"/>
      <color rgb="FF002060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sz val="10.5"/>
      <color rgb="FF0000FF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sz val="11"/>
      <color theme="0"/>
      <name val="KT서체 Medium"/>
      <family val="3"/>
      <charset val="129"/>
    </font>
    <font>
      <b/>
      <sz val="11"/>
      <name val="KT서체 Medium"/>
      <family val="3"/>
      <charset val="129"/>
    </font>
    <font>
      <sz val="11"/>
      <name val="KT서체 Medium"/>
      <family val="3"/>
      <charset val="129"/>
    </font>
    <font>
      <sz val="11"/>
      <color rgb="FFFF0000"/>
      <name val="KT서체 Medium"/>
      <family val="3"/>
      <charset val="129"/>
    </font>
    <font>
      <b/>
      <sz val="16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b/>
      <sz val="11"/>
      <color theme="1"/>
      <name val="KT서체 Medium"/>
      <family val="3"/>
      <charset val="129"/>
    </font>
    <font>
      <b/>
      <sz val="11"/>
      <color theme="1"/>
      <name val="KT서체 Thin"/>
      <family val="3"/>
      <charset val="129"/>
    </font>
    <font>
      <b/>
      <sz val="11"/>
      <color theme="0"/>
      <name val="KT서체 Thin"/>
      <family val="3"/>
      <charset val="129"/>
    </font>
    <font>
      <sz val="11"/>
      <color theme="1"/>
      <name val="KT서체 Medium"/>
      <family val="3"/>
      <charset val="129"/>
    </font>
    <font>
      <b/>
      <sz val="11"/>
      <color theme="1"/>
      <name val="Calibri"/>
      <family val="2"/>
    </font>
    <font>
      <sz val="11"/>
      <name val="Arial Unicode MS"/>
      <family val="3"/>
      <charset val="129"/>
    </font>
    <font>
      <sz val="16"/>
      <name val="Calibri"/>
      <family val="2"/>
    </font>
    <font>
      <b/>
      <sz val="16"/>
      <color theme="0"/>
      <name val="KT서체 Bold"/>
      <family val="3"/>
      <charset val="129"/>
    </font>
    <font>
      <b/>
      <sz val="16"/>
      <name val="KT서체 Bold"/>
      <family val="3"/>
      <charset val="129"/>
    </font>
    <font>
      <sz val="11"/>
      <color theme="0"/>
      <name val="Calibri"/>
      <family val="2"/>
    </font>
    <font>
      <b/>
      <sz val="16"/>
      <color theme="1"/>
      <name val="KT서체 Bold"/>
      <family val="3"/>
      <charset val="129"/>
    </font>
    <font>
      <sz val="11"/>
      <name val="KT서체 Bold"/>
      <family val="3"/>
      <charset val="129"/>
    </font>
    <font>
      <sz val="11"/>
      <name val="KT서체 Bold"/>
      <family val="2"/>
      <charset val="129"/>
    </font>
    <font>
      <sz val="14"/>
      <name val="KT Flow Black"/>
      <family val="3"/>
      <charset val="129"/>
    </font>
    <font>
      <sz val="16"/>
      <name val="KT서체 Bold"/>
      <family val="2"/>
      <charset val="129"/>
    </font>
    <font>
      <sz val="14"/>
      <name val="KT서체 Bold"/>
      <family val="3"/>
      <charset val="129"/>
    </font>
    <font>
      <sz val="14"/>
      <name val="Calibri"/>
      <family val="2"/>
    </font>
    <font>
      <sz val="30"/>
      <name val="KT서체 Bold"/>
      <family val="3"/>
      <charset val="129"/>
    </font>
    <font>
      <b/>
      <sz val="11"/>
      <color theme="0"/>
      <name val="Arial Unicode MS"/>
      <family val="3"/>
      <charset val="129"/>
    </font>
    <font>
      <b/>
      <sz val="11"/>
      <color theme="0"/>
      <name val="Calibri"/>
      <family val="2"/>
    </font>
    <font>
      <sz val="11"/>
      <name val="KT Flow Medium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auto="1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auto="1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auto="1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auto="1"/>
      </left>
      <right style="thin">
        <color theme="3" tint="0.59996337778862885"/>
      </right>
      <top/>
      <bottom/>
      <diagonal/>
    </border>
    <border>
      <left style="medium">
        <color auto="1"/>
      </left>
      <right style="medium">
        <color auto="1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3" tint="0.39994506668294322"/>
      </right>
      <top style="medium">
        <color auto="1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auto="1"/>
      </top>
      <bottom style="thin">
        <color theme="1" tint="0.499984740745262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thin">
        <color theme="3" tint="0.59996337778862885"/>
      </right>
      <top style="thin">
        <color theme="3" tint="0.59996337778862885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/>
      <diagonal/>
    </border>
    <border>
      <left style="thin">
        <color theme="3" tint="0.59996337778862885"/>
      </left>
      <right style="medium">
        <color auto="1"/>
      </right>
      <top style="thin">
        <color theme="3" tint="0.59996337778862885"/>
      </top>
      <bottom/>
      <diagonal/>
    </border>
    <border>
      <left style="thin">
        <color theme="3" tint="0.59996337778862885"/>
      </left>
      <right style="thin">
        <color theme="3" tint="0.59996337778862885"/>
      </right>
      <top/>
      <bottom/>
      <diagonal/>
    </border>
    <border>
      <left style="thin">
        <color theme="3" tint="0.59996337778862885"/>
      </left>
      <right style="medium">
        <color auto="1"/>
      </right>
      <top/>
      <bottom/>
      <diagonal/>
    </border>
    <border>
      <left style="medium">
        <color auto="1"/>
      </left>
      <right style="thin">
        <color theme="3" tint="0.59996337778862885"/>
      </right>
      <top/>
      <bottom style="medium">
        <color auto="1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medium">
        <color auto="1"/>
      </bottom>
      <diagonal/>
    </border>
    <border>
      <left style="thin">
        <color theme="3" tint="0.59996337778862885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auto="1"/>
      </right>
      <top/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 style="medium">
        <color auto="1"/>
      </left>
      <right style="thin">
        <color theme="3" tint="0.59996337778862885"/>
      </right>
      <top style="thin">
        <color theme="3" tint="0.59996337778862885"/>
      </top>
      <bottom style="medium">
        <color auto="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auto="1"/>
      </bottom>
      <diagonal/>
    </border>
    <border>
      <left style="thin">
        <color theme="3" tint="0.59996337778862885"/>
      </left>
      <right style="medium">
        <color auto="1"/>
      </right>
      <top style="thin">
        <color theme="3" tint="0.59996337778862885"/>
      </top>
      <bottom style="medium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n">
        <color auto="1"/>
      </top>
      <bottom style="thick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medium">
        <color rgb="FF0000FF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44">
    <xf numFmtId="0" fontId="0" fillId="0" borderId="0" xfId="0"/>
    <xf numFmtId="0" fontId="0" fillId="0" borderId="0" xfId="0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6" fontId="6" fillId="0" borderId="5" xfId="2" applyNumberFormat="1" applyFont="1" applyBorder="1" applyAlignment="1">
      <alignment horizontal="center" vertical="center"/>
    </xf>
    <xf numFmtId="176" fontId="6" fillId="0" borderId="6" xfId="2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9" fontId="0" fillId="0" borderId="0" xfId="0" applyNumberFormat="1"/>
    <xf numFmtId="0" fontId="0" fillId="0" borderId="7" xfId="0" applyBorder="1"/>
    <xf numFmtId="0" fontId="0" fillId="0" borderId="9" xfId="0" applyBorder="1"/>
    <xf numFmtId="10" fontId="0" fillId="0" borderId="0" xfId="0" applyNumberFormat="1"/>
    <xf numFmtId="178" fontId="6" fillId="0" borderId="2" xfId="0" applyNumberFormat="1" applyFont="1" applyBorder="1" applyAlignment="1">
      <alignment horizontal="center" vertical="center"/>
    </xf>
    <xf numFmtId="9" fontId="0" fillId="0" borderId="0" xfId="3" applyFont="1" applyAlignment="1"/>
    <xf numFmtId="0" fontId="9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6" fillId="6" borderId="8" xfId="0" applyNumberFormat="1" applyFont="1" applyFill="1" applyBorder="1" applyAlignment="1">
      <alignment horizontal="center" vertical="center"/>
    </xf>
    <xf numFmtId="176" fontId="6" fillId="5" borderId="8" xfId="0" applyNumberFormat="1" applyFont="1" applyFill="1" applyBorder="1" applyAlignment="1">
      <alignment horizontal="center" vertical="center"/>
    </xf>
    <xf numFmtId="176" fontId="6" fillId="5" borderId="5" xfId="2" applyNumberFormat="1" applyFont="1" applyFill="1" applyBorder="1" applyAlignment="1">
      <alignment horizontal="center" vertical="center"/>
    </xf>
    <xf numFmtId="176" fontId="6" fillId="7" borderId="8" xfId="0" applyNumberFormat="1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5" borderId="6" xfId="2" applyNumberFormat="1" applyFont="1" applyFill="1" applyBorder="1" applyAlignment="1">
      <alignment horizontal="center" vertical="center"/>
    </xf>
    <xf numFmtId="176" fontId="6" fillId="10" borderId="5" xfId="2" applyNumberFormat="1" applyFont="1" applyFill="1" applyBorder="1" applyAlignment="1">
      <alignment horizontal="center" vertical="center"/>
    </xf>
    <xf numFmtId="176" fontId="6" fillId="10" borderId="8" xfId="0" applyNumberFormat="1" applyFont="1" applyFill="1" applyBorder="1" applyAlignment="1">
      <alignment horizontal="center" vertical="center"/>
    </xf>
    <xf numFmtId="176" fontId="6" fillId="10" borderId="6" xfId="2" applyNumberFormat="1" applyFont="1" applyFill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76" fontId="6" fillId="10" borderId="3" xfId="0" applyNumberFormat="1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176" fontId="6" fillId="12" borderId="5" xfId="2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9" fontId="6" fillId="3" borderId="5" xfId="0" applyNumberFormat="1" applyFont="1" applyFill="1" applyBorder="1" applyAlignment="1">
      <alignment horizontal="center" vertical="center"/>
    </xf>
    <xf numFmtId="179" fontId="6" fillId="0" borderId="5" xfId="2" applyNumberFormat="1" applyFont="1" applyBorder="1" applyAlignment="1">
      <alignment horizontal="center" vertical="center"/>
    </xf>
    <xf numFmtId="179" fontId="6" fillId="10" borderId="5" xfId="2" applyNumberFormat="1" applyFont="1" applyFill="1" applyBorder="1" applyAlignment="1">
      <alignment horizontal="center" vertical="center"/>
    </xf>
    <xf numFmtId="179" fontId="0" fillId="0" borderId="0" xfId="0" applyNumberFormat="1"/>
    <xf numFmtId="0" fontId="16" fillId="0" borderId="0" xfId="0" applyFont="1"/>
    <xf numFmtId="180" fontId="17" fillId="13" borderId="14" xfId="4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13" borderId="14" xfId="4" applyFont="1" applyFill="1" applyBorder="1" applyAlignment="1">
      <alignment horizontal="center" vertical="center" shrinkToFit="1"/>
    </xf>
    <xf numFmtId="0" fontId="17" fillId="13" borderId="23" xfId="4" applyFont="1" applyFill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17" fillId="0" borderId="24" xfId="0" applyFont="1" applyBorder="1" applyAlignment="1">
      <alignment horizontal="center" vertical="center" shrinkToFit="1"/>
    </xf>
    <xf numFmtId="0" fontId="17" fillId="0" borderId="17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17" fillId="0" borderId="26" xfId="0" applyFont="1" applyBorder="1" applyAlignment="1">
      <alignment horizontal="center" vertical="center" shrinkToFit="1"/>
    </xf>
    <xf numFmtId="0" fontId="17" fillId="5" borderId="20" xfId="0" applyFont="1" applyFill="1" applyBorder="1" applyAlignment="1">
      <alignment horizontal="center" vertical="center" shrinkToFit="1"/>
    </xf>
    <xf numFmtId="0" fontId="17" fillId="5" borderId="19" xfId="0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0" fontId="17" fillId="5" borderId="21" xfId="0" applyFont="1" applyFill="1" applyBorder="1" applyAlignment="1">
      <alignment horizontal="center" vertical="center" shrinkToFit="1"/>
    </xf>
    <xf numFmtId="0" fontId="17" fillId="13" borderId="28" xfId="0" applyFont="1" applyFill="1" applyBorder="1" applyAlignment="1">
      <alignment horizontal="center" vertical="center" shrinkToFit="1"/>
    </xf>
    <xf numFmtId="0" fontId="17" fillId="13" borderId="27" xfId="0" applyFont="1" applyFill="1" applyBorder="1" applyAlignment="1">
      <alignment horizontal="center" vertical="center" shrinkToFit="1"/>
    </xf>
    <xf numFmtId="180" fontId="13" fillId="13" borderId="30" xfId="4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8" fillId="6" borderId="32" xfId="0" applyFont="1" applyFill="1" applyBorder="1" applyAlignment="1">
      <alignment horizontal="center"/>
    </xf>
    <xf numFmtId="0" fontId="18" fillId="6" borderId="33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8" fillId="6" borderId="35" xfId="0" applyFont="1" applyFill="1" applyBorder="1" applyAlignment="1">
      <alignment horizontal="center"/>
    </xf>
    <xf numFmtId="0" fontId="16" fillId="0" borderId="0" xfId="0" applyFont="1" applyBorder="1"/>
    <xf numFmtId="176" fontId="6" fillId="14" borderId="8" xfId="0" applyNumberFormat="1" applyFont="1" applyFill="1" applyBorder="1" applyAlignment="1">
      <alignment horizontal="center" vertical="center"/>
    </xf>
    <xf numFmtId="0" fontId="17" fillId="14" borderId="17" xfId="0" applyFont="1" applyFill="1" applyBorder="1" applyAlignment="1">
      <alignment horizontal="center" vertical="center" shrinkToFit="1"/>
    </xf>
    <xf numFmtId="0" fontId="19" fillId="0" borderId="0" xfId="0" applyFont="1" applyBorder="1" applyAlignment="1">
      <alignment horizontal="center" vertical="center" shrinkToFit="1"/>
    </xf>
    <xf numFmtId="0" fontId="20" fillId="0" borderId="0" xfId="0" applyFont="1"/>
    <xf numFmtId="0" fontId="17" fillId="14" borderId="16" xfId="0" applyFont="1" applyFill="1" applyBorder="1" applyAlignment="1">
      <alignment horizontal="center" vertical="center" shrinkToFit="1"/>
    </xf>
    <xf numFmtId="0" fontId="17" fillId="14" borderId="18" xfId="0" applyFont="1" applyFill="1" applyBorder="1" applyAlignment="1">
      <alignment horizontal="center" vertical="center" shrinkToFit="1"/>
    </xf>
    <xf numFmtId="0" fontId="17" fillId="15" borderId="16" xfId="0" applyFont="1" applyFill="1" applyBorder="1" applyAlignment="1">
      <alignment horizontal="center" vertical="center" shrinkToFit="1"/>
    </xf>
    <xf numFmtId="176" fontId="6" fillId="10" borderId="9" xfId="0" applyNumberFormat="1" applyFont="1" applyFill="1" applyBorder="1" applyAlignment="1">
      <alignment horizontal="center" vertical="center"/>
    </xf>
    <xf numFmtId="0" fontId="18" fillId="17" borderId="35" xfId="0" applyFont="1" applyFill="1" applyBorder="1" applyAlignment="1">
      <alignment horizontal="center"/>
    </xf>
    <xf numFmtId="181" fontId="17" fillId="13" borderId="14" xfId="4" applyNumberFormat="1" applyFont="1" applyFill="1" applyBorder="1" applyAlignment="1">
      <alignment horizontal="center" vertical="center" shrinkToFit="1"/>
    </xf>
    <xf numFmtId="181" fontId="17" fillId="13" borderId="23" xfId="4" applyNumberFormat="1" applyFont="1" applyFill="1" applyBorder="1" applyAlignment="1">
      <alignment horizontal="center" vertical="center" shrinkToFit="1"/>
    </xf>
    <xf numFmtId="181" fontId="17" fillId="0" borderId="16" xfId="0" applyNumberFormat="1" applyFont="1" applyBorder="1" applyAlignment="1">
      <alignment horizontal="center" vertical="center" shrinkToFit="1"/>
    </xf>
    <xf numFmtId="181" fontId="17" fillId="0" borderId="24" xfId="0" applyNumberFormat="1" applyFont="1" applyBorder="1" applyAlignment="1">
      <alignment horizontal="center" vertical="center" shrinkToFit="1"/>
    </xf>
    <xf numFmtId="181" fontId="17" fillId="14" borderId="16" xfId="0" applyNumberFormat="1" applyFont="1" applyFill="1" applyBorder="1" applyAlignment="1">
      <alignment horizontal="center" vertical="center" shrinkToFit="1"/>
    </xf>
    <xf numFmtId="181" fontId="17" fillId="15" borderId="16" xfId="0" applyNumberFormat="1" applyFont="1" applyFill="1" applyBorder="1" applyAlignment="1">
      <alignment horizontal="center" vertical="center" shrinkToFit="1"/>
    </xf>
    <xf numFmtId="181" fontId="17" fillId="14" borderId="17" xfId="0" applyNumberFormat="1" applyFont="1" applyFill="1" applyBorder="1" applyAlignment="1">
      <alignment horizontal="center" vertical="center" shrinkToFit="1"/>
    </xf>
    <xf numFmtId="181" fontId="17" fillId="0" borderId="17" xfId="0" applyNumberFormat="1" applyFont="1" applyBorder="1" applyAlignment="1">
      <alignment horizontal="center" vertical="center" shrinkToFit="1"/>
    </xf>
    <xf numFmtId="181" fontId="17" fillId="0" borderId="25" xfId="0" applyNumberFormat="1" applyFont="1" applyBorder="1" applyAlignment="1">
      <alignment horizontal="center" vertical="center" shrinkToFit="1"/>
    </xf>
    <xf numFmtId="181" fontId="17" fillId="14" borderId="18" xfId="0" applyNumberFormat="1" applyFont="1" applyFill="1" applyBorder="1" applyAlignment="1">
      <alignment horizontal="center" vertical="center" shrinkToFit="1"/>
    </xf>
    <xf numFmtId="181" fontId="17" fillId="0" borderId="18" xfId="0" applyNumberFormat="1" applyFont="1" applyBorder="1" applyAlignment="1">
      <alignment horizontal="center" vertical="center" shrinkToFit="1"/>
    </xf>
    <xf numFmtId="181" fontId="17" fillId="0" borderId="26" xfId="0" applyNumberFormat="1" applyFont="1" applyBorder="1" applyAlignment="1">
      <alignment horizontal="center" vertical="center" shrinkToFit="1"/>
    </xf>
    <xf numFmtId="181" fontId="17" fillId="5" borderId="20" xfId="0" applyNumberFormat="1" applyFont="1" applyFill="1" applyBorder="1" applyAlignment="1">
      <alignment horizontal="center" vertical="center" shrinkToFit="1"/>
    </xf>
    <xf numFmtId="181" fontId="17" fillId="5" borderId="19" xfId="0" applyNumberFormat="1" applyFont="1" applyFill="1" applyBorder="1" applyAlignment="1">
      <alignment horizontal="center" vertical="center" shrinkToFit="1"/>
    </xf>
    <xf numFmtId="181" fontId="17" fillId="5" borderId="22" xfId="0" applyNumberFormat="1" applyFont="1" applyFill="1" applyBorder="1" applyAlignment="1">
      <alignment horizontal="center" vertical="center" shrinkToFit="1"/>
    </xf>
    <xf numFmtId="181" fontId="17" fillId="5" borderId="21" xfId="0" applyNumberFormat="1" applyFont="1" applyFill="1" applyBorder="1" applyAlignment="1">
      <alignment horizontal="center" vertical="center" shrinkToFit="1"/>
    </xf>
    <xf numFmtId="181" fontId="17" fillId="13" borderId="28" xfId="0" applyNumberFormat="1" applyFont="1" applyFill="1" applyBorder="1" applyAlignment="1">
      <alignment horizontal="center" vertical="center" shrinkToFit="1"/>
    </xf>
    <xf numFmtId="181" fontId="17" fillId="13" borderId="27" xfId="0" applyNumberFormat="1" applyFont="1" applyFill="1" applyBorder="1" applyAlignment="1">
      <alignment horizontal="center" vertical="center" shrinkToFit="1"/>
    </xf>
    <xf numFmtId="182" fontId="17" fillId="13" borderId="14" xfId="4" applyNumberFormat="1" applyFont="1" applyFill="1" applyBorder="1" applyAlignment="1">
      <alignment horizontal="center" vertical="center" shrinkToFit="1"/>
    </xf>
    <xf numFmtId="182" fontId="17" fillId="13" borderId="23" xfId="4" applyNumberFormat="1" applyFont="1" applyFill="1" applyBorder="1" applyAlignment="1">
      <alignment horizontal="center" vertical="center" shrinkToFit="1"/>
    </xf>
    <xf numFmtId="182" fontId="17" fillId="0" borderId="16" xfId="0" applyNumberFormat="1" applyFont="1" applyBorder="1" applyAlignment="1">
      <alignment horizontal="center" vertical="center" shrinkToFit="1"/>
    </xf>
    <xf numFmtId="182" fontId="17" fillId="0" borderId="24" xfId="0" applyNumberFormat="1" applyFont="1" applyBorder="1" applyAlignment="1">
      <alignment horizontal="center" vertical="center" shrinkToFit="1"/>
    </xf>
    <xf numFmtId="182" fontId="17" fillId="14" borderId="16" xfId="0" applyNumberFormat="1" applyFont="1" applyFill="1" applyBorder="1" applyAlignment="1">
      <alignment horizontal="center" vertical="center" shrinkToFit="1"/>
    </xf>
    <xf numFmtId="182" fontId="17" fillId="15" borderId="16" xfId="0" applyNumberFormat="1" applyFont="1" applyFill="1" applyBorder="1" applyAlignment="1">
      <alignment horizontal="center" vertical="center" shrinkToFit="1"/>
    </xf>
    <xf numFmtId="182" fontId="17" fillId="14" borderId="17" xfId="0" applyNumberFormat="1" applyFont="1" applyFill="1" applyBorder="1" applyAlignment="1">
      <alignment horizontal="center" vertical="center" shrinkToFit="1"/>
    </xf>
    <xf numFmtId="182" fontId="17" fillId="0" borderId="17" xfId="0" applyNumberFormat="1" applyFont="1" applyBorder="1" applyAlignment="1">
      <alignment horizontal="center" vertical="center" shrinkToFit="1"/>
    </xf>
    <xf numFmtId="182" fontId="17" fillId="0" borderId="25" xfId="0" applyNumberFormat="1" applyFont="1" applyBorder="1" applyAlignment="1">
      <alignment horizontal="center" vertical="center" shrinkToFit="1"/>
    </xf>
    <xf numFmtId="182" fontId="17" fillId="14" borderId="18" xfId="0" applyNumberFormat="1" applyFont="1" applyFill="1" applyBorder="1" applyAlignment="1">
      <alignment horizontal="center" vertical="center" shrinkToFit="1"/>
    </xf>
    <xf numFmtId="182" fontId="17" fillId="0" borderId="18" xfId="0" applyNumberFormat="1" applyFont="1" applyBorder="1" applyAlignment="1">
      <alignment horizontal="center" vertical="center" shrinkToFit="1"/>
    </xf>
    <xf numFmtId="182" fontId="17" fillId="0" borderId="26" xfId="0" applyNumberFormat="1" applyFont="1" applyBorder="1" applyAlignment="1">
      <alignment horizontal="center" vertical="center" shrinkToFit="1"/>
    </xf>
    <xf numFmtId="182" fontId="17" fillId="5" borderId="20" xfId="0" applyNumberFormat="1" applyFont="1" applyFill="1" applyBorder="1" applyAlignment="1">
      <alignment horizontal="center" vertical="center" shrinkToFit="1"/>
    </xf>
    <xf numFmtId="182" fontId="17" fillId="5" borderId="19" xfId="0" applyNumberFormat="1" applyFont="1" applyFill="1" applyBorder="1" applyAlignment="1">
      <alignment horizontal="center" vertical="center" shrinkToFit="1"/>
    </xf>
    <xf numFmtId="182" fontId="17" fillId="5" borderId="22" xfId="0" applyNumberFormat="1" applyFont="1" applyFill="1" applyBorder="1" applyAlignment="1">
      <alignment horizontal="center" vertical="center" shrinkToFit="1"/>
    </xf>
    <xf numFmtId="182" fontId="17" fillId="5" borderId="21" xfId="0" applyNumberFormat="1" applyFont="1" applyFill="1" applyBorder="1" applyAlignment="1">
      <alignment horizontal="center" vertical="center" shrinkToFit="1"/>
    </xf>
    <xf numFmtId="182" fontId="17" fillId="13" borderId="28" xfId="0" applyNumberFormat="1" applyFont="1" applyFill="1" applyBorder="1" applyAlignment="1">
      <alignment horizontal="center" vertical="center" shrinkToFit="1"/>
    </xf>
    <xf numFmtId="182" fontId="17" fillId="13" borderId="27" xfId="0" applyNumberFormat="1" applyFont="1" applyFill="1" applyBorder="1" applyAlignment="1">
      <alignment horizontal="center" vertical="center" shrinkToFit="1"/>
    </xf>
    <xf numFmtId="9" fontId="17" fillId="13" borderId="14" xfId="3" applyFont="1" applyFill="1" applyBorder="1" applyAlignment="1">
      <alignment horizontal="center" vertical="center" shrinkToFit="1"/>
    </xf>
    <xf numFmtId="9" fontId="17" fillId="13" borderId="23" xfId="3" applyFont="1" applyFill="1" applyBorder="1" applyAlignment="1">
      <alignment horizontal="center" vertical="center" shrinkToFit="1"/>
    </xf>
    <xf numFmtId="9" fontId="17" fillId="0" borderId="16" xfId="3" applyFont="1" applyBorder="1" applyAlignment="1">
      <alignment horizontal="center" vertical="center" shrinkToFit="1"/>
    </xf>
    <xf numFmtId="9" fontId="17" fillId="0" borderId="24" xfId="3" applyFont="1" applyBorder="1" applyAlignment="1">
      <alignment horizontal="center" vertical="center" shrinkToFit="1"/>
    </xf>
    <xf numFmtId="9" fontId="17" fillId="14" borderId="16" xfId="3" applyFont="1" applyFill="1" applyBorder="1" applyAlignment="1">
      <alignment horizontal="center" vertical="center" shrinkToFit="1"/>
    </xf>
    <xf numFmtId="9" fontId="17" fillId="15" borderId="16" xfId="3" applyFont="1" applyFill="1" applyBorder="1" applyAlignment="1">
      <alignment horizontal="center" vertical="center" shrinkToFit="1"/>
    </xf>
    <xf numFmtId="9" fontId="17" fillId="14" borderId="17" xfId="3" applyFont="1" applyFill="1" applyBorder="1" applyAlignment="1">
      <alignment horizontal="center" vertical="center" shrinkToFit="1"/>
    </xf>
    <xf numFmtId="9" fontId="17" fillId="0" borderId="17" xfId="3" applyFont="1" applyBorder="1" applyAlignment="1">
      <alignment horizontal="center" vertical="center" shrinkToFit="1"/>
    </xf>
    <xf numFmtId="9" fontId="17" fillId="0" borderId="25" xfId="3" applyFont="1" applyBorder="1" applyAlignment="1">
      <alignment horizontal="center" vertical="center" shrinkToFit="1"/>
    </xf>
    <xf numFmtId="9" fontId="17" fillId="14" borderId="18" xfId="3" applyFont="1" applyFill="1" applyBorder="1" applyAlignment="1">
      <alignment horizontal="center" vertical="center" shrinkToFit="1"/>
    </xf>
    <xf numFmtId="9" fontId="17" fillId="0" borderId="18" xfId="3" applyFont="1" applyBorder="1" applyAlignment="1">
      <alignment horizontal="center" vertical="center" shrinkToFit="1"/>
    </xf>
    <xf numFmtId="9" fontId="17" fillId="0" borderId="26" xfId="3" applyFont="1" applyBorder="1" applyAlignment="1">
      <alignment horizontal="center" vertical="center" shrinkToFit="1"/>
    </xf>
    <xf numFmtId="9" fontId="17" fillId="5" borderId="20" xfId="3" applyFont="1" applyFill="1" applyBorder="1" applyAlignment="1">
      <alignment horizontal="center" vertical="center" shrinkToFit="1"/>
    </xf>
    <xf numFmtId="9" fontId="17" fillId="5" borderId="19" xfId="3" applyFont="1" applyFill="1" applyBorder="1" applyAlignment="1">
      <alignment horizontal="center" vertical="center" shrinkToFit="1"/>
    </xf>
    <xf numFmtId="9" fontId="17" fillId="5" borderId="22" xfId="3" applyFont="1" applyFill="1" applyBorder="1" applyAlignment="1">
      <alignment horizontal="center" vertical="center" shrinkToFit="1"/>
    </xf>
    <xf numFmtId="9" fontId="17" fillId="5" borderId="21" xfId="3" applyFont="1" applyFill="1" applyBorder="1" applyAlignment="1">
      <alignment horizontal="center" vertical="center" shrinkToFit="1"/>
    </xf>
    <xf numFmtId="9" fontId="17" fillId="13" borderId="28" xfId="3" applyFont="1" applyFill="1" applyBorder="1" applyAlignment="1">
      <alignment horizontal="center" vertical="center" shrinkToFit="1"/>
    </xf>
    <xf numFmtId="9" fontId="17" fillId="13" borderId="27" xfId="3" applyFont="1" applyFill="1" applyBorder="1" applyAlignment="1">
      <alignment horizontal="center" vertical="center" shrinkToFit="1"/>
    </xf>
    <xf numFmtId="0" fontId="21" fillId="12" borderId="38" xfId="0" applyFont="1" applyFill="1" applyBorder="1" applyAlignment="1">
      <alignment horizontal="center"/>
    </xf>
    <xf numFmtId="0" fontId="21" fillId="12" borderId="39" xfId="0" applyFont="1" applyFill="1" applyBorder="1" applyAlignment="1">
      <alignment horizontal="center"/>
    </xf>
    <xf numFmtId="0" fontId="22" fillId="19" borderId="38" xfId="0" applyFont="1" applyFill="1" applyBorder="1" applyAlignment="1">
      <alignment horizontal="center"/>
    </xf>
    <xf numFmtId="0" fontId="22" fillId="19" borderId="38" xfId="0" applyFont="1" applyFill="1" applyBorder="1" applyAlignment="1">
      <alignment horizontal="center"/>
    </xf>
    <xf numFmtId="0" fontId="22" fillId="10" borderId="38" xfId="0" applyFont="1" applyFill="1" applyBorder="1" applyAlignment="1">
      <alignment horizontal="center"/>
    </xf>
    <xf numFmtId="0" fontId="23" fillId="10" borderId="38" xfId="0" applyFont="1" applyFill="1" applyBorder="1" applyAlignment="1">
      <alignment horizontal="center"/>
    </xf>
    <xf numFmtId="0" fontId="22" fillId="19" borderId="39" xfId="0" applyFont="1" applyFill="1" applyBorder="1" applyAlignment="1">
      <alignment horizontal="center"/>
    </xf>
    <xf numFmtId="0" fontId="23" fillId="10" borderId="39" xfId="0" applyFont="1" applyFill="1" applyBorder="1" applyAlignment="1">
      <alignment horizontal="center"/>
    </xf>
    <xf numFmtId="181" fontId="22" fillId="19" borderId="38" xfId="0" applyNumberFormat="1" applyFont="1" applyFill="1" applyBorder="1" applyAlignment="1">
      <alignment horizontal="center"/>
    </xf>
    <xf numFmtId="181" fontId="22" fillId="19" borderId="39" xfId="0" applyNumberFormat="1" applyFont="1" applyFill="1" applyBorder="1" applyAlignment="1">
      <alignment horizontal="center"/>
    </xf>
    <xf numFmtId="181" fontId="23" fillId="10" borderId="38" xfId="0" applyNumberFormat="1" applyFont="1" applyFill="1" applyBorder="1" applyAlignment="1">
      <alignment horizontal="center"/>
    </xf>
    <xf numFmtId="181" fontId="23" fillId="10" borderId="39" xfId="0" applyNumberFormat="1" applyFont="1" applyFill="1" applyBorder="1" applyAlignment="1">
      <alignment horizontal="center"/>
    </xf>
    <xf numFmtId="181" fontId="22" fillId="6" borderId="38" xfId="0" applyNumberFormat="1" applyFont="1" applyFill="1" applyBorder="1" applyAlignment="1">
      <alignment horizontal="center"/>
    </xf>
    <xf numFmtId="181" fontId="23" fillId="6" borderId="38" xfId="0" applyNumberFormat="1" applyFont="1" applyFill="1" applyBorder="1" applyAlignment="1">
      <alignment horizontal="center"/>
    </xf>
    <xf numFmtId="183" fontId="22" fillId="19" borderId="38" xfId="0" applyNumberFormat="1" applyFont="1" applyFill="1" applyBorder="1" applyAlignment="1">
      <alignment horizontal="center"/>
    </xf>
    <xf numFmtId="183" fontId="22" fillId="19" borderId="39" xfId="0" applyNumberFormat="1" applyFont="1" applyFill="1" applyBorder="1" applyAlignment="1">
      <alignment horizontal="center"/>
    </xf>
    <xf numFmtId="183" fontId="23" fillId="10" borderId="38" xfId="0" applyNumberFormat="1" applyFont="1" applyFill="1" applyBorder="1" applyAlignment="1">
      <alignment horizontal="center"/>
    </xf>
    <xf numFmtId="183" fontId="23" fillId="10" borderId="39" xfId="0" applyNumberFormat="1" applyFont="1" applyFill="1" applyBorder="1" applyAlignment="1">
      <alignment horizontal="center"/>
    </xf>
    <xf numFmtId="183" fontId="23" fillId="6" borderId="38" xfId="0" applyNumberFormat="1" applyFont="1" applyFill="1" applyBorder="1" applyAlignment="1">
      <alignment horizontal="center"/>
    </xf>
    <xf numFmtId="183" fontId="22" fillId="6" borderId="38" xfId="0" applyNumberFormat="1" applyFont="1" applyFill="1" applyBorder="1" applyAlignment="1">
      <alignment horizontal="center"/>
    </xf>
    <xf numFmtId="9" fontId="23" fillId="10" borderId="38" xfId="3" applyFont="1" applyFill="1" applyBorder="1" applyAlignment="1">
      <alignment horizontal="center"/>
    </xf>
    <xf numFmtId="9" fontId="22" fillId="19" borderId="38" xfId="3" applyFont="1" applyFill="1" applyBorder="1" applyAlignment="1">
      <alignment horizontal="center"/>
    </xf>
    <xf numFmtId="9" fontId="23" fillId="6" borderId="38" xfId="3" applyFont="1" applyFill="1" applyBorder="1" applyAlignment="1">
      <alignment horizontal="center"/>
    </xf>
    <xf numFmtId="9" fontId="22" fillId="6" borderId="38" xfId="3" applyFont="1" applyFill="1" applyBorder="1" applyAlignment="1">
      <alignment horizontal="center"/>
    </xf>
    <xf numFmtId="183" fontId="24" fillId="20" borderId="38" xfId="0" applyNumberFormat="1" applyFont="1" applyFill="1" applyBorder="1" applyAlignment="1">
      <alignment horizontal="center"/>
    </xf>
    <xf numFmtId="183" fontId="23" fillId="20" borderId="38" xfId="0" applyNumberFormat="1" applyFont="1" applyFill="1" applyBorder="1" applyAlignment="1">
      <alignment horizontal="center"/>
    </xf>
    <xf numFmtId="183" fontId="23" fillId="14" borderId="38" xfId="0" applyNumberFormat="1" applyFont="1" applyFill="1" applyBorder="1" applyAlignment="1">
      <alignment horizontal="center"/>
    </xf>
    <xf numFmtId="183" fontId="22" fillId="20" borderId="38" xfId="0" applyNumberFormat="1" applyFont="1" applyFill="1" applyBorder="1" applyAlignment="1">
      <alignment horizontal="center"/>
    </xf>
    <xf numFmtId="0" fontId="0" fillId="10" borderId="0" xfId="0" applyFill="1"/>
    <xf numFmtId="182" fontId="22" fillId="19" borderId="39" xfId="0" applyNumberFormat="1" applyFont="1" applyFill="1" applyBorder="1" applyAlignment="1">
      <alignment horizontal="center"/>
    </xf>
    <xf numFmtId="182" fontId="23" fillId="10" borderId="39" xfId="0" applyNumberFormat="1" applyFont="1" applyFill="1" applyBorder="1" applyAlignment="1">
      <alignment horizontal="center"/>
    </xf>
    <xf numFmtId="184" fontId="22" fillId="19" borderId="38" xfId="0" applyNumberFormat="1" applyFont="1" applyFill="1" applyBorder="1" applyAlignment="1">
      <alignment horizontal="center"/>
    </xf>
    <xf numFmtId="184" fontId="23" fillId="10" borderId="38" xfId="0" applyNumberFormat="1" applyFont="1" applyFill="1" applyBorder="1" applyAlignment="1">
      <alignment horizontal="center"/>
    </xf>
    <xf numFmtId="184" fontId="23" fillId="6" borderId="38" xfId="0" applyNumberFormat="1" applyFont="1" applyFill="1" applyBorder="1" applyAlignment="1">
      <alignment horizontal="center"/>
    </xf>
    <xf numFmtId="0" fontId="0" fillId="10" borderId="0" xfId="0" applyFill="1" applyAlignment="1">
      <alignment vertical="center"/>
    </xf>
    <xf numFmtId="0" fontId="7" fillId="2" borderId="4" xfId="0" quotePrefix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27" fillId="10" borderId="0" xfId="0" applyFont="1" applyFill="1" applyAlignment="1">
      <alignment vertical="center"/>
    </xf>
    <xf numFmtId="0" fontId="28" fillId="10" borderId="0" xfId="0" applyFont="1" applyFill="1" applyAlignment="1">
      <alignment vertical="center"/>
    </xf>
    <xf numFmtId="0" fontId="30" fillId="22" borderId="0" xfId="0" quotePrefix="1" applyFont="1" applyFill="1" applyAlignment="1">
      <alignment horizontal="center" vertical="center"/>
    </xf>
    <xf numFmtId="0" fontId="31" fillId="21" borderId="44" xfId="0" quotePrefix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2" fillId="3" borderId="46" xfId="0" applyFont="1" applyFill="1" applyBorder="1" applyAlignment="1">
      <alignment horizontal="center" vertical="center"/>
    </xf>
    <xf numFmtId="41" fontId="0" fillId="3" borderId="46" xfId="2" applyFont="1" applyFill="1" applyBorder="1">
      <alignment vertical="center"/>
    </xf>
    <xf numFmtId="0" fontId="32" fillId="10" borderId="46" xfId="0" applyFont="1" applyFill="1" applyBorder="1" applyAlignment="1">
      <alignment horizontal="center" vertical="center"/>
    </xf>
    <xf numFmtId="41" fontId="0" fillId="10" borderId="46" xfId="0" applyNumberFormat="1" applyFill="1" applyBorder="1" applyAlignment="1">
      <alignment vertical="center"/>
    </xf>
    <xf numFmtId="41" fontId="32" fillId="10" borderId="46" xfId="2" applyFont="1" applyFill="1" applyBorder="1" applyAlignment="1">
      <alignment horizontal="center" vertical="center"/>
    </xf>
    <xf numFmtId="41" fontId="0" fillId="10" borderId="46" xfId="2" applyFont="1" applyFill="1" applyBorder="1">
      <alignment vertical="center"/>
    </xf>
    <xf numFmtId="41" fontId="0" fillId="10" borderId="0" xfId="0" applyNumberFormat="1" applyFill="1" applyAlignment="1">
      <alignment vertical="center"/>
    </xf>
    <xf numFmtId="41" fontId="0" fillId="10" borderId="0" xfId="2" applyFont="1" applyFill="1">
      <alignment vertical="center"/>
    </xf>
    <xf numFmtId="43" fontId="0" fillId="10" borderId="0" xfId="0" applyNumberFormat="1" applyFill="1" applyAlignment="1">
      <alignment vertical="center"/>
    </xf>
    <xf numFmtId="185" fontId="0" fillId="3" borderId="46" xfId="2" applyNumberFormat="1" applyFont="1" applyFill="1" applyBorder="1">
      <alignment vertical="center"/>
    </xf>
    <xf numFmtId="185" fontId="0" fillId="10" borderId="46" xfId="0" applyNumberFormat="1" applyFill="1" applyBorder="1" applyAlignment="1">
      <alignment vertical="center"/>
    </xf>
    <xf numFmtId="185" fontId="0" fillId="10" borderId="46" xfId="2" applyNumberFormat="1" applyFont="1" applyFill="1" applyBorder="1">
      <alignment vertical="center"/>
    </xf>
    <xf numFmtId="41" fontId="33" fillId="0" borderId="47" xfId="0" applyNumberFormat="1" applyFont="1" applyBorder="1"/>
    <xf numFmtId="0" fontId="6" fillId="0" borderId="48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0" borderId="53" xfId="0" applyFont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177" fontId="6" fillId="0" borderId="56" xfId="0" applyNumberFormat="1" applyFont="1" applyBorder="1" applyAlignment="1">
      <alignment horizontal="center" vertical="center"/>
    </xf>
    <xf numFmtId="177" fontId="6" fillId="0" borderId="51" xfId="0" applyNumberFormat="1" applyFont="1" applyBorder="1" applyAlignment="1">
      <alignment horizontal="center" vertical="center"/>
    </xf>
    <xf numFmtId="176" fontId="6" fillId="0" borderId="57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23" borderId="51" xfId="0" applyNumberFormat="1" applyFont="1" applyFill="1" applyBorder="1" applyAlignment="1">
      <alignment horizontal="center" vertical="center"/>
    </xf>
    <xf numFmtId="177" fontId="6" fillId="23" borderId="58" xfId="0" applyNumberFormat="1" applyFont="1" applyFill="1" applyBorder="1" applyAlignment="1">
      <alignment horizontal="center" vertical="center"/>
    </xf>
    <xf numFmtId="177" fontId="6" fillId="23" borderId="2" xfId="0" applyNumberFormat="1" applyFont="1" applyFill="1" applyBorder="1" applyAlignment="1">
      <alignment horizontal="center" vertical="center"/>
    </xf>
    <xf numFmtId="177" fontId="6" fillId="23" borderId="1" xfId="0" applyNumberFormat="1" applyFont="1" applyFill="1" applyBorder="1" applyAlignment="1">
      <alignment horizontal="center" vertical="center"/>
    </xf>
    <xf numFmtId="177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23" borderId="60" xfId="0" applyNumberFormat="1" applyFont="1" applyFill="1" applyBorder="1" applyAlignment="1">
      <alignment horizontal="center" vertical="center"/>
    </xf>
    <xf numFmtId="176" fontId="6" fillId="0" borderId="61" xfId="0" applyNumberFormat="1" applyFont="1" applyBorder="1" applyAlignment="1">
      <alignment horizontal="center" vertical="center"/>
    </xf>
    <xf numFmtId="41" fontId="0" fillId="0" borderId="0" xfId="2" applyFont="1" applyAlignment="1"/>
    <xf numFmtId="0" fontId="23" fillId="5" borderId="38" xfId="0" applyFont="1" applyFill="1" applyBorder="1" applyAlignment="1">
      <alignment horizontal="center"/>
    </xf>
    <xf numFmtId="0" fontId="23" fillId="5" borderId="39" xfId="0" applyFont="1" applyFill="1" applyBorder="1" applyAlignment="1">
      <alignment horizontal="center"/>
    </xf>
    <xf numFmtId="184" fontId="23" fillId="5" borderId="38" xfId="0" applyNumberFormat="1" applyFont="1" applyFill="1" applyBorder="1" applyAlignment="1">
      <alignment horizontal="center"/>
    </xf>
    <xf numFmtId="182" fontId="23" fillId="5" borderId="39" xfId="0" applyNumberFormat="1" applyFont="1" applyFill="1" applyBorder="1" applyAlignment="1">
      <alignment horizontal="center"/>
    </xf>
    <xf numFmtId="183" fontId="24" fillId="10" borderId="38" xfId="0" applyNumberFormat="1" applyFont="1" applyFill="1" applyBorder="1" applyAlignment="1">
      <alignment horizontal="center"/>
    </xf>
    <xf numFmtId="184" fontId="23" fillId="7" borderId="38" xfId="0" applyNumberFormat="1" applyFont="1" applyFill="1" applyBorder="1" applyAlignment="1">
      <alignment horizontal="center"/>
    </xf>
    <xf numFmtId="41" fontId="0" fillId="0" borderId="0" xfId="0" applyNumberFormat="1"/>
    <xf numFmtId="0" fontId="22" fillId="16" borderId="38" xfId="0" applyFont="1" applyFill="1" applyBorder="1" applyAlignment="1">
      <alignment horizontal="center"/>
    </xf>
    <xf numFmtId="0" fontId="23" fillId="16" borderId="38" xfId="0" applyFont="1" applyFill="1" applyBorder="1" applyAlignment="1">
      <alignment horizontal="center"/>
    </xf>
    <xf numFmtId="0" fontId="23" fillId="16" borderId="39" xfId="0" applyFont="1" applyFill="1" applyBorder="1" applyAlignment="1">
      <alignment horizontal="center"/>
    </xf>
    <xf numFmtId="0" fontId="22" fillId="16" borderId="38" xfId="0" applyFont="1" applyFill="1" applyBorder="1" applyAlignment="1">
      <alignment horizontal="center"/>
    </xf>
    <xf numFmtId="0" fontId="22" fillId="16" borderId="39" xfId="0" applyFont="1" applyFill="1" applyBorder="1" applyAlignment="1">
      <alignment horizontal="center"/>
    </xf>
    <xf numFmtId="0" fontId="21" fillId="12" borderId="37" xfId="0" applyFont="1" applyFill="1" applyBorder="1" applyAlignment="1">
      <alignment horizontal="center"/>
    </xf>
    <xf numFmtId="0" fontId="21" fillId="17" borderId="37" xfId="0" applyFont="1" applyFill="1" applyBorder="1" applyAlignment="1">
      <alignment horizontal="center"/>
    </xf>
    <xf numFmtId="0" fontId="21" fillId="12" borderId="37" xfId="0" applyFont="1" applyFill="1" applyBorder="1" applyAlignment="1">
      <alignment horizontal="center"/>
    </xf>
    <xf numFmtId="0" fontId="21" fillId="12" borderId="37" xfId="0" applyFont="1" applyFill="1" applyBorder="1" applyAlignment="1">
      <alignment horizontal="center"/>
    </xf>
    <xf numFmtId="0" fontId="23" fillId="6" borderId="38" xfId="0" applyFont="1" applyFill="1" applyBorder="1" applyAlignment="1">
      <alignment horizontal="center"/>
    </xf>
    <xf numFmtId="0" fontId="22" fillId="10" borderId="0" xfId="0" applyFont="1" applyFill="1" applyBorder="1" applyAlignment="1">
      <alignment horizontal="center"/>
    </xf>
    <xf numFmtId="0" fontId="21" fillId="6" borderId="39" xfId="0" applyFont="1" applyFill="1" applyBorder="1" applyAlignment="1">
      <alignment horizontal="center"/>
    </xf>
    <xf numFmtId="0" fontId="21" fillId="6" borderId="38" xfId="0" applyFont="1" applyFill="1" applyBorder="1" applyAlignment="1">
      <alignment horizontal="center"/>
    </xf>
    <xf numFmtId="0" fontId="34" fillId="0" borderId="0" xfId="0" applyFont="1"/>
    <xf numFmtId="0" fontId="35" fillId="0" borderId="0" xfId="0" applyFont="1"/>
    <xf numFmtId="0" fontId="36" fillId="20" borderId="37" xfId="0" applyFont="1" applyFill="1" applyBorder="1" applyAlignment="1">
      <alignment horizontal="center"/>
    </xf>
    <xf numFmtId="0" fontId="36" fillId="20" borderId="39" xfId="0" applyFont="1" applyFill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8" fillId="10" borderId="0" xfId="0" applyFont="1" applyFill="1"/>
    <xf numFmtId="0" fontId="39" fillId="10" borderId="37" xfId="0" applyFont="1" applyFill="1" applyBorder="1" applyAlignment="1">
      <alignment horizontal="center"/>
    </xf>
    <xf numFmtId="0" fontId="39" fillId="10" borderId="39" xfId="0" applyFont="1" applyFill="1" applyBorder="1" applyAlignment="1">
      <alignment horizontal="center"/>
    </xf>
    <xf numFmtId="0" fontId="37" fillId="19" borderId="37" xfId="0" applyFont="1" applyFill="1" applyBorder="1" applyAlignment="1">
      <alignment horizontal="center"/>
    </xf>
    <xf numFmtId="0" fontId="37" fillId="19" borderId="39" xfId="0" applyFont="1" applyFill="1" applyBorder="1" applyAlignment="1">
      <alignment horizontal="center"/>
    </xf>
    <xf numFmtId="0" fontId="37" fillId="19" borderId="39" xfId="0" applyFont="1" applyFill="1" applyBorder="1" applyAlignment="1">
      <alignment horizontal="center"/>
    </xf>
    <xf numFmtId="181" fontId="23" fillId="5" borderId="38" xfId="0" applyNumberFormat="1" applyFont="1" applyFill="1" applyBorder="1" applyAlignment="1">
      <alignment horizontal="center"/>
    </xf>
    <xf numFmtId="183" fontId="0" fillId="0" borderId="0" xfId="0" applyNumberFormat="1"/>
    <xf numFmtId="9" fontId="22" fillId="10" borderId="38" xfId="3" applyFont="1" applyFill="1" applyBorder="1" applyAlignment="1">
      <alignment horizontal="center"/>
    </xf>
    <xf numFmtId="41" fontId="22" fillId="10" borderId="38" xfId="2" applyFont="1" applyFill="1" applyBorder="1" applyAlignment="1">
      <alignment horizontal="center"/>
    </xf>
    <xf numFmtId="186" fontId="0" fillId="0" borderId="0" xfId="0" applyNumberFormat="1"/>
    <xf numFmtId="9" fontId="22" fillId="25" borderId="38" xfId="3" applyFont="1" applyFill="1" applyBorder="1" applyAlignment="1">
      <alignment horizontal="center"/>
    </xf>
    <xf numFmtId="0" fontId="36" fillId="20" borderId="36" xfId="0" applyFont="1" applyFill="1" applyBorder="1" applyAlignment="1">
      <alignment horizontal="center"/>
    </xf>
    <xf numFmtId="0" fontId="39" fillId="10" borderId="36" xfId="0" applyFont="1" applyFill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37" fillId="19" borderId="63" xfId="0" applyFont="1" applyFill="1" applyBorder="1" applyAlignment="1">
      <alignment horizontal="center"/>
    </xf>
    <xf numFmtId="0" fontId="36" fillId="24" borderId="62" xfId="0" applyFont="1" applyFill="1" applyBorder="1" applyAlignment="1">
      <alignment horizontal="center"/>
    </xf>
    <xf numFmtId="0" fontId="40" fillId="0" borderId="0" xfId="0" applyFont="1"/>
    <xf numFmtId="0" fontId="23" fillId="24" borderId="38" xfId="0" applyFont="1" applyFill="1" applyBorder="1" applyAlignment="1">
      <alignment horizontal="center"/>
    </xf>
    <xf numFmtId="0" fontId="21" fillId="18" borderId="38" xfId="0" applyFont="1" applyFill="1" applyBorder="1" applyAlignment="1">
      <alignment horizontal="center"/>
    </xf>
    <xf numFmtId="0" fontId="37" fillId="19" borderId="64" xfId="0" applyFont="1" applyFill="1" applyBorder="1" applyAlignment="1">
      <alignment horizontal="center"/>
    </xf>
    <xf numFmtId="0" fontId="41" fillId="19" borderId="39" xfId="0" applyFont="1" applyFill="1" applyBorder="1" applyAlignment="1">
      <alignment horizontal="center"/>
    </xf>
    <xf numFmtId="0" fontId="36" fillId="20" borderId="39" xfId="0" applyFont="1" applyFill="1" applyBorder="1" applyAlignment="1">
      <alignment horizontal="center" vertical="center"/>
    </xf>
    <xf numFmtId="0" fontId="21" fillId="24" borderId="38" xfId="0" applyFont="1" applyFill="1" applyBorder="1" applyAlignment="1">
      <alignment horizontal="center"/>
    </xf>
    <xf numFmtId="0" fontId="36" fillId="20" borderId="36" xfId="0" applyFont="1" applyFill="1" applyBorder="1" applyAlignment="1">
      <alignment horizontal="center" vertical="center"/>
    </xf>
    <xf numFmtId="0" fontId="39" fillId="10" borderId="36" xfId="0" applyFont="1" applyFill="1" applyBorder="1" applyAlignment="1">
      <alignment horizontal="center" vertical="center"/>
    </xf>
    <xf numFmtId="0" fontId="37" fillId="19" borderId="36" xfId="0" applyFont="1" applyFill="1" applyBorder="1" applyAlignment="1">
      <alignment horizontal="center" vertical="center"/>
    </xf>
    <xf numFmtId="0" fontId="36" fillId="17" borderId="6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22" fillId="5" borderId="38" xfId="0" applyFont="1" applyFill="1" applyBorder="1" applyAlignment="1">
      <alignment horizontal="center"/>
    </xf>
    <xf numFmtId="0" fontId="4" fillId="0" borderId="0" xfId="0" applyFont="1"/>
    <xf numFmtId="183" fontId="22" fillId="10" borderId="38" xfId="0" applyNumberFormat="1" applyFont="1" applyFill="1" applyBorder="1" applyAlignment="1">
      <alignment horizontal="center"/>
    </xf>
    <xf numFmtId="183" fontId="22" fillId="3" borderId="38" xfId="0" applyNumberFormat="1" applyFont="1" applyFill="1" applyBorder="1" applyAlignment="1">
      <alignment horizontal="center"/>
    </xf>
    <xf numFmtId="187" fontId="0" fillId="0" borderId="0" xfId="3" applyNumberFormat="1" applyFont="1" applyAlignment="1"/>
    <xf numFmtId="0" fontId="36" fillId="6" borderId="37" xfId="0" applyFont="1" applyFill="1" applyBorder="1" applyAlignment="1">
      <alignment horizontal="center"/>
    </xf>
    <xf numFmtId="0" fontId="36" fillId="6" borderId="39" xfId="0" applyFont="1" applyFill="1" applyBorder="1" applyAlignment="1">
      <alignment horizontal="center"/>
    </xf>
    <xf numFmtId="183" fontId="39" fillId="10" borderId="39" xfId="0" applyNumberFormat="1" applyFont="1" applyFill="1" applyBorder="1" applyAlignment="1">
      <alignment horizontal="center"/>
    </xf>
    <xf numFmtId="183" fontId="39" fillId="10" borderId="39" xfId="2" applyNumberFormat="1" applyFont="1" applyFill="1" applyBorder="1" applyAlignment="1">
      <alignment horizontal="center"/>
    </xf>
    <xf numFmtId="183" fontId="37" fillId="19" borderId="39" xfId="2" applyNumberFormat="1" applyFont="1" applyFill="1" applyBorder="1" applyAlignment="1">
      <alignment horizontal="center"/>
    </xf>
    <xf numFmtId="183" fontId="37" fillId="19" borderId="39" xfId="0" applyNumberFormat="1" applyFont="1" applyFill="1" applyBorder="1" applyAlignment="1">
      <alignment horizontal="center"/>
    </xf>
    <xf numFmtId="177" fontId="6" fillId="10" borderId="2" xfId="0" applyNumberFormat="1" applyFont="1" applyFill="1" applyBorder="1" applyAlignment="1">
      <alignment horizontal="center" vertical="center"/>
    </xf>
    <xf numFmtId="0" fontId="0" fillId="10" borderId="7" xfId="0" applyFill="1" applyBorder="1"/>
    <xf numFmtId="178" fontId="6" fillId="10" borderId="2" xfId="0" applyNumberFormat="1" applyFont="1" applyFill="1" applyBorder="1" applyAlignment="1">
      <alignment horizontal="center" vertical="center"/>
    </xf>
    <xf numFmtId="9" fontId="0" fillId="10" borderId="0" xfId="3" applyFont="1" applyFill="1" applyAlignment="1"/>
    <xf numFmtId="176" fontId="6" fillId="13" borderId="5" xfId="2" applyNumberFormat="1" applyFont="1" applyFill="1" applyBorder="1" applyAlignment="1">
      <alignment horizontal="center" vertical="center"/>
    </xf>
    <xf numFmtId="176" fontId="6" fillId="16" borderId="5" xfId="2" applyNumberFormat="1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/>
    </xf>
    <xf numFmtId="0" fontId="22" fillId="6" borderId="38" xfId="0" applyFont="1" applyFill="1" applyBorder="1" applyAlignment="1">
      <alignment horizontal="center"/>
    </xf>
    <xf numFmtId="0" fontId="42" fillId="0" borderId="0" xfId="0" applyFont="1"/>
    <xf numFmtId="0" fontId="21" fillId="17" borderId="38" xfId="0" applyFont="1" applyFill="1" applyBorder="1" applyAlignment="1">
      <alignment horizontal="center"/>
    </xf>
    <xf numFmtId="9" fontId="23" fillId="10" borderId="39" xfId="3" applyFont="1" applyFill="1" applyBorder="1" applyAlignment="1">
      <alignment horizontal="center"/>
    </xf>
    <xf numFmtId="0" fontId="21" fillId="6" borderId="37" xfId="0" applyFont="1" applyFill="1" applyBorder="1" applyAlignment="1">
      <alignment horizontal="center"/>
    </xf>
    <xf numFmtId="0" fontId="22" fillId="19" borderId="37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10" borderId="37" xfId="0" applyFont="1" applyFill="1" applyBorder="1" applyAlignment="1">
      <alignment horizontal="center"/>
    </xf>
    <xf numFmtId="181" fontId="22" fillId="19" borderId="37" xfId="0" applyNumberFormat="1" applyFont="1" applyFill="1" applyBorder="1" applyAlignment="1">
      <alignment horizontal="center"/>
    </xf>
    <xf numFmtId="181" fontId="23" fillId="10" borderId="37" xfId="0" applyNumberFormat="1" applyFont="1" applyFill="1" applyBorder="1" applyAlignment="1">
      <alignment horizontal="center"/>
    </xf>
    <xf numFmtId="183" fontId="22" fillId="19" borderId="37" xfId="0" applyNumberFormat="1" applyFont="1" applyFill="1" applyBorder="1" applyAlignment="1">
      <alignment horizontal="center"/>
    </xf>
    <xf numFmtId="183" fontId="23" fillId="10" borderId="37" xfId="0" applyNumberFormat="1" applyFont="1" applyFill="1" applyBorder="1" applyAlignment="1">
      <alignment horizontal="center"/>
    </xf>
    <xf numFmtId="184" fontId="23" fillId="7" borderId="37" xfId="0" applyNumberFormat="1" applyFont="1" applyFill="1" applyBorder="1" applyAlignment="1">
      <alignment horizontal="center"/>
    </xf>
    <xf numFmtId="9" fontId="23" fillId="10" borderId="37" xfId="3" applyFont="1" applyFill="1" applyBorder="1" applyAlignment="1">
      <alignment horizontal="center"/>
    </xf>
    <xf numFmtId="0" fontId="21" fillId="18" borderId="0" xfId="0" applyFont="1" applyFill="1" applyBorder="1" applyAlignment="1">
      <alignment horizontal="center" vertical="center"/>
    </xf>
    <xf numFmtId="0" fontId="21" fillId="18" borderId="0" xfId="0" applyFont="1" applyFill="1" applyBorder="1" applyAlignment="1">
      <alignment horizontal="center" vertical="center"/>
    </xf>
    <xf numFmtId="0" fontId="21" fillId="18" borderId="42" xfId="0" applyFont="1" applyFill="1" applyBorder="1" applyAlignment="1">
      <alignment horizontal="center" vertical="center"/>
    </xf>
    <xf numFmtId="0" fontId="21" fillId="17" borderId="39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/>
    </xf>
    <xf numFmtId="0" fontId="37" fillId="10" borderId="37" xfId="0" applyFont="1" applyFill="1" applyBorder="1" applyAlignment="1">
      <alignment horizontal="center"/>
    </xf>
    <xf numFmtId="184" fontId="23" fillId="5" borderId="39" xfId="0" applyNumberFormat="1" applyFont="1" applyFill="1" applyBorder="1" applyAlignment="1">
      <alignment horizontal="center"/>
    </xf>
    <xf numFmtId="9" fontId="0" fillId="0" borderId="0" xfId="3" applyNumberFormat="1" applyFont="1" applyAlignment="1"/>
    <xf numFmtId="0" fontId="0" fillId="0" borderId="0" xfId="0" applyAlignment="1"/>
    <xf numFmtId="41" fontId="0" fillId="0" borderId="0" xfId="0" applyNumberFormat="1" applyAlignment="1"/>
    <xf numFmtId="0" fontId="22" fillId="10" borderId="37" xfId="0" applyFont="1" applyFill="1" applyBorder="1" applyAlignment="1">
      <alignment horizontal="center"/>
    </xf>
    <xf numFmtId="0" fontId="22" fillId="26" borderId="3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26" borderId="0" xfId="0" applyFill="1"/>
    <xf numFmtId="0" fontId="35" fillId="26" borderId="0" xfId="0" applyFont="1" applyFill="1"/>
    <xf numFmtId="0" fontId="0" fillId="16" borderId="0" xfId="0" applyFill="1"/>
    <xf numFmtId="0" fontId="0" fillId="5" borderId="0" xfId="0" applyFill="1"/>
    <xf numFmtId="41" fontId="23" fillId="10" borderId="38" xfId="2" applyFont="1" applyFill="1" applyBorder="1" applyAlignment="1">
      <alignment horizontal="center"/>
    </xf>
    <xf numFmtId="181" fontId="0" fillId="0" borderId="0" xfId="0" applyNumberFormat="1"/>
    <xf numFmtId="43" fontId="0" fillId="0" borderId="0" xfId="0" applyNumberFormat="1"/>
    <xf numFmtId="183" fontId="37" fillId="10" borderId="38" xfId="0" applyNumberFormat="1" applyFont="1" applyFill="1" applyBorder="1" applyAlignment="1">
      <alignment horizontal="center" vertical="center"/>
    </xf>
    <xf numFmtId="183" fontId="37" fillId="3" borderId="38" xfId="0" applyNumberFormat="1" applyFont="1" applyFill="1" applyBorder="1" applyAlignment="1">
      <alignment horizontal="center" vertical="center"/>
    </xf>
    <xf numFmtId="177" fontId="37" fillId="10" borderId="38" xfId="0" applyNumberFormat="1" applyFont="1" applyFill="1" applyBorder="1" applyAlignment="1">
      <alignment horizontal="center" vertical="center"/>
    </xf>
    <xf numFmtId="177" fontId="37" fillId="6" borderId="39" xfId="0" applyNumberFormat="1" applyFont="1" applyFill="1" applyBorder="1" applyAlignment="1">
      <alignment horizontal="center" vertical="center"/>
    </xf>
    <xf numFmtId="177" fontId="37" fillId="10" borderId="36" xfId="0" applyNumberFormat="1" applyFont="1" applyFill="1" applyBorder="1" applyAlignment="1">
      <alignment horizontal="center" vertical="center"/>
    </xf>
    <xf numFmtId="177" fontId="37" fillId="0" borderId="38" xfId="0" applyNumberFormat="1" applyFont="1" applyBorder="1" applyAlignment="1">
      <alignment horizontal="center" vertical="center"/>
    </xf>
    <xf numFmtId="177" fontId="37" fillId="0" borderId="39" xfId="0" applyNumberFormat="1" applyFont="1" applyBorder="1" applyAlignment="1">
      <alignment horizontal="center" vertical="center"/>
    </xf>
    <xf numFmtId="177" fontId="37" fillId="3" borderId="38" xfId="0" applyNumberFormat="1" applyFont="1" applyFill="1" applyBorder="1" applyAlignment="1">
      <alignment horizontal="center" vertical="center"/>
    </xf>
    <xf numFmtId="177" fontId="37" fillId="3" borderId="39" xfId="0" applyNumberFormat="1" applyFont="1" applyFill="1" applyBorder="1" applyAlignment="1">
      <alignment horizontal="center" vertical="center"/>
    </xf>
    <xf numFmtId="188" fontId="37" fillId="0" borderId="36" xfId="0" applyNumberFormat="1" applyFont="1" applyBorder="1" applyAlignment="1">
      <alignment horizontal="center" vertical="center"/>
    </xf>
    <xf numFmtId="188" fontId="43" fillId="3" borderId="36" xfId="0" applyNumberFormat="1" applyFont="1" applyFill="1" applyBorder="1" applyAlignment="1">
      <alignment horizontal="center" vertical="center"/>
    </xf>
    <xf numFmtId="189" fontId="37" fillId="10" borderId="36" xfId="0" applyNumberFormat="1" applyFont="1" applyFill="1" applyBorder="1" applyAlignment="1">
      <alignment horizontal="center" vertical="center"/>
    </xf>
    <xf numFmtId="0" fontId="36" fillId="21" borderId="37" xfId="0" applyFont="1" applyFill="1" applyBorder="1" applyAlignment="1">
      <alignment horizontal="center" vertical="center"/>
    </xf>
    <xf numFmtId="0" fontId="36" fillId="27" borderId="38" xfId="0" applyFont="1" applyFill="1" applyBorder="1" applyAlignment="1">
      <alignment horizontal="center" vertical="center" wrapText="1"/>
    </xf>
    <xf numFmtId="0" fontId="36" fillId="27" borderId="38" xfId="0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36" fillId="21" borderId="38" xfId="0" applyFont="1" applyFill="1" applyBorder="1" applyAlignment="1">
      <alignment horizontal="center" vertical="center" wrapText="1"/>
    </xf>
    <xf numFmtId="0" fontId="36" fillId="21" borderId="39" xfId="0" applyFont="1" applyFill="1" applyBorder="1" applyAlignment="1">
      <alignment horizontal="center" vertical="center" wrapText="1"/>
    </xf>
    <xf numFmtId="0" fontId="37" fillId="10" borderId="37" xfId="0" quotePrefix="1" applyFont="1" applyFill="1" applyBorder="1" applyAlignment="1">
      <alignment horizontal="center" vertical="center"/>
    </xf>
    <xf numFmtId="0" fontId="39" fillId="10" borderId="37" xfId="0" quotePrefix="1" applyFont="1" applyFill="1" applyBorder="1" applyAlignment="1">
      <alignment horizontal="center" vertical="center"/>
    </xf>
    <xf numFmtId="0" fontId="37" fillId="3" borderId="37" xfId="0" quotePrefix="1" applyFont="1" applyFill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6" fillId="0" borderId="0" xfId="0" applyFont="1"/>
    <xf numFmtId="0" fontId="36" fillId="21" borderId="36" xfId="0" applyFont="1" applyFill="1" applyBorder="1" applyAlignment="1">
      <alignment horizontal="center" vertical="center" wrapText="1"/>
    </xf>
    <xf numFmtId="0" fontId="36" fillId="24" borderId="69" xfId="0" applyFont="1" applyFill="1" applyBorder="1" applyAlignment="1">
      <alignment horizontal="center" vertical="center" wrapText="1"/>
    </xf>
    <xf numFmtId="177" fontId="37" fillId="10" borderId="70" xfId="0" applyNumberFormat="1" applyFont="1" applyFill="1" applyBorder="1" applyAlignment="1">
      <alignment horizontal="center" vertical="center"/>
    </xf>
    <xf numFmtId="177" fontId="37" fillId="10" borderId="71" xfId="0" applyNumberFormat="1" applyFont="1" applyFill="1" applyBorder="1" applyAlignment="1">
      <alignment horizontal="center" vertical="center"/>
    </xf>
    <xf numFmtId="177" fontId="37" fillId="0" borderId="71" xfId="0" applyNumberFormat="1" applyFont="1" applyBorder="1" applyAlignment="1">
      <alignment horizontal="center" vertical="center"/>
    </xf>
    <xf numFmtId="177" fontId="37" fillId="23" borderId="71" xfId="0" applyNumberFormat="1" applyFont="1" applyFill="1" applyBorder="1" applyAlignment="1">
      <alignment horizontal="center" vertical="center"/>
    </xf>
    <xf numFmtId="177" fontId="37" fillId="23" borderId="72" xfId="0" applyNumberFormat="1" applyFont="1" applyFill="1" applyBorder="1" applyAlignment="1">
      <alignment horizontal="center" vertical="center"/>
    </xf>
    <xf numFmtId="2" fontId="22" fillId="19" borderId="38" xfId="0" applyNumberFormat="1" applyFont="1" applyFill="1" applyBorder="1" applyAlignment="1">
      <alignment horizontal="center"/>
    </xf>
    <xf numFmtId="2" fontId="23" fillId="10" borderId="38" xfId="0" applyNumberFormat="1" applyFont="1" applyFill="1" applyBorder="1" applyAlignment="1">
      <alignment horizontal="center"/>
    </xf>
    <xf numFmtId="179" fontId="37" fillId="0" borderId="63" xfId="0" applyNumberFormat="1" applyFont="1" applyBorder="1" applyAlignment="1">
      <alignment horizontal="center"/>
    </xf>
    <xf numFmtId="179" fontId="37" fillId="0" borderId="36" xfId="0" applyNumberFormat="1" applyFont="1" applyBorder="1" applyAlignment="1">
      <alignment horizontal="center"/>
    </xf>
    <xf numFmtId="179" fontId="37" fillId="0" borderId="39" xfId="0" applyNumberFormat="1" applyFont="1" applyBorder="1" applyAlignment="1">
      <alignment horizontal="center"/>
    </xf>
    <xf numFmtId="179" fontId="37" fillId="19" borderId="63" xfId="0" applyNumberFormat="1" applyFont="1" applyFill="1" applyBorder="1" applyAlignment="1">
      <alignment horizontal="center"/>
    </xf>
    <xf numFmtId="179" fontId="37" fillId="19" borderId="36" xfId="0" applyNumberFormat="1" applyFont="1" applyFill="1" applyBorder="1" applyAlignment="1">
      <alignment horizontal="center"/>
    </xf>
    <xf numFmtId="179" fontId="37" fillId="19" borderId="39" xfId="0" applyNumberFormat="1" applyFont="1" applyFill="1" applyBorder="1" applyAlignment="1">
      <alignment horizontal="center"/>
    </xf>
    <xf numFmtId="179" fontId="37" fillId="19" borderId="64" xfId="0" applyNumberFormat="1" applyFont="1" applyFill="1" applyBorder="1" applyAlignment="1">
      <alignment horizontal="center"/>
    </xf>
    <xf numFmtId="0" fontId="21" fillId="12" borderId="36" xfId="0" applyFont="1" applyFill="1" applyBorder="1" applyAlignment="1">
      <alignment horizontal="center"/>
    </xf>
    <xf numFmtId="0" fontId="21" fillId="12" borderId="37" xfId="0" applyFont="1" applyFill="1" applyBorder="1" applyAlignment="1">
      <alignment horizontal="center"/>
    </xf>
    <xf numFmtId="0" fontId="21" fillId="18" borderId="35" xfId="0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0" xfId="0" applyFont="1" applyFill="1" applyBorder="1" applyAlignment="1">
      <alignment horizontal="center" vertical="center"/>
    </xf>
    <xf numFmtId="0" fontId="21" fillId="18" borderId="42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1" fillId="18" borderId="41" xfId="0" applyFont="1" applyFill="1" applyBorder="1" applyAlignment="1">
      <alignment horizontal="center" vertical="center"/>
    </xf>
    <xf numFmtId="0" fontId="21" fillId="17" borderId="35" xfId="0" applyFont="1" applyFill="1" applyBorder="1" applyAlignment="1">
      <alignment horizontal="center" vertical="center"/>
    </xf>
    <xf numFmtId="0" fontId="21" fillId="17" borderId="40" xfId="0" applyFont="1" applyFill="1" applyBorder="1" applyAlignment="1">
      <alignment horizontal="center" vertical="center"/>
    </xf>
    <xf numFmtId="0" fontId="21" fillId="17" borderId="0" xfId="0" applyFont="1" applyFill="1" applyBorder="1" applyAlignment="1">
      <alignment horizontal="center" vertical="center"/>
    </xf>
    <xf numFmtId="0" fontId="21" fillId="17" borderId="42" xfId="0" applyFont="1" applyFill="1" applyBorder="1" applyAlignment="1">
      <alignment horizontal="center" vertical="center"/>
    </xf>
    <xf numFmtId="0" fontId="21" fillId="17" borderId="43" xfId="0" applyFont="1" applyFill="1" applyBorder="1" applyAlignment="1">
      <alignment horizontal="center" vertical="center"/>
    </xf>
    <xf numFmtId="0" fontId="21" fillId="17" borderId="4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18" borderId="36" xfId="0" applyFont="1" applyFill="1" applyBorder="1" applyAlignment="1">
      <alignment horizontal="center"/>
    </xf>
    <xf numFmtId="0" fontId="21" fillId="18" borderId="37" xfId="0" applyFont="1" applyFill="1" applyBorder="1" applyAlignment="1">
      <alignment horizontal="center"/>
    </xf>
    <xf numFmtId="0" fontId="21" fillId="24" borderId="35" xfId="0" applyFont="1" applyFill="1" applyBorder="1" applyAlignment="1">
      <alignment horizontal="center" vertical="center"/>
    </xf>
    <xf numFmtId="0" fontId="21" fillId="24" borderId="40" xfId="0" applyFont="1" applyFill="1" applyBorder="1" applyAlignment="1">
      <alignment horizontal="center" vertical="center"/>
    </xf>
    <xf numFmtId="0" fontId="21" fillId="24" borderId="0" xfId="0" applyFont="1" applyFill="1" applyBorder="1" applyAlignment="1">
      <alignment horizontal="center" vertical="center"/>
    </xf>
    <xf numFmtId="0" fontId="21" fillId="24" borderId="42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25" fillId="21" borderId="0" xfId="0" quotePrefix="1" applyFont="1" applyFill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 wrapText="1"/>
    </xf>
    <xf numFmtId="0" fontId="25" fillId="21" borderId="44" xfId="0" quotePrefix="1" applyFont="1" applyFill="1" applyBorder="1" applyAlignment="1">
      <alignment horizontal="center" vertical="center"/>
    </xf>
    <xf numFmtId="0" fontId="25" fillId="21" borderId="45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18" fillId="6" borderId="34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3" fillId="13" borderId="0" xfId="0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center" vertical="center" wrapText="1"/>
    </xf>
    <xf numFmtId="0" fontId="13" fillId="13" borderId="21" xfId="0" applyFont="1" applyFill="1" applyBorder="1" applyAlignment="1">
      <alignment horizontal="center" vertical="center" wrapText="1"/>
    </xf>
    <xf numFmtId="0" fontId="13" fillId="13" borderId="29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/>
    </xf>
    <xf numFmtId="0" fontId="17" fillId="13" borderId="12" xfId="0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 vertical="center" wrapText="1"/>
    </xf>
    <xf numFmtId="0" fontId="17" fillId="13" borderId="0" xfId="0" applyFont="1" applyFill="1" applyBorder="1" applyAlignment="1">
      <alignment horizontal="center" vertical="center" wrapText="1"/>
    </xf>
    <xf numFmtId="0" fontId="17" fillId="13" borderId="15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shrinkToFit="1"/>
    </xf>
    <xf numFmtId="0" fontId="17" fillId="5" borderId="20" xfId="0" applyFont="1" applyFill="1" applyBorder="1" applyAlignment="1">
      <alignment horizontal="center" vertical="center" shrinkToFit="1"/>
    </xf>
    <xf numFmtId="0" fontId="17" fillId="5" borderId="21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13" borderId="27" xfId="0" applyFont="1" applyFill="1" applyBorder="1" applyAlignment="1">
      <alignment horizontal="center" vertical="center"/>
    </xf>
    <xf numFmtId="0" fontId="17" fillId="13" borderId="28" xfId="0" applyFont="1" applyFill="1" applyBorder="1" applyAlignment="1">
      <alignment horizontal="center" vertical="center"/>
    </xf>
    <xf numFmtId="0" fontId="18" fillId="17" borderId="34" xfId="0" applyFont="1" applyFill="1" applyBorder="1" applyAlignment="1">
      <alignment horizontal="center"/>
    </xf>
    <xf numFmtId="185" fontId="22" fillId="19" borderId="38" xfId="0" applyNumberFormat="1" applyFont="1" applyFill="1" applyBorder="1" applyAlignment="1">
      <alignment horizontal="center"/>
    </xf>
    <xf numFmtId="185" fontId="23" fillId="10" borderId="38" xfId="0" applyNumberFormat="1" applyFont="1" applyFill="1" applyBorder="1" applyAlignment="1">
      <alignment horizontal="center"/>
    </xf>
    <xf numFmtId="184" fontId="22" fillId="3" borderId="38" xfId="0" applyNumberFormat="1" applyFont="1" applyFill="1" applyBorder="1" applyAlignment="1">
      <alignment horizontal="center"/>
    </xf>
    <xf numFmtId="185" fontId="23" fillId="5" borderId="38" xfId="0" applyNumberFormat="1" applyFont="1" applyFill="1" applyBorder="1" applyAlignment="1">
      <alignment horizontal="center"/>
    </xf>
    <xf numFmtId="181" fontId="22" fillId="10" borderId="38" xfId="0" applyNumberFormat="1" applyFont="1" applyFill="1" applyBorder="1" applyAlignment="1">
      <alignment horizontal="center"/>
    </xf>
    <xf numFmtId="0" fontId="47" fillId="21" borderId="38" xfId="0" applyFont="1" applyFill="1" applyBorder="1" applyAlignment="1">
      <alignment horizontal="center"/>
    </xf>
    <xf numFmtId="0" fontId="48" fillId="21" borderId="38" xfId="0" applyFont="1" applyFill="1" applyBorder="1" applyAlignment="1">
      <alignment horizontal="center"/>
    </xf>
    <xf numFmtId="0" fontId="48" fillId="24" borderId="38" xfId="0" applyFont="1" applyFill="1" applyBorder="1" applyAlignment="1">
      <alignment horizontal="center"/>
    </xf>
    <xf numFmtId="0" fontId="49" fillId="16" borderId="38" xfId="0" applyFont="1" applyFill="1" applyBorder="1" applyAlignment="1">
      <alignment horizontal="center" vertical="center"/>
    </xf>
    <xf numFmtId="0" fontId="49" fillId="0" borderId="38" xfId="0" applyFont="1" applyBorder="1" applyAlignment="1">
      <alignment horizontal="center"/>
    </xf>
    <xf numFmtId="0" fontId="49" fillId="3" borderId="38" xfId="0" applyFont="1" applyFill="1" applyBorder="1" applyAlignment="1">
      <alignment horizontal="center"/>
    </xf>
    <xf numFmtId="0" fontId="49" fillId="0" borderId="73" xfId="0" applyFont="1" applyBorder="1" applyAlignment="1">
      <alignment horizontal="center" vertical="center"/>
    </xf>
    <xf numFmtId="0" fontId="49" fillId="0" borderId="68" xfId="0" applyFont="1" applyBorder="1" applyAlignment="1">
      <alignment horizontal="center" vertical="center"/>
    </xf>
    <xf numFmtId="41" fontId="49" fillId="0" borderId="38" xfId="2" applyFont="1" applyBorder="1" applyAlignment="1">
      <alignment horizontal="center"/>
    </xf>
    <xf numFmtId="41" fontId="49" fillId="3" borderId="38" xfId="2" applyFont="1" applyFill="1" applyBorder="1" applyAlignment="1">
      <alignment horizontal="center"/>
    </xf>
    <xf numFmtId="41" fontId="49" fillId="10" borderId="38" xfId="2" applyFont="1" applyFill="1" applyBorder="1" applyAlignment="1">
      <alignment horizontal="center"/>
    </xf>
    <xf numFmtId="41" fontId="49" fillId="10" borderId="38" xfId="2" applyFont="1" applyFill="1" applyBorder="1" applyAlignment="1">
      <alignment horizontal="center" vertical="center"/>
    </xf>
    <xf numFmtId="0" fontId="49" fillId="26" borderId="38" xfId="0" applyFont="1" applyFill="1" applyBorder="1" applyAlignment="1">
      <alignment horizontal="center"/>
    </xf>
    <xf numFmtId="0" fontId="49" fillId="16" borderId="40" xfId="0" applyFont="1" applyFill="1" applyBorder="1" applyAlignment="1">
      <alignment horizontal="center" vertical="center"/>
    </xf>
    <xf numFmtId="0" fontId="49" fillId="16" borderId="42" xfId="0" applyFont="1" applyFill="1" applyBorder="1" applyAlignment="1">
      <alignment horizontal="center" vertical="center"/>
    </xf>
    <xf numFmtId="0" fontId="49" fillId="16" borderId="41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1" xfId="0" applyBorder="1"/>
    <xf numFmtId="185" fontId="37" fillId="5" borderId="66" xfId="0" applyNumberFormat="1" applyFont="1" applyFill="1" applyBorder="1" applyAlignment="1">
      <alignment horizontal="center" vertical="center"/>
    </xf>
    <xf numFmtId="185" fontId="39" fillId="10" borderId="36" xfId="0" applyNumberFormat="1" applyFont="1" applyFill="1" applyBorder="1" applyAlignment="1">
      <alignment horizontal="center" vertical="center"/>
    </xf>
    <xf numFmtId="185" fontId="39" fillId="10" borderId="39" xfId="0" applyNumberFormat="1" applyFont="1" applyFill="1" applyBorder="1" applyAlignment="1">
      <alignment horizontal="center" vertical="center"/>
    </xf>
    <xf numFmtId="185" fontId="39" fillId="6" borderId="39" xfId="0" applyNumberFormat="1" applyFont="1" applyFill="1" applyBorder="1" applyAlignment="1">
      <alignment horizontal="center" vertical="center"/>
    </xf>
    <xf numFmtId="185" fontId="37" fillId="19" borderId="36" xfId="0" applyNumberFormat="1" applyFont="1" applyFill="1" applyBorder="1" applyAlignment="1">
      <alignment horizontal="center" vertical="center"/>
    </xf>
    <xf numFmtId="185" fontId="37" fillId="19" borderId="39" xfId="0" applyNumberFormat="1" applyFont="1" applyFill="1" applyBorder="1" applyAlignment="1">
      <alignment horizontal="center" vertical="center"/>
    </xf>
    <xf numFmtId="185" fontId="37" fillId="5" borderId="67" xfId="0" applyNumberFormat="1" applyFont="1" applyFill="1" applyBorder="1" applyAlignment="1">
      <alignment horizontal="center" vertical="center"/>
    </xf>
  </cellXfs>
  <cellStyles count="5">
    <cellStyle name="백분율" xfId="3" builtinId="5"/>
    <cellStyle name="쉼표 [0]" xfId="2" builtinId="6"/>
    <cellStyle name="표준" xfId="0" builtinId="0"/>
    <cellStyle name="표준 11" xfId="4" xr:uid="{712F42D1-86EC-4548-8868-736FABCD070D}"/>
    <cellStyle name="표준 123" xfId="1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소매!$B$65:$D$65</c:f>
              <c:strCache>
                <c:ptCount val="3"/>
                <c:pt idx="0">
                  <c:v>소매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83-4591-9576-8EAED678F649}"/>
                </c:ext>
              </c:extLst>
            </c:dLbl>
            <c:dLbl>
              <c:idx val="2"/>
              <c:layout>
                <c:manualLayout>
                  <c:x val="2.429298642834089E-2"/>
                  <c:y val="-4.9211018355147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3-4591-9576-8EAED678F649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3-4591-9576-8EAED678F649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50-4838-B5F3-0A5E077B7A08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소매!$Q$63:$AD$63</c15:sqref>
                  </c15:fullRef>
                </c:ext>
              </c:extLst>
              <c:f>(소매!$Q$63:$AB$63,소매!$AD$63)</c:f>
              <c:strCache>
                <c:ptCount val="13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25년 월평균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소매!$Q$65:$AD$65</c15:sqref>
                  </c15:fullRef>
                </c:ext>
              </c:extLst>
              <c:f>(소매!$Q$65:$AB$65,소매!$AD$65)</c:f>
              <c:numCache>
                <c:formatCode>General</c:formatCode>
                <c:ptCount val="13"/>
                <c:pt idx="0">
                  <c:v>20.4028175363175</c:v>
                </c:pt>
                <c:pt idx="1">
                  <c:v>20.814095912260047</c:v>
                </c:pt>
                <c:pt idx="2">
                  <c:v>20.926437392080526</c:v>
                </c:pt>
                <c:pt idx="3">
                  <c:v>20.153445729979644</c:v>
                </c:pt>
                <c:pt idx="4">
                  <c:v>19.901025872638563</c:v>
                </c:pt>
                <c:pt idx="5">
                  <c:v>20.510782387524806</c:v>
                </c:pt>
                <c:pt idx="6">
                  <c:v>25.571296610805998</c:v>
                </c:pt>
                <c:pt idx="7">
                  <c:v>23.976149658018429</c:v>
                </c:pt>
                <c:pt idx="8">
                  <c:v>24.6919041594325</c:v>
                </c:pt>
                <c:pt idx="9">
                  <c:v>24.564482698218477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83-4591-9576-8EAED678F649}"/>
            </c:ext>
          </c:extLst>
        </c:ser>
        <c:ser>
          <c:idx val="2"/>
          <c:order val="2"/>
          <c:tx>
            <c:strRef>
              <c:f>소매!$B$66:$D$66</c:f>
              <c:strCache>
                <c:ptCount val="3"/>
                <c:pt idx="0">
                  <c:v>소매</c:v>
                </c:pt>
                <c:pt idx="2">
                  <c:v>유선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소매!$Q$63:$AD$63</c15:sqref>
                  </c15:fullRef>
                </c:ext>
              </c:extLst>
              <c:f>(소매!$Q$63:$AB$63,소매!$AD$63)</c:f>
              <c:strCache>
                <c:ptCount val="13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25년 월평균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소매!$Q$66:$AD$66</c15:sqref>
                  </c15:fullRef>
                </c:ext>
              </c:extLst>
              <c:f>(소매!$Q$66:$AB$66,소매!$AD$66)</c:f>
              <c:numCache>
                <c:formatCode>General</c:formatCode>
                <c:ptCount val="13"/>
                <c:pt idx="0">
                  <c:v>3.4875360999999998</c:v>
                </c:pt>
                <c:pt idx="1">
                  <c:v>3.8872113545454545</c:v>
                </c:pt>
                <c:pt idx="2">
                  <c:v>4.1244590727272721</c:v>
                </c:pt>
                <c:pt idx="3">
                  <c:v>3.6559633545454542</c:v>
                </c:pt>
                <c:pt idx="4">
                  <c:v>3.6748937363636363</c:v>
                </c:pt>
                <c:pt idx="5">
                  <c:v>3.7174429909090905</c:v>
                </c:pt>
                <c:pt idx="6">
                  <c:v>3.74372358181818</c:v>
                </c:pt>
                <c:pt idx="7">
                  <c:v>3.8042216999999998</c:v>
                </c:pt>
                <c:pt idx="8">
                  <c:v>3.8213734818181813</c:v>
                </c:pt>
                <c:pt idx="9">
                  <c:v>3.8420483727272727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ser>
          <c:idx val="0"/>
          <c:order val="0"/>
          <c:tx>
            <c:strRef>
              <c:f>소매!$B$64:$D$64</c:f>
              <c:strCache>
                <c:ptCount val="3"/>
                <c:pt idx="0">
                  <c:v>소매</c:v>
                </c:pt>
                <c:pt idx="2">
                  <c:v>계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272264422826387E-2"/>
                  <c:y val="-6.9170726568877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50-4838-B5F3-0A5E077B7A08}"/>
                </c:ext>
              </c:extLst>
            </c:dLbl>
            <c:dLbl>
              <c:idx val="4"/>
              <c:layout>
                <c:manualLayout>
                  <c:x val="-2.8229704732329892E-2"/>
                  <c:y val="-8.1752297685197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83-4591-9576-8EAED678F649}"/>
                </c:ext>
              </c:extLst>
            </c:dLbl>
            <c:dLbl>
              <c:idx val="6"/>
              <c:layout>
                <c:manualLayout>
                  <c:x val="-2.4204470762819303E-2"/>
                  <c:y val="-9.495457298606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소매!$Q$63:$AD$63</c15:sqref>
                  </c15:fullRef>
                </c:ext>
              </c:extLst>
              <c:f>(소매!$Q$63:$AB$63,소매!$AD$63)</c:f>
              <c:strCache>
                <c:ptCount val="13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25년 월평균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소매!$Q$64:$AD$64</c15:sqref>
                  </c15:fullRef>
                </c:ext>
              </c:extLst>
              <c:f>(소매!$Q$64:$AB$64,소매!$AD$64)</c:f>
              <c:numCache>
                <c:formatCode>General</c:formatCode>
                <c:ptCount val="13"/>
                <c:pt idx="0">
                  <c:v>23.890353636317499</c:v>
                </c:pt>
                <c:pt idx="1">
                  <c:v>24.7013072668055</c:v>
                </c:pt>
                <c:pt idx="2">
                  <c:v>25.050896464807799</c:v>
                </c:pt>
                <c:pt idx="3">
                  <c:v>23.8094090845251</c:v>
                </c:pt>
                <c:pt idx="4">
                  <c:v>23.575919609002199</c:v>
                </c:pt>
                <c:pt idx="5">
                  <c:v>24.228225378433898</c:v>
                </c:pt>
                <c:pt idx="6">
                  <c:v>29.315020192624178</c:v>
                </c:pt>
                <c:pt idx="7">
                  <c:v>27.780371358018428</c:v>
                </c:pt>
                <c:pt idx="8">
                  <c:v>28.513277641250681</c:v>
                </c:pt>
                <c:pt idx="9">
                  <c:v>28.40653107094575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/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소매!$B$69:$D$69</c:f>
              <c:strCache>
                <c:ptCount val="3"/>
                <c:pt idx="0">
                  <c:v>기타</c:v>
                </c:pt>
                <c:pt idx="2">
                  <c:v>P3.0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83-4591-9576-8EAED678F649}"/>
                </c:ext>
              </c:extLst>
            </c:dLbl>
            <c:dLbl>
              <c:idx val="2"/>
              <c:layout>
                <c:manualLayout>
                  <c:x val="2.429298642834089E-2"/>
                  <c:y val="-4.9211018355147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3-4591-9576-8EAED678F649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3-4591-9576-8EAED678F649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3C-436D-A430-A08EB398E668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소매!$Q$67:$AD$67</c15:sqref>
                  </c15:fullRef>
                </c:ext>
              </c:extLst>
              <c:f>(소매!$Q$67:$AB$67,소매!$AD$67)</c:f>
              <c:strCache>
                <c:ptCount val="13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25년 월평균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소매!$Q$69:$AD$69</c15:sqref>
                  </c15:fullRef>
                </c:ext>
              </c:extLst>
              <c:f>(소매!$Q$69:$AB$69,소매!$AD$69)</c:f>
              <c:numCache>
                <c:formatCode>General</c:formatCode>
                <c:ptCount val="13"/>
                <c:pt idx="0">
                  <c:v>7.9</c:v>
                </c:pt>
                <c:pt idx="1">
                  <c:v>7.97160958</c:v>
                </c:pt>
                <c:pt idx="2">
                  <c:v>7.4216384199999998</c:v>
                </c:pt>
                <c:pt idx="3">
                  <c:v>7.6139127899999997</c:v>
                </c:pt>
                <c:pt idx="4">
                  <c:v>7.6228569999999998</c:v>
                </c:pt>
                <c:pt idx="5">
                  <c:v>7.7721819999999999</c:v>
                </c:pt>
                <c:pt idx="6">
                  <c:v>7.4912716799999997</c:v>
                </c:pt>
                <c:pt idx="7">
                  <c:v>6.6766701099999999</c:v>
                </c:pt>
                <c:pt idx="8">
                  <c:v>6.9000006899999997</c:v>
                </c:pt>
                <c:pt idx="9">
                  <c:v>6.8727279599999997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ser>
          <c:idx val="2"/>
          <c:order val="2"/>
          <c:tx>
            <c:strRef>
              <c:f>소매!$B$70:$D$70</c:f>
              <c:strCache>
                <c:ptCount val="3"/>
                <c:pt idx="0">
                  <c:v>기타</c:v>
                </c:pt>
                <c:pt idx="2">
                  <c:v>매장성수수료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소매!$Q$67:$AD$67</c15:sqref>
                  </c15:fullRef>
                </c:ext>
              </c:extLst>
              <c:f>(소매!$Q$67:$AB$67,소매!$AD$67)</c:f>
              <c:strCache>
                <c:ptCount val="13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25년 월평균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소매!$Q$70:$AD$70</c15:sqref>
                  </c15:fullRef>
                </c:ext>
              </c:extLst>
              <c:f>(소매!$Q$70:$AB$70,소매!$AD$70)</c:f>
              <c:numCache>
                <c:formatCode>General</c:formatCode>
                <c:ptCount val="13"/>
                <c:pt idx="0">
                  <c:v>0.60595882000000001</c:v>
                </c:pt>
                <c:pt idx="1">
                  <c:v>0.66603878000000005</c:v>
                </c:pt>
                <c:pt idx="2">
                  <c:v>0.63645967999999997</c:v>
                </c:pt>
                <c:pt idx="3">
                  <c:v>0.57387266000000003</c:v>
                </c:pt>
                <c:pt idx="4">
                  <c:v>0.69777632999999994</c:v>
                </c:pt>
                <c:pt idx="5">
                  <c:v>0.75951674000000002</c:v>
                </c:pt>
                <c:pt idx="6">
                  <c:v>0.68965745000000001</c:v>
                </c:pt>
                <c:pt idx="7">
                  <c:v>0.63667795999999999</c:v>
                </c:pt>
                <c:pt idx="8">
                  <c:v>0.63216598000000002</c:v>
                </c:pt>
                <c:pt idx="9">
                  <c:v>0.58205907999999995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C-436D-A430-A08EB398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소매!$B$68:$D$68</c15:sqref>
                        </c15:formulaRef>
                      </c:ext>
                    </c:extLst>
                    <c:strCache>
                      <c:ptCount val="3"/>
                      <c:pt idx="0">
                        <c:v>기타</c:v>
                      </c:pt>
                      <c:pt idx="2">
                        <c:v>계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9525">
                      <a:solidFill>
                        <a:sysClr val="windowText" lastClr="000000"/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2.8272264422826387E-2"/>
                        <c:y val="-6.917072656887789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B50-4838-B5F3-0A5E077B7A08}"/>
                      </c:ext>
                    </c:extLst>
                  </c:dLbl>
                  <c:dLbl>
                    <c:idx val="4"/>
                    <c:layout>
                      <c:manualLayout>
                        <c:x val="-2.8229704732329892E-2"/>
                        <c:y val="-8.17522976851973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8F83-4591-9576-8EAED678F649}"/>
                      </c:ext>
                    </c:extLst>
                  </c:dLbl>
                  <c:dLbl>
                    <c:idx val="6"/>
                    <c:layout>
                      <c:manualLayout>
                        <c:x val="-2.4204470762819303E-2"/>
                        <c:y val="-9.495457298606904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8F83-4591-9576-8EAED678F64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소매!$Q$67:$AD$67</c15:sqref>
                        </c15:fullRef>
                        <c15:formulaRef>
                          <c15:sqref>(소매!$Q$67:$AB$67,소매!$AD$67)</c15:sqref>
                        </c15:formulaRef>
                      </c:ext>
                    </c:extLst>
                    <c:strCache>
                      <c:ptCount val="13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  <c:pt idx="12">
                        <c:v>25년 월평균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소매!$Q$68:$AD$68</c15:sqref>
                        </c15:fullRef>
                        <c15:formulaRef>
                          <c15:sqref>(소매!$Q$68:$AB$68,소매!$AD$68)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6.0540025899999996</c:v>
                      </c:pt>
                      <c:pt idx="1">
                        <c:v>7.7356880200000004</c:v>
                      </c:pt>
                      <c:pt idx="2">
                        <c:v>4.7217180299999999</c:v>
                      </c:pt>
                      <c:pt idx="3">
                        <c:v>13.8960987</c:v>
                      </c:pt>
                      <c:pt idx="4">
                        <c:v>4.3757564899999997</c:v>
                      </c:pt>
                      <c:pt idx="5">
                        <c:v>13.00069583</c:v>
                      </c:pt>
                      <c:pt idx="6">
                        <c:v>7.4690453299999993</c:v>
                      </c:pt>
                      <c:pt idx="7">
                        <c:v>6.4659673599999996</c:v>
                      </c:pt>
                      <c:pt idx="8">
                        <c:v>8.0688768799999995</c:v>
                      </c:pt>
                      <c:pt idx="9">
                        <c:v>7.2972452399999996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F83-4591-9576-8EAED678F64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소매!$B$71:$D$71</c15:sqref>
                        </c15:formulaRef>
                      </c:ext>
                    </c:extLst>
                    <c:strCache>
                      <c:ptCount val="3"/>
                      <c:pt idx="0">
                        <c:v>기타</c:v>
                      </c:pt>
                      <c:pt idx="2">
                        <c:v>본사공통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소매!$Q$67:$AD$67</c15:sqref>
                        </c15:fullRef>
                        <c15:formulaRef>
                          <c15:sqref>(소매!$Q$67:$AB$67,소매!$AD$67)</c15:sqref>
                        </c15:formulaRef>
                      </c:ext>
                    </c:extLst>
                    <c:strCache>
                      <c:ptCount val="13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  <c:pt idx="12">
                        <c:v>25년 월평균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소매!$Q$71:$AD$71</c15:sqref>
                        </c15:fullRef>
                        <c15:formulaRef>
                          <c15:sqref>(소매!$Q$71:$AB$71,소매!$AD$71)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-2.45195623</c:v>
                      </c:pt>
                      <c:pt idx="1">
                        <c:v>-0.90196034000000003</c:v>
                      </c:pt>
                      <c:pt idx="2">
                        <c:v>-3.3363800700000001</c:v>
                      </c:pt>
                      <c:pt idx="3">
                        <c:v>5.7083132499999998</c:v>
                      </c:pt>
                      <c:pt idx="4">
                        <c:v>-3.9448768400000001</c:v>
                      </c:pt>
                      <c:pt idx="5">
                        <c:v>4.4689970900000002</c:v>
                      </c:pt>
                      <c:pt idx="6">
                        <c:v>-0.71188379999999996</c:v>
                      </c:pt>
                      <c:pt idx="7">
                        <c:v>-0.84738071000000004</c:v>
                      </c:pt>
                      <c:pt idx="8">
                        <c:v>0.53671020999999997</c:v>
                      </c:pt>
                      <c:pt idx="9">
                        <c:v>-0.15754180000000001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3C-436D-A430-A08EB398E668}"/>
                  </c:ext>
                </c:extLst>
              </c15:ser>
            </c15:filteredLineSeries>
          </c:ext>
        </c:extLst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소매!$B$74:$D$74</c:f>
              <c:strCache>
                <c:ptCount val="3"/>
                <c:pt idx="0">
                  <c:v>소매 가입자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83-4591-9576-8EAED678F649}"/>
                </c:ext>
              </c:extLst>
            </c:dLbl>
            <c:dLbl>
              <c:idx val="2"/>
              <c:layout>
                <c:manualLayout>
                  <c:x val="2.429298642834089E-2"/>
                  <c:y val="-4.9211018355147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3-4591-9576-8EAED678F649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3-4591-9576-8EAED678F649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D2-4B16-B286-A716CB24C82B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소매!$Q$72:$AB$72</c:f>
              <c:numCache>
                <c:formatCode>General</c:formatCod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numCache>
            </c:numRef>
          </c:cat>
          <c:val>
            <c:numRef>
              <c:f>소매!$Q$74:$AB$74</c:f>
              <c:numCache>
                <c:formatCode>#,##0"명"</c:formatCode>
                <c:ptCount val="12"/>
                <c:pt idx="0">
                  <c:v>751971</c:v>
                </c:pt>
                <c:pt idx="1">
                  <c:v>752950</c:v>
                </c:pt>
                <c:pt idx="2">
                  <c:v>752266</c:v>
                </c:pt>
                <c:pt idx="3">
                  <c:v>754111</c:v>
                </c:pt>
                <c:pt idx="4">
                  <c:v>766608</c:v>
                </c:pt>
                <c:pt idx="5">
                  <c:v>764910</c:v>
                </c:pt>
                <c:pt idx="6">
                  <c:v>762687</c:v>
                </c:pt>
                <c:pt idx="7">
                  <c:v>758312</c:v>
                </c:pt>
                <c:pt idx="8">
                  <c:v>753607</c:v>
                </c:pt>
                <c:pt idx="9">
                  <c:v>748268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8F83-4591-9576-8EAED678F649}"/>
            </c:ext>
          </c:extLst>
        </c:ser>
        <c:ser>
          <c:idx val="2"/>
          <c:order val="2"/>
          <c:tx>
            <c:strRef>
              <c:f>소매!$B$77:$D$77</c:f>
              <c:strCache>
                <c:ptCount val="3"/>
                <c:pt idx="0">
                  <c:v>소매 가입자</c:v>
                </c:pt>
                <c:pt idx="2">
                  <c:v>TV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소매!$Q$72:$AB$72</c:f>
              <c:numCache>
                <c:formatCode>General</c:formatCod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numCache>
            </c:numRef>
          </c:cat>
          <c:val>
            <c:numRef>
              <c:f>소매!$Q$77:$AB$77</c:f>
              <c:numCache>
                <c:formatCode>#,##0"명"</c:formatCode>
                <c:ptCount val="12"/>
                <c:pt idx="0">
                  <c:v>59095</c:v>
                </c:pt>
                <c:pt idx="1">
                  <c:v>60108</c:v>
                </c:pt>
                <c:pt idx="2">
                  <c:v>60331</c:v>
                </c:pt>
                <c:pt idx="3">
                  <c:v>61270</c:v>
                </c:pt>
                <c:pt idx="4">
                  <c:v>64262</c:v>
                </c:pt>
                <c:pt idx="5">
                  <c:v>64950</c:v>
                </c:pt>
                <c:pt idx="6">
                  <c:v>66419</c:v>
                </c:pt>
                <c:pt idx="7">
                  <c:v>66990</c:v>
                </c:pt>
                <c:pt idx="8">
                  <c:v>67392</c:v>
                </c:pt>
                <c:pt idx="9">
                  <c:v>66846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소매!$B$73:$D$73</c15:sqref>
                        </c15:formulaRef>
                      </c:ext>
                    </c:extLst>
                    <c:strCache>
                      <c:ptCount val="3"/>
                      <c:pt idx="0">
                        <c:v>소매 가입자</c:v>
                      </c:pt>
                      <c:pt idx="2">
                        <c:v>계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9525">
                      <a:solidFill>
                        <a:sysClr val="windowText" lastClr="000000"/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2.8272264422826387E-2"/>
                        <c:y val="-6.917072656887789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B50-4838-B5F3-0A5E077B7A08}"/>
                      </c:ext>
                    </c:extLst>
                  </c:dLbl>
                  <c:dLbl>
                    <c:idx val="4"/>
                    <c:layout>
                      <c:manualLayout>
                        <c:x val="-2.8229704732329892E-2"/>
                        <c:y val="-8.17522976851973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8F83-4591-9576-8EAED678F649}"/>
                      </c:ext>
                    </c:extLst>
                  </c:dLbl>
                  <c:dLbl>
                    <c:idx val="6"/>
                    <c:layout>
                      <c:manualLayout>
                        <c:x val="-2.4204470762819303E-2"/>
                        <c:y val="-9.495457298606904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8F83-4591-9576-8EAED678F64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소매!$Q$72:$AB$72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소매!$Q$73:$AB$73</c15:sqref>
                        </c15:formulaRef>
                      </c:ext>
                    </c:extLst>
                    <c:numCache>
                      <c:formatCode>#,##0"명"</c:formatCode>
                      <c:ptCount val="12"/>
                      <c:pt idx="0">
                        <c:v>863927</c:v>
                      </c:pt>
                      <c:pt idx="1">
                        <c:v>867687</c:v>
                      </c:pt>
                      <c:pt idx="2">
                        <c:v>868817</c:v>
                      </c:pt>
                      <c:pt idx="3">
                        <c:v>873806</c:v>
                      </c:pt>
                      <c:pt idx="4">
                        <c:v>891478</c:v>
                      </c:pt>
                      <c:pt idx="5">
                        <c:v>829860</c:v>
                      </c:pt>
                      <c:pt idx="6">
                        <c:v>829106</c:v>
                      </c:pt>
                      <c:pt idx="7">
                        <c:v>825302</c:v>
                      </c:pt>
                      <c:pt idx="8">
                        <c:v>820999</c:v>
                      </c:pt>
                      <c:pt idx="9">
                        <c:v>815114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F83-4591-9576-8EAED678F64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소매!$Q$72:$AB$72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5D2-4B16-B286-A716CB24C82B}"/>
                  </c:ext>
                </c:extLst>
              </c15:ser>
            </c15:filteredLineSeries>
          </c:ext>
        </c:extLst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명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소매!$B$80:$D$80</c:f>
              <c:strCache>
                <c:ptCount val="3"/>
                <c:pt idx="0">
                  <c:v>소매 capa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83-4591-9576-8EAED678F649}"/>
                </c:ext>
              </c:extLst>
            </c:dLbl>
            <c:dLbl>
              <c:idx val="2"/>
              <c:layout>
                <c:manualLayout>
                  <c:x val="-2.5579329193474859E-2"/>
                  <c:y val="-0.123591462224246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3-4591-9576-8EAED678F649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3-4591-9576-8EAED678F649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7C-42C0-9FBD-295FC4CD9BD2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소매!$Q$78:$AC$78</c15:sqref>
                  </c15:fullRef>
                </c:ext>
              </c:extLst>
              <c:f>소매!$Q$78:$AB$78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소매!$Q$80:$AC$80</c15:sqref>
                  </c15:fullRef>
                </c:ext>
              </c:extLst>
              <c:f>소매!$Q$80:$AB$80</c:f>
              <c:numCache>
                <c:formatCode>#,##0"건"</c:formatCode>
                <c:ptCount val="12"/>
                <c:pt idx="0">
                  <c:v>11930</c:v>
                </c:pt>
                <c:pt idx="1">
                  <c:v>25000</c:v>
                </c:pt>
                <c:pt idx="2">
                  <c:v>17145</c:v>
                </c:pt>
                <c:pt idx="3">
                  <c:v>22354</c:v>
                </c:pt>
                <c:pt idx="4">
                  <c:v>29195</c:v>
                </c:pt>
                <c:pt idx="5">
                  <c:v>18050</c:v>
                </c:pt>
                <c:pt idx="6">
                  <c:v>29155</c:v>
                </c:pt>
                <c:pt idx="7">
                  <c:v>17775</c:v>
                </c:pt>
                <c:pt idx="8">
                  <c:v>23129</c:v>
                </c:pt>
                <c:pt idx="9">
                  <c:v>15351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83-4591-9576-8EAED678F649}"/>
            </c:ext>
          </c:extLst>
        </c:ser>
        <c:ser>
          <c:idx val="2"/>
          <c:order val="2"/>
          <c:tx>
            <c:strRef>
              <c:f>소매!$B$83:$D$83</c:f>
              <c:strCache>
                <c:ptCount val="3"/>
                <c:pt idx="0">
                  <c:v>소매 capa</c:v>
                </c:pt>
                <c:pt idx="2">
                  <c:v>TV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소매!$Q$78:$AC$78</c15:sqref>
                  </c15:fullRef>
                </c:ext>
              </c:extLst>
              <c:f>소매!$Q$78:$AB$78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소매!$Q$83:$AC$83</c15:sqref>
                  </c15:fullRef>
                </c:ext>
              </c:extLst>
              <c:f>소매!$Q$83:$AB$83</c:f>
              <c:numCache>
                <c:formatCode>#,##0"건"</c:formatCode>
                <c:ptCount val="12"/>
                <c:pt idx="0">
                  <c:v>1327</c:v>
                </c:pt>
                <c:pt idx="1">
                  <c:v>2719</c:v>
                </c:pt>
                <c:pt idx="2">
                  <c:v>2053</c:v>
                </c:pt>
                <c:pt idx="3">
                  <c:v>2414</c:v>
                </c:pt>
                <c:pt idx="4">
                  <c:v>3928.9999999999995</c:v>
                </c:pt>
                <c:pt idx="5">
                  <c:v>2208</c:v>
                </c:pt>
                <c:pt idx="6">
                  <c:v>3049</c:v>
                </c:pt>
                <c:pt idx="7">
                  <c:v>2187</c:v>
                </c:pt>
                <c:pt idx="8">
                  <c:v>2132</c:v>
                </c:pt>
                <c:pt idx="9">
                  <c:v>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소매!$B$79:$D$79</c15:sqref>
                        </c15:formulaRef>
                      </c:ext>
                    </c:extLst>
                    <c:strCache>
                      <c:ptCount val="3"/>
                      <c:pt idx="0">
                        <c:v>소매 capa</c:v>
                      </c:pt>
                      <c:pt idx="2">
                        <c:v>계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9525">
                      <a:solidFill>
                        <a:sysClr val="windowText" lastClr="000000"/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2.8272264422826387E-2"/>
                        <c:y val="-6.917072656887789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B50-4838-B5F3-0A5E077B7A08}"/>
                      </c:ext>
                    </c:extLst>
                  </c:dLbl>
                  <c:dLbl>
                    <c:idx val="4"/>
                    <c:layout>
                      <c:manualLayout>
                        <c:x val="-2.8229704732329892E-2"/>
                        <c:y val="-8.17522976851973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8F83-4591-9576-8EAED678F649}"/>
                      </c:ext>
                    </c:extLst>
                  </c:dLbl>
                  <c:dLbl>
                    <c:idx val="6"/>
                    <c:layout>
                      <c:manualLayout>
                        <c:x val="-2.4204470762819303E-2"/>
                        <c:y val="-9.495457298606904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8F83-4591-9576-8EAED678F64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소매!$Q$78:$AC$78</c15:sqref>
                        </c15:fullRef>
                        <c15:formulaRef>
                          <c15:sqref>소매!$Q$78:$AB$78</c15:sqref>
                        </c15:formulaRef>
                      </c:ext>
                    </c:extLst>
                    <c:strCache>
                      <c:ptCount val="12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소매!$Q$79:$AC$79</c15:sqref>
                        </c15:fullRef>
                        <c15:formulaRef>
                          <c15:sqref>소매!$Q$79:$AB$79</c15:sqref>
                        </c15:formulaRef>
                      </c:ext>
                    </c:extLst>
                    <c:numCache>
                      <c:formatCode>#,##0"건"</c:formatCode>
                      <c:ptCount val="12"/>
                      <c:pt idx="0">
                        <c:v>14423</c:v>
                      </c:pt>
                      <c:pt idx="1">
                        <c:v>29919</c:v>
                      </c:pt>
                      <c:pt idx="2">
                        <c:v>20890</c:v>
                      </c:pt>
                      <c:pt idx="3">
                        <c:v>26775</c:v>
                      </c:pt>
                      <c:pt idx="4">
                        <c:v>36758</c:v>
                      </c:pt>
                      <c:pt idx="5">
                        <c:v>20258</c:v>
                      </c:pt>
                      <c:pt idx="6">
                        <c:v>32204</c:v>
                      </c:pt>
                      <c:pt idx="7">
                        <c:v>19962</c:v>
                      </c:pt>
                      <c:pt idx="8">
                        <c:v>25261</c:v>
                      </c:pt>
                      <c:pt idx="9">
                        <c:v>16884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F83-4591-9576-8EAED678F649}"/>
                  </c:ext>
                </c:extLst>
              </c15:ser>
            </c15:filteredLineSeries>
          </c:ext>
        </c:extLst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건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#,##0&quot;건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소매!$B$88:$D$88</c:f>
              <c:strCache>
                <c:ptCount val="3"/>
                <c:pt idx="0">
                  <c:v>소매 순증</c:v>
                </c:pt>
                <c:pt idx="2">
                  <c:v>TV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83-4591-9576-8EAED678F649}"/>
                </c:ext>
              </c:extLst>
            </c:dLbl>
            <c:dLbl>
              <c:idx val="2"/>
              <c:layout>
                <c:manualLayout>
                  <c:x val="-2.5579329193474859E-2"/>
                  <c:y val="-0.123591462224246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83-4591-9576-8EAED678F649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83-4591-9576-8EAED678F649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61-4E22-A9E6-4695C88FD34B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소매!$Q$84:$AC$84</c15:sqref>
                  </c15:fullRef>
                </c:ext>
              </c:extLst>
              <c:f>소매!$Q$84:$AB$84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소매!$Q$88:$AC$88</c15:sqref>
                  </c15:fullRef>
                </c:ext>
              </c:extLst>
              <c:f>소매!$Q$88:$AB$88</c:f>
              <c:numCache>
                <c:formatCode>#,##0"건"</c:formatCode>
                <c:ptCount val="12"/>
                <c:pt idx="0">
                  <c:v>-478</c:v>
                </c:pt>
                <c:pt idx="1">
                  <c:v>1013</c:v>
                </c:pt>
                <c:pt idx="2">
                  <c:v>223</c:v>
                </c:pt>
                <c:pt idx="3">
                  <c:v>939</c:v>
                </c:pt>
                <c:pt idx="4">
                  <c:v>2992</c:v>
                </c:pt>
                <c:pt idx="5">
                  <c:v>688</c:v>
                </c:pt>
                <c:pt idx="6">
                  <c:v>1469</c:v>
                </c:pt>
                <c:pt idx="7">
                  <c:v>571</c:v>
                </c:pt>
                <c:pt idx="8">
                  <c:v>402</c:v>
                </c:pt>
                <c:pt idx="9">
                  <c:v>-546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ser>
          <c:idx val="0"/>
          <c:order val="0"/>
          <c:tx>
            <c:strRef>
              <c:f>소매!$B$85:$D$85</c:f>
              <c:strCache>
                <c:ptCount val="3"/>
                <c:pt idx="0">
                  <c:v>소매 순증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272264422826387E-2"/>
                  <c:y val="-6.9170726568877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50-4838-B5F3-0A5E077B7A08}"/>
                </c:ext>
              </c:extLst>
            </c:dLbl>
            <c:dLbl>
              <c:idx val="4"/>
              <c:layout>
                <c:manualLayout>
                  <c:x val="-2.8229704732329892E-2"/>
                  <c:y val="-8.1752297685197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83-4591-9576-8EAED678F649}"/>
                </c:ext>
              </c:extLst>
            </c:dLbl>
            <c:dLbl>
              <c:idx val="6"/>
              <c:layout>
                <c:manualLayout>
                  <c:x val="-2.4204470762819303E-2"/>
                  <c:y val="-9.495457298606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소매!$Q$84:$AC$84</c15:sqref>
                  </c15:fullRef>
                </c:ext>
              </c:extLst>
              <c:f>소매!$Q$84:$AB$84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소매!$Q$85:$AC$85</c15:sqref>
                  </c15:fullRef>
                </c:ext>
              </c:extLst>
              <c:f>소매!$Q$85:$AB$85</c:f>
              <c:numCache>
                <c:formatCode>#,##0"건"</c:formatCode>
                <c:ptCount val="12"/>
                <c:pt idx="0">
                  <c:v>-3840</c:v>
                </c:pt>
                <c:pt idx="1">
                  <c:v>979</c:v>
                </c:pt>
                <c:pt idx="2">
                  <c:v>-684</c:v>
                </c:pt>
                <c:pt idx="3">
                  <c:v>1845</c:v>
                </c:pt>
                <c:pt idx="4">
                  <c:v>12497</c:v>
                </c:pt>
                <c:pt idx="5">
                  <c:v>-1698</c:v>
                </c:pt>
                <c:pt idx="6">
                  <c:v>-2223</c:v>
                </c:pt>
                <c:pt idx="7">
                  <c:v>-4375</c:v>
                </c:pt>
                <c:pt idx="8">
                  <c:v>-4705</c:v>
                </c:pt>
                <c:pt idx="9">
                  <c:v>-5339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/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건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#,##0&quot;건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소매!$B$90:$D$90</c:f>
              <c:strCache>
                <c:ptCount val="3"/>
                <c:pt idx="0">
                  <c:v>소매 유지 arpu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272264422826387E-2"/>
                  <c:y val="-6.9170726568877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50-4838-B5F3-0A5E077B7A08}"/>
                </c:ext>
              </c:extLst>
            </c:dLbl>
            <c:dLbl>
              <c:idx val="4"/>
              <c:layout>
                <c:manualLayout>
                  <c:x val="-2.8229704732329892E-2"/>
                  <c:y val="-8.1752297685197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83-4591-9576-8EAED678F649}"/>
                </c:ext>
              </c:extLst>
            </c:dLbl>
            <c:dLbl>
              <c:idx val="6"/>
              <c:layout>
                <c:manualLayout>
                  <c:x val="-2.4204470762819303E-2"/>
                  <c:y val="-9.495457298606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83-4591-9576-8EAED678F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소매!$Q$89:$AC$89</c15:sqref>
                  </c15:fullRef>
                </c:ext>
              </c:extLst>
              <c:f>소매!$Q$89:$AB$89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소매!$Q$90:$AC$90</c15:sqref>
                  </c15:fullRef>
                </c:ext>
              </c:extLst>
              <c:f>소매!$Q$90:$AB$90</c:f>
              <c:numCache>
                <c:formatCode>#,##0"원"</c:formatCode>
                <c:ptCount val="12"/>
                <c:pt idx="0">
                  <c:v>35678.626215938981</c:v>
                </c:pt>
                <c:pt idx="1">
                  <c:v>37001.880361050949</c:v>
                </c:pt>
                <c:pt idx="2">
                  <c:v>36838.852443605792</c:v>
                </c:pt>
                <c:pt idx="3">
                  <c:v>35641.468584161645</c:v>
                </c:pt>
                <c:pt idx="4">
                  <c:v>34924.972947946393</c:v>
                </c:pt>
                <c:pt idx="5">
                  <c:v>34624.430533831059</c:v>
                </c:pt>
                <c:pt idx="6">
                  <c:v>43389.052392684716</c:v>
                </c:pt>
                <c:pt idx="7">
                  <c:v>40917.140149391045</c:v>
                </c:pt>
                <c:pt idx="8">
                  <c:v>42401.714570335425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F83-4591-9576-8EAED678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/>
      </c:lineChart>
      <c:valAx>
        <c:axId val="1814388703"/>
        <c:scaling>
          <c:orientation val="minMax"/>
        </c:scaling>
        <c:delete val="1"/>
        <c:axPos val="r"/>
        <c:numFmt formatCode="#,##0&quot;원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'소매 (E)'!$B$64:$D$64</c:f>
              <c:strCache>
                <c:ptCount val="3"/>
                <c:pt idx="0">
                  <c:v>소매 가입자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91-445D-9C86-169640B5ED45}"/>
                </c:ext>
              </c:extLst>
            </c:dLbl>
            <c:dLbl>
              <c:idx val="2"/>
              <c:layout>
                <c:manualLayout>
                  <c:x val="2.429298642834089E-2"/>
                  <c:y val="-4.9211018355147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91-445D-9C86-169640B5ED45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91-445D-9C86-169640B5ED45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91-445D-9C86-169640B5ED45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91-445D-9C86-169640B5ED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'소매 (E)'!$R$62:$AC$62</c:f>
              <c:numCache>
                <c:formatCode>General</c:formatCod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numCache>
            </c:numRef>
          </c:cat>
          <c:val>
            <c:numRef>
              <c:f>'소매 (E)'!$R$64:$AC$64</c:f>
              <c:numCache>
                <c:formatCode>#,##0"명"</c:formatCode>
                <c:ptCount val="12"/>
                <c:pt idx="0">
                  <c:v>751971</c:v>
                </c:pt>
                <c:pt idx="1">
                  <c:v>752950</c:v>
                </c:pt>
                <c:pt idx="2">
                  <c:v>752266</c:v>
                </c:pt>
                <c:pt idx="3">
                  <c:v>754111</c:v>
                </c:pt>
                <c:pt idx="4">
                  <c:v>766608</c:v>
                </c:pt>
                <c:pt idx="5">
                  <c:v>764910</c:v>
                </c:pt>
                <c:pt idx="6">
                  <c:v>762687</c:v>
                </c:pt>
                <c:pt idx="7">
                  <c:v>758312</c:v>
                </c:pt>
                <c:pt idx="8">
                  <c:v>753607</c:v>
                </c:pt>
                <c:pt idx="9">
                  <c:v>748268</c:v>
                </c:pt>
                <c:pt idx="10">
                  <c:v>742935</c:v>
                </c:pt>
                <c:pt idx="11">
                  <c:v>734795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91-445D-9C86-169640B5ED45}"/>
            </c:ext>
          </c:extLst>
        </c:ser>
        <c:ser>
          <c:idx val="2"/>
          <c:order val="2"/>
          <c:tx>
            <c:strRef>
              <c:f>'소매 (E)'!$B$65:$D$65</c:f>
              <c:strCache>
                <c:ptCount val="3"/>
                <c:pt idx="0">
                  <c:v>소매 가입자</c:v>
                </c:pt>
                <c:pt idx="2">
                  <c:v>유선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'소매 (E)'!$R$62:$AC$62</c:f>
              <c:numCache>
                <c:formatCode>General</c:formatCod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numCache>
            </c:numRef>
          </c:cat>
          <c:val>
            <c:numRef>
              <c:f>'소매 (E)'!$R$65:$AC$65</c:f>
              <c:numCache>
                <c:formatCode>#,##0"명"</c:formatCode>
                <c:ptCount val="12"/>
                <c:pt idx="0">
                  <c:v>128645</c:v>
                </c:pt>
                <c:pt idx="1">
                  <c:v>129575</c:v>
                </c:pt>
                <c:pt idx="2">
                  <c:v>129166</c:v>
                </c:pt>
                <c:pt idx="3">
                  <c:v>129992</c:v>
                </c:pt>
                <c:pt idx="4">
                  <c:v>134949</c:v>
                </c:pt>
                <c:pt idx="5">
                  <c:v>135217</c:v>
                </c:pt>
                <c:pt idx="6">
                  <c:v>137095</c:v>
                </c:pt>
                <c:pt idx="7">
                  <c:v>137024</c:v>
                </c:pt>
                <c:pt idx="8">
                  <c:v>136903</c:v>
                </c:pt>
                <c:pt idx="9">
                  <c:v>135234</c:v>
                </c:pt>
                <c:pt idx="10">
                  <c:v>133798</c:v>
                </c:pt>
                <c:pt idx="11">
                  <c:v>132676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91-445D-9C86-169640B5E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'소매 (E)'!$B$63:$D$63</c15:sqref>
                        </c15:formulaRef>
                      </c:ext>
                    </c:extLst>
                    <c:strCache>
                      <c:ptCount val="3"/>
                      <c:pt idx="0">
                        <c:v>소매 가입자</c:v>
                      </c:pt>
                      <c:pt idx="2">
                        <c:v>계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9525">
                      <a:solidFill>
                        <a:sysClr val="windowText" lastClr="000000"/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2.8272264422826387E-2"/>
                        <c:y val="-6.917072656887789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F791-445D-9C86-169640B5ED45}"/>
                      </c:ext>
                    </c:extLst>
                  </c:dLbl>
                  <c:dLbl>
                    <c:idx val="4"/>
                    <c:layout>
                      <c:manualLayout>
                        <c:x val="-2.8229704732329892E-2"/>
                        <c:y val="-8.17522976851973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F791-445D-9C86-169640B5ED45}"/>
                      </c:ext>
                    </c:extLst>
                  </c:dLbl>
                  <c:dLbl>
                    <c:idx val="6"/>
                    <c:layout>
                      <c:manualLayout>
                        <c:x val="-2.4204470762819303E-2"/>
                        <c:y val="-9.495457298606904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F791-445D-9C86-169640B5ED4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'소매 (E)'!$R$62:$AC$62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'소매 (E)'!$R$63:$AC$63</c15:sqref>
                        </c15:formulaRef>
                      </c:ext>
                    </c:extLst>
                    <c:numCache>
                      <c:formatCode>#,##0"명"</c:formatCode>
                      <c:ptCount val="12"/>
                      <c:pt idx="0">
                        <c:v>863927</c:v>
                      </c:pt>
                      <c:pt idx="1">
                        <c:v>867687</c:v>
                      </c:pt>
                      <c:pt idx="2">
                        <c:v>868817</c:v>
                      </c:pt>
                      <c:pt idx="3">
                        <c:v>873806</c:v>
                      </c:pt>
                      <c:pt idx="4">
                        <c:v>891478</c:v>
                      </c:pt>
                      <c:pt idx="5">
                        <c:v>900127</c:v>
                      </c:pt>
                      <c:pt idx="6">
                        <c:v>899782</c:v>
                      </c:pt>
                      <c:pt idx="7">
                        <c:v>895336</c:v>
                      </c:pt>
                      <c:pt idx="8">
                        <c:v>890510</c:v>
                      </c:pt>
                      <c:pt idx="9">
                        <c:v>883502</c:v>
                      </c:pt>
                      <c:pt idx="10">
                        <c:v>876733</c:v>
                      </c:pt>
                      <c:pt idx="11">
                        <c:v>867471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F791-445D-9C86-169640B5ED4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'소매 (E)'!$R$62:$AC$62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소매!#REF!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791-445D-9C86-169640B5ED45}"/>
                  </c:ext>
                </c:extLst>
              </c15:ser>
            </c15:filteredLineSeries>
          </c:ext>
        </c:extLst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명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'소매 (E)'!$B$70:$D$70</c:f>
              <c:strCache>
                <c:ptCount val="3"/>
                <c:pt idx="0">
                  <c:v>소매 capa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56-4FA7-A9F4-1C639ADF4D8D}"/>
                </c:ext>
              </c:extLst>
            </c:dLbl>
            <c:dLbl>
              <c:idx val="2"/>
              <c:layout>
                <c:manualLayout>
                  <c:x val="-2.5579329193474859E-2"/>
                  <c:y val="-0.123591462224246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56-4FA7-A9F4-1C639ADF4D8D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56-4FA7-A9F4-1C639ADF4D8D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56-4FA7-A9F4-1C639ADF4D8D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56-4FA7-A9F4-1C639ADF4D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'소매 (E)'!$R$68:$AQ$68</c15:sqref>
                  </c15:fullRef>
                </c:ext>
              </c:extLst>
              <c:f>('소매 (E)'!$R$68:$AC$68,'소매 (E)'!$AE$68:$AQ$68)</c:f>
              <c:strCache>
                <c:ptCount val="25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2601</c:v>
                </c:pt>
                <c:pt idx="13">
                  <c:v>2602</c:v>
                </c:pt>
                <c:pt idx="14">
                  <c:v>2603</c:v>
                </c:pt>
                <c:pt idx="15">
                  <c:v>2604</c:v>
                </c:pt>
                <c:pt idx="16">
                  <c:v>2605</c:v>
                </c:pt>
                <c:pt idx="17">
                  <c:v>2606</c:v>
                </c:pt>
                <c:pt idx="18">
                  <c:v>2607</c:v>
                </c:pt>
                <c:pt idx="19">
                  <c:v>2608</c:v>
                </c:pt>
                <c:pt idx="20">
                  <c:v>2609</c:v>
                </c:pt>
                <c:pt idx="21">
                  <c:v>2610</c:v>
                </c:pt>
                <c:pt idx="22">
                  <c:v>2611</c:v>
                </c:pt>
                <c:pt idx="23">
                  <c:v>2612</c:v>
                </c:pt>
                <c:pt idx="24">
                  <c:v>25년 누적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'소매 (E)'!$R$70:$AQ$70</c15:sqref>
                  </c15:fullRef>
                </c:ext>
              </c:extLst>
              <c:f>('소매 (E)'!$R$70:$AC$70,'소매 (E)'!$AE$70:$AQ$70)</c:f>
              <c:numCache>
                <c:formatCode>#,##0"건"</c:formatCode>
                <c:ptCount val="25"/>
                <c:pt idx="0">
                  <c:v>11930</c:v>
                </c:pt>
                <c:pt idx="1">
                  <c:v>25000</c:v>
                </c:pt>
                <c:pt idx="2">
                  <c:v>17145</c:v>
                </c:pt>
                <c:pt idx="3">
                  <c:v>22356</c:v>
                </c:pt>
                <c:pt idx="4">
                  <c:v>29195</c:v>
                </c:pt>
                <c:pt idx="5">
                  <c:v>18050</c:v>
                </c:pt>
                <c:pt idx="6">
                  <c:v>29155</c:v>
                </c:pt>
                <c:pt idx="7">
                  <c:v>17775</c:v>
                </c:pt>
                <c:pt idx="8">
                  <c:v>23129</c:v>
                </c:pt>
                <c:pt idx="9">
                  <c:v>15351</c:v>
                </c:pt>
                <c:pt idx="10">
                  <c:v>13674</c:v>
                </c:pt>
                <c:pt idx="11">
                  <c:v>12817</c:v>
                </c:pt>
                <c:pt idx="12">
                  <c:v>11930</c:v>
                </c:pt>
                <c:pt idx="13">
                  <c:v>25000</c:v>
                </c:pt>
                <c:pt idx="14">
                  <c:v>17145</c:v>
                </c:pt>
                <c:pt idx="15">
                  <c:v>22356</c:v>
                </c:pt>
                <c:pt idx="16">
                  <c:v>29195</c:v>
                </c:pt>
                <c:pt idx="17">
                  <c:v>18050</c:v>
                </c:pt>
                <c:pt idx="18">
                  <c:v>29155</c:v>
                </c:pt>
                <c:pt idx="19">
                  <c:v>17775</c:v>
                </c:pt>
                <c:pt idx="20">
                  <c:v>23129</c:v>
                </c:pt>
                <c:pt idx="21">
                  <c:v>15351</c:v>
                </c:pt>
                <c:pt idx="22">
                  <c:v>13674</c:v>
                </c:pt>
                <c:pt idx="23">
                  <c:v>12817</c:v>
                </c:pt>
                <c:pt idx="24">
                  <c:v>76429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56-4FA7-A9F4-1C639ADF4D8D}"/>
            </c:ext>
          </c:extLst>
        </c:ser>
        <c:ser>
          <c:idx val="2"/>
          <c:order val="2"/>
          <c:tx>
            <c:strRef>
              <c:f>'소매 (E)'!$B$71:$D$71</c:f>
              <c:strCache>
                <c:ptCount val="3"/>
                <c:pt idx="0">
                  <c:v>소매 capa</c:v>
                </c:pt>
                <c:pt idx="2">
                  <c:v>유선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'소매 (E)'!$R$68:$AQ$68</c15:sqref>
                  </c15:fullRef>
                </c:ext>
              </c:extLst>
              <c:f>('소매 (E)'!$R$68:$AC$68,'소매 (E)'!$AE$68:$AQ$68)</c:f>
              <c:strCache>
                <c:ptCount val="25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2601</c:v>
                </c:pt>
                <c:pt idx="13">
                  <c:v>2602</c:v>
                </c:pt>
                <c:pt idx="14">
                  <c:v>2603</c:v>
                </c:pt>
                <c:pt idx="15">
                  <c:v>2604</c:v>
                </c:pt>
                <c:pt idx="16">
                  <c:v>2605</c:v>
                </c:pt>
                <c:pt idx="17">
                  <c:v>2606</c:v>
                </c:pt>
                <c:pt idx="18">
                  <c:v>2607</c:v>
                </c:pt>
                <c:pt idx="19">
                  <c:v>2608</c:v>
                </c:pt>
                <c:pt idx="20">
                  <c:v>2609</c:v>
                </c:pt>
                <c:pt idx="21">
                  <c:v>2610</c:v>
                </c:pt>
                <c:pt idx="22">
                  <c:v>2611</c:v>
                </c:pt>
                <c:pt idx="23">
                  <c:v>2612</c:v>
                </c:pt>
                <c:pt idx="24">
                  <c:v>25년 누적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'소매 (E)'!$R$71:$AQ$71</c15:sqref>
                  </c15:fullRef>
                </c:ext>
              </c:extLst>
              <c:f>('소매 (E)'!$R$71:$AC$71,'소매 (E)'!$AE$71:$AQ$71)</c:f>
              <c:numCache>
                <c:formatCode>#,##0"건"</c:formatCode>
                <c:ptCount val="25"/>
                <c:pt idx="0">
                  <c:v>2493</c:v>
                </c:pt>
                <c:pt idx="1">
                  <c:v>4919</c:v>
                </c:pt>
                <c:pt idx="2">
                  <c:v>3745</c:v>
                </c:pt>
                <c:pt idx="3">
                  <c:v>4421</c:v>
                </c:pt>
                <c:pt idx="4">
                  <c:v>7562.9999999999991</c:v>
                </c:pt>
                <c:pt idx="5">
                  <c:v>4089</c:v>
                </c:pt>
                <c:pt idx="6">
                  <c:v>5722</c:v>
                </c:pt>
                <c:pt idx="7">
                  <c:v>3850</c:v>
                </c:pt>
                <c:pt idx="8">
                  <c:v>3971</c:v>
                </c:pt>
                <c:pt idx="9">
                  <c:v>2765</c:v>
                </c:pt>
                <c:pt idx="10">
                  <c:v>2827</c:v>
                </c:pt>
                <c:pt idx="11">
                  <c:v>4628.2</c:v>
                </c:pt>
                <c:pt idx="12">
                  <c:v>2493</c:v>
                </c:pt>
                <c:pt idx="13">
                  <c:v>4919</c:v>
                </c:pt>
                <c:pt idx="14">
                  <c:v>3745</c:v>
                </c:pt>
                <c:pt idx="15">
                  <c:v>4421</c:v>
                </c:pt>
                <c:pt idx="16">
                  <c:v>7562.9999999999991</c:v>
                </c:pt>
                <c:pt idx="17">
                  <c:v>4089</c:v>
                </c:pt>
                <c:pt idx="18">
                  <c:v>5722</c:v>
                </c:pt>
                <c:pt idx="19">
                  <c:v>3850</c:v>
                </c:pt>
                <c:pt idx="20">
                  <c:v>3971</c:v>
                </c:pt>
                <c:pt idx="21">
                  <c:v>2765</c:v>
                </c:pt>
                <c:pt idx="22">
                  <c:v>2827</c:v>
                </c:pt>
                <c:pt idx="23">
                  <c:v>4628.2</c:v>
                </c:pt>
                <c:pt idx="24">
                  <c:v>15578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56-4FA7-A9F4-1C639ADF4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'소매 (E)'!$B$69:$D$69</c15:sqref>
                        </c15:formulaRef>
                      </c:ext>
                    </c:extLst>
                    <c:strCache>
                      <c:ptCount val="3"/>
                      <c:pt idx="0">
                        <c:v>소매 capa</c:v>
                      </c:pt>
                      <c:pt idx="2">
                        <c:v>계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9525">
                      <a:solidFill>
                        <a:sysClr val="windowText" lastClr="000000"/>
                      </a:solidFill>
                    </a:ln>
                    <a:effectLst/>
                  </c:spPr>
                </c:marker>
                <c:dLbls>
                  <c:dLbl>
                    <c:idx val="1"/>
                    <c:layout>
                      <c:manualLayout>
                        <c:x val="-2.8272264422826387E-2"/>
                        <c:y val="-6.917072656887789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7456-4FA7-A9F4-1C639ADF4D8D}"/>
                      </c:ext>
                    </c:extLst>
                  </c:dLbl>
                  <c:dLbl>
                    <c:idx val="4"/>
                    <c:layout>
                      <c:manualLayout>
                        <c:x val="-2.8229704732329892E-2"/>
                        <c:y val="-8.17522976851973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456-4FA7-A9F4-1C639ADF4D8D}"/>
                      </c:ext>
                    </c:extLst>
                  </c:dLbl>
                  <c:dLbl>
                    <c:idx val="6"/>
                    <c:layout>
                      <c:manualLayout>
                        <c:x val="-2.4204470762819303E-2"/>
                        <c:y val="-9.495457298606904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456-4FA7-A9F4-1C639ADF4D8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'소매 (E)'!$R$68:$AQ$68</c15:sqref>
                        </c15:fullRef>
                        <c15:formulaRef>
                          <c15:sqref>('소매 (E)'!$R$68:$AC$68,'소매 (E)'!$AE$68:$AQ$68)</c15:sqref>
                        </c15:formulaRef>
                      </c:ext>
                    </c:extLst>
                    <c:strCache>
                      <c:ptCount val="25"/>
                      <c:pt idx="0">
                        <c:v>2501</c:v>
                      </c:pt>
                      <c:pt idx="1">
                        <c:v>2502</c:v>
                      </c:pt>
                      <c:pt idx="2">
                        <c:v>2503</c:v>
                      </c:pt>
                      <c:pt idx="3">
                        <c:v>2504</c:v>
                      </c:pt>
                      <c:pt idx="4">
                        <c:v>2505</c:v>
                      </c:pt>
                      <c:pt idx="5">
                        <c:v>2506</c:v>
                      </c:pt>
                      <c:pt idx="6">
                        <c:v>2507</c:v>
                      </c:pt>
                      <c:pt idx="7">
                        <c:v>2508</c:v>
                      </c:pt>
                      <c:pt idx="8">
                        <c:v>2509</c:v>
                      </c:pt>
                      <c:pt idx="9">
                        <c:v>2510</c:v>
                      </c:pt>
                      <c:pt idx="10">
                        <c:v>2511</c:v>
                      </c:pt>
                      <c:pt idx="11">
                        <c:v>2512</c:v>
                      </c:pt>
                      <c:pt idx="12">
                        <c:v>2601</c:v>
                      </c:pt>
                      <c:pt idx="13">
                        <c:v>2602</c:v>
                      </c:pt>
                      <c:pt idx="14">
                        <c:v>2603</c:v>
                      </c:pt>
                      <c:pt idx="15">
                        <c:v>2604</c:v>
                      </c:pt>
                      <c:pt idx="16">
                        <c:v>2605</c:v>
                      </c:pt>
                      <c:pt idx="17">
                        <c:v>2606</c:v>
                      </c:pt>
                      <c:pt idx="18">
                        <c:v>2607</c:v>
                      </c:pt>
                      <c:pt idx="19">
                        <c:v>2608</c:v>
                      </c:pt>
                      <c:pt idx="20">
                        <c:v>2609</c:v>
                      </c:pt>
                      <c:pt idx="21">
                        <c:v>2610</c:v>
                      </c:pt>
                      <c:pt idx="22">
                        <c:v>2611</c:v>
                      </c:pt>
                      <c:pt idx="23">
                        <c:v>2612</c:v>
                      </c:pt>
                      <c:pt idx="24">
                        <c:v>25년 누적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'소매 (E)'!$R$69:$AQ$69</c15:sqref>
                        </c15:fullRef>
                        <c15:formulaRef>
                          <c15:sqref>('소매 (E)'!$R$69:$AC$69,'소매 (E)'!$AE$69:$AQ$69)</c15:sqref>
                        </c15:formulaRef>
                      </c:ext>
                    </c:extLst>
                    <c:numCache>
                      <c:formatCode>#,##0"건"</c:formatCode>
                      <c:ptCount val="25"/>
                      <c:pt idx="0">
                        <c:v>14423</c:v>
                      </c:pt>
                      <c:pt idx="1">
                        <c:v>29919</c:v>
                      </c:pt>
                      <c:pt idx="2">
                        <c:v>20890</c:v>
                      </c:pt>
                      <c:pt idx="3">
                        <c:v>26775</c:v>
                      </c:pt>
                      <c:pt idx="4">
                        <c:v>36758</c:v>
                      </c:pt>
                      <c:pt idx="5">
                        <c:v>22139</c:v>
                      </c:pt>
                      <c:pt idx="6">
                        <c:v>22139</c:v>
                      </c:pt>
                      <c:pt idx="7">
                        <c:v>22139</c:v>
                      </c:pt>
                      <c:pt idx="8">
                        <c:v>22139</c:v>
                      </c:pt>
                      <c:pt idx="9">
                        <c:v>22139</c:v>
                      </c:pt>
                      <c:pt idx="10">
                        <c:v>22139</c:v>
                      </c:pt>
                      <c:pt idx="11">
                        <c:v>22139</c:v>
                      </c:pt>
                      <c:pt idx="24">
                        <c:v>92007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7456-4FA7-A9F4-1C639ADF4D8D}"/>
                  </c:ext>
                </c:extLst>
              </c15:ser>
            </c15:filteredLineSeries>
          </c:ext>
        </c:extLst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건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#,##0&quot;건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'소매 (E)'!$B$74:$D$74</c:f>
              <c:strCache>
                <c:ptCount val="3"/>
                <c:pt idx="0">
                  <c:v>소매 순증</c:v>
                </c:pt>
                <c:pt idx="2">
                  <c:v>유선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39-428B-8834-8C006917A23D}"/>
                </c:ext>
              </c:extLst>
            </c:dLbl>
            <c:dLbl>
              <c:idx val="2"/>
              <c:layout>
                <c:manualLayout>
                  <c:x val="-2.5579329193474859E-2"/>
                  <c:y val="-0.123591462224246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39-428B-8834-8C006917A23D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39-428B-8834-8C006917A23D}"/>
                </c:ext>
              </c:extLst>
            </c:dLbl>
            <c:dLbl>
              <c:idx val="5"/>
              <c:layout>
                <c:manualLayout>
                  <c:x val="-2.2880662733981452E-2"/>
                  <c:y val="0.191855670103092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9-428B-8834-8C006917A23D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39-428B-8834-8C006917A2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'소매 (E)'!$R$72:$AQ$72</c15:sqref>
                  </c15:fullRef>
                </c:ext>
              </c:extLst>
              <c:f>('소매 (E)'!$R$72:$AC$72,'소매 (E)'!$AE$72:$AQ$72)</c:f>
              <c:strCache>
                <c:ptCount val="25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2601</c:v>
                </c:pt>
                <c:pt idx="13">
                  <c:v>2602</c:v>
                </c:pt>
                <c:pt idx="14">
                  <c:v>2603</c:v>
                </c:pt>
                <c:pt idx="15">
                  <c:v>2604</c:v>
                </c:pt>
                <c:pt idx="16">
                  <c:v>2605</c:v>
                </c:pt>
                <c:pt idx="17">
                  <c:v>2606</c:v>
                </c:pt>
                <c:pt idx="18">
                  <c:v>2607</c:v>
                </c:pt>
                <c:pt idx="19">
                  <c:v>2608</c:v>
                </c:pt>
                <c:pt idx="20">
                  <c:v>2609</c:v>
                </c:pt>
                <c:pt idx="21">
                  <c:v>2610</c:v>
                </c:pt>
                <c:pt idx="22">
                  <c:v>2611</c:v>
                </c:pt>
                <c:pt idx="23">
                  <c:v>2612</c:v>
                </c:pt>
                <c:pt idx="24">
                  <c:v>25년 누적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'소매 (E)'!$R$74:$AQ$74</c15:sqref>
                  </c15:fullRef>
                </c:ext>
              </c:extLst>
              <c:f>('소매 (E)'!$R$74:$AC$74,'소매 (E)'!$AE$74:$AQ$74)</c:f>
              <c:numCache>
                <c:formatCode>#,##0"건"</c:formatCode>
                <c:ptCount val="25"/>
                <c:pt idx="0">
                  <c:v>-1732</c:v>
                </c:pt>
                <c:pt idx="1">
                  <c:v>930</c:v>
                </c:pt>
                <c:pt idx="2">
                  <c:v>-409</c:v>
                </c:pt>
                <c:pt idx="3">
                  <c:v>826</c:v>
                </c:pt>
                <c:pt idx="4">
                  <c:v>4957</c:v>
                </c:pt>
                <c:pt idx="5">
                  <c:v>268</c:v>
                </c:pt>
                <c:pt idx="6">
                  <c:v>1878</c:v>
                </c:pt>
                <c:pt idx="7">
                  <c:v>-71</c:v>
                </c:pt>
                <c:pt idx="8">
                  <c:v>-121</c:v>
                </c:pt>
                <c:pt idx="9">
                  <c:v>-1669</c:v>
                </c:pt>
                <c:pt idx="10">
                  <c:v>-1436</c:v>
                </c:pt>
                <c:pt idx="11">
                  <c:v>-1122</c:v>
                </c:pt>
                <c:pt idx="24">
                  <c:v>6632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39-428B-8834-8C006917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ser>
          <c:idx val="0"/>
          <c:order val="0"/>
          <c:tx>
            <c:strRef>
              <c:f>'소매 (E)'!$B$73:$D$73</c:f>
              <c:strCache>
                <c:ptCount val="3"/>
                <c:pt idx="0">
                  <c:v>소매 순증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272264422826387E-2"/>
                  <c:y val="-6.9170726568877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39-428B-8834-8C006917A23D}"/>
                </c:ext>
              </c:extLst>
            </c:dLbl>
            <c:dLbl>
              <c:idx val="4"/>
              <c:layout>
                <c:manualLayout>
                  <c:x val="-2.8229704732329892E-2"/>
                  <c:y val="-8.1752297685197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39-428B-8834-8C006917A23D}"/>
                </c:ext>
              </c:extLst>
            </c:dLbl>
            <c:dLbl>
              <c:idx val="6"/>
              <c:layout>
                <c:manualLayout>
                  <c:x val="-2.4204470762819303E-2"/>
                  <c:y val="-9.495457298606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39-428B-8834-8C006917A2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'소매 (E)'!$R$72:$AQ$72</c15:sqref>
                  </c15:fullRef>
                </c:ext>
              </c:extLst>
              <c:f>('소매 (E)'!$R$72:$AC$72,'소매 (E)'!$AE$72:$AQ$72)</c:f>
              <c:strCache>
                <c:ptCount val="25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2601</c:v>
                </c:pt>
                <c:pt idx="13">
                  <c:v>2602</c:v>
                </c:pt>
                <c:pt idx="14">
                  <c:v>2603</c:v>
                </c:pt>
                <c:pt idx="15">
                  <c:v>2604</c:v>
                </c:pt>
                <c:pt idx="16">
                  <c:v>2605</c:v>
                </c:pt>
                <c:pt idx="17">
                  <c:v>2606</c:v>
                </c:pt>
                <c:pt idx="18">
                  <c:v>2607</c:v>
                </c:pt>
                <c:pt idx="19">
                  <c:v>2608</c:v>
                </c:pt>
                <c:pt idx="20">
                  <c:v>2609</c:v>
                </c:pt>
                <c:pt idx="21">
                  <c:v>2610</c:v>
                </c:pt>
                <c:pt idx="22">
                  <c:v>2611</c:v>
                </c:pt>
                <c:pt idx="23">
                  <c:v>2612</c:v>
                </c:pt>
                <c:pt idx="24">
                  <c:v>25년 누적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'소매 (E)'!$R$73:$AQ$73</c15:sqref>
                  </c15:fullRef>
                </c:ext>
              </c:extLst>
              <c:f>('소매 (E)'!$R$73:$AC$73,'소매 (E)'!$AE$73:$AQ$73)</c:f>
              <c:numCache>
                <c:formatCode>#,##0"건"</c:formatCode>
                <c:ptCount val="25"/>
                <c:pt idx="0">
                  <c:v>-3840</c:v>
                </c:pt>
                <c:pt idx="1">
                  <c:v>979</c:v>
                </c:pt>
                <c:pt idx="2">
                  <c:v>-684</c:v>
                </c:pt>
                <c:pt idx="3">
                  <c:v>1845</c:v>
                </c:pt>
                <c:pt idx="4">
                  <c:v>12497</c:v>
                </c:pt>
                <c:pt idx="5">
                  <c:v>-1698</c:v>
                </c:pt>
                <c:pt idx="6">
                  <c:v>-2223</c:v>
                </c:pt>
                <c:pt idx="7">
                  <c:v>-4375</c:v>
                </c:pt>
                <c:pt idx="8">
                  <c:v>-4705</c:v>
                </c:pt>
                <c:pt idx="9">
                  <c:v>-5339</c:v>
                </c:pt>
                <c:pt idx="10">
                  <c:v>-5333</c:v>
                </c:pt>
                <c:pt idx="11">
                  <c:v>-8140</c:v>
                </c:pt>
                <c:pt idx="12">
                  <c:v>-3840</c:v>
                </c:pt>
                <c:pt idx="13">
                  <c:v>989</c:v>
                </c:pt>
                <c:pt idx="14">
                  <c:v>-677</c:v>
                </c:pt>
                <c:pt idx="15">
                  <c:v>1846</c:v>
                </c:pt>
                <c:pt idx="16">
                  <c:v>12501</c:v>
                </c:pt>
                <c:pt idx="17">
                  <c:v>-1695</c:v>
                </c:pt>
                <c:pt idx="18">
                  <c:v>-2223</c:v>
                </c:pt>
                <c:pt idx="19">
                  <c:v>-4375</c:v>
                </c:pt>
                <c:pt idx="20">
                  <c:v>-4705</c:v>
                </c:pt>
                <c:pt idx="21">
                  <c:v>-5339</c:v>
                </c:pt>
                <c:pt idx="22">
                  <c:v>-5333</c:v>
                </c:pt>
                <c:pt idx="23">
                  <c:v>-8140</c:v>
                </c:pt>
                <c:pt idx="24">
                  <c:v>22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939-428B-8834-8C006917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/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#,##0&quot;건&quot;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#,##0&quot;건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'소매 (E)'!$B$76:$D$76</c:f>
              <c:strCache>
                <c:ptCount val="3"/>
                <c:pt idx="0">
                  <c:v>소매 유지 arpu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8272264422826387E-2"/>
                  <c:y val="-6.9170726568877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C9-4868-ABE0-16E813A87233}"/>
                </c:ext>
              </c:extLst>
            </c:dLbl>
            <c:dLbl>
              <c:idx val="4"/>
              <c:layout>
                <c:manualLayout>
                  <c:x val="-2.8229704732329892E-2"/>
                  <c:y val="-8.17522976851973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C9-4868-ABE0-16E813A87233}"/>
                </c:ext>
              </c:extLst>
            </c:dLbl>
            <c:dLbl>
              <c:idx val="6"/>
              <c:layout>
                <c:manualLayout>
                  <c:x val="-2.4204470762819303E-2"/>
                  <c:y val="-9.495457298606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C9-4868-ABE0-16E813A87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'소매 (E)'!$R$75:$AQ$75</c15:sqref>
                  </c15:fullRef>
                </c:ext>
              </c:extLst>
              <c:f>('소매 (E)'!$R$75:$AC$75,'소매 (E)'!$AE$75:$AQ$75)</c:f>
              <c:strCache>
                <c:ptCount val="25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2601</c:v>
                </c:pt>
                <c:pt idx="13">
                  <c:v>2602</c:v>
                </c:pt>
                <c:pt idx="14">
                  <c:v>2603</c:v>
                </c:pt>
                <c:pt idx="15">
                  <c:v>2604</c:v>
                </c:pt>
                <c:pt idx="16">
                  <c:v>2605</c:v>
                </c:pt>
                <c:pt idx="17">
                  <c:v>2606</c:v>
                </c:pt>
                <c:pt idx="18">
                  <c:v>2607</c:v>
                </c:pt>
                <c:pt idx="19">
                  <c:v>2608</c:v>
                </c:pt>
                <c:pt idx="20">
                  <c:v>2609</c:v>
                </c:pt>
                <c:pt idx="21">
                  <c:v>2610</c:v>
                </c:pt>
                <c:pt idx="22">
                  <c:v>2611</c:v>
                </c:pt>
                <c:pt idx="23">
                  <c:v>2612</c:v>
                </c:pt>
                <c:pt idx="24">
                  <c:v>25년 누적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'소매 (E)'!$R$76:$AQ$76</c15:sqref>
                  </c15:fullRef>
                </c:ext>
              </c:extLst>
              <c:f>('소매 (E)'!$R$76:$AC$76,'소매 (E)'!$AE$76:$AQ$76)</c:f>
              <c:numCache>
                <c:formatCode>#,##0"원"</c:formatCode>
                <c:ptCount val="25"/>
                <c:pt idx="0">
                  <c:v>35864.724747004831</c:v>
                </c:pt>
                <c:pt idx="1">
                  <c:v>36952.185062989702</c:v>
                </c:pt>
                <c:pt idx="2">
                  <c:v>36873.161083980587</c:v>
                </c:pt>
                <c:pt idx="3">
                  <c:v>35551.927775737706</c:v>
                </c:pt>
                <c:pt idx="4">
                  <c:v>34342.963028234961</c:v>
                </c:pt>
                <c:pt idx="5">
                  <c:v>35620.78927845398</c:v>
                </c:pt>
                <c:pt idx="6">
                  <c:v>38625.871484254058</c:v>
                </c:pt>
                <c:pt idx="7">
                  <c:v>35460.738187614828</c:v>
                </c:pt>
                <c:pt idx="8">
                  <c:v>36086.799733243046</c:v>
                </c:pt>
                <c:pt idx="9">
                  <c:v>35658.852170837148</c:v>
                </c:pt>
                <c:pt idx="10">
                  <c:v>35734.88905208675</c:v>
                </c:pt>
                <c:pt idx="11">
                  <c:v>36075.367567686371</c:v>
                </c:pt>
                <c:pt idx="12">
                  <c:v>35864.724747004831</c:v>
                </c:pt>
                <c:pt idx="13">
                  <c:v>36952.185062989702</c:v>
                </c:pt>
                <c:pt idx="14">
                  <c:v>36873.161083980587</c:v>
                </c:pt>
                <c:pt idx="15">
                  <c:v>35551.927775737706</c:v>
                </c:pt>
                <c:pt idx="16">
                  <c:v>34342.963028234961</c:v>
                </c:pt>
                <c:pt idx="17">
                  <c:v>35620.78927845398</c:v>
                </c:pt>
                <c:pt idx="18">
                  <c:v>38625.871484254058</c:v>
                </c:pt>
                <c:pt idx="19">
                  <c:v>35460.738187614828</c:v>
                </c:pt>
                <c:pt idx="20">
                  <c:v>36086.799733243046</c:v>
                </c:pt>
                <c:pt idx="21">
                  <c:v>35658.852170837148</c:v>
                </c:pt>
                <c:pt idx="22">
                  <c:v>35734.88905208675</c:v>
                </c:pt>
                <c:pt idx="23">
                  <c:v>36075.367567686371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4C9-4868-ABE0-16E813A87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  <c:extLst/>
      </c:lineChart>
      <c:valAx>
        <c:axId val="1814388703"/>
        <c:scaling>
          <c:orientation val="minMax"/>
        </c:scaling>
        <c:delete val="1"/>
        <c:axPos val="r"/>
        <c:numFmt formatCode="#,##0&quot;원&quot;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도매!$B$31:$D$31</c:f>
              <c:strCache>
                <c:ptCount val="3"/>
                <c:pt idx="0">
                  <c:v>도매 관리수수료</c:v>
                </c:pt>
                <c:pt idx="2">
                  <c:v>무선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715754877014444E-2"/>
                  <c:y val="-3.2463550839071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B3-4B53-A590-9379C1D86828}"/>
                </c:ext>
              </c:extLst>
            </c:dLbl>
            <c:dLbl>
              <c:idx val="2"/>
              <c:layout>
                <c:manualLayout>
                  <c:x val="2.7265691263782866E-3"/>
                  <c:y val="-2.9144169362683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B3-4B53-A590-9379C1D86828}"/>
                </c:ext>
              </c:extLst>
            </c:dLbl>
            <c:dLbl>
              <c:idx val="4"/>
              <c:layout>
                <c:manualLayout>
                  <c:x val="2.5616730279898317E-2"/>
                  <c:y val="-4.9060458221010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B3-4B53-A590-9379C1D86828}"/>
                </c:ext>
              </c:extLst>
            </c:dLbl>
            <c:dLbl>
              <c:idx val="6"/>
              <c:layout>
                <c:manualLayout>
                  <c:x val="6.7660093299406277E-3"/>
                  <c:y val="-3.910231379184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2C-4F7D-B0F5-207B55DBB1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도매!$E$28:$R$28</c15:sqref>
                  </c15:fullRef>
                </c:ext>
              </c:extLst>
              <c:f>도매!$E$28:$P$28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도매!$E$31:$R$31</c15:sqref>
                  </c15:fullRef>
                </c:ext>
              </c:extLst>
              <c:f>도매!$E$31:$P$31</c:f>
              <c:numCache>
                <c:formatCode>General</c:formatCode>
                <c:ptCount val="12"/>
                <c:pt idx="0">
                  <c:v>1.6986729109090906</c:v>
                </c:pt>
                <c:pt idx="1">
                  <c:v>1.7475366086490656</c:v>
                </c:pt>
                <c:pt idx="2">
                  <c:v>1.4124375792244486</c:v>
                </c:pt>
                <c:pt idx="3">
                  <c:v>1.5719564927476593</c:v>
                </c:pt>
                <c:pt idx="4">
                  <c:v>1.5193556683278064</c:v>
                </c:pt>
                <c:pt idx="5">
                  <c:v>1.4699261024024703</c:v>
                </c:pt>
                <c:pt idx="6">
                  <c:v>1.5963926273758515</c:v>
                </c:pt>
                <c:pt idx="7">
                  <c:v>1.3876070347088505</c:v>
                </c:pt>
                <c:pt idx="8">
                  <c:v>1.3495309432947349</c:v>
                </c:pt>
                <c:pt idx="9">
                  <c:v>1.27550359996334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3-4B53-A590-9379C1D86828}"/>
            </c:ext>
          </c:extLst>
        </c:ser>
        <c:ser>
          <c:idx val="2"/>
          <c:order val="2"/>
          <c:tx>
            <c:strRef>
              <c:f>도매!$B$33:$D$33</c:f>
              <c:strCache>
                <c:ptCount val="3"/>
                <c:pt idx="0">
                  <c:v>도매 관리수수료</c:v>
                </c:pt>
                <c:pt idx="2">
                  <c:v>유선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도매!$E$28:$R$28</c15:sqref>
                  </c15:fullRef>
                </c:ext>
              </c:extLst>
              <c:f>도매!$E$28:$P$28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도매!$E$33:$R$33</c15:sqref>
                  </c15:fullRef>
                </c:ext>
              </c:extLst>
              <c:f>도매!$E$33:$P$33</c:f>
              <c:numCache>
                <c:formatCode>General</c:formatCode>
                <c:ptCount val="12"/>
                <c:pt idx="0">
                  <c:v>1.997533909090909</c:v>
                </c:pt>
                <c:pt idx="1">
                  <c:v>2.0294241181818182</c:v>
                </c:pt>
                <c:pt idx="2">
                  <c:v>2.2323665300000002</c:v>
                </c:pt>
                <c:pt idx="3">
                  <c:v>1.8044475454545452</c:v>
                </c:pt>
                <c:pt idx="4">
                  <c:v>1.7026086363636364</c:v>
                </c:pt>
                <c:pt idx="5">
                  <c:v>1.5949691818181799</c:v>
                </c:pt>
                <c:pt idx="6">
                  <c:v>1.49219945454545</c:v>
                </c:pt>
                <c:pt idx="7">
                  <c:v>1.4055082727272701</c:v>
                </c:pt>
                <c:pt idx="8">
                  <c:v>1.3104794545454546</c:v>
                </c:pt>
                <c:pt idx="9">
                  <c:v>1.2273192727272726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B3-4B53-A590-9379C1D8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64319"/>
        <c:axId val="1347259743"/>
      </c:lineChart>
      <c:lineChart>
        <c:grouping val="standard"/>
        <c:varyColors val="0"/>
        <c:ser>
          <c:idx val="0"/>
          <c:order val="0"/>
          <c:tx>
            <c:strRef>
              <c:f>도매!$B$30:$D$30</c:f>
              <c:strCache>
                <c:ptCount val="3"/>
                <c:pt idx="0">
                  <c:v>도매 관리수수료</c:v>
                </c:pt>
                <c:pt idx="2">
                  <c:v>계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4.0360793044953353E-2"/>
                  <c:y val="-0.208390769087619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B3-4B53-A590-9379C1D86828}"/>
                </c:ext>
              </c:extLst>
            </c:dLbl>
            <c:dLbl>
              <c:idx val="6"/>
              <c:layout>
                <c:manualLayout>
                  <c:x val="-2.2856552162849871E-2"/>
                  <c:y val="-0.171877572847355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2C-4F7D-B0F5-207B55DBB1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도매!$E$28:$R$28</c15:sqref>
                  </c15:fullRef>
                </c:ext>
              </c:extLst>
              <c:f>도매!$E$28:$P$28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도매!$E$30:$R$30</c15:sqref>
                  </c15:fullRef>
                </c:ext>
              </c:extLst>
              <c:f>도매!$E$30:$P$30</c:f>
              <c:numCache>
                <c:formatCode>General</c:formatCode>
                <c:ptCount val="12"/>
                <c:pt idx="0">
                  <c:v>9.1</c:v>
                </c:pt>
                <c:pt idx="1">
                  <c:v>9.0830929431945204</c:v>
                </c:pt>
                <c:pt idx="2">
                  <c:v>8.5529125751921757</c:v>
                </c:pt>
                <c:pt idx="3">
                  <c:v>8.0079655054749317</c:v>
                </c:pt>
                <c:pt idx="4">
                  <c:v>7.6013216409978055</c:v>
                </c:pt>
                <c:pt idx="5">
                  <c:v>11.278029041566105</c:v>
                </c:pt>
                <c:pt idx="6">
                  <c:v>9.4702209891940292</c:v>
                </c:pt>
                <c:pt idx="7">
                  <c:v>9.1583624919815758</c:v>
                </c:pt>
                <c:pt idx="8">
                  <c:v>9.0471217205674606</c:v>
                </c:pt>
                <c:pt idx="9">
                  <c:v>8.8861888617815215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3-4B53-A590-9379C1D86828}"/>
            </c:ext>
          </c:extLst>
        </c:ser>
        <c:ser>
          <c:idx val="3"/>
          <c:order val="3"/>
          <c:tx>
            <c:strRef>
              <c:f>도매!$B$34:$D$34</c:f>
              <c:strCache>
                <c:ptCount val="3"/>
                <c:pt idx="0">
                  <c:v>도매 관리수수료</c:v>
                </c:pt>
                <c:pt idx="2">
                  <c:v>H.C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도매!$E$28:$R$28</c15:sqref>
                  </c15:fullRef>
                </c:ext>
              </c:extLst>
              <c:f>도매!$E$28:$P$28</c:f>
              <c:strCache>
                <c:ptCount val="1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도매!$E$34:$R$34</c15:sqref>
                  </c15:fullRef>
                </c:ext>
              </c:extLst>
              <c:f>도매!$E$34:$P$34</c:f>
              <c:numCache>
                <c:formatCode>General</c:formatCode>
                <c:ptCount val="12"/>
                <c:pt idx="0">
                  <c:v>4.1399999999999997</c:v>
                </c:pt>
                <c:pt idx="1">
                  <c:v>4.140338836363636</c:v>
                </c:pt>
                <c:pt idx="2">
                  <c:v>3.8632196272727271</c:v>
                </c:pt>
                <c:pt idx="3">
                  <c:v>3.6772409272727269</c:v>
                </c:pt>
                <c:pt idx="4">
                  <c:v>3.5184740636363632</c:v>
                </c:pt>
                <c:pt idx="5">
                  <c:v>3.3729351545454542</c:v>
                </c:pt>
                <c:pt idx="6">
                  <c:v>3.217503527272727</c:v>
                </c:pt>
                <c:pt idx="7">
                  <c:v>3.0304161545454544</c:v>
                </c:pt>
                <c:pt idx="8">
                  <c:v>2.8506905727272724</c:v>
                </c:pt>
                <c:pt idx="9">
                  <c:v>2.6879537090909089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B3-4B53-A590-9379C1D8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6223"/>
        <c:axId val="1814388703"/>
      </c:lineChart>
      <c:catAx>
        <c:axId val="13472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7259743"/>
        <c:crosses val="autoZero"/>
        <c:auto val="1"/>
        <c:lblAlgn val="ctr"/>
        <c:lblOffset val="100"/>
        <c:noMultiLvlLbl val="0"/>
      </c:catAx>
      <c:valAx>
        <c:axId val="13472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264319"/>
        <c:crosses val="autoZero"/>
        <c:crossBetween val="between"/>
      </c:valAx>
      <c:valAx>
        <c:axId val="18143887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14376223"/>
        <c:crosses val="max"/>
        <c:crossBetween val="between"/>
      </c:valAx>
      <c:catAx>
        <c:axId val="1814376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388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467190066819185E-2"/>
                  <c:y val="5.8518518518518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9C-4ED6-870D-A16DD94965B3}"/>
                </c:ext>
              </c:extLst>
            </c:dLbl>
            <c:dLbl>
              <c:idx val="1"/>
              <c:layout>
                <c:manualLayout>
                  <c:x val="-2.8467190066819185E-2"/>
                  <c:y val="0.100185185185185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9C-4ED6-870D-A16DD94965B3}"/>
                </c:ext>
              </c:extLst>
            </c:dLbl>
            <c:dLbl>
              <c:idx val="2"/>
              <c:layout>
                <c:manualLayout>
                  <c:x val="-3.1047420273708534E-2"/>
                  <c:y val="0.151111111111111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9C-4ED6-870D-A16DD94965B3}"/>
                </c:ext>
              </c:extLst>
            </c:dLbl>
            <c:dLbl>
              <c:idx val="5"/>
              <c:layout>
                <c:manualLayout>
                  <c:x val="-1.674277745392385E-2"/>
                  <c:y val="-7.5740740740740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A9C-4ED6-870D-A16DD94965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T Flow Thin" pitchFamily="2" charset="-127"/>
                    <a:ea typeface="KT Flow Thin" pitchFamily="2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'디지털 보고서'!$E$5:$E$10</c:f>
              <c:numCache>
                <c:formatCode>0.0"억"_);[Red]\(0.0\)</c:formatCode>
                <c:ptCount val="6"/>
                <c:pt idx="0">
                  <c:v>53.610862586363645</c:v>
                </c:pt>
                <c:pt idx="1">
                  <c:v>63.488063774545452</c:v>
                </c:pt>
                <c:pt idx="2">
                  <c:v>56.751069727272736</c:v>
                </c:pt>
                <c:pt idx="3">
                  <c:v>37.497676949090916</c:v>
                </c:pt>
                <c:pt idx="4">
                  <c:v>16.214830005642234</c:v>
                </c:pt>
                <c:pt idx="5">
                  <c:v>5.7061472835550076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9C-4ED6-870D-A16DD94965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3163287837405737E-2"/>
                  <c:y val="5.8449256342957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9C-4ED6-870D-A16DD94965B3}"/>
                </c:ext>
              </c:extLst>
            </c:dLbl>
            <c:dLbl>
              <c:idx val="5"/>
              <c:layout>
                <c:manualLayout>
                  <c:x val="4.9219709872985826E-3"/>
                  <c:y val="-1.0925925925925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9C-4ED6-870D-A16DD94965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T Flow Thin" pitchFamily="2" charset="-127"/>
                    <a:ea typeface="KT Flow Thin" pitchFamily="2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'디지털 보고서'!$F$5:$F$10</c:f>
              <c:numCache>
                <c:formatCode>0.0"억"_);[Red]\(0.0\)</c:formatCode>
                <c:ptCount val="6"/>
                <c:pt idx="0">
                  <c:v>5.7225390636363596</c:v>
                </c:pt>
                <c:pt idx="1">
                  <c:v>6.4427523454545499</c:v>
                </c:pt>
                <c:pt idx="2">
                  <c:v>5.7589302727272722</c:v>
                </c:pt>
                <c:pt idx="3">
                  <c:v>3.2788238772727274</c:v>
                </c:pt>
                <c:pt idx="4">
                  <c:v>1.2251900136103044</c:v>
                </c:pt>
                <c:pt idx="5">
                  <c:v>0.48491770967905856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9C-4ED6-870D-A16DD94965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1.6075879772818541E-3"/>
                  <c:y val="2.6111111111111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9C-4ED6-870D-A16DD94965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T Flow Thin" pitchFamily="2" charset="-127"/>
                    <a:ea typeface="KT Flow Thin" pitchFamily="2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'디지털 보고서'!$G$5:$G$10</c:f>
              <c:numCache>
                <c:formatCode>0.0"억"_);[Red]\(0.0\)</c:formatCode>
                <c:ptCount val="6"/>
                <c:pt idx="2">
                  <c:v>6.3900000000000006</c:v>
                </c:pt>
                <c:pt idx="3">
                  <c:v>19.263995363636361</c:v>
                </c:pt>
                <c:pt idx="4">
                  <c:v>35.475098769498935</c:v>
                </c:pt>
                <c:pt idx="5">
                  <c:v>40.344924792992998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A9C-4ED6-870D-A16DD94965B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178737784743399E-2"/>
                  <c:y val="-0.122037037037037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9C-4ED6-870D-A16DD94965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T Flow Medium" pitchFamily="2" charset="-127"/>
                    <a:ea typeface="KT Flow Medium" pitchFamily="2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'디지털 보고서'!$H$5:$H$10</c:f>
              <c:numCache>
                <c:formatCode>0.0"억"_);[Red]\(0.0\)</c:formatCode>
                <c:ptCount val="6"/>
                <c:pt idx="0">
                  <c:v>59.333401650000006</c:v>
                </c:pt>
                <c:pt idx="1">
                  <c:v>69.930816120000003</c:v>
                </c:pt>
                <c:pt idx="2">
                  <c:v>68.900000000000006</c:v>
                </c:pt>
                <c:pt idx="3">
                  <c:v>60.040496189999992</c:v>
                </c:pt>
                <c:pt idx="4">
                  <c:v>52.915118788751471</c:v>
                </c:pt>
                <c:pt idx="5">
                  <c:v>46.535989786227063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A9C-4ED6-870D-A16DD9496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44608"/>
        <c:axId val="556247520"/>
      </c:lineChart>
      <c:catAx>
        <c:axId val="556244608"/>
        <c:scaling>
          <c:orientation val="minMax"/>
        </c:scaling>
        <c:delete val="1"/>
        <c:axPos val="b"/>
        <c:majorTickMark val="none"/>
        <c:minorTickMark val="none"/>
        <c:tickLblPos val="nextTo"/>
        <c:crossAx val="556247520"/>
        <c:crosses val="autoZero"/>
        <c:auto val="1"/>
        <c:lblAlgn val="ctr"/>
        <c:lblOffset val="100"/>
        <c:noMultiLvlLbl val="0"/>
      </c:catAx>
      <c:valAx>
        <c:axId val="556247520"/>
        <c:scaling>
          <c:orientation val="minMax"/>
        </c:scaling>
        <c:delete val="1"/>
        <c:axPos val="l"/>
        <c:numFmt formatCode="0.0&quot;억&quot;_);[Red]\(0.0\)" sourceLinked="1"/>
        <c:majorTickMark val="none"/>
        <c:minorTickMark val="none"/>
        <c:tickLblPos val="nextTo"/>
        <c:crossAx val="556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1</xdr:row>
      <xdr:rowOff>76200</xdr:rowOff>
    </xdr:from>
    <xdr:to>
      <xdr:col>29</xdr:col>
      <xdr:colOff>867781</xdr:colOff>
      <xdr:row>16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CAF0F12-11D3-48FA-8ACD-5F6645865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132520</xdr:colOff>
      <xdr:row>17</xdr:row>
      <xdr:rowOff>6350</xdr:rowOff>
    </xdr:from>
    <xdr:to>
      <xdr:col>29</xdr:col>
      <xdr:colOff>867781</xdr:colOff>
      <xdr:row>24</xdr:row>
      <xdr:rowOff>69850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027086D-4070-4506-AF55-8F07F646F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132520</xdr:colOff>
      <xdr:row>25</xdr:row>
      <xdr:rowOff>6350</xdr:rowOff>
    </xdr:from>
    <xdr:to>
      <xdr:col>29</xdr:col>
      <xdr:colOff>867781</xdr:colOff>
      <xdr:row>33</xdr:row>
      <xdr:rowOff>69850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C99E2BC-CED6-45AE-98A5-E95A987A5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132520</xdr:colOff>
      <xdr:row>34</xdr:row>
      <xdr:rowOff>69850</xdr:rowOff>
    </xdr:from>
    <xdr:to>
      <xdr:col>29</xdr:col>
      <xdr:colOff>867781</xdr:colOff>
      <xdr:row>42</xdr:row>
      <xdr:rowOff>133350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9F55411-3405-4BD5-9F91-9649E68B4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132520</xdr:colOff>
      <xdr:row>43</xdr:row>
      <xdr:rowOff>50800</xdr:rowOff>
    </xdr:from>
    <xdr:to>
      <xdr:col>29</xdr:col>
      <xdr:colOff>867781</xdr:colOff>
      <xdr:row>53</xdr:row>
      <xdr:rowOff>82550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542C28D-8447-4DA7-B7FA-10F9C4DC8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132520</xdr:colOff>
      <xdr:row>54</xdr:row>
      <xdr:rowOff>146050</xdr:rowOff>
    </xdr:from>
    <xdr:to>
      <xdr:col>29</xdr:col>
      <xdr:colOff>867781</xdr:colOff>
      <xdr:row>60</xdr:row>
      <xdr:rowOff>6350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C8A5F7C-F87F-4E40-97B2-A1E4F92A3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15</xdr:row>
      <xdr:rowOff>6350</xdr:rowOff>
    </xdr:from>
    <xdr:to>
      <xdr:col>43</xdr:col>
      <xdr:colOff>867781</xdr:colOff>
      <xdr:row>23</xdr:row>
      <xdr:rowOff>69850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DC8EBEB-C1EE-4B26-9EEF-66CFEF730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132520</xdr:colOff>
      <xdr:row>24</xdr:row>
      <xdr:rowOff>69850</xdr:rowOff>
    </xdr:from>
    <xdr:to>
      <xdr:col>43</xdr:col>
      <xdr:colOff>867781</xdr:colOff>
      <xdr:row>32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9DE94EF-287D-4E09-9270-A2F695C8C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132520</xdr:colOff>
      <xdr:row>33</xdr:row>
      <xdr:rowOff>50800</xdr:rowOff>
    </xdr:from>
    <xdr:to>
      <xdr:col>43</xdr:col>
      <xdr:colOff>867781</xdr:colOff>
      <xdr:row>43</xdr:row>
      <xdr:rowOff>82550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4CA89EA-DCF7-4310-A029-35D91A958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132520</xdr:colOff>
      <xdr:row>44</xdr:row>
      <xdr:rowOff>146050</xdr:rowOff>
    </xdr:from>
    <xdr:to>
      <xdr:col>43</xdr:col>
      <xdr:colOff>867781</xdr:colOff>
      <xdr:row>50</xdr:row>
      <xdr:rowOff>6350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DE67500-FDE9-4735-A554-DFCA730AD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6</xdr:row>
      <xdr:rowOff>171173</xdr:rowOff>
    </xdr:from>
    <xdr:to>
      <xdr:col>17</xdr:col>
      <xdr:colOff>867781</xdr:colOff>
      <xdr:row>24</xdr:row>
      <xdr:rowOff>63777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200E4B-556F-48AA-B78B-24D4387AF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575235</xdr:colOff>
      <xdr:row>11</xdr:row>
      <xdr:rowOff>44824</xdr:rowOff>
    </xdr:from>
    <xdr:to>
      <xdr:col>8</xdr:col>
      <xdr:colOff>1240118</xdr:colOff>
      <xdr:row>30</xdr:row>
      <xdr:rowOff>149412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6A4993-89C4-4132-8F90-7C25281AF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44288;&#47532;&#49688;&#49688;&#47308;%20&#48516;&#47448;%20('21~'25&#453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리"/>
      <sheetName val="요약"/>
      <sheetName val="손익계산서"/>
    </sheetNames>
    <sheetDataSet>
      <sheetData sheetId="0" refreshError="1"/>
      <sheetData sheetId="1" refreshError="1"/>
      <sheetData sheetId="2">
        <row r="16">
          <cell r="B16">
            <v>8374372722</v>
          </cell>
          <cell r="C16">
            <v>673079109</v>
          </cell>
          <cell r="D16">
            <v>650155092</v>
          </cell>
          <cell r="E16">
            <v>718170822</v>
          </cell>
          <cell r="F16">
            <v>690458702</v>
          </cell>
          <cell r="G16">
            <v>699872560</v>
          </cell>
          <cell r="H16">
            <v>707134770</v>
          </cell>
          <cell r="I16">
            <v>708937527</v>
          </cell>
          <cell r="J16">
            <v>731318084</v>
          </cell>
          <cell r="K16">
            <v>714191205</v>
          </cell>
          <cell r="L16">
            <v>732632471</v>
          </cell>
          <cell r="M16">
            <v>596669414</v>
          </cell>
          <cell r="N16">
            <v>751752966</v>
          </cell>
        </row>
        <row r="17">
          <cell r="B17">
            <v>56204422950</v>
          </cell>
          <cell r="C17">
            <v>4054254674</v>
          </cell>
          <cell r="D17">
            <v>4548254601</v>
          </cell>
          <cell r="E17">
            <v>4288776467</v>
          </cell>
          <cell r="F17">
            <v>5195904932</v>
          </cell>
          <cell r="G17">
            <v>4597475090</v>
          </cell>
          <cell r="H17">
            <v>4694987053</v>
          </cell>
          <cell r="I17">
            <v>4611151304</v>
          </cell>
          <cell r="J17">
            <v>4903612672</v>
          </cell>
          <cell r="K17">
            <v>4582679172</v>
          </cell>
          <cell r="L17">
            <v>4907741560</v>
          </cell>
          <cell r="M17">
            <v>4987365630</v>
          </cell>
          <cell r="N17">
            <v>4832219795</v>
          </cell>
        </row>
        <row r="22">
          <cell r="B22">
            <v>9600478849</v>
          </cell>
          <cell r="C22">
            <v>757999542</v>
          </cell>
          <cell r="D22">
            <v>757223675</v>
          </cell>
          <cell r="E22">
            <v>778626703</v>
          </cell>
          <cell r="F22">
            <v>772266817</v>
          </cell>
          <cell r="G22">
            <v>786583717</v>
          </cell>
          <cell r="H22">
            <v>792266771</v>
          </cell>
          <cell r="I22">
            <v>819940989</v>
          </cell>
          <cell r="J22">
            <v>834151285</v>
          </cell>
          <cell r="K22">
            <v>829622547</v>
          </cell>
          <cell r="L22">
            <v>870713924</v>
          </cell>
          <cell r="M22">
            <v>717873046</v>
          </cell>
          <cell r="N22">
            <v>883209833</v>
          </cell>
        </row>
        <row r="23">
          <cell r="B23">
            <v>61676006681</v>
          </cell>
          <cell r="C23">
            <v>4986030017</v>
          </cell>
          <cell r="D23">
            <v>5176059132</v>
          </cell>
          <cell r="E23">
            <v>5174200894</v>
          </cell>
          <cell r="F23">
            <v>4900519090</v>
          </cell>
          <cell r="G23">
            <v>5177504349</v>
          </cell>
          <cell r="H23">
            <v>5186761245</v>
          </cell>
          <cell r="I23">
            <v>5416033352</v>
          </cell>
          <cell r="J23">
            <v>5480840704</v>
          </cell>
          <cell r="K23">
            <v>5332229652</v>
          </cell>
          <cell r="L23">
            <v>4444999785</v>
          </cell>
          <cell r="M23">
            <v>5617360153</v>
          </cell>
          <cell r="N23">
            <v>4783468308</v>
          </cell>
        </row>
        <row r="28">
          <cell r="B28">
            <v>8850034918</v>
          </cell>
          <cell r="C28">
            <v>750214980</v>
          </cell>
          <cell r="D28">
            <v>733660398</v>
          </cell>
          <cell r="E28">
            <v>741525423</v>
          </cell>
          <cell r="F28">
            <v>719588227</v>
          </cell>
          <cell r="G28">
            <v>745714929</v>
          </cell>
          <cell r="H28">
            <v>939419449</v>
          </cell>
          <cell r="I28">
            <v>709494839</v>
          </cell>
          <cell r="J28">
            <v>707073957</v>
          </cell>
          <cell r="K28">
            <v>691907428</v>
          </cell>
          <cell r="L28">
            <v>737503792</v>
          </cell>
          <cell r="M28">
            <v>677956780</v>
          </cell>
          <cell r="N28">
            <v>695974716</v>
          </cell>
        </row>
        <row r="29">
          <cell r="B29">
            <v>69199350703</v>
          </cell>
          <cell r="C29">
            <v>6634190128</v>
          </cell>
          <cell r="D29">
            <v>5012756010</v>
          </cell>
          <cell r="E29">
            <v>5897066709</v>
          </cell>
          <cell r="F29">
            <v>5491495600</v>
          </cell>
          <cell r="G29">
            <v>5803118945</v>
          </cell>
          <cell r="H29">
            <v>5720644810</v>
          </cell>
          <cell r="I29">
            <v>5984157935</v>
          </cell>
          <cell r="J29">
            <v>5786399424</v>
          </cell>
          <cell r="K29">
            <v>5311299822</v>
          </cell>
          <cell r="L29">
            <v>5976438970</v>
          </cell>
          <cell r="M29">
            <v>5528110003</v>
          </cell>
          <cell r="N29">
            <v>6053672347</v>
          </cell>
        </row>
        <row r="34">
          <cell r="B34">
            <v>8981382404</v>
          </cell>
          <cell r="C34">
            <v>694241202</v>
          </cell>
          <cell r="D34">
            <v>732899950</v>
          </cell>
          <cell r="E34">
            <v>734906949</v>
          </cell>
          <cell r="F34">
            <v>739181765</v>
          </cell>
          <cell r="G34">
            <v>738688892</v>
          </cell>
          <cell r="H34">
            <v>731468078</v>
          </cell>
          <cell r="I34">
            <v>763542549</v>
          </cell>
          <cell r="J34">
            <v>739064002</v>
          </cell>
          <cell r="K34">
            <v>765388575</v>
          </cell>
          <cell r="L34">
            <v>786863885</v>
          </cell>
          <cell r="M34">
            <v>761423952</v>
          </cell>
          <cell r="N34">
            <v>793712605</v>
          </cell>
        </row>
        <row r="35">
          <cell r="B35">
            <v>67737826929</v>
          </cell>
          <cell r="C35">
            <v>5913471713</v>
          </cell>
          <cell r="D35">
            <v>5752953347</v>
          </cell>
          <cell r="E35">
            <v>5709985367</v>
          </cell>
          <cell r="F35">
            <v>5478431581</v>
          </cell>
          <cell r="G35">
            <v>5469048973</v>
          </cell>
          <cell r="H35">
            <v>5448339080</v>
          </cell>
          <cell r="I35">
            <v>5629957338</v>
          </cell>
          <cell r="J35">
            <v>5448343451</v>
          </cell>
          <cell r="K35">
            <v>5307582685</v>
          </cell>
          <cell r="L35">
            <v>5971526152</v>
          </cell>
          <cell r="M35">
            <v>4960535598</v>
          </cell>
          <cell r="N35">
            <v>6647636303</v>
          </cell>
        </row>
        <row r="40">
          <cell r="B40">
            <v>3859465572</v>
          </cell>
          <cell r="C40">
            <v>793712605</v>
          </cell>
          <cell r="D40">
            <v>797160958</v>
          </cell>
          <cell r="E40">
            <v>742163842</v>
          </cell>
          <cell r="F40">
            <v>764142467</v>
          </cell>
          <cell r="G40">
            <v>762285700</v>
          </cell>
        </row>
        <row r="41">
          <cell r="B41">
            <v>25180692273</v>
          </cell>
          <cell r="C41">
            <v>4934385229</v>
          </cell>
          <cell r="D41">
            <v>5230421881</v>
          </cell>
          <cell r="E41">
            <v>4862825487</v>
          </cell>
          <cell r="F41">
            <v>5600427254</v>
          </cell>
          <cell r="G41">
            <v>4552632422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7995-4A64-4BBF-8001-BA4312DE0DF3}">
  <sheetPr>
    <tabColor rgb="FF0000FF"/>
  </sheetPr>
  <dimension ref="A8:AD257"/>
  <sheetViews>
    <sheetView showGridLines="0" topLeftCell="A25" zoomScale="85" zoomScaleNormal="85" workbookViewId="0">
      <selection activeCell="M35" sqref="A33:M36"/>
    </sheetView>
  </sheetViews>
  <sheetFormatPr defaultRowHeight="14.5" outlineLevelCol="1" x14ac:dyDescent="0.35"/>
  <cols>
    <col min="2" max="4" width="13.81640625" customWidth="1"/>
    <col min="5" max="16" width="13.81640625" customWidth="1" outlineLevel="1"/>
    <col min="17" max="30" width="13.81640625" customWidth="1"/>
    <col min="31" max="31" width="8.7265625" style="168" customWidth="1"/>
    <col min="32" max="16384" width="8.7265625" style="168"/>
  </cols>
  <sheetData>
    <row r="8" spans="2:30" ht="15" x14ac:dyDescent="0.4">
      <c r="B8" s="365" t="s">
        <v>10</v>
      </c>
      <c r="C8" s="365"/>
      <c r="D8" s="366"/>
      <c r="E8" s="230">
        <v>2401</v>
      </c>
      <c r="F8" s="230">
        <v>2402</v>
      </c>
      <c r="G8" s="230">
        <v>2403</v>
      </c>
      <c r="H8" s="230">
        <v>2404</v>
      </c>
      <c r="I8" s="230">
        <v>2405</v>
      </c>
      <c r="J8" s="230">
        <v>2406</v>
      </c>
      <c r="K8" s="230">
        <v>2407</v>
      </c>
      <c r="L8" s="230">
        <v>2408</v>
      </c>
      <c r="M8" s="230">
        <v>2409</v>
      </c>
      <c r="N8" s="230">
        <v>2410</v>
      </c>
      <c r="O8" s="230">
        <v>2411</v>
      </c>
      <c r="P8" s="230">
        <v>2412</v>
      </c>
      <c r="Q8" s="140">
        <v>2501</v>
      </c>
      <c r="R8" s="140">
        <v>2502</v>
      </c>
      <c r="S8" s="140">
        <v>2503</v>
      </c>
      <c r="T8" s="140">
        <v>2504</v>
      </c>
      <c r="U8" s="140">
        <v>2505</v>
      </c>
      <c r="V8" s="140">
        <v>2506</v>
      </c>
      <c r="W8" s="140">
        <v>2507</v>
      </c>
      <c r="X8" s="140">
        <v>2508</v>
      </c>
      <c r="Y8" s="140">
        <v>2509</v>
      </c>
      <c r="Z8" s="140">
        <v>2510</v>
      </c>
      <c r="AA8" s="140">
        <v>2511</v>
      </c>
      <c r="AB8" s="140">
        <v>2512</v>
      </c>
      <c r="AC8" s="141" t="s">
        <v>112</v>
      </c>
      <c r="AD8" s="141" t="s">
        <v>113</v>
      </c>
    </row>
    <row r="9" spans="2:30" ht="15" x14ac:dyDescent="0.4">
      <c r="B9" s="373" t="s">
        <v>111</v>
      </c>
      <c r="C9" s="374"/>
      <c r="D9" s="142" t="s">
        <v>109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3">
        <f>Q10+Q11+Q12+Q13</f>
        <v>46.936706769953858</v>
      </c>
      <c r="R9" s="143">
        <f t="shared" ref="R9:U9" si="0">R10+R11+R12+R13</f>
        <v>50.212828293636377</v>
      </c>
      <c r="S9" s="143">
        <f t="shared" si="0"/>
        <v>46.993548667272705</v>
      </c>
      <c r="T9" s="143">
        <f t="shared" si="0"/>
        <v>54.612779322727306</v>
      </c>
      <c r="U9" s="143">
        <f t="shared" si="0"/>
        <v>44.629061309090915</v>
      </c>
      <c r="V9" s="143"/>
      <c r="W9" s="143"/>
      <c r="X9" s="143"/>
      <c r="Y9" s="143"/>
      <c r="Z9" s="143"/>
      <c r="AA9" s="143"/>
      <c r="AB9" s="143"/>
      <c r="AC9" s="143">
        <f>SUM(D9:T9)</f>
        <v>198.75586305359025</v>
      </c>
      <c r="AD9" s="146">
        <f>AVERAGE(Q9:U9)</f>
        <v>48.676984872536231</v>
      </c>
    </row>
    <row r="10" spans="2:30" ht="15" x14ac:dyDescent="0.4">
      <c r="B10" s="375"/>
      <c r="C10" s="376"/>
      <c r="D10" s="144" t="s">
        <v>70</v>
      </c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>
        <f>Q15+Q18+Q24+Q27+Q31+Q32</f>
        <v>32.117026400862954</v>
      </c>
      <c r="R10" s="145">
        <f t="shared" ref="R10:U10" si="1">R15+R18+R24+R27+R31+R32</f>
        <v>32.819002853636384</v>
      </c>
      <c r="S10" s="145">
        <f t="shared" si="1"/>
        <v>31.966464240909069</v>
      </c>
      <c r="T10" s="145">
        <f t="shared" si="1"/>
        <v>31.148299395454579</v>
      </c>
      <c r="U10" s="145">
        <f t="shared" si="1"/>
        <v>30.550866210909099</v>
      </c>
      <c r="V10" s="145"/>
      <c r="W10" s="145"/>
      <c r="X10" s="145"/>
      <c r="Y10" s="145"/>
      <c r="Z10" s="145"/>
      <c r="AA10" s="145"/>
      <c r="AB10" s="145"/>
      <c r="AC10" s="145">
        <f t="shared" ref="AC10:AC36" si="2">SUM(D10:T10)</f>
        <v>128.05079289086299</v>
      </c>
      <c r="AD10" s="147">
        <f t="shared" ref="AD10:AD36" si="3">AVERAGE(Q10:U10)</f>
        <v>31.720331820354421</v>
      </c>
    </row>
    <row r="11" spans="2:30" ht="15" x14ac:dyDescent="0.4">
      <c r="B11" s="375"/>
      <c r="C11" s="376"/>
      <c r="D11" s="144" t="s">
        <v>71</v>
      </c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>
        <f>Q16+Q20+Q25+Q28</f>
        <v>6.5771840090909084</v>
      </c>
      <c r="R11" s="145">
        <f t="shared" ref="R11:U11" si="4">R16+R20+R25+R28</f>
        <v>7.1815229</v>
      </c>
      <c r="S11" s="145">
        <f t="shared" si="4"/>
        <v>7.5357089163636353</v>
      </c>
      <c r="T11" s="145">
        <f t="shared" si="4"/>
        <v>6.590360009090908</v>
      </c>
      <c r="U11" s="145">
        <f t="shared" si="4"/>
        <v>6.4865683090909094</v>
      </c>
      <c r="V11" s="145"/>
      <c r="W11" s="145"/>
      <c r="X11" s="145"/>
      <c r="Y11" s="145"/>
      <c r="Z11" s="145"/>
      <c r="AA11" s="145"/>
      <c r="AB11" s="145"/>
      <c r="AC11" s="145">
        <f t="shared" si="2"/>
        <v>27.884775834545451</v>
      </c>
      <c r="AD11" s="147">
        <f t="shared" si="3"/>
        <v>6.8742688287272724</v>
      </c>
    </row>
    <row r="12" spans="2:30" ht="15" x14ac:dyDescent="0.4">
      <c r="B12" s="375"/>
      <c r="C12" s="376"/>
      <c r="D12" s="144" t="s">
        <v>105</v>
      </c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>
        <f>Q22+Q29</f>
        <v>2.18849377</v>
      </c>
      <c r="R12" s="145">
        <f t="shared" ref="R12:U12" si="5">R22+R29</f>
        <v>2.47661452</v>
      </c>
      <c r="S12" s="145">
        <f t="shared" si="5"/>
        <v>2.7696574800000002</v>
      </c>
      <c r="T12" s="145">
        <f t="shared" si="5"/>
        <v>2.9780212181818211</v>
      </c>
      <c r="U12" s="145">
        <f t="shared" si="5"/>
        <v>3.2158702990909092</v>
      </c>
      <c r="V12" s="145"/>
      <c r="W12" s="145"/>
      <c r="X12" s="145"/>
      <c r="Y12" s="145"/>
      <c r="Z12" s="145"/>
      <c r="AA12" s="145"/>
      <c r="AB12" s="145"/>
      <c r="AC12" s="145">
        <f t="shared" si="2"/>
        <v>10.412786988181821</v>
      </c>
      <c r="AD12" s="147">
        <f t="shared" si="3"/>
        <v>2.7257314574545459</v>
      </c>
    </row>
    <row r="13" spans="2:30" ht="15" x14ac:dyDescent="0.4">
      <c r="B13" s="377"/>
      <c r="C13" s="378"/>
      <c r="D13" s="144" t="s">
        <v>32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>
        <f>Q33</f>
        <v>6.0540025899999996</v>
      </c>
      <c r="R13" s="145">
        <f t="shared" ref="R13:U13" si="6">R33</f>
        <v>7.7356880200000004</v>
      </c>
      <c r="S13" s="145">
        <f t="shared" si="6"/>
        <v>4.7217180299999999</v>
      </c>
      <c r="T13" s="145">
        <f t="shared" si="6"/>
        <v>13.8960987</v>
      </c>
      <c r="U13" s="145">
        <f t="shared" si="6"/>
        <v>4.3757564899999997</v>
      </c>
      <c r="V13" s="145"/>
      <c r="W13" s="145"/>
      <c r="X13" s="145"/>
      <c r="Y13" s="145"/>
      <c r="Z13" s="145"/>
      <c r="AA13" s="145"/>
      <c r="AB13" s="145"/>
      <c r="AC13" s="145">
        <f t="shared" si="2"/>
        <v>32.407507339999995</v>
      </c>
      <c r="AD13" s="147">
        <f t="shared" si="3"/>
        <v>7.356652765999999</v>
      </c>
    </row>
    <row r="14" spans="2:30" ht="15" x14ac:dyDescent="0.4">
      <c r="B14" s="367" t="s">
        <v>26</v>
      </c>
      <c r="C14" s="368"/>
      <c r="D14" s="142" t="s">
        <v>109</v>
      </c>
      <c r="E14" s="143">
        <v>27</v>
      </c>
      <c r="F14" s="143">
        <v>27.4</v>
      </c>
      <c r="G14" s="143">
        <v>26.9</v>
      </c>
      <c r="H14" s="143">
        <v>27.1</v>
      </c>
      <c r="I14" s="143">
        <v>26.8</v>
      </c>
      <c r="J14" s="143">
        <v>27.1</v>
      </c>
      <c r="K14" s="143">
        <v>27</v>
      </c>
      <c r="L14" s="143">
        <v>26.8</v>
      </c>
      <c r="M14" s="143">
        <v>26.9</v>
      </c>
      <c r="N14" s="143">
        <v>26.6</v>
      </c>
      <c r="O14" s="143">
        <v>26.4</v>
      </c>
      <c r="P14" s="143">
        <v>26</v>
      </c>
      <c r="Q14" s="143">
        <f>Q15+Q16</f>
        <v>23.890353636317499</v>
      </c>
      <c r="R14" s="143">
        <f t="shared" ref="R14:U14" si="7">R15+R16</f>
        <v>24.7013072668055</v>
      </c>
      <c r="S14" s="143">
        <f t="shared" si="7"/>
        <v>25.050896464807799</v>
      </c>
      <c r="T14" s="143">
        <f t="shared" si="7"/>
        <v>23.8094090845251</v>
      </c>
      <c r="U14" s="143">
        <f t="shared" si="7"/>
        <v>23.575919609002199</v>
      </c>
      <c r="V14" s="143"/>
      <c r="W14" s="143"/>
      <c r="X14" s="143"/>
      <c r="Y14" s="143"/>
      <c r="Z14" s="143"/>
      <c r="AA14" s="143"/>
      <c r="AB14" s="143"/>
      <c r="AC14" s="143">
        <f t="shared" si="2"/>
        <v>419.45196645245591</v>
      </c>
      <c r="AD14" s="146">
        <f t="shared" si="3"/>
        <v>24.205577212291622</v>
      </c>
    </row>
    <row r="15" spans="2:30" ht="15" x14ac:dyDescent="0.4">
      <c r="B15" s="369"/>
      <c r="C15" s="370"/>
      <c r="D15" s="144" t="s">
        <v>70</v>
      </c>
      <c r="E15" s="145">
        <v>23.23254170909091</v>
      </c>
      <c r="F15" s="145">
        <v>23.638276345454543</v>
      </c>
      <c r="G15" s="145">
        <v>23.080874654545454</v>
      </c>
      <c r="H15" s="145">
        <v>23.254129290909091</v>
      </c>
      <c r="I15" s="145">
        <v>23.032484127272728</v>
      </c>
      <c r="J15" s="145">
        <v>23.332454600000002</v>
      </c>
      <c r="K15" s="145">
        <v>23.242897509090909</v>
      </c>
      <c r="L15" s="145">
        <v>23.106259845454545</v>
      </c>
      <c r="M15" s="145">
        <v>23.190662436363635</v>
      </c>
      <c r="N15" s="145">
        <v>22.880206072727276</v>
      </c>
      <c r="O15" s="145">
        <v>22.721913781818181</v>
      </c>
      <c r="P15" s="145">
        <v>22.313856636363639</v>
      </c>
      <c r="Q15" s="145">
        <f>'(참고) 연결용'!F6</f>
        <v>20.4028175363175</v>
      </c>
      <c r="R15" s="145">
        <f>'(참고) 연결용'!G6</f>
        <v>20.814095912260047</v>
      </c>
      <c r="S15" s="145">
        <f>'(참고) 연결용'!H6</f>
        <v>20.926437392080526</v>
      </c>
      <c r="T15" s="145">
        <f>'(참고) 연결용'!I6</f>
        <v>20.153445729979644</v>
      </c>
      <c r="U15" s="145">
        <f>'(참고) 연결용'!J6</f>
        <v>19.901025872638563</v>
      </c>
      <c r="V15" s="145"/>
      <c r="W15" s="145"/>
      <c r="X15" s="145"/>
      <c r="Y15" s="145"/>
      <c r="Z15" s="145"/>
      <c r="AA15" s="145"/>
      <c r="AB15" s="145"/>
      <c r="AC15" s="145">
        <f t="shared" si="2"/>
        <v>359.32335357972863</v>
      </c>
      <c r="AD15" s="147">
        <f t="shared" si="3"/>
        <v>20.439564488655257</v>
      </c>
    </row>
    <row r="16" spans="2:30" ht="15" x14ac:dyDescent="0.4">
      <c r="B16" s="371"/>
      <c r="C16" s="372"/>
      <c r="D16" s="144" t="s">
        <v>71</v>
      </c>
      <c r="E16" s="145">
        <v>3.7674582909090906</v>
      </c>
      <c r="F16" s="145">
        <v>3.7617236545454542</v>
      </c>
      <c r="G16" s="145">
        <v>3.8191253454545451</v>
      </c>
      <c r="H16" s="145">
        <v>3.8458707090909088</v>
      </c>
      <c r="I16" s="145">
        <v>3.7675158727272726</v>
      </c>
      <c r="J16" s="145">
        <v>3.7675453999999995</v>
      </c>
      <c r="K16" s="145">
        <v>3.7571024909090904</v>
      </c>
      <c r="L16" s="145">
        <v>3.6937401545454542</v>
      </c>
      <c r="M16" s="145">
        <v>3.709337563636363</v>
      </c>
      <c r="N16" s="145">
        <v>3.7197939272727267</v>
      </c>
      <c r="O16" s="145">
        <v>3.6780862181818179</v>
      </c>
      <c r="P16" s="145">
        <v>3.6861433636363632</v>
      </c>
      <c r="Q16" s="145">
        <f>'(참고) 연결용'!F22</f>
        <v>3.4875360999999998</v>
      </c>
      <c r="R16" s="145">
        <f>'(참고) 연결용'!G22</f>
        <v>3.8872113545454545</v>
      </c>
      <c r="S16" s="145">
        <f>'(참고) 연결용'!H22</f>
        <v>4.1244590727272721</v>
      </c>
      <c r="T16" s="145">
        <f>'(참고) 연결용'!I22</f>
        <v>3.6559633545454542</v>
      </c>
      <c r="U16" s="145">
        <f>'(참고) 연결용'!J22</f>
        <v>3.6748937363636363</v>
      </c>
      <c r="V16" s="145"/>
      <c r="W16" s="145"/>
      <c r="X16" s="145"/>
      <c r="Y16" s="145"/>
      <c r="Z16" s="145"/>
      <c r="AA16" s="145"/>
      <c r="AB16" s="145"/>
      <c r="AC16" s="145">
        <f t="shared" si="2"/>
        <v>60.128612872727267</v>
      </c>
      <c r="AD16" s="147">
        <f t="shared" si="3"/>
        <v>3.7660127236363636</v>
      </c>
    </row>
    <row r="17" spans="2:30" ht="15" x14ac:dyDescent="0.4">
      <c r="B17" s="367" t="s">
        <v>25</v>
      </c>
      <c r="C17" s="368"/>
      <c r="D17" s="142" t="s">
        <v>109</v>
      </c>
      <c r="E17" s="143">
        <v>13.1</v>
      </c>
      <c r="F17" s="143">
        <v>12.6</v>
      </c>
      <c r="G17" s="143">
        <v>12.4</v>
      </c>
      <c r="H17" s="143">
        <v>12.1</v>
      </c>
      <c r="I17" s="143">
        <v>11.6</v>
      </c>
      <c r="J17" s="143">
        <v>11.3</v>
      </c>
      <c r="K17" s="143">
        <v>11.1</v>
      </c>
      <c r="L17" s="143">
        <v>10.8</v>
      </c>
      <c r="M17" s="143">
        <v>10.6</v>
      </c>
      <c r="N17" s="143">
        <v>10.4</v>
      </c>
      <c r="O17" s="143">
        <v>9.9</v>
      </c>
      <c r="P17" s="143">
        <v>9.6</v>
      </c>
      <c r="Q17" s="143">
        <v>9.1</v>
      </c>
      <c r="R17" s="143">
        <v>9.0830929431945204</v>
      </c>
      <c r="S17" s="143">
        <v>8.5529125751921757</v>
      </c>
      <c r="T17" s="143">
        <v>8.0079655054749317</v>
      </c>
      <c r="U17" s="143">
        <v>7.6013216409978055</v>
      </c>
      <c r="V17" s="143"/>
      <c r="W17" s="143"/>
      <c r="X17" s="143"/>
      <c r="Y17" s="143"/>
      <c r="Z17" s="143"/>
      <c r="AA17" s="143"/>
      <c r="AB17" s="143"/>
      <c r="AC17" s="143">
        <f t="shared" si="2"/>
        <v>170.24397102386163</v>
      </c>
      <c r="AD17" s="146">
        <f t="shared" si="3"/>
        <v>8.4690585329718875</v>
      </c>
    </row>
    <row r="18" spans="2:30" ht="15" x14ac:dyDescent="0.4">
      <c r="B18" s="369"/>
      <c r="C18" s="370"/>
      <c r="D18" s="144" t="s">
        <v>70</v>
      </c>
      <c r="E18" s="145">
        <f>E17-E19-E20-E21</f>
        <v>0.20118600354629557</v>
      </c>
      <c r="F18" s="145">
        <f t="shared" ref="F18:P18" si="8">F17-F19-F20-F21</f>
        <v>6.4343048903228173E-2</v>
      </c>
      <c r="G18" s="145">
        <f t="shared" si="8"/>
        <v>0.25349452907938819</v>
      </c>
      <c r="H18" s="145">
        <f t="shared" si="8"/>
        <v>0.36028346759768226</v>
      </c>
      <c r="I18" s="145">
        <f t="shared" si="8"/>
        <v>0.25776803845006935</v>
      </c>
      <c r="J18" s="145">
        <f t="shared" si="8"/>
        <v>0.35737907776940947</v>
      </c>
      <c r="K18" s="145">
        <f t="shared" si="8"/>
        <v>0.42163680828763539</v>
      </c>
      <c r="L18" s="145">
        <f t="shared" si="8"/>
        <v>0.51237423464020537</v>
      </c>
      <c r="M18" s="145">
        <f t="shared" si="8"/>
        <v>0.68843010268822802</v>
      </c>
      <c r="N18" s="145">
        <f t="shared" si="8"/>
        <v>0.83091711162918269</v>
      </c>
      <c r="O18" s="145">
        <f t="shared" si="8"/>
        <v>0.78909972257770544</v>
      </c>
      <c r="P18" s="145">
        <f t="shared" si="8"/>
        <v>0.81376201767395351</v>
      </c>
      <c r="Q18" s="145">
        <f>'(참고) 연결용'!F5</f>
        <v>2.962466090909091</v>
      </c>
      <c r="R18" s="145">
        <f>'(참고) 연결용'!G5</f>
        <v>2.9133299886490658</v>
      </c>
      <c r="S18" s="145">
        <f>'(참고) 연결용'!H5</f>
        <v>2.4573264179194485</v>
      </c>
      <c r="T18" s="145">
        <f>'(참고) 연결용'!I5</f>
        <v>2.5262770327476596</v>
      </c>
      <c r="U18" s="145">
        <f>'(참고) 연결용'!J5</f>
        <v>2.3802389409978062</v>
      </c>
      <c r="V18" s="145"/>
      <c r="W18" s="145"/>
      <c r="X18" s="145"/>
      <c r="Y18" s="145"/>
      <c r="Z18" s="145"/>
      <c r="AA18" s="145"/>
      <c r="AB18" s="145"/>
      <c r="AC18" s="145">
        <f t="shared" si="2"/>
        <v>16.410073693068249</v>
      </c>
      <c r="AD18" s="147">
        <f t="shared" si="3"/>
        <v>2.6479276942446139</v>
      </c>
    </row>
    <row r="19" spans="2:30" ht="15" x14ac:dyDescent="0.4">
      <c r="B19" s="369"/>
      <c r="C19" s="370"/>
      <c r="D19" s="224" t="s">
        <v>214</v>
      </c>
      <c r="E19" s="145">
        <v>4.5555838419082502</v>
      </c>
      <c r="F19" s="145">
        <v>4.2798037783695007</v>
      </c>
      <c r="G19" s="145">
        <v>3.9510572072842498</v>
      </c>
      <c r="H19" s="145">
        <v>3.6747115142205002</v>
      </c>
      <c r="I19" s="145">
        <v>3.4186965797317503</v>
      </c>
      <c r="J19" s="145">
        <v>3.2155809313215005</v>
      </c>
      <c r="K19" s="145">
        <v>3.0333787280760003</v>
      </c>
      <c r="L19" s="145">
        <v>2.84271801990525</v>
      </c>
      <c r="M19" s="145">
        <v>2.6700881245844998</v>
      </c>
      <c r="N19" s="145">
        <v>2.4984011701890001</v>
      </c>
      <c r="O19" s="145">
        <v>2.3461477319677497</v>
      </c>
      <c r="P19" s="145">
        <v>2.2111794368715003</v>
      </c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7"/>
    </row>
    <row r="20" spans="2:30" ht="15" x14ac:dyDescent="0.4">
      <c r="B20" s="369"/>
      <c r="C20" s="370"/>
      <c r="D20" s="144" t="s">
        <v>71</v>
      </c>
      <c r="E20" s="145">
        <v>2.7756569999999998</v>
      </c>
      <c r="F20" s="145">
        <v>2.7472658181818179</v>
      </c>
      <c r="G20" s="145">
        <v>2.7423490909090908</v>
      </c>
      <c r="H20" s="145">
        <v>2.6971310000000002</v>
      </c>
      <c r="I20" s="145">
        <v>2.6393608181818178</v>
      </c>
      <c r="J20" s="145">
        <v>2.5545064545454546</v>
      </c>
      <c r="K20" s="145">
        <v>2.5248520909090906</v>
      </c>
      <c r="L20" s="145">
        <v>2.4420310909090905</v>
      </c>
      <c r="M20" s="145">
        <v>2.3737327272727273</v>
      </c>
      <c r="N20" s="145">
        <v>2.3304190909090905</v>
      </c>
      <c r="O20" s="145">
        <v>2.2147525454545454</v>
      </c>
      <c r="P20" s="145">
        <v>2.1650585454545452</v>
      </c>
      <c r="Q20" s="145">
        <f>'(참고) 연결용'!F21</f>
        <v>1.997533909090909</v>
      </c>
      <c r="R20" s="145">
        <f>'(참고) 연결용'!G21</f>
        <v>2.0294241181818182</v>
      </c>
      <c r="S20" s="145">
        <f>'(참고) 연결용'!H21</f>
        <v>2.2323665300000002</v>
      </c>
      <c r="T20" s="145">
        <f>'(참고) 연결용'!I21</f>
        <v>1.8044475454545452</v>
      </c>
      <c r="U20" s="145">
        <f>'(참고) 연결용'!J21</f>
        <v>1.7026086363636364</v>
      </c>
      <c r="V20" s="145"/>
      <c r="W20" s="145"/>
      <c r="X20" s="145"/>
      <c r="Y20" s="145"/>
      <c r="Z20" s="145"/>
      <c r="AA20" s="145"/>
      <c r="AB20" s="145"/>
      <c r="AC20" s="145">
        <f t="shared" si="2"/>
        <v>38.27088837545454</v>
      </c>
      <c r="AD20" s="147">
        <f t="shared" si="3"/>
        <v>1.9532761478181819</v>
      </c>
    </row>
    <row r="21" spans="2:30" ht="16.5" customHeight="1" x14ac:dyDescent="0.4">
      <c r="B21" s="369"/>
      <c r="C21" s="370"/>
      <c r="D21" s="144" t="s">
        <v>105</v>
      </c>
      <c r="E21" s="145">
        <v>5.5675731545454541</v>
      </c>
      <c r="F21" s="145">
        <v>5.5085873545454538</v>
      </c>
      <c r="G21" s="145">
        <v>5.4530991727272724</v>
      </c>
      <c r="H21" s="145">
        <v>5.3678740181818174</v>
      </c>
      <c r="I21" s="145">
        <v>5.2841745636363635</v>
      </c>
      <c r="J21" s="145">
        <v>5.1725335363636358</v>
      </c>
      <c r="K21" s="145">
        <v>5.120132372727273</v>
      </c>
      <c r="L21" s="145">
        <v>5.0028766545454548</v>
      </c>
      <c r="M21" s="145">
        <v>4.8677490454545449</v>
      </c>
      <c r="N21" s="145">
        <v>4.7402626272727266</v>
      </c>
      <c r="O21" s="145">
        <v>4.55</v>
      </c>
      <c r="P21" s="145">
        <v>4.41</v>
      </c>
      <c r="Q21" s="145">
        <v>4.1399999999999997</v>
      </c>
      <c r="R21" s="145">
        <v>4.140338836363636</v>
      </c>
      <c r="S21" s="145">
        <v>3.8632196272727271</v>
      </c>
      <c r="T21" s="145">
        <v>3.6772409272727269</v>
      </c>
      <c r="U21" s="145">
        <v>3.5184740636363632</v>
      </c>
      <c r="V21" s="145"/>
      <c r="W21" s="145"/>
      <c r="X21" s="145"/>
      <c r="Y21" s="145"/>
      <c r="Z21" s="145"/>
      <c r="AA21" s="145"/>
      <c r="AB21" s="145"/>
      <c r="AC21" s="145">
        <v>76.865661890909081</v>
      </c>
      <c r="AD21" s="147">
        <v>3.8678546909090912</v>
      </c>
    </row>
    <row r="22" spans="2:30" ht="16.5" customHeight="1" x14ac:dyDescent="0.4">
      <c r="B22" s="371"/>
      <c r="C22" s="372"/>
      <c r="D22" s="224" t="s">
        <v>215</v>
      </c>
      <c r="E22" s="145">
        <v>8.796528599999999E-3</v>
      </c>
      <c r="F22" s="145">
        <v>3.6799681200000003E-2</v>
      </c>
      <c r="G22" s="145">
        <v>0.11150798120000001</v>
      </c>
      <c r="H22" s="145">
        <v>0.192659205</v>
      </c>
      <c r="I22" s="145">
        <v>0.27808436260000002</v>
      </c>
      <c r="J22" s="145">
        <v>0.36137503560000006</v>
      </c>
      <c r="K22" s="145">
        <v>0.45979166179999997</v>
      </c>
      <c r="L22" s="145">
        <v>0.56598657340000003</v>
      </c>
      <c r="M22" s="145">
        <v>0.71547984239999995</v>
      </c>
      <c r="N22" s="145">
        <v>0.87183650660000001</v>
      </c>
      <c r="O22" s="145">
        <v>1.0436456662</v>
      </c>
      <c r="P22" s="145">
        <v>1.1684937740000001</v>
      </c>
      <c r="Q22" s="145">
        <v>1.16849377</v>
      </c>
      <c r="R22" s="145">
        <v>1.3666145199999999</v>
      </c>
      <c r="S22" s="145">
        <v>1.56965748</v>
      </c>
      <c r="T22" s="145">
        <v>1.7213212272727301</v>
      </c>
      <c r="U22" s="145">
        <v>1.89140069</v>
      </c>
      <c r="V22" s="145">
        <v>2.1825411099999998</v>
      </c>
      <c r="W22" s="145"/>
      <c r="X22" s="145"/>
      <c r="Y22" s="145"/>
      <c r="Z22" s="145"/>
      <c r="AA22" s="145"/>
      <c r="AB22" s="145"/>
      <c r="AC22" s="145"/>
      <c r="AD22" s="147"/>
    </row>
    <row r="23" spans="2:30" ht="15" x14ac:dyDescent="0.4">
      <c r="B23" s="367" t="s">
        <v>28</v>
      </c>
      <c r="C23" s="368"/>
      <c r="D23" s="142" t="s">
        <v>109</v>
      </c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>
        <f>Q24+Q25</f>
        <v>1.2109913636363636</v>
      </c>
      <c r="R23" s="143">
        <f t="shared" ref="R23:U23" si="9">R24+R25</f>
        <v>1.3641719999999999</v>
      </c>
      <c r="S23" s="143">
        <f t="shared" si="9"/>
        <v>1.2723794545454545</v>
      </c>
      <c r="T23" s="143">
        <f t="shared" si="9"/>
        <v>1.2368362727272726</v>
      </c>
      <c r="U23" s="143">
        <f t="shared" si="9"/>
        <v>1.2193462727272726</v>
      </c>
      <c r="V23" s="143"/>
      <c r="W23" s="143"/>
      <c r="X23" s="143"/>
      <c r="Y23" s="143"/>
      <c r="Z23" s="143"/>
      <c r="AA23" s="143"/>
      <c r="AB23" s="143"/>
      <c r="AC23" s="143">
        <f t="shared" si="2"/>
        <v>5.0843790909090902</v>
      </c>
      <c r="AD23" s="146">
        <f t="shared" si="3"/>
        <v>1.2607450727272727</v>
      </c>
    </row>
    <row r="24" spans="2:30" ht="15" x14ac:dyDescent="0.4">
      <c r="B24" s="369"/>
      <c r="C24" s="370"/>
      <c r="D24" s="144" t="s">
        <v>70</v>
      </c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>
        <f>'(참고) 연결용'!F7</f>
        <v>0.47383372727272732</v>
      </c>
      <c r="R24" s="145">
        <f>'(참고) 연결용'!G7</f>
        <v>0.48559427272727274</v>
      </c>
      <c r="S24" s="145">
        <f>'(참고) 연결용'!H7</f>
        <v>0.45793709090909096</v>
      </c>
      <c r="T24" s="145">
        <f>'(참고) 연결용'!I7</f>
        <v>0.44099936363636361</v>
      </c>
      <c r="U24" s="145">
        <f>'(참고) 연결용'!J7</f>
        <v>0.42470563636363634</v>
      </c>
      <c r="V24" s="145"/>
      <c r="W24" s="145"/>
      <c r="X24" s="145"/>
      <c r="Y24" s="145"/>
      <c r="Z24" s="145"/>
      <c r="AA24" s="145"/>
      <c r="AB24" s="145"/>
      <c r="AC24" s="145">
        <f t="shared" si="2"/>
        <v>1.8583644545454547</v>
      </c>
      <c r="AD24" s="147">
        <f t="shared" si="3"/>
        <v>0.45661401818181824</v>
      </c>
    </row>
    <row r="25" spans="2:30" ht="15" x14ac:dyDescent="0.4">
      <c r="B25" s="371"/>
      <c r="C25" s="372"/>
      <c r="D25" s="144" t="s">
        <v>71</v>
      </c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>
        <f>'(참고) 연결용'!F23</f>
        <v>0.73715763636363629</v>
      </c>
      <c r="R25" s="145">
        <f>'(참고) 연결용'!G23</f>
        <v>0.8785777272727272</v>
      </c>
      <c r="S25" s="145">
        <f>'(참고) 연결용'!H23</f>
        <v>0.81444236363636358</v>
      </c>
      <c r="T25" s="145">
        <f>'(참고) 연결용'!I23</f>
        <v>0.79583690909090898</v>
      </c>
      <c r="U25" s="145">
        <f>'(참고) 연결용'!J23</f>
        <v>0.79464063636363624</v>
      </c>
      <c r="V25" s="145"/>
      <c r="W25" s="145"/>
      <c r="X25" s="145"/>
      <c r="Y25" s="145"/>
      <c r="Z25" s="145"/>
      <c r="AA25" s="145"/>
      <c r="AB25" s="145"/>
      <c r="AC25" s="145">
        <f t="shared" si="2"/>
        <v>3.2260146363636357</v>
      </c>
      <c r="AD25" s="147">
        <f t="shared" si="3"/>
        <v>0.8041310545454543</v>
      </c>
    </row>
    <row r="26" spans="2:30" ht="15" x14ac:dyDescent="0.4">
      <c r="B26" s="367" t="s">
        <v>27</v>
      </c>
      <c r="C26" s="368"/>
      <c r="D26" s="142" t="s">
        <v>109</v>
      </c>
      <c r="E26" s="143">
        <v>6</v>
      </c>
      <c r="F26" s="143">
        <v>5.7</v>
      </c>
      <c r="G26" s="143">
        <v>5.9</v>
      </c>
      <c r="H26" s="143">
        <v>5.8</v>
      </c>
      <c r="I26" s="143">
        <v>5.8</v>
      </c>
      <c r="J26" s="143">
        <v>5.7</v>
      </c>
      <c r="K26" s="143">
        <v>5.8</v>
      </c>
      <c r="L26" s="143">
        <v>5.7</v>
      </c>
      <c r="M26" s="143">
        <v>5.7</v>
      </c>
      <c r="N26" s="143">
        <v>5.7</v>
      </c>
      <c r="O26" s="143">
        <v>5.6</v>
      </c>
      <c r="P26" s="143">
        <v>5.5</v>
      </c>
      <c r="Q26" s="143">
        <f>Q27+Q28+Q29</f>
        <v>5.2000000000000011</v>
      </c>
      <c r="R26" s="143">
        <f t="shared" ref="R26:U26" si="10">R27+R28+R29</f>
        <v>5.3671953700000001</v>
      </c>
      <c r="S26" s="143">
        <f t="shared" si="10"/>
        <v>5.1954725700000006</v>
      </c>
      <c r="T26" s="143">
        <f t="shared" si="10"/>
        <v>5.0662480399999996</v>
      </c>
      <c r="U26" s="143">
        <f t="shared" si="10"/>
        <v>4.9718197100000001</v>
      </c>
      <c r="V26" s="143"/>
      <c r="W26" s="143"/>
      <c r="X26" s="143"/>
      <c r="Y26" s="143"/>
      <c r="Z26" s="143"/>
      <c r="AA26" s="143"/>
      <c r="AB26" s="143"/>
      <c r="AC26" s="143">
        <f t="shared" si="2"/>
        <v>89.728915980000025</v>
      </c>
      <c r="AD26" s="146">
        <f t="shared" si="3"/>
        <v>5.1601471379999992</v>
      </c>
    </row>
    <row r="27" spans="2:30" ht="15" x14ac:dyDescent="0.4">
      <c r="B27" s="369"/>
      <c r="C27" s="370"/>
      <c r="D27" s="144" t="s">
        <v>70</v>
      </c>
      <c r="E27" s="145">
        <f>E26-E28-E29</f>
        <v>5.4332440000000002</v>
      </c>
      <c r="F27" s="145">
        <f t="shared" ref="F27:P27" si="11">F26-F28-F29</f>
        <v>5.1382723636363643</v>
      </c>
      <c r="G27" s="145">
        <f t="shared" si="11"/>
        <v>4.9912975454545458</v>
      </c>
      <c r="H27" s="145">
        <f t="shared" si="11"/>
        <v>4.8656638181818179</v>
      </c>
      <c r="I27" s="145">
        <f t="shared" si="11"/>
        <v>4.8242471818181816</v>
      </c>
      <c r="J27" s="145">
        <f t="shared" si="11"/>
        <v>4.7041880000000003</v>
      </c>
      <c r="K27" s="145">
        <f t="shared" si="11"/>
        <v>4.7789876363636363</v>
      </c>
      <c r="L27" s="145">
        <f t="shared" si="11"/>
        <v>4.6154407272727278</v>
      </c>
      <c r="M27" s="145">
        <f t="shared" si="11"/>
        <v>4.5852237272727274</v>
      </c>
      <c r="N27" s="145">
        <f t="shared" si="11"/>
        <v>4.4370475454545462</v>
      </c>
      <c r="O27" s="145">
        <f t="shared" si="11"/>
        <v>4.2612271818181817</v>
      </c>
      <c r="P27" s="145">
        <f t="shared" si="11"/>
        <v>4.1162299999999998</v>
      </c>
      <c r="Q27" s="145">
        <f>'(참고) 연결용'!F9</f>
        <v>3.8250436363636369</v>
      </c>
      <c r="R27" s="145">
        <f>'(참고) 연결용'!G9</f>
        <v>3.8708856699999998</v>
      </c>
      <c r="S27" s="145">
        <f>'(참고) 연결용'!H9</f>
        <v>3.6310316200000008</v>
      </c>
      <c r="T27" s="145">
        <f>'(참고) 연결용'!I9</f>
        <v>3.4754358490909087</v>
      </c>
      <c r="U27" s="145">
        <f>'(참고) 연결용'!J9</f>
        <v>3.3329248009090913</v>
      </c>
      <c r="V27" s="145"/>
      <c r="W27" s="145"/>
      <c r="X27" s="145"/>
      <c r="Y27" s="145"/>
      <c r="Z27" s="145"/>
      <c r="AA27" s="145"/>
      <c r="AB27" s="145"/>
      <c r="AC27" s="145">
        <f t="shared" si="2"/>
        <v>71.553466502727289</v>
      </c>
      <c r="AD27" s="147">
        <f t="shared" si="3"/>
        <v>3.6270643152727273</v>
      </c>
    </row>
    <row r="28" spans="2:30" ht="15" x14ac:dyDescent="0.4">
      <c r="B28" s="369"/>
      <c r="C28" s="370"/>
      <c r="D28" s="144" t="s">
        <v>71</v>
      </c>
      <c r="E28" s="145">
        <v>0.56675599999999993</v>
      </c>
      <c r="F28" s="145">
        <v>0.56172763636363632</v>
      </c>
      <c r="G28" s="145">
        <v>0.54870245454545452</v>
      </c>
      <c r="H28" s="145">
        <v>0.52433618181818176</v>
      </c>
      <c r="I28" s="145">
        <v>0.50575281818181816</v>
      </c>
      <c r="J28" s="145">
        <v>0.48581199999999991</v>
      </c>
      <c r="K28" s="145">
        <v>0.47101236363636362</v>
      </c>
      <c r="L28" s="145">
        <v>0.45455927272727265</v>
      </c>
      <c r="M28" s="145">
        <v>0.43477627272727265</v>
      </c>
      <c r="N28" s="145">
        <v>0.42295245454545455</v>
      </c>
      <c r="O28" s="145">
        <v>0.39877281818181814</v>
      </c>
      <c r="P28" s="145">
        <v>0.38377</v>
      </c>
      <c r="Q28" s="145">
        <v>0.35495636363636357</v>
      </c>
      <c r="R28" s="145">
        <f>'(참고) 연결용'!G25</f>
        <v>0.38630969999999998</v>
      </c>
      <c r="S28" s="145">
        <f>'(참고) 연결용'!H25</f>
        <v>0.36444094999999999</v>
      </c>
      <c r="T28" s="145">
        <f>'(참고) 연결용'!I25</f>
        <v>0.33411220000000003</v>
      </c>
      <c r="U28" s="145">
        <f>'(참고) 연결용'!J25</f>
        <v>0.31442530000000002</v>
      </c>
      <c r="V28" s="145"/>
      <c r="W28" s="145"/>
      <c r="X28" s="145"/>
      <c r="Y28" s="145"/>
      <c r="Z28" s="145"/>
      <c r="AA28" s="145"/>
      <c r="AB28" s="145"/>
      <c r="AC28" s="145">
        <f t="shared" si="2"/>
        <v>7.198749486363635</v>
      </c>
      <c r="AD28" s="147">
        <f t="shared" si="3"/>
        <v>0.3508489027272727</v>
      </c>
    </row>
    <row r="29" spans="2:30" ht="16.5" customHeight="1" x14ac:dyDescent="0.4">
      <c r="B29" s="371"/>
      <c r="C29" s="372"/>
      <c r="D29" s="144" t="s">
        <v>105</v>
      </c>
      <c r="E29" s="233"/>
      <c r="F29" s="233"/>
      <c r="G29" s="145">
        <v>0.36</v>
      </c>
      <c r="H29" s="145">
        <v>0.41</v>
      </c>
      <c r="I29" s="145">
        <v>0.47</v>
      </c>
      <c r="J29" s="145">
        <v>0.51</v>
      </c>
      <c r="K29" s="145">
        <v>0.55000000000000004</v>
      </c>
      <c r="L29" s="145">
        <v>0.63</v>
      </c>
      <c r="M29" s="145">
        <v>0.68</v>
      </c>
      <c r="N29" s="145">
        <v>0.84</v>
      </c>
      <c r="O29" s="145">
        <v>0.94</v>
      </c>
      <c r="P29" s="145">
        <v>1</v>
      </c>
      <c r="Q29" s="145">
        <f>'(참고) 연결용'!F15</f>
        <v>1.02</v>
      </c>
      <c r="R29" s="145">
        <f>'(참고) 연결용'!G15</f>
        <v>1.1100000000000001</v>
      </c>
      <c r="S29" s="145">
        <f>'(참고) 연결용'!H15</f>
        <v>1.2</v>
      </c>
      <c r="T29" s="145">
        <f>'(참고) 연결용'!I15</f>
        <v>1.2566999909090908</v>
      </c>
      <c r="U29" s="145">
        <f>'(참고) 연결용'!J15</f>
        <v>1.3244696090909089</v>
      </c>
      <c r="V29" s="145"/>
      <c r="W29" s="145"/>
      <c r="X29" s="145"/>
      <c r="Y29" s="145"/>
      <c r="Z29" s="145"/>
      <c r="AA29" s="145"/>
      <c r="AB29" s="145"/>
      <c r="AC29" s="145">
        <f t="shared" si="2"/>
        <v>10.97669999090909</v>
      </c>
      <c r="AD29" s="147">
        <f t="shared" si="3"/>
        <v>1.18223392</v>
      </c>
    </row>
    <row r="30" spans="2:30" ht="15" x14ac:dyDescent="0.4">
      <c r="B30" s="367" t="s">
        <v>106</v>
      </c>
      <c r="C30" s="368"/>
      <c r="D30" s="142" t="s">
        <v>109</v>
      </c>
      <c r="E30" s="143">
        <f>E31+E32</f>
        <v>5.3595322999999997</v>
      </c>
      <c r="F30" s="143">
        <f t="shared" ref="F30:P30" si="12">F31+F32</f>
        <v>5.0397463199999999</v>
      </c>
      <c r="G30" s="143">
        <f t="shared" si="12"/>
        <v>4.9948352299999996</v>
      </c>
      <c r="H30" s="143">
        <f t="shared" si="12"/>
        <v>5.5564696099999997</v>
      </c>
      <c r="I30" s="143">
        <f t="shared" si="12"/>
        <v>5.0182843199999994</v>
      </c>
      <c r="J30" s="143">
        <f t="shared" si="12"/>
        <v>4.6939010000000003</v>
      </c>
      <c r="K30" s="143">
        <f t="shared" si="12"/>
        <v>5.1975374199999997</v>
      </c>
      <c r="L30" s="143">
        <f t="shared" si="12"/>
        <v>4.70809006</v>
      </c>
      <c r="M30" s="143">
        <f t="shared" si="12"/>
        <v>5.05063072</v>
      </c>
      <c r="N30" s="143">
        <f t="shared" si="12"/>
        <v>5.01521097</v>
      </c>
      <c r="O30" s="143">
        <f t="shared" si="12"/>
        <v>4.4369989399999996</v>
      </c>
      <c r="P30" s="143">
        <f t="shared" si="12"/>
        <v>4.9319000000000006</v>
      </c>
      <c r="Q30" s="143">
        <f>Q31+Q32</f>
        <v>4.4528654100000002</v>
      </c>
      <c r="R30" s="143">
        <f t="shared" ref="R30:U30" si="13">R31+R32</f>
        <v>4.7350970100000005</v>
      </c>
      <c r="S30" s="143">
        <f t="shared" si="13"/>
        <v>4.4937317199999995</v>
      </c>
      <c r="T30" s="143">
        <f t="shared" si="13"/>
        <v>4.5521414199999999</v>
      </c>
      <c r="U30" s="143">
        <f t="shared" si="13"/>
        <v>4.5119709600000002</v>
      </c>
      <c r="V30" s="143"/>
      <c r="W30" s="143"/>
      <c r="X30" s="143"/>
      <c r="Y30" s="143"/>
      <c r="Z30" s="143"/>
      <c r="AA30" s="143"/>
      <c r="AB30" s="143"/>
      <c r="AC30" s="143">
        <f t="shared" si="2"/>
        <v>78.236972449999996</v>
      </c>
      <c r="AD30" s="146">
        <f t="shared" si="3"/>
        <v>4.5491613040000001</v>
      </c>
    </row>
    <row r="31" spans="2:30" ht="14.5" customHeight="1" x14ac:dyDescent="0.4">
      <c r="B31" s="369"/>
      <c r="C31" s="370"/>
      <c r="D31" s="144" t="s">
        <v>107</v>
      </c>
      <c r="E31" s="145">
        <v>2.23213134</v>
      </c>
      <c r="F31" s="145">
        <v>2.21465646</v>
      </c>
      <c r="G31" s="145">
        <v>2.1495214300000001</v>
      </c>
      <c r="H31" s="145">
        <v>2.4828519899999999</v>
      </c>
      <c r="I31" s="145">
        <v>2.2195728799999999</v>
      </c>
      <c r="J31" s="145">
        <v>2.0524255299999998</v>
      </c>
      <c r="K31" s="145">
        <v>2.3254244599999998</v>
      </c>
      <c r="L31" s="145">
        <v>2.0815852700000002</v>
      </c>
      <c r="M31" s="145">
        <v>2.2659388300000001</v>
      </c>
      <c r="N31" s="145">
        <v>2.3115773700000002</v>
      </c>
      <c r="O31" s="145">
        <v>1.83061896</v>
      </c>
      <c r="P31" s="145">
        <v>2.278</v>
      </c>
      <c r="Q31" s="145">
        <f>'(참고) 연결용'!F11</f>
        <v>1.97286541</v>
      </c>
      <c r="R31" s="145">
        <f>'(참고) 연결용'!G11</f>
        <v>2.0155581499999999</v>
      </c>
      <c r="S31" s="145">
        <f>'(참고) 연결용'!H11</f>
        <v>1.96419572</v>
      </c>
      <c r="T31" s="145">
        <f>'(참고) 연결용'!I11</f>
        <v>2.0361414199999999</v>
      </c>
      <c r="U31" s="145">
        <f>'(참고) 연결용'!J11</f>
        <v>2.1384690100000001</v>
      </c>
      <c r="V31" s="145"/>
      <c r="W31" s="145"/>
      <c r="X31" s="145"/>
      <c r="Y31" s="145"/>
      <c r="Z31" s="145"/>
      <c r="AA31" s="145"/>
      <c r="AB31" s="145"/>
      <c r="AC31" s="145">
        <f t="shared" si="2"/>
        <v>34.433065220000003</v>
      </c>
      <c r="AD31" s="147">
        <f t="shared" si="3"/>
        <v>2.0254459420000002</v>
      </c>
    </row>
    <row r="32" spans="2:30" ht="14.5" customHeight="1" x14ac:dyDescent="0.4">
      <c r="B32" s="369"/>
      <c r="C32" s="370"/>
      <c r="D32" s="144" t="s">
        <v>108</v>
      </c>
      <c r="E32" s="145">
        <v>3.1274009600000001</v>
      </c>
      <c r="F32" s="145">
        <v>2.8250898599999998</v>
      </c>
      <c r="G32" s="145">
        <v>2.8453138</v>
      </c>
      <c r="H32" s="145">
        <v>3.0736176199999998</v>
      </c>
      <c r="I32" s="145">
        <v>2.7987114399999999</v>
      </c>
      <c r="J32" s="145">
        <v>2.64147547</v>
      </c>
      <c r="K32" s="145">
        <v>2.8721129599999999</v>
      </c>
      <c r="L32" s="145">
        <v>2.6265047899999998</v>
      </c>
      <c r="M32" s="145">
        <v>2.7846918899999999</v>
      </c>
      <c r="N32" s="145">
        <v>2.7036335999999999</v>
      </c>
      <c r="O32" s="145">
        <v>2.6063799799999998</v>
      </c>
      <c r="P32" s="145">
        <v>2.6539000000000001</v>
      </c>
      <c r="Q32" s="145">
        <f>'(참고) 연결용'!F12</f>
        <v>2.48</v>
      </c>
      <c r="R32" s="145">
        <f>'(참고) 연결용'!G12</f>
        <v>2.7195388600000001</v>
      </c>
      <c r="S32" s="145">
        <f>'(참고) 연결용'!H12</f>
        <v>2.5295359999999998</v>
      </c>
      <c r="T32" s="145">
        <f>'(참고) 연결용'!I12</f>
        <v>2.516</v>
      </c>
      <c r="U32" s="145">
        <f>'(참고) 연결용'!J12</f>
        <v>2.3735019500000001</v>
      </c>
      <c r="V32" s="145"/>
      <c r="W32" s="145"/>
      <c r="X32" s="145"/>
      <c r="Y32" s="145"/>
      <c r="Z32" s="145"/>
      <c r="AA32" s="145"/>
      <c r="AB32" s="145"/>
      <c r="AC32" s="145">
        <f t="shared" si="2"/>
        <v>43.803907229999993</v>
      </c>
      <c r="AD32" s="147">
        <f t="shared" si="3"/>
        <v>2.5237153619999999</v>
      </c>
    </row>
    <row r="33" spans="2:30" ht="15" x14ac:dyDescent="0.4">
      <c r="B33" s="367" t="s">
        <v>32</v>
      </c>
      <c r="C33" s="368"/>
      <c r="D33" s="142" t="s">
        <v>109</v>
      </c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3">
        <f>Q34+Q36+Q35</f>
        <v>6.0540025899999996</v>
      </c>
      <c r="R33" s="143">
        <f t="shared" ref="R33:U33" si="14">R34+R36+R35</f>
        <v>7.7356880200000004</v>
      </c>
      <c r="S33" s="143">
        <f t="shared" si="14"/>
        <v>4.7217180299999999</v>
      </c>
      <c r="T33" s="143">
        <f t="shared" si="14"/>
        <v>13.8960987</v>
      </c>
      <c r="U33" s="143">
        <f t="shared" si="14"/>
        <v>4.3757564899999997</v>
      </c>
      <c r="V33" s="143"/>
      <c r="W33" s="143"/>
      <c r="X33" s="143"/>
      <c r="Y33" s="143"/>
      <c r="Z33" s="143"/>
      <c r="AA33" s="143"/>
      <c r="AB33" s="143"/>
      <c r="AC33" s="143">
        <f t="shared" si="2"/>
        <v>32.407507339999995</v>
      </c>
      <c r="AD33" s="146">
        <f t="shared" si="3"/>
        <v>7.356652765999999</v>
      </c>
    </row>
    <row r="34" spans="2:30" ht="14.5" customHeight="1" x14ac:dyDescent="0.4">
      <c r="B34" s="369"/>
      <c r="C34" s="370"/>
      <c r="D34" s="144" t="s">
        <v>20</v>
      </c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5">
        <f>'(참고) 연결용'!F16</f>
        <v>7.9</v>
      </c>
      <c r="R34" s="145">
        <f>'(참고) 연결용'!G16</f>
        <v>7.97160958</v>
      </c>
      <c r="S34" s="145">
        <f>'(참고) 연결용'!H16</f>
        <v>7.4216384199999998</v>
      </c>
      <c r="T34" s="145">
        <f>'(참고) 연결용'!I16</f>
        <v>7.6139127899999997</v>
      </c>
      <c r="U34" s="145">
        <f>'(참고) 연결용'!J16</f>
        <v>7.6228569999999998</v>
      </c>
      <c r="V34" s="145"/>
      <c r="W34" s="145"/>
      <c r="X34" s="145"/>
      <c r="Y34" s="145"/>
      <c r="Z34" s="145"/>
      <c r="AA34" s="145"/>
      <c r="AB34" s="145"/>
      <c r="AC34" s="145">
        <f t="shared" si="2"/>
        <v>30.907160790000002</v>
      </c>
      <c r="AD34" s="147">
        <f t="shared" si="3"/>
        <v>7.7060035580000008</v>
      </c>
    </row>
    <row r="35" spans="2:30" ht="14.5" customHeight="1" x14ac:dyDescent="0.4">
      <c r="B35" s="369"/>
      <c r="C35" s="370"/>
      <c r="D35" s="144" t="s">
        <v>21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5">
        <f>'(참고) 연결용'!F17</f>
        <v>0.60595882000000001</v>
      </c>
      <c r="R35" s="145">
        <f>'(참고) 연결용'!G17</f>
        <v>0.66603878000000005</v>
      </c>
      <c r="S35" s="145">
        <f>'(참고) 연결용'!H17</f>
        <v>0.63645967999999997</v>
      </c>
      <c r="T35" s="145">
        <f>'(참고) 연결용'!I17</f>
        <v>0.57387266000000003</v>
      </c>
      <c r="U35" s="145">
        <f>'(참고) 연결용'!J17</f>
        <v>0.69777632999999994</v>
      </c>
      <c r="V35" s="145"/>
      <c r="W35" s="145"/>
      <c r="X35" s="145"/>
      <c r="Y35" s="145"/>
      <c r="Z35" s="145"/>
      <c r="AA35" s="145"/>
      <c r="AB35" s="145"/>
      <c r="AC35" s="145">
        <f t="shared" si="2"/>
        <v>2.4823299400000001</v>
      </c>
      <c r="AD35" s="147">
        <f t="shared" si="3"/>
        <v>0.63602125399999998</v>
      </c>
    </row>
    <row r="36" spans="2:30" ht="14.5" customHeight="1" x14ac:dyDescent="0.4">
      <c r="B36" s="371"/>
      <c r="C36" s="372"/>
      <c r="D36" s="144" t="s">
        <v>110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5">
        <f>'(참고) 연결용'!F13</f>
        <v>-2.45195623</v>
      </c>
      <c r="R36" s="145">
        <f>'(참고) 연결용'!G13</f>
        <v>-0.90196034000000003</v>
      </c>
      <c r="S36" s="145">
        <f>'(참고) 연결용'!H13</f>
        <v>-3.3363800700000001</v>
      </c>
      <c r="T36" s="145">
        <f>'(참고) 연결용'!I13</f>
        <v>5.7083132499999998</v>
      </c>
      <c r="U36" s="145">
        <f>'(참고) 연결용'!J13</f>
        <v>-3.9448768400000001</v>
      </c>
      <c r="V36" s="145"/>
      <c r="W36" s="145"/>
      <c r="X36" s="145"/>
      <c r="Y36" s="145"/>
      <c r="Z36" s="145"/>
      <c r="AA36" s="145"/>
      <c r="AB36" s="145"/>
      <c r="AC36" s="145">
        <f t="shared" si="2"/>
        <v>-0.9819833899999999</v>
      </c>
      <c r="AD36" s="147">
        <f t="shared" si="3"/>
        <v>-0.98537204599999995</v>
      </c>
    </row>
    <row r="38" spans="2:30" ht="15" x14ac:dyDescent="0.4">
      <c r="B38" s="365" t="s">
        <v>10</v>
      </c>
      <c r="C38" s="365"/>
      <c r="D38" s="366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140">
        <v>2501</v>
      </c>
      <c r="R38" s="140">
        <v>2502</v>
      </c>
      <c r="S38" s="140">
        <v>2503</v>
      </c>
      <c r="T38" s="140">
        <v>2504</v>
      </c>
      <c r="U38" s="140">
        <v>2505</v>
      </c>
      <c r="V38" s="140">
        <v>2506</v>
      </c>
      <c r="W38" s="140">
        <v>2507</v>
      </c>
      <c r="X38" s="140">
        <v>2508</v>
      </c>
      <c r="Y38" s="140">
        <v>2509</v>
      </c>
      <c r="Z38" s="140">
        <v>2510</v>
      </c>
      <c r="AA38" s="140">
        <v>2511</v>
      </c>
      <c r="AB38" s="140">
        <v>2512</v>
      </c>
      <c r="AC38" s="141" t="s">
        <v>112</v>
      </c>
      <c r="AD38" s="141" t="s">
        <v>113</v>
      </c>
    </row>
    <row r="39" spans="2:30" ht="15" x14ac:dyDescent="0.4">
      <c r="B39" s="373" t="s">
        <v>102</v>
      </c>
      <c r="C39" s="374"/>
      <c r="D39" s="142" t="s">
        <v>109</v>
      </c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8">
        <f>Q40+Q41+Q42</f>
        <v>2437221</v>
      </c>
      <c r="R39" s="148">
        <f t="shared" ref="R39:U39" si="15">R40+R41+R42</f>
        <v>2418438</v>
      </c>
      <c r="S39" s="148">
        <f t="shared" si="15"/>
        <v>2394811</v>
      </c>
      <c r="T39" s="148">
        <f t="shared" si="15"/>
        <v>2388658</v>
      </c>
      <c r="U39" s="148">
        <f t="shared" si="15"/>
        <v>2406955</v>
      </c>
      <c r="V39" s="148"/>
      <c r="W39" s="148"/>
      <c r="X39" s="148"/>
      <c r="Y39" s="148"/>
      <c r="Z39" s="148"/>
      <c r="AA39" s="148"/>
      <c r="AB39" s="148"/>
      <c r="AC39" s="148">
        <f t="shared" ref="AC39:AC68" si="16">SUM(D39:T39)</f>
        <v>9639128</v>
      </c>
      <c r="AD39" s="149"/>
    </row>
    <row r="40" spans="2:30" ht="15" x14ac:dyDescent="0.4">
      <c r="B40" s="375"/>
      <c r="C40" s="376"/>
      <c r="D40" s="144" t="s">
        <v>70</v>
      </c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50">
        <f>Q45+Q49+Q54+Q58+Q63+Q64</f>
        <v>1438997</v>
      </c>
      <c r="R40" s="150">
        <f t="shared" ref="R40:T40" si="17">R45+R49+R54+R58+R63+R64</f>
        <v>1428238</v>
      </c>
      <c r="S40" s="150">
        <f t="shared" si="17"/>
        <v>1417929</v>
      </c>
      <c r="T40" s="150">
        <f t="shared" si="17"/>
        <v>1419139</v>
      </c>
      <c r="U40" s="150">
        <f>U45+U49+U54+U58+U63+U64</f>
        <v>1428753</v>
      </c>
      <c r="V40" s="150"/>
      <c r="W40" s="150"/>
      <c r="X40" s="150"/>
      <c r="Y40" s="150"/>
      <c r="Z40" s="150"/>
      <c r="AA40" s="150"/>
      <c r="AB40" s="150"/>
      <c r="AC40" s="150">
        <f t="shared" si="16"/>
        <v>5704303</v>
      </c>
      <c r="AD40" s="151"/>
    </row>
    <row r="41" spans="2:30" ht="15" x14ac:dyDescent="0.4">
      <c r="B41" s="375"/>
      <c r="C41" s="376"/>
      <c r="D41" s="144" t="s">
        <v>71</v>
      </c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50">
        <f>Q46+Q47+Q50+Q51+Q55+Q56+Q59+Q60</f>
        <v>276106</v>
      </c>
      <c r="R41" s="150">
        <f t="shared" ref="R41:U41" si="18">R46+R47+R50+R51+R55+R56+R59+R60</f>
        <v>274037</v>
      </c>
      <c r="S41" s="150">
        <f t="shared" si="18"/>
        <v>270709</v>
      </c>
      <c r="T41" s="150">
        <f t="shared" si="18"/>
        <v>269132</v>
      </c>
      <c r="U41" s="150">
        <f t="shared" si="18"/>
        <v>268690</v>
      </c>
      <c r="V41" s="150"/>
      <c r="W41" s="150"/>
      <c r="X41" s="150"/>
      <c r="Y41" s="150"/>
      <c r="Z41" s="150"/>
      <c r="AA41" s="150"/>
      <c r="AB41" s="150"/>
      <c r="AC41" s="150">
        <f t="shared" si="16"/>
        <v>1089984</v>
      </c>
      <c r="AD41" s="151"/>
    </row>
    <row r="42" spans="2:30" ht="15" x14ac:dyDescent="0.4">
      <c r="B42" s="375"/>
      <c r="C42" s="376"/>
      <c r="D42" s="144" t="s">
        <v>105</v>
      </c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50">
        <f>Q52+Q61</f>
        <v>722118</v>
      </c>
      <c r="R42" s="150">
        <f t="shared" ref="R42:U42" si="19">R52+R61</f>
        <v>716163</v>
      </c>
      <c r="S42" s="150">
        <f t="shared" si="19"/>
        <v>706173</v>
      </c>
      <c r="T42" s="150">
        <f t="shared" si="19"/>
        <v>700387</v>
      </c>
      <c r="U42" s="150">
        <f t="shared" si="19"/>
        <v>709512</v>
      </c>
      <c r="V42" s="150"/>
      <c r="W42" s="150"/>
      <c r="X42" s="150"/>
      <c r="Y42" s="150"/>
      <c r="Z42" s="150"/>
      <c r="AA42" s="150"/>
      <c r="AB42" s="150"/>
      <c r="AC42" s="150">
        <f t="shared" si="16"/>
        <v>2844841</v>
      </c>
      <c r="AD42" s="151"/>
    </row>
    <row r="43" spans="2:30" ht="15" x14ac:dyDescent="0.4">
      <c r="B43" s="377"/>
      <c r="C43" s="378"/>
      <c r="D43" s="144" t="s">
        <v>32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53"/>
      <c r="R43" s="153"/>
      <c r="S43" s="153"/>
      <c r="T43" s="153"/>
      <c r="U43" s="153"/>
      <c r="V43" s="150"/>
      <c r="W43" s="150"/>
      <c r="X43" s="150"/>
      <c r="Y43" s="150"/>
      <c r="Z43" s="150"/>
      <c r="AA43" s="150"/>
      <c r="AB43" s="150"/>
      <c r="AC43" s="150">
        <f t="shared" si="16"/>
        <v>0</v>
      </c>
      <c r="AD43" s="151"/>
    </row>
    <row r="44" spans="2:30" ht="15" x14ac:dyDescent="0.4">
      <c r="B44" s="367" t="s">
        <v>26</v>
      </c>
      <c r="C44" s="368"/>
      <c r="D44" s="142" t="s">
        <v>109</v>
      </c>
      <c r="E44" s="148">
        <v>894405</v>
      </c>
      <c r="F44" s="148">
        <v>893011</v>
      </c>
      <c r="G44" s="148">
        <v>892673</v>
      </c>
      <c r="H44" s="148">
        <v>890727</v>
      </c>
      <c r="I44" s="148">
        <v>889722</v>
      </c>
      <c r="J44" s="148">
        <v>890125</v>
      </c>
      <c r="K44" s="148">
        <v>890893</v>
      </c>
      <c r="L44" s="148">
        <v>892043</v>
      </c>
      <c r="M44" s="148">
        <v>890763</v>
      </c>
      <c r="N44" s="148">
        <v>883936</v>
      </c>
      <c r="O44" s="148">
        <v>887759</v>
      </c>
      <c r="P44" s="148">
        <v>886188</v>
      </c>
      <c r="Q44" s="148">
        <f>Q45+Q47+Q46</f>
        <v>863927</v>
      </c>
      <c r="R44" s="148">
        <f t="shared" ref="R44:U44" si="20">R45+R47+R46</f>
        <v>867687</v>
      </c>
      <c r="S44" s="148">
        <f t="shared" si="20"/>
        <v>868817</v>
      </c>
      <c r="T44" s="148">
        <f t="shared" si="20"/>
        <v>873806</v>
      </c>
      <c r="U44" s="148">
        <f t="shared" si="20"/>
        <v>891478</v>
      </c>
      <c r="V44" s="148"/>
      <c r="W44" s="148"/>
      <c r="X44" s="148"/>
      <c r="Y44" s="148"/>
      <c r="Z44" s="148"/>
      <c r="AA44" s="148"/>
      <c r="AB44" s="148"/>
      <c r="AC44" s="148">
        <f t="shared" si="16"/>
        <v>14156482</v>
      </c>
      <c r="AD44" s="149"/>
    </row>
    <row r="45" spans="2:30" ht="15" x14ac:dyDescent="0.4">
      <c r="B45" s="369"/>
      <c r="C45" s="370"/>
      <c r="D45" s="144" t="s">
        <v>70</v>
      </c>
      <c r="E45" s="150">
        <v>749129</v>
      </c>
      <c r="F45" s="150">
        <v>748834</v>
      </c>
      <c r="G45" s="150">
        <v>748987</v>
      </c>
      <c r="H45" s="150">
        <v>747221</v>
      </c>
      <c r="I45" s="150">
        <v>747650</v>
      </c>
      <c r="J45" s="150">
        <v>750317</v>
      </c>
      <c r="K45" s="150">
        <v>752257</v>
      </c>
      <c r="L45" s="150">
        <v>755901</v>
      </c>
      <c r="M45" s="150">
        <v>756168</v>
      </c>
      <c r="N45" s="150">
        <v>751500</v>
      </c>
      <c r="O45" s="150">
        <v>756006</v>
      </c>
      <c r="P45" s="150">
        <v>755811</v>
      </c>
      <c r="Q45" s="150">
        <f>'(참고) 연결용 (가입자 무선)'!F22</f>
        <v>751971</v>
      </c>
      <c r="R45" s="150">
        <f>'(참고) 연결용 (가입자 무선)'!G22</f>
        <v>752950</v>
      </c>
      <c r="S45" s="150">
        <f>'(참고) 연결용 (가입자 무선)'!H22</f>
        <v>752266</v>
      </c>
      <c r="T45" s="150">
        <f>'(참고) 연결용 (가입자 무선)'!I22</f>
        <v>754111</v>
      </c>
      <c r="U45" s="150">
        <f>'(참고) 연결용 (가입자 무선)'!J22</f>
        <v>766608</v>
      </c>
      <c r="V45" s="150"/>
      <c r="W45" s="150"/>
      <c r="X45" s="150"/>
      <c r="Y45" s="150"/>
      <c r="Z45" s="150"/>
      <c r="AA45" s="150"/>
      <c r="AB45" s="150"/>
      <c r="AC45" s="150">
        <f t="shared" si="16"/>
        <v>12031079</v>
      </c>
      <c r="AD45" s="151"/>
    </row>
    <row r="46" spans="2:30" ht="15" x14ac:dyDescent="0.4">
      <c r="B46" s="369"/>
      <c r="C46" s="370"/>
      <c r="D46" s="144" t="s">
        <v>115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v>69550</v>
      </c>
      <c r="R46" s="150">
        <v>69467</v>
      </c>
      <c r="S46" s="150">
        <v>68835</v>
      </c>
      <c r="T46" s="150">
        <v>68722</v>
      </c>
      <c r="U46" s="150">
        <v>69025</v>
      </c>
      <c r="V46" s="150"/>
      <c r="W46" s="150"/>
      <c r="X46" s="150"/>
      <c r="Y46" s="150"/>
      <c r="Z46" s="150"/>
      <c r="AA46" s="150"/>
      <c r="AB46" s="150"/>
      <c r="AC46" s="150">
        <f t="shared" si="16"/>
        <v>276574</v>
      </c>
      <c r="AD46" s="151"/>
    </row>
    <row r="47" spans="2:30" ht="15" x14ac:dyDescent="0.4">
      <c r="B47" s="371"/>
      <c r="C47" s="372"/>
      <c r="D47" s="144" t="s">
        <v>114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v>42406</v>
      </c>
      <c r="R47" s="150">
        <v>45270</v>
      </c>
      <c r="S47" s="150">
        <v>47716</v>
      </c>
      <c r="T47" s="150">
        <v>50973</v>
      </c>
      <c r="U47" s="150">
        <v>55845</v>
      </c>
      <c r="V47" s="150">
        <v>59349</v>
      </c>
      <c r="W47" s="150"/>
      <c r="X47" s="150"/>
      <c r="Y47" s="150"/>
      <c r="Z47" s="150"/>
      <c r="AA47" s="150"/>
      <c r="AB47" s="150"/>
      <c r="AC47" s="150">
        <f t="shared" si="16"/>
        <v>186365</v>
      </c>
      <c r="AD47" s="151"/>
    </row>
    <row r="48" spans="2:30" ht="15" x14ac:dyDescent="0.4">
      <c r="B48" s="367" t="s">
        <v>25</v>
      </c>
      <c r="C48" s="368"/>
      <c r="D48" s="142" t="s">
        <v>109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8">
        <f>Q49+Q51+Q50+Q52</f>
        <v>738464</v>
      </c>
      <c r="R48" s="148">
        <f t="shared" ref="R48:U48" si="21">R49+R51+R50+R52</f>
        <v>709587</v>
      </c>
      <c r="S48" s="148">
        <f t="shared" si="21"/>
        <v>686178</v>
      </c>
      <c r="T48" s="148">
        <f t="shared" si="21"/>
        <v>662458</v>
      </c>
      <c r="U48" s="148">
        <f t="shared" si="21"/>
        <v>639166</v>
      </c>
      <c r="V48" s="148"/>
      <c r="W48" s="148"/>
      <c r="X48" s="148"/>
      <c r="Y48" s="148"/>
      <c r="Z48" s="148"/>
      <c r="AA48" s="148"/>
      <c r="AB48" s="148"/>
      <c r="AC48" s="148">
        <f t="shared" si="16"/>
        <v>2796687</v>
      </c>
      <c r="AD48" s="149"/>
    </row>
    <row r="49" spans="2:30" ht="15" x14ac:dyDescent="0.4">
      <c r="B49" s="369"/>
      <c r="C49" s="370"/>
      <c r="D49" s="144" t="s">
        <v>70</v>
      </c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50">
        <f>'(참고) 연결용 (가입자 무선)'!F21</f>
        <v>66322</v>
      </c>
      <c r="R49" s="150">
        <f>'(참고) 연결용 (가입자 무선)'!G21</f>
        <v>64615</v>
      </c>
      <c r="S49" s="150">
        <f>'(참고) 연결용 (가입자 무선)'!H21</f>
        <v>63539</v>
      </c>
      <c r="T49" s="150">
        <f>'(참고) 연결용 (가입자 무선)'!I21</f>
        <v>62009</v>
      </c>
      <c r="U49" s="150">
        <f>'(참고) 연결용 (가입자 무선)'!J21</f>
        <v>61102</v>
      </c>
      <c r="V49" s="150"/>
      <c r="W49" s="150"/>
      <c r="X49" s="150"/>
      <c r="Y49" s="150"/>
      <c r="Z49" s="150"/>
      <c r="AA49" s="150"/>
      <c r="AB49" s="150"/>
      <c r="AC49" s="150">
        <f t="shared" si="16"/>
        <v>256485</v>
      </c>
      <c r="AD49" s="151"/>
    </row>
    <row r="50" spans="2:30" ht="15" x14ac:dyDescent="0.4">
      <c r="B50" s="369"/>
      <c r="C50" s="370"/>
      <c r="D50" s="144" t="s">
        <v>115</v>
      </c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50">
        <v>44891</v>
      </c>
      <c r="R50" s="150">
        <v>42582</v>
      </c>
      <c r="S50" s="150">
        <v>40286</v>
      </c>
      <c r="T50" s="150">
        <v>38053</v>
      </c>
      <c r="U50" s="150">
        <v>35974</v>
      </c>
      <c r="V50" s="150"/>
      <c r="W50" s="150"/>
      <c r="X50" s="150"/>
      <c r="Y50" s="150"/>
      <c r="Z50" s="150"/>
      <c r="AA50" s="150"/>
      <c r="AB50" s="150"/>
      <c r="AC50" s="150">
        <f t="shared" si="16"/>
        <v>165812</v>
      </c>
      <c r="AD50" s="151"/>
    </row>
    <row r="51" spans="2:30" ht="15" x14ac:dyDescent="0.4">
      <c r="B51" s="369"/>
      <c r="C51" s="370"/>
      <c r="D51" s="144" t="s">
        <v>114</v>
      </c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50">
        <v>44595</v>
      </c>
      <c r="R51" s="150">
        <v>42983</v>
      </c>
      <c r="S51" s="150">
        <v>40875</v>
      </c>
      <c r="T51" s="150">
        <v>38818</v>
      </c>
      <c r="U51" s="150">
        <v>36622</v>
      </c>
      <c r="V51" s="150"/>
      <c r="W51" s="150"/>
      <c r="X51" s="150"/>
      <c r="Y51" s="150"/>
      <c r="Z51" s="150"/>
      <c r="AA51" s="150"/>
      <c r="AB51" s="150"/>
      <c r="AC51" s="150">
        <f t="shared" si="16"/>
        <v>167271</v>
      </c>
      <c r="AD51" s="151"/>
    </row>
    <row r="52" spans="2:30" ht="15" x14ac:dyDescent="0.4">
      <c r="B52" s="371"/>
      <c r="C52" s="372"/>
      <c r="D52" s="144" t="s">
        <v>105</v>
      </c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50">
        <f>'(참고) 연결용 (가입자 무선)'!F30</f>
        <v>582656</v>
      </c>
      <c r="R52" s="150">
        <f>'(참고) 연결용 (가입자 무선)'!G30</f>
        <v>559407</v>
      </c>
      <c r="S52" s="150">
        <f>'(참고) 연결용 (가입자 무선)'!H30</f>
        <v>541478</v>
      </c>
      <c r="T52" s="150">
        <f>'(참고) 연결용 (가입자 무선)'!I30</f>
        <v>523578</v>
      </c>
      <c r="U52" s="150">
        <f>'(참고) 연결용 (가입자 무선)'!J30</f>
        <v>505468</v>
      </c>
      <c r="V52" s="150"/>
      <c r="W52" s="150"/>
      <c r="X52" s="150"/>
      <c r="Y52" s="150"/>
      <c r="Z52" s="150"/>
      <c r="AA52" s="150"/>
      <c r="AB52" s="150"/>
      <c r="AC52" s="150">
        <f t="shared" si="16"/>
        <v>2207119</v>
      </c>
      <c r="AD52" s="151"/>
    </row>
    <row r="53" spans="2:30" ht="15" x14ac:dyDescent="0.4">
      <c r="B53" s="367" t="s">
        <v>28</v>
      </c>
      <c r="C53" s="368"/>
      <c r="D53" s="142" t="s">
        <v>109</v>
      </c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8">
        <f>Q54+Q55+Q56</f>
        <v>80635</v>
      </c>
      <c r="R53" s="148">
        <f t="shared" ref="R53:U53" si="22">R54+R55+R56</f>
        <v>80298</v>
      </c>
      <c r="S53" s="148">
        <f t="shared" si="22"/>
        <v>79701</v>
      </c>
      <c r="T53" s="148">
        <f t="shared" si="22"/>
        <v>79619</v>
      </c>
      <c r="U53" s="148">
        <f t="shared" si="22"/>
        <v>78486</v>
      </c>
      <c r="V53" s="148"/>
      <c r="W53" s="148"/>
      <c r="X53" s="148"/>
      <c r="Y53" s="148"/>
      <c r="Z53" s="148"/>
      <c r="AA53" s="148"/>
      <c r="AB53" s="148"/>
      <c r="AC53" s="148">
        <f t="shared" si="16"/>
        <v>320253</v>
      </c>
      <c r="AD53" s="149"/>
    </row>
    <row r="54" spans="2:30" ht="15" x14ac:dyDescent="0.4">
      <c r="B54" s="369"/>
      <c r="C54" s="370"/>
      <c r="D54" s="144" t="s">
        <v>70</v>
      </c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50">
        <f>'(참고) 연결용 (가입자 무선)'!F23</f>
        <v>26924</v>
      </c>
      <c r="R54" s="150">
        <f>'(참고) 연결용 (가입자 무선)'!G23</f>
        <v>26456</v>
      </c>
      <c r="S54" s="150">
        <f>'(참고) 연결용 (가입자 무선)'!H23</f>
        <v>25615</v>
      </c>
      <c r="T54" s="150">
        <f>'(참고) 연결용 (가입자 무선)'!I23</f>
        <v>25136</v>
      </c>
      <c r="U54" s="150">
        <f>'(참고) 연결용 (가입자 무선)'!J23</f>
        <v>24622</v>
      </c>
      <c r="V54" s="150"/>
      <c r="W54" s="150"/>
      <c r="X54" s="150"/>
      <c r="Y54" s="150"/>
      <c r="Z54" s="150"/>
      <c r="AA54" s="150"/>
      <c r="AB54" s="150"/>
      <c r="AC54" s="150">
        <f t="shared" si="16"/>
        <v>104131</v>
      </c>
      <c r="AD54" s="151"/>
    </row>
    <row r="55" spans="2:30" ht="15" x14ac:dyDescent="0.4">
      <c r="B55" s="369"/>
      <c r="C55" s="370"/>
      <c r="D55" s="144" t="s">
        <v>115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50">
        <v>25805</v>
      </c>
      <c r="R55" s="150">
        <v>25697</v>
      </c>
      <c r="S55" s="150">
        <v>25826</v>
      </c>
      <c r="T55" s="150">
        <v>25962</v>
      </c>
      <c r="U55" s="150">
        <v>25659</v>
      </c>
      <c r="V55" s="150"/>
      <c r="W55" s="150"/>
      <c r="X55" s="150"/>
      <c r="Y55" s="150"/>
      <c r="Z55" s="150"/>
      <c r="AA55" s="150"/>
      <c r="AB55" s="150"/>
      <c r="AC55" s="150">
        <f t="shared" si="16"/>
        <v>103290</v>
      </c>
      <c r="AD55" s="151"/>
    </row>
    <row r="56" spans="2:30" ht="15" x14ac:dyDescent="0.4">
      <c r="B56" s="371"/>
      <c r="C56" s="372"/>
      <c r="D56" s="144" t="s">
        <v>114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50">
        <v>27906</v>
      </c>
      <c r="R56" s="150">
        <v>28145</v>
      </c>
      <c r="S56" s="150">
        <v>28260</v>
      </c>
      <c r="T56" s="150">
        <v>28521</v>
      </c>
      <c r="U56" s="150">
        <v>28205</v>
      </c>
      <c r="V56" s="150"/>
      <c r="W56" s="150"/>
      <c r="X56" s="150"/>
      <c r="Y56" s="150"/>
      <c r="Z56" s="150"/>
      <c r="AA56" s="150"/>
      <c r="AB56" s="150"/>
      <c r="AC56" s="150">
        <f t="shared" si="16"/>
        <v>112832</v>
      </c>
      <c r="AD56" s="151"/>
    </row>
    <row r="57" spans="2:30" ht="15" x14ac:dyDescent="0.4">
      <c r="B57" s="367" t="s">
        <v>27</v>
      </c>
      <c r="C57" s="368"/>
      <c r="D57" s="142" t="s">
        <v>109</v>
      </c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8">
        <f>Q58+Q59+Q61+Q60</f>
        <v>267542</v>
      </c>
      <c r="R57" s="148">
        <f t="shared" ref="R57:U57" si="23">R58+R59+R61+R60</f>
        <v>278856</v>
      </c>
      <c r="S57" s="148">
        <f t="shared" si="23"/>
        <v>283053</v>
      </c>
      <c r="T57" s="148">
        <f t="shared" si="23"/>
        <v>291541</v>
      </c>
      <c r="U57" s="148">
        <f t="shared" si="23"/>
        <v>315316</v>
      </c>
      <c r="V57" s="148"/>
      <c r="W57" s="148"/>
      <c r="X57" s="148"/>
      <c r="Y57" s="148"/>
      <c r="Z57" s="148"/>
      <c r="AA57" s="148"/>
      <c r="AB57" s="148"/>
      <c r="AC57" s="148">
        <f t="shared" si="16"/>
        <v>1120992</v>
      </c>
      <c r="AD57" s="149"/>
    </row>
    <row r="58" spans="2:30" ht="15" x14ac:dyDescent="0.4">
      <c r="B58" s="369"/>
      <c r="C58" s="370"/>
      <c r="D58" s="144" t="s">
        <v>70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50">
        <f>'(참고) 연결용 (가입자 무선)'!F25</f>
        <v>107127</v>
      </c>
      <c r="R58" s="150">
        <f>'(참고) 연결용 (가입자 무선)'!G25</f>
        <v>102207</v>
      </c>
      <c r="S58" s="150">
        <f>'(참고) 연결용 (가입자 무선)'!H25</f>
        <v>99447</v>
      </c>
      <c r="T58" s="150">
        <f>'(참고) 연결용 (가입자 무선)'!I25</f>
        <v>96649</v>
      </c>
      <c r="U58" s="150">
        <f>'(참고) 연결용 (가입자 무선)'!J25</f>
        <v>93912</v>
      </c>
      <c r="V58" s="150"/>
      <c r="W58" s="150"/>
      <c r="X58" s="150"/>
      <c r="Y58" s="150"/>
      <c r="Z58" s="150"/>
      <c r="AA58" s="150"/>
      <c r="AB58" s="150"/>
      <c r="AC58" s="150">
        <f t="shared" si="16"/>
        <v>405430</v>
      </c>
      <c r="AD58" s="151"/>
    </row>
    <row r="59" spans="2:30" ht="15" x14ac:dyDescent="0.4">
      <c r="B59" s="369"/>
      <c r="C59" s="370"/>
      <c r="D59" s="144" t="s">
        <v>115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50">
        <v>13244</v>
      </c>
      <c r="R59" s="150">
        <v>12547</v>
      </c>
      <c r="S59" s="150">
        <v>11891</v>
      </c>
      <c r="T59" s="150">
        <v>11321</v>
      </c>
      <c r="U59" s="150">
        <v>10724</v>
      </c>
      <c r="V59" s="150"/>
      <c r="W59" s="150"/>
      <c r="X59" s="150"/>
      <c r="Y59" s="150"/>
      <c r="Z59" s="150"/>
      <c r="AA59" s="150"/>
      <c r="AB59" s="150"/>
      <c r="AC59" s="150">
        <f t="shared" si="16"/>
        <v>49003</v>
      </c>
      <c r="AD59" s="151"/>
    </row>
    <row r="60" spans="2:30" ht="15" x14ac:dyDescent="0.4">
      <c r="B60" s="369"/>
      <c r="C60" s="370"/>
      <c r="D60" s="144" t="s">
        <v>114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50">
        <v>7709</v>
      </c>
      <c r="R60" s="150">
        <v>7346</v>
      </c>
      <c r="S60" s="150">
        <v>7020</v>
      </c>
      <c r="T60" s="150">
        <v>6762</v>
      </c>
      <c r="U60" s="150">
        <v>6636</v>
      </c>
      <c r="V60" s="150"/>
      <c r="W60" s="150"/>
      <c r="X60" s="150"/>
      <c r="Y60" s="150"/>
      <c r="Z60" s="150"/>
      <c r="AA60" s="150"/>
      <c r="AB60" s="150"/>
      <c r="AC60" s="150">
        <f t="shared" si="16"/>
        <v>28837</v>
      </c>
      <c r="AD60" s="151"/>
    </row>
    <row r="61" spans="2:30" ht="15" x14ac:dyDescent="0.4">
      <c r="B61" s="371"/>
      <c r="C61" s="372"/>
      <c r="D61" s="144" t="s">
        <v>105</v>
      </c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50">
        <f>'(참고) 연결용 (가입자 무선)'!F31</f>
        <v>139462</v>
      </c>
      <c r="R61" s="150">
        <f>'(참고) 연결용 (가입자 무선)'!G31</f>
        <v>156756</v>
      </c>
      <c r="S61" s="150">
        <f>'(참고) 연결용 (가입자 무선)'!H31</f>
        <v>164695</v>
      </c>
      <c r="T61" s="150">
        <f>'(참고) 연결용 (가입자 무선)'!I31</f>
        <v>176809</v>
      </c>
      <c r="U61" s="150">
        <f>'(참고) 연결용 (가입자 무선)'!J31</f>
        <v>204044</v>
      </c>
      <c r="V61" s="150"/>
      <c r="W61" s="150"/>
      <c r="X61" s="150"/>
      <c r="Y61" s="150"/>
      <c r="Z61" s="150"/>
      <c r="AA61" s="150"/>
      <c r="AB61" s="150"/>
      <c r="AC61" s="150">
        <f t="shared" si="16"/>
        <v>637722</v>
      </c>
      <c r="AD61" s="151"/>
    </row>
    <row r="62" spans="2:30" ht="15" x14ac:dyDescent="0.4">
      <c r="B62" s="367" t="s">
        <v>106</v>
      </c>
      <c r="C62" s="368"/>
      <c r="D62" s="142" t="s">
        <v>109</v>
      </c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8">
        <f>Q63+Q64</f>
        <v>486653</v>
      </c>
      <c r="R62" s="148">
        <f t="shared" ref="R62:U62" si="24">R63+R64</f>
        <v>482010</v>
      </c>
      <c r="S62" s="148">
        <f t="shared" si="24"/>
        <v>477062</v>
      </c>
      <c r="T62" s="148">
        <f t="shared" si="24"/>
        <v>481234</v>
      </c>
      <c r="U62" s="148">
        <f t="shared" si="24"/>
        <v>482509</v>
      </c>
      <c r="V62" s="148"/>
      <c r="W62" s="148"/>
      <c r="X62" s="148"/>
      <c r="Y62" s="148"/>
      <c r="Z62" s="148"/>
      <c r="AA62" s="148"/>
      <c r="AB62" s="148"/>
      <c r="AC62" s="148">
        <f t="shared" si="16"/>
        <v>1926959</v>
      </c>
      <c r="AD62" s="149"/>
    </row>
    <row r="63" spans="2:30" ht="15" x14ac:dyDescent="0.4">
      <c r="B63" s="369"/>
      <c r="C63" s="370"/>
      <c r="D63" s="144" t="s">
        <v>107</v>
      </c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50">
        <f>'(참고) 연결용 (가입자 무선)'!F27</f>
        <v>357535</v>
      </c>
      <c r="R63" s="150">
        <f>'(참고) 연결용 (가입자 무선)'!G27</f>
        <v>354197</v>
      </c>
      <c r="S63" s="150">
        <f>'(참고) 연결용 (가입자 무선)'!H27</f>
        <v>348912</v>
      </c>
      <c r="T63" s="150">
        <f>'(참고) 연결용 (가입자 무선)'!I27</f>
        <v>353944</v>
      </c>
      <c r="U63" s="150">
        <f>'(참고) 연결용 (가입자 무선)'!J27</f>
        <v>355534</v>
      </c>
      <c r="V63" s="150"/>
      <c r="W63" s="150"/>
      <c r="X63" s="150"/>
      <c r="Y63" s="150"/>
      <c r="Z63" s="150"/>
      <c r="AA63" s="150"/>
      <c r="AB63" s="150"/>
      <c r="AC63" s="150">
        <f t="shared" si="16"/>
        <v>1414588</v>
      </c>
      <c r="AD63" s="151"/>
    </row>
    <row r="64" spans="2:30" ht="15" x14ac:dyDescent="0.4">
      <c r="B64" s="369"/>
      <c r="C64" s="370"/>
      <c r="D64" s="144" t="s">
        <v>108</v>
      </c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50">
        <f>'(참고) 연결용 (가입자 무선)'!F28</f>
        <v>129118</v>
      </c>
      <c r="R64" s="150">
        <f>'(참고) 연결용 (가입자 무선)'!G28</f>
        <v>127813</v>
      </c>
      <c r="S64" s="150">
        <f>'(참고) 연결용 (가입자 무선)'!H28</f>
        <v>128150</v>
      </c>
      <c r="T64" s="150">
        <f>'(참고) 연결용 (가입자 무선)'!I28</f>
        <v>127290</v>
      </c>
      <c r="U64" s="150">
        <f>'(참고) 연결용 (가입자 무선)'!J28</f>
        <v>126975</v>
      </c>
      <c r="V64" s="150"/>
      <c r="W64" s="150"/>
      <c r="X64" s="150"/>
      <c r="Y64" s="150"/>
      <c r="Z64" s="150"/>
      <c r="AA64" s="150"/>
      <c r="AB64" s="150"/>
      <c r="AC64" s="150">
        <f t="shared" si="16"/>
        <v>512371</v>
      </c>
      <c r="AD64" s="151"/>
    </row>
    <row r="65" spans="2:30" ht="15" x14ac:dyDescent="0.4">
      <c r="B65" s="367" t="s">
        <v>32</v>
      </c>
      <c r="C65" s="368"/>
      <c r="D65" s="142" t="s">
        <v>109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52"/>
      <c r="R65" s="152"/>
      <c r="S65" s="152"/>
      <c r="T65" s="152"/>
      <c r="U65" s="152"/>
      <c r="V65" s="148"/>
      <c r="W65" s="148"/>
      <c r="X65" s="148"/>
      <c r="Y65" s="148"/>
      <c r="Z65" s="148"/>
      <c r="AA65" s="148"/>
      <c r="AB65" s="148"/>
      <c r="AC65" s="148">
        <f t="shared" si="16"/>
        <v>0</v>
      </c>
      <c r="AD65" s="149"/>
    </row>
    <row r="66" spans="2:30" ht="15" x14ac:dyDescent="0.4">
      <c r="B66" s="369"/>
      <c r="C66" s="370"/>
      <c r="D66" s="144" t="s">
        <v>20</v>
      </c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53"/>
      <c r="R66" s="153"/>
      <c r="S66" s="153"/>
      <c r="T66" s="153"/>
      <c r="U66" s="153"/>
      <c r="V66" s="150"/>
      <c r="W66" s="150"/>
      <c r="X66" s="150"/>
      <c r="Y66" s="150"/>
      <c r="Z66" s="150"/>
      <c r="AA66" s="150"/>
      <c r="AB66" s="150"/>
      <c r="AC66" s="150">
        <f t="shared" si="16"/>
        <v>0</v>
      </c>
      <c r="AD66" s="151"/>
    </row>
    <row r="67" spans="2:30" ht="15" x14ac:dyDescent="0.4">
      <c r="B67" s="369"/>
      <c r="C67" s="370"/>
      <c r="D67" s="144" t="s">
        <v>21</v>
      </c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53"/>
      <c r="R67" s="153"/>
      <c r="S67" s="153"/>
      <c r="T67" s="153"/>
      <c r="U67" s="153"/>
      <c r="V67" s="150"/>
      <c r="W67" s="150"/>
      <c r="X67" s="150"/>
      <c r="Y67" s="150"/>
      <c r="Z67" s="150"/>
      <c r="AA67" s="150"/>
      <c r="AB67" s="150"/>
      <c r="AC67" s="150">
        <f t="shared" si="16"/>
        <v>0</v>
      </c>
      <c r="AD67" s="151"/>
    </row>
    <row r="68" spans="2:30" ht="15" x14ac:dyDescent="0.4">
      <c r="B68" s="371"/>
      <c r="C68" s="372"/>
      <c r="D68" s="144" t="s">
        <v>110</v>
      </c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53"/>
      <c r="R68" s="153"/>
      <c r="S68" s="153"/>
      <c r="T68" s="153"/>
      <c r="U68" s="153"/>
      <c r="V68" s="150"/>
      <c r="W68" s="150"/>
      <c r="X68" s="150"/>
      <c r="Y68" s="150"/>
      <c r="Z68" s="150"/>
      <c r="AA68" s="150"/>
      <c r="AB68" s="150"/>
      <c r="AC68" s="150">
        <f t="shared" si="16"/>
        <v>0</v>
      </c>
      <c r="AD68" s="151"/>
    </row>
    <row r="70" spans="2:30" ht="15" x14ac:dyDescent="0.4">
      <c r="B70" s="365" t="s">
        <v>10</v>
      </c>
      <c r="C70" s="365"/>
      <c r="D70" s="366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140">
        <v>2501</v>
      </c>
      <c r="R70" s="140">
        <v>2502</v>
      </c>
      <c r="S70" s="140">
        <v>2503</v>
      </c>
      <c r="T70" s="140">
        <v>2504</v>
      </c>
      <c r="U70" s="140">
        <v>2505</v>
      </c>
      <c r="V70" s="140">
        <v>2506</v>
      </c>
      <c r="W70" s="140">
        <v>2507</v>
      </c>
      <c r="X70" s="140">
        <v>2508</v>
      </c>
      <c r="Y70" s="140">
        <v>2509</v>
      </c>
      <c r="Z70" s="140">
        <v>2510</v>
      </c>
      <c r="AA70" s="140">
        <v>2511</v>
      </c>
      <c r="AB70" s="140">
        <v>2512</v>
      </c>
      <c r="AC70" s="141" t="s">
        <v>112</v>
      </c>
      <c r="AD70" s="141" t="s">
        <v>113</v>
      </c>
    </row>
    <row r="71" spans="2:30" ht="15" x14ac:dyDescent="0.4">
      <c r="B71" s="373" t="s">
        <v>116</v>
      </c>
      <c r="C71" s="374"/>
      <c r="D71" s="142" t="s">
        <v>109</v>
      </c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54">
        <f>Q72+Q73+Q74</f>
        <v>45655</v>
      </c>
      <c r="R71" s="154">
        <f t="shared" ref="R71" si="25">R72+R73+R74</f>
        <v>85027</v>
      </c>
      <c r="S71" s="154">
        <f t="shared" ref="S71" si="26">S72+S73+S74</f>
        <v>59560</v>
      </c>
      <c r="T71" s="154">
        <f t="shared" ref="T71" si="27">T72+T73+T74</f>
        <v>73903</v>
      </c>
      <c r="U71" s="154">
        <f t="shared" ref="U71" si="28">U72+U73+U74</f>
        <v>116222</v>
      </c>
      <c r="V71" s="154"/>
      <c r="W71" s="154"/>
      <c r="X71" s="154"/>
      <c r="Y71" s="154"/>
      <c r="Z71" s="154"/>
      <c r="AA71" s="154"/>
      <c r="AB71" s="154"/>
      <c r="AC71" s="154">
        <f t="shared" ref="AC71:AC100" si="29">SUM(D71:T71)</f>
        <v>264145</v>
      </c>
      <c r="AD71" s="155"/>
    </row>
    <row r="72" spans="2:30" ht="15" x14ac:dyDescent="0.4">
      <c r="B72" s="375"/>
      <c r="C72" s="376"/>
      <c r="D72" s="144" t="s">
        <v>70</v>
      </c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50">
        <f>Q77+Q81+Q86+Q90+Q95</f>
        <v>13996</v>
      </c>
      <c r="R72" s="150">
        <f t="shared" ref="R72:U72" si="30">R77+R81+R86+R90+R95</f>
        <v>28177</v>
      </c>
      <c r="S72" s="150">
        <f t="shared" si="30"/>
        <v>20799</v>
      </c>
      <c r="T72" s="150">
        <f t="shared" si="30"/>
        <v>25119</v>
      </c>
      <c r="U72" s="150">
        <f t="shared" si="30"/>
        <v>32216</v>
      </c>
      <c r="V72" s="156"/>
      <c r="W72" s="156"/>
      <c r="X72" s="156"/>
      <c r="Y72" s="156"/>
      <c r="Z72" s="156"/>
      <c r="AA72" s="156"/>
      <c r="AB72" s="156"/>
      <c r="AC72" s="156">
        <f t="shared" si="29"/>
        <v>88091</v>
      </c>
      <c r="AD72" s="157"/>
    </row>
    <row r="73" spans="2:30" ht="15" x14ac:dyDescent="0.4">
      <c r="B73" s="375"/>
      <c r="C73" s="376"/>
      <c r="D73" s="144" t="s">
        <v>71</v>
      </c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56">
        <f>Q78+Q79+Q82+Q83+Q87+Q88+Q91+Q92</f>
        <v>6832</v>
      </c>
      <c r="R73" s="156">
        <f t="shared" ref="R73:U73" si="31">R78+R79+R82+R83+R87+R88+R91+R92</f>
        <v>10184</v>
      </c>
      <c r="S73" s="156">
        <f t="shared" si="31"/>
        <v>8872</v>
      </c>
      <c r="T73" s="156">
        <f t="shared" si="31"/>
        <v>9817</v>
      </c>
      <c r="U73" s="156">
        <f t="shared" si="31"/>
        <v>17314</v>
      </c>
      <c r="V73" s="156"/>
      <c r="W73" s="156"/>
      <c r="X73" s="156"/>
      <c r="Y73" s="156"/>
      <c r="Z73" s="156"/>
      <c r="AA73" s="156"/>
      <c r="AB73" s="156"/>
      <c r="AC73" s="156">
        <f t="shared" si="29"/>
        <v>35705</v>
      </c>
      <c r="AD73" s="157"/>
    </row>
    <row r="74" spans="2:30" ht="15" x14ac:dyDescent="0.4">
      <c r="B74" s="375"/>
      <c r="C74" s="376"/>
      <c r="D74" s="144" t="s">
        <v>105</v>
      </c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56">
        <f>Q84+Q93</f>
        <v>24827</v>
      </c>
      <c r="R74" s="156">
        <f t="shared" ref="R74:U74" si="32">R84+R93</f>
        <v>46666</v>
      </c>
      <c r="S74" s="156">
        <f t="shared" si="32"/>
        <v>29889</v>
      </c>
      <c r="T74" s="156">
        <f t="shared" si="32"/>
        <v>38967</v>
      </c>
      <c r="U74" s="156">
        <f t="shared" si="32"/>
        <v>66692</v>
      </c>
      <c r="V74" s="156"/>
      <c r="W74" s="156"/>
      <c r="X74" s="156"/>
      <c r="Y74" s="156"/>
      <c r="Z74" s="156"/>
      <c r="AA74" s="156"/>
      <c r="AB74" s="156"/>
      <c r="AC74" s="156">
        <f t="shared" si="29"/>
        <v>140349</v>
      </c>
      <c r="AD74" s="157"/>
    </row>
    <row r="75" spans="2:30" ht="15" x14ac:dyDescent="0.4">
      <c r="B75" s="377"/>
      <c r="C75" s="378"/>
      <c r="D75" s="144" t="s">
        <v>32</v>
      </c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58"/>
      <c r="R75" s="158"/>
      <c r="S75" s="158"/>
      <c r="T75" s="158"/>
      <c r="U75" s="158"/>
      <c r="V75" s="156"/>
      <c r="W75" s="156"/>
      <c r="X75" s="156"/>
      <c r="Y75" s="156"/>
      <c r="Z75" s="156"/>
      <c r="AA75" s="156"/>
      <c r="AB75" s="156"/>
      <c r="AC75" s="156">
        <f t="shared" si="29"/>
        <v>0</v>
      </c>
      <c r="AD75" s="157"/>
    </row>
    <row r="76" spans="2:30" ht="15" x14ac:dyDescent="0.4">
      <c r="B76" s="367" t="s">
        <v>26</v>
      </c>
      <c r="C76" s="368"/>
      <c r="D76" s="142" t="s">
        <v>109</v>
      </c>
      <c r="E76" s="142">
        <v>26997</v>
      </c>
      <c r="F76" s="142">
        <v>17538</v>
      </c>
      <c r="G76" s="142">
        <v>19530</v>
      </c>
      <c r="H76" s="142">
        <v>19429</v>
      </c>
      <c r="I76" s="142">
        <v>19761</v>
      </c>
      <c r="J76" s="142">
        <v>17706</v>
      </c>
      <c r="K76" s="142">
        <v>25828.999999999993</v>
      </c>
      <c r="L76" s="142">
        <v>19335</v>
      </c>
      <c r="M76" s="142">
        <v>23821</v>
      </c>
      <c r="N76" s="142">
        <v>19517</v>
      </c>
      <c r="O76" s="142">
        <v>18278</v>
      </c>
      <c r="P76" s="142">
        <v>16088</v>
      </c>
      <c r="Q76" s="154">
        <f>Q77+Q79+Q78</f>
        <v>14423</v>
      </c>
      <c r="R76" s="154">
        <f t="shared" ref="R76" si="33">R77+R79+R78</f>
        <v>29919</v>
      </c>
      <c r="S76" s="154">
        <f t="shared" ref="S76" si="34">S77+S79+S78</f>
        <v>20890</v>
      </c>
      <c r="T76" s="154">
        <f t="shared" ref="T76" si="35">T77+T79+T78</f>
        <v>26775</v>
      </c>
      <c r="U76" s="154">
        <f t="shared" ref="U76" si="36">U77+U79+U78</f>
        <v>36758</v>
      </c>
      <c r="V76" s="154"/>
      <c r="W76" s="154"/>
      <c r="X76" s="154"/>
      <c r="Y76" s="154"/>
      <c r="Z76" s="154"/>
      <c r="AA76" s="154"/>
      <c r="AB76" s="154"/>
      <c r="AC76" s="154">
        <f t="shared" si="29"/>
        <v>335836</v>
      </c>
      <c r="AD76" s="155"/>
    </row>
    <row r="77" spans="2:30" ht="15" x14ac:dyDescent="0.4">
      <c r="B77" s="369"/>
      <c r="C77" s="370"/>
      <c r="D77" s="144" t="s">
        <v>70</v>
      </c>
      <c r="E77" s="144">
        <v>23395</v>
      </c>
      <c r="F77" s="144">
        <v>14757</v>
      </c>
      <c r="G77" s="144">
        <v>16162</v>
      </c>
      <c r="H77" s="144">
        <v>15877</v>
      </c>
      <c r="I77" s="144">
        <v>16155.999999999998</v>
      </c>
      <c r="J77" s="144">
        <v>14590.999999999998</v>
      </c>
      <c r="K77" s="144">
        <v>21829.999999999993</v>
      </c>
      <c r="L77" s="144">
        <v>16249.000000000002</v>
      </c>
      <c r="M77" s="144">
        <v>20549</v>
      </c>
      <c r="N77" s="144">
        <v>16254</v>
      </c>
      <c r="O77" s="144">
        <v>15024</v>
      </c>
      <c r="P77" s="144">
        <v>13168</v>
      </c>
      <c r="Q77" s="156">
        <v>11930</v>
      </c>
      <c r="R77" s="156">
        <v>25000</v>
      </c>
      <c r="S77" s="156">
        <v>17145</v>
      </c>
      <c r="T77" s="156">
        <v>22354</v>
      </c>
      <c r="U77" s="156">
        <v>29195</v>
      </c>
      <c r="V77" s="156"/>
      <c r="W77" s="156"/>
      <c r="X77" s="156"/>
      <c r="Y77" s="156"/>
      <c r="Z77" s="156"/>
      <c r="AA77" s="156"/>
      <c r="AB77" s="156"/>
      <c r="AC77" s="156">
        <f t="shared" si="29"/>
        <v>280441</v>
      </c>
      <c r="AD77" s="157"/>
    </row>
    <row r="78" spans="2:30" ht="15" x14ac:dyDescent="0.4">
      <c r="B78" s="369"/>
      <c r="C78" s="370"/>
      <c r="D78" s="144" t="s">
        <v>115</v>
      </c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56">
        <v>1166</v>
      </c>
      <c r="R78" s="156">
        <v>2200</v>
      </c>
      <c r="S78" s="156">
        <v>1692</v>
      </c>
      <c r="T78" s="156">
        <v>2007</v>
      </c>
      <c r="U78" s="156">
        <v>3633.9999999999995</v>
      </c>
      <c r="V78" s="156"/>
      <c r="W78" s="156"/>
      <c r="X78" s="156"/>
      <c r="Y78" s="156"/>
      <c r="Z78" s="156"/>
      <c r="AA78" s="156"/>
      <c r="AB78" s="156"/>
      <c r="AC78" s="156">
        <f t="shared" si="29"/>
        <v>7065</v>
      </c>
      <c r="AD78" s="157"/>
    </row>
    <row r="79" spans="2:30" ht="15" x14ac:dyDescent="0.4">
      <c r="B79" s="371"/>
      <c r="C79" s="372"/>
      <c r="D79" s="144" t="s">
        <v>114</v>
      </c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56">
        <v>1327</v>
      </c>
      <c r="R79" s="156">
        <v>2719</v>
      </c>
      <c r="S79" s="156">
        <v>2053</v>
      </c>
      <c r="T79" s="156">
        <v>2414</v>
      </c>
      <c r="U79" s="156">
        <v>3928.9999999999995</v>
      </c>
      <c r="V79" s="156">
        <v>59349</v>
      </c>
      <c r="W79" s="156"/>
      <c r="X79" s="156"/>
      <c r="Y79" s="156"/>
      <c r="Z79" s="156"/>
      <c r="AA79" s="156"/>
      <c r="AB79" s="156"/>
      <c r="AC79" s="156">
        <f t="shared" si="29"/>
        <v>8513</v>
      </c>
      <c r="AD79" s="157"/>
    </row>
    <row r="80" spans="2:30" ht="15" x14ac:dyDescent="0.4">
      <c r="B80" s="367" t="s">
        <v>25</v>
      </c>
      <c r="C80" s="368"/>
      <c r="D80" s="142" t="s">
        <v>109</v>
      </c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54">
        <f>Q81+Q83+Q82+Q84</f>
        <v>20704</v>
      </c>
      <c r="R80" s="154">
        <f t="shared" ref="R80" si="37">R81+R83+R82+R84</f>
        <v>30404</v>
      </c>
      <c r="S80" s="154">
        <f t="shared" ref="S80" si="38">S81+S83+S82+S84</f>
        <v>23182</v>
      </c>
      <c r="T80" s="154">
        <f t="shared" ref="T80" si="39">T81+T83+T82+T84</f>
        <v>28296</v>
      </c>
      <c r="U80" s="154">
        <f t="shared" ref="U80" si="40">U81+U83+U82+U84</f>
        <v>44209</v>
      </c>
      <c r="V80" s="154"/>
      <c r="W80" s="154"/>
      <c r="X80" s="154"/>
      <c r="Y80" s="154"/>
      <c r="Z80" s="154"/>
      <c r="AA80" s="154"/>
      <c r="AB80" s="154"/>
      <c r="AC80" s="154">
        <f t="shared" si="29"/>
        <v>102586</v>
      </c>
      <c r="AD80" s="155"/>
    </row>
    <row r="81" spans="2:30" ht="15" x14ac:dyDescent="0.4">
      <c r="B81" s="369"/>
      <c r="C81" s="370"/>
      <c r="D81" s="144" t="s">
        <v>70</v>
      </c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58"/>
      <c r="R81" s="158"/>
      <c r="S81" s="158"/>
      <c r="T81" s="158"/>
      <c r="U81" s="158"/>
      <c r="V81" s="156"/>
      <c r="W81" s="156"/>
      <c r="X81" s="156"/>
      <c r="Y81" s="156"/>
      <c r="Z81" s="156"/>
      <c r="AA81" s="156"/>
      <c r="AB81" s="156"/>
      <c r="AC81" s="156">
        <f t="shared" si="29"/>
        <v>0</v>
      </c>
      <c r="AD81" s="157"/>
    </row>
    <row r="82" spans="2:30" ht="15" x14ac:dyDescent="0.4">
      <c r="B82" s="369"/>
      <c r="C82" s="370"/>
      <c r="D82" s="144" t="s">
        <v>115</v>
      </c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56">
        <v>1637</v>
      </c>
      <c r="R82" s="156">
        <v>2086</v>
      </c>
      <c r="S82" s="156">
        <v>1810</v>
      </c>
      <c r="T82" s="156">
        <v>1896</v>
      </c>
      <c r="U82" s="156">
        <v>3639</v>
      </c>
      <c r="V82" s="156"/>
      <c r="W82" s="156"/>
      <c r="X82" s="156"/>
      <c r="Y82" s="156"/>
      <c r="Z82" s="156"/>
      <c r="AA82" s="156"/>
      <c r="AB82" s="156"/>
      <c r="AC82" s="156">
        <f t="shared" si="29"/>
        <v>7429</v>
      </c>
      <c r="AD82" s="157"/>
    </row>
    <row r="83" spans="2:30" ht="15" x14ac:dyDescent="0.4">
      <c r="B83" s="369"/>
      <c r="C83" s="370"/>
      <c r="D83" s="144" t="s">
        <v>114</v>
      </c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56">
        <v>1828</v>
      </c>
      <c r="R83" s="156">
        <v>2334</v>
      </c>
      <c r="S83" s="156">
        <v>2074</v>
      </c>
      <c r="T83" s="156">
        <v>2120</v>
      </c>
      <c r="U83" s="156">
        <v>4113</v>
      </c>
      <c r="V83" s="156"/>
      <c r="W83" s="156"/>
      <c r="X83" s="156"/>
      <c r="Y83" s="156"/>
      <c r="Z83" s="156"/>
      <c r="AA83" s="156"/>
      <c r="AB83" s="156"/>
      <c r="AC83" s="156">
        <f t="shared" si="29"/>
        <v>8356</v>
      </c>
      <c r="AD83" s="157"/>
    </row>
    <row r="84" spans="2:30" ht="15" x14ac:dyDescent="0.4">
      <c r="B84" s="371"/>
      <c r="C84" s="372"/>
      <c r="D84" s="144" t="s">
        <v>105</v>
      </c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56">
        <v>17239</v>
      </c>
      <c r="R84" s="156">
        <v>25984</v>
      </c>
      <c r="S84" s="156">
        <v>19298</v>
      </c>
      <c r="T84" s="156">
        <v>24280</v>
      </c>
      <c r="U84" s="156">
        <v>36457</v>
      </c>
      <c r="V84" s="156"/>
      <c r="W84" s="156"/>
      <c r="X84" s="156"/>
      <c r="Y84" s="156"/>
      <c r="Z84" s="156"/>
      <c r="AA84" s="156"/>
      <c r="AB84" s="156"/>
      <c r="AC84" s="156">
        <f t="shared" si="29"/>
        <v>86801</v>
      </c>
      <c r="AD84" s="157"/>
    </row>
    <row r="85" spans="2:30" ht="15" x14ac:dyDescent="0.4">
      <c r="B85" s="367" t="s">
        <v>28</v>
      </c>
      <c r="C85" s="368"/>
      <c r="D85" s="142" t="s">
        <v>109</v>
      </c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54">
        <f>Q86+Q87+Q88</f>
        <v>981</v>
      </c>
      <c r="R85" s="154">
        <f t="shared" ref="R85" si="41">R86+R87+R88</f>
        <v>1210</v>
      </c>
      <c r="S85" s="154">
        <f t="shared" ref="S85" si="42">S86+S87+S88</f>
        <v>1288</v>
      </c>
      <c r="T85" s="154">
        <f t="shared" ref="T85" si="43">T86+T87+T88</f>
        <v>1481</v>
      </c>
      <c r="U85" s="154">
        <f t="shared" ref="U85" si="44">U86+U87+U88</f>
        <v>1905</v>
      </c>
      <c r="V85" s="154"/>
      <c r="W85" s="154"/>
      <c r="X85" s="154"/>
      <c r="Y85" s="154"/>
      <c r="Z85" s="154"/>
      <c r="AA85" s="154"/>
      <c r="AB85" s="154"/>
      <c r="AC85" s="154">
        <f t="shared" si="29"/>
        <v>4960</v>
      </c>
      <c r="AD85" s="155"/>
    </row>
    <row r="86" spans="2:30" ht="15" x14ac:dyDescent="0.4">
      <c r="B86" s="369"/>
      <c r="C86" s="370"/>
      <c r="D86" s="144" t="s">
        <v>70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56">
        <v>154</v>
      </c>
      <c r="R86" s="156">
        <v>399</v>
      </c>
      <c r="S86" s="156">
        <v>169</v>
      </c>
      <c r="T86" s="156">
        <v>287</v>
      </c>
      <c r="U86" s="156">
        <v>430</v>
      </c>
      <c r="V86" s="156"/>
      <c r="W86" s="156"/>
      <c r="X86" s="156"/>
      <c r="Y86" s="156"/>
      <c r="Z86" s="156"/>
      <c r="AA86" s="156"/>
      <c r="AB86" s="156"/>
      <c r="AC86" s="156">
        <f t="shared" si="29"/>
        <v>1009</v>
      </c>
      <c r="AD86" s="157"/>
    </row>
    <row r="87" spans="2:30" ht="15" x14ac:dyDescent="0.4">
      <c r="B87" s="369"/>
      <c r="C87" s="370"/>
      <c r="D87" s="144" t="s">
        <v>115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56">
        <v>551</v>
      </c>
      <c r="R87" s="156">
        <v>529</v>
      </c>
      <c r="S87" s="156">
        <v>772</v>
      </c>
      <c r="T87" s="156">
        <v>791</v>
      </c>
      <c r="U87" s="156">
        <v>948.00000000000011</v>
      </c>
      <c r="V87" s="156"/>
      <c r="W87" s="156"/>
      <c r="X87" s="156"/>
      <c r="Y87" s="156"/>
      <c r="Z87" s="156"/>
      <c r="AA87" s="156"/>
      <c r="AB87" s="156"/>
      <c r="AC87" s="156">
        <f t="shared" si="29"/>
        <v>2643</v>
      </c>
      <c r="AD87" s="157"/>
    </row>
    <row r="88" spans="2:30" ht="15" x14ac:dyDescent="0.4">
      <c r="B88" s="371"/>
      <c r="C88" s="372"/>
      <c r="D88" s="144" t="s">
        <v>114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56">
        <v>276</v>
      </c>
      <c r="R88" s="156">
        <v>282</v>
      </c>
      <c r="S88" s="156">
        <v>347</v>
      </c>
      <c r="T88" s="156">
        <v>403</v>
      </c>
      <c r="U88" s="156">
        <v>527</v>
      </c>
      <c r="V88" s="156"/>
      <c r="W88" s="156"/>
      <c r="X88" s="156"/>
      <c r="Y88" s="156"/>
      <c r="Z88" s="156"/>
      <c r="AA88" s="156"/>
      <c r="AB88" s="156"/>
      <c r="AC88" s="156">
        <f t="shared" si="29"/>
        <v>1308</v>
      </c>
      <c r="AD88" s="157"/>
    </row>
    <row r="89" spans="2:30" ht="15" x14ac:dyDescent="0.4">
      <c r="B89" s="367" t="s">
        <v>27</v>
      </c>
      <c r="C89" s="368"/>
      <c r="D89" s="142" t="s">
        <v>109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54">
        <f>Q90+Q91+Q93+Q92</f>
        <v>7635</v>
      </c>
      <c r="R89" s="154">
        <f t="shared" ref="R89" si="45">R90+R91+R93+R92</f>
        <v>20716</v>
      </c>
      <c r="S89" s="154">
        <f t="shared" ref="S89" si="46">S90+S91+S93+S92</f>
        <v>10715</v>
      </c>
      <c r="T89" s="154">
        <f t="shared" ref="T89" si="47">T90+T91+T93+T92</f>
        <v>14873</v>
      </c>
      <c r="U89" s="154">
        <f t="shared" ref="U89" si="48">U90+U91+U93+U92</f>
        <v>30759</v>
      </c>
      <c r="V89" s="154"/>
      <c r="W89" s="154"/>
      <c r="X89" s="154"/>
      <c r="Y89" s="154"/>
      <c r="Z89" s="154"/>
      <c r="AA89" s="154"/>
      <c r="AB89" s="154"/>
      <c r="AC89" s="154">
        <f t="shared" si="29"/>
        <v>53939</v>
      </c>
      <c r="AD89" s="155"/>
    </row>
    <row r="90" spans="2:30" ht="15" x14ac:dyDescent="0.4">
      <c r="B90" s="369"/>
      <c r="C90" s="370"/>
      <c r="D90" s="144" t="s">
        <v>70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58"/>
      <c r="R90" s="158"/>
      <c r="S90" s="158"/>
      <c r="T90" s="158"/>
      <c r="U90" s="158"/>
      <c r="V90" s="156"/>
      <c r="W90" s="156"/>
      <c r="X90" s="156"/>
      <c r="Y90" s="156"/>
      <c r="Z90" s="156"/>
      <c r="AA90" s="156"/>
      <c r="AB90" s="156"/>
      <c r="AC90" s="156">
        <f t="shared" si="29"/>
        <v>0</v>
      </c>
      <c r="AD90" s="157"/>
    </row>
    <row r="91" spans="2:30" ht="15" x14ac:dyDescent="0.4">
      <c r="B91" s="369"/>
      <c r="C91" s="370"/>
      <c r="D91" s="144" t="s">
        <v>115</v>
      </c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56">
        <v>27</v>
      </c>
      <c r="R91" s="156">
        <v>19</v>
      </c>
      <c r="S91" s="156">
        <v>81</v>
      </c>
      <c r="T91" s="156">
        <v>124</v>
      </c>
      <c r="U91" s="156">
        <v>311</v>
      </c>
      <c r="V91" s="156"/>
      <c r="W91" s="156"/>
      <c r="X91" s="156"/>
      <c r="Y91" s="156"/>
      <c r="Z91" s="156"/>
      <c r="AA91" s="156"/>
      <c r="AB91" s="156"/>
      <c r="AC91" s="156">
        <f t="shared" si="29"/>
        <v>251</v>
      </c>
      <c r="AD91" s="157"/>
    </row>
    <row r="92" spans="2:30" ht="15" x14ac:dyDescent="0.4">
      <c r="B92" s="369"/>
      <c r="C92" s="370"/>
      <c r="D92" s="144" t="s">
        <v>114</v>
      </c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56">
        <v>20</v>
      </c>
      <c r="R92" s="156">
        <v>15</v>
      </c>
      <c r="S92" s="156">
        <v>43</v>
      </c>
      <c r="T92" s="156">
        <v>62</v>
      </c>
      <c r="U92" s="156">
        <v>213</v>
      </c>
      <c r="V92" s="156"/>
      <c r="W92" s="156"/>
      <c r="X92" s="156"/>
      <c r="Y92" s="156"/>
      <c r="Z92" s="156"/>
      <c r="AA92" s="156"/>
      <c r="AB92" s="156"/>
      <c r="AC92" s="156">
        <f t="shared" si="29"/>
        <v>140</v>
      </c>
      <c r="AD92" s="157"/>
    </row>
    <row r="93" spans="2:30" ht="15" x14ac:dyDescent="0.4">
      <c r="B93" s="371"/>
      <c r="C93" s="372"/>
      <c r="D93" s="144" t="s">
        <v>105</v>
      </c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56">
        <f>7588</f>
        <v>7588</v>
      </c>
      <c r="R93" s="156">
        <f>20682</f>
        <v>20682</v>
      </c>
      <c r="S93" s="156">
        <f>10591</f>
        <v>10591</v>
      </c>
      <c r="T93" s="156">
        <f>14687</f>
        <v>14687</v>
      </c>
      <c r="U93" s="156">
        <f>30235</f>
        <v>30235</v>
      </c>
      <c r="V93" s="156"/>
      <c r="W93" s="156"/>
      <c r="X93" s="156"/>
      <c r="Y93" s="156"/>
      <c r="Z93" s="156"/>
      <c r="AA93" s="156"/>
      <c r="AB93" s="156"/>
      <c r="AC93" s="156">
        <f t="shared" si="29"/>
        <v>53548</v>
      </c>
      <c r="AD93" s="157"/>
    </row>
    <row r="94" spans="2:30" ht="15" x14ac:dyDescent="0.4">
      <c r="B94" s="367" t="s">
        <v>106</v>
      </c>
      <c r="C94" s="368"/>
      <c r="D94" s="142" t="s">
        <v>109</v>
      </c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54">
        <f>Q95+Q96</f>
        <v>1912</v>
      </c>
      <c r="R94" s="154">
        <f t="shared" ref="R94" si="49">R95+R96</f>
        <v>2778</v>
      </c>
      <c r="S94" s="154">
        <f t="shared" ref="S94" si="50">S95+S96</f>
        <v>3485</v>
      </c>
      <c r="T94" s="154">
        <f t="shared" ref="T94" si="51">T95+T96</f>
        <v>2478</v>
      </c>
      <c r="U94" s="154">
        <f t="shared" ref="U94" si="52">U95+U96</f>
        <v>2591</v>
      </c>
      <c r="V94" s="154"/>
      <c r="W94" s="154"/>
      <c r="X94" s="154"/>
      <c r="Y94" s="154"/>
      <c r="Z94" s="154"/>
      <c r="AA94" s="154"/>
      <c r="AB94" s="154"/>
      <c r="AC94" s="154">
        <f t="shared" si="29"/>
        <v>10653</v>
      </c>
      <c r="AD94" s="155"/>
    </row>
    <row r="95" spans="2:30" ht="15" x14ac:dyDescent="0.4">
      <c r="B95" s="369"/>
      <c r="C95" s="370"/>
      <c r="D95" s="144" t="s">
        <v>70</v>
      </c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56">
        <v>1912</v>
      </c>
      <c r="R95" s="156">
        <v>2778</v>
      </c>
      <c r="S95" s="156">
        <v>3485</v>
      </c>
      <c r="T95" s="156">
        <v>2478</v>
      </c>
      <c r="U95" s="156">
        <v>2591</v>
      </c>
      <c r="V95" s="156"/>
      <c r="W95" s="156"/>
      <c r="X95" s="156"/>
      <c r="Y95" s="156"/>
      <c r="Z95" s="156"/>
      <c r="AA95" s="156"/>
      <c r="AB95" s="156"/>
      <c r="AC95" s="156">
        <f t="shared" si="29"/>
        <v>10653</v>
      </c>
      <c r="AD95" s="157"/>
    </row>
    <row r="96" spans="2:30" ht="15" x14ac:dyDescent="0.4">
      <c r="B96" s="369"/>
      <c r="C96" s="370"/>
      <c r="D96" s="144" t="s">
        <v>71</v>
      </c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58"/>
      <c r="R96" s="158"/>
      <c r="S96" s="158"/>
      <c r="T96" s="158"/>
      <c r="U96" s="158"/>
      <c r="V96" s="156"/>
      <c r="W96" s="156"/>
      <c r="X96" s="156"/>
      <c r="Y96" s="156"/>
      <c r="Z96" s="156"/>
      <c r="AA96" s="156"/>
      <c r="AB96" s="156"/>
      <c r="AC96" s="156">
        <f t="shared" si="29"/>
        <v>0</v>
      </c>
      <c r="AD96" s="157"/>
    </row>
    <row r="97" spans="2:30" ht="15" x14ac:dyDescent="0.4">
      <c r="B97" s="367" t="s">
        <v>32</v>
      </c>
      <c r="C97" s="368"/>
      <c r="D97" s="142" t="s">
        <v>109</v>
      </c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59"/>
      <c r="R97" s="159"/>
      <c r="S97" s="159"/>
      <c r="T97" s="159"/>
      <c r="U97" s="159"/>
      <c r="V97" s="154"/>
      <c r="W97" s="154"/>
      <c r="X97" s="154"/>
      <c r="Y97" s="154"/>
      <c r="Z97" s="154"/>
      <c r="AA97" s="154"/>
      <c r="AB97" s="154"/>
      <c r="AC97" s="154">
        <f t="shared" si="29"/>
        <v>0</v>
      </c>
      <c r="AD97" s="155"/>
    </row>
    <row r="98" spans="2:30" ht="15" x14ac:dyDescent="0.4">
      <c r="B98" s="369"/>
      <c r="C98" s="370"/>
      <c r="D98" s="144" t="s">
        <v>20</v>
      </c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58"/>
      <c r="R98" s="158"/>
      <c r="S98" s="158"/>
      <c r="T98" s="158"/>
      <c r="U98" s="158"/>
      <c r="V98" s="156"/>
      <c r="W98" s="156"/>
      <c r="X98" s="156"/>
      <c r="Y98" s="156"/>
      <c r="Z98" s="156"/>
      <c r="AA98" s="156"/>
      <c r="AB98" s="156"/>
      <c r="AC98" s="156">
        <f t="shared" si="29"/>
        <v>0</v>
      </c>
      <c r="AD98" s="157"/>
    </row>
    <row r="99" spans="2:30" ht="15" x14ac:dyDescent="0.4">
      <c r="B99" s="369"/>
      <c r="C99" s="370"/>
      <c r="D99" s="144" t="s">
        <v>21</v>
      </c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58"/>
      <c r="R99" s="158"/>
      <c r="S99" s="158"/>
      <c r="T99" s="158"/>
      <c r="U99" s="158"/>
      <c r="V99" s="156"/>
      <c r="W99" s="156"/>
      <c r="X99" s="156"/>
      <c r="Y99" s="156"/>
      <c r="Z99" s="156"/>
      <c r="AA99" s="156"/>
      <c r="AB99" s="156"/>
      <c r="AC99" s="156">
        <f t="shared" si="29"/>
        <v>0</v>
      </c>
      <c r="AD99" s="157"/>
    </row>
    <row r="100" spans="2:30" ht="15" x14ac:dyDescent="0.4">
      <c r="B100" s="371"/>
      <c r="C100" s="372"/>
      <c r="D100" s="144" t="s">
        <v>110</v>
      </c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58"/>
      <c r="R100" s="158"/>
      <c r="S100" s="158"/>
      <c r="T100" s="158"/>
      <c r="U100" s="158"/>
      <c r="V100" s="156"/>
      <c r="W100" s="156"/>
      <c r="X100" s="156"/>
      <c r="Y100" s="156"/>
      <c r="Z100" s="156"/>
      <c r="AA100" s="156"/>
      <c r="AB100" s="156"/>
      <c r="AC100" s="156">
        <f t="shared" si="29"/>
        <v>0</v>
      </c>
      <c r="AD100" s="157"/>
    </row>
    <row r="101" spans="2:30" x14ac:dyDescent="0.35"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</row>
    <row r="102" spans="2:30" ht="15" x14ac:dyDescent="0.4">
      <c r="B102" s="365" t="s">
        <v>10</v>
      </c>
      <c r="C102" s="365"/>
      <c r="D102" s="366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140">
        <v>2501</v>
      </c>
      <c r="R102" s="140">
        <v>2502</v>
      </c>
      <c r="S102" s="140">
        <v>2503</v>
      </c>
      <c r="T102" s="140">
        <v>2504</v>
      </c>
      <c r="U102" s="140">
        <v>2505</v>
      </c>
      <c r="V102" s="140">
        <v>2506</v>
      </c>
      <c r="W102" s="140">
        <v>2507</v>
      </c>
      <c r="X102" s="140">
        <v>2508</v>
      </c>
      <c r="Y102" s="140">
        <v>2509</v>
      </c>
      <c r="Z102" s="140">
        <v>2510</v>
      </c>
      <c r="AA102" s="140">
        <v>2511</v>
      </c>
      <c r="AB102" s="140">
        <v>2512</v>
      </c>
      <c r="AC102" s="141" t="s">
        <v>112</v>
      </c>
      <c r="AD102" s="141" t="s">
        <v>113</v>
      </c>
    </row>
    <row r="103" spans="2:30" ht="15" x14ac:dyDescent="0.4">
      <c r="B103" s="373" t="s">
        <v>117</v>
      </c>
      <c r="C103" s="374"/>
      <c r="D103" s="142" t="s">
        <v>109</v>
      </c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54">
        <f>Q104+Q105+Q106</f>
        <v>47482</v>
      </c>
      <c r="R103" s="154">
        <f t="shared" ref="R103" si="53">R104+R105+R106</f>
        <v>81824</v>
      </c>
      <c r="S103" s="154">
        <f t="shared" ref="S103" si="54">S104+S105+S106</f>
        <v>60773</v>
      </c>
      <c r="T103" s="154">
        <f t="shared" ref="T103" si="55">T104+T105+T106</f>
        <v>67932</v>
      </c>
      <c r="U103" s="154">
        <f t="shared" ref="U103" si="56">U104+U105+U106</f>
        <v>87668</v>
      </c>
      <c r="V103" s="154"/>
      <c r="W103" s="154"/>
      <c r="X103" s="154"/>
      <c r="Y103" s="154"/>
      <c r="Z103" s="154"/>
      <c r="AA103" s="154"/>
      <c r="AB103" s="154"/>
      <c r="AC103" s="154">
        <f t="shared" ref="AC103:AC132" si="57">SUM(D103:T103)</f>
        <v>258011</v>
      </c>
      <c r="AD103" s="155"/>
    </row>
    <row r="104" spans="2:30" ht="15" x14ac:dyDescent="0.4">
      <c r="B104" s="375"/>
      <c r="C104" s="376"/>
      <c r="D104" s="144" t="s">
        <v>70</v>
      </c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50">
        <f>Q109+Q113+Q118+Q122+Q127</f>
        <v>12719</v>
      </c>
      <c r="R104" s="150">
        <f t="shared" ref="R104:U104" si="58">R109+R113+R118+R122+R127</f>
        <v>28668</v>
      </c>
      <c r="S104" s="150">
        <f t="shared" si="58"/>
        <v>20456</v>
      </c>
      <c r="T104" s="150">
        <f t="shared" si="58"/>
        <v>22559</v>
      </c>
      <c r="U104" s="150">
        <f t="shared" si="58"/>
        <v>30848</v>
      </c>
      <c r="V104" s="156"/>
      <c r="W104" s="156"/>
      <c r="X104" s="156"/>
      <c r="Y104" s="156"/>
      <c r="Z104" s="156"/>
      <c r="AA104" s="156"/>
      <c r="AB104" s="156"/>
      <c r="AC104" s="156">
        <f t="shared" si="57"/>
        <v>84402</v>
      </c>
      <c r="AD104" s="157"/>
    </row>
    <row r="105" spans="2:30" ht="15" x14ac:dyDescent="0.4">
      <c r="B105" s="375"/>
      <c r="C105" s="376"/>
      <c r="D105" s="144" t="s">
        <v>71</v>
      </c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56">
        <f>Q110+Q111+Q114+Q115+Q119+Q120+Q123+Q124</f>
        <v>2890</v>
      </c>
      <c r="R105" s="156">
        <f t="shared" ref="R105:U105" si="59">R110+R111+R114+R115+R119+R120+R123+R124</f>
        <v>3862</v>
      </c>
      <c r="S105" s="156">
        <f t="shared" si="59"/>
        <v>3820</v>
      </c>
      <c r="T105" s="156">
        <f t="shared" si="59"/>
        <v>3739</v>
      </c>
      <c r="U105" s="156">
        <f t="shared" si="59"/>
        <v>3272</v>
      </c>
      <c r="V105" s="156"/>
      <c r="W105" s="156"/>
      <c r="X105" s="156"/>
      <c r="Y105" s="156"/>
      <c r="Z105" s="156"/>
      <c r="AA105" s="156"/>
      <c r="AB105" s="156"/>
      <c r="AC105" s="156">
        <f t="shared" si="57"/>
        <v>14311</v>
      </c>
      <c r="AD105" s="157"/>
    </row>
    <row r="106" spans="2:30" ht="15" x14ac:dyDescent="0.4">
      <c r="B106" s="375"/>
      <c r="C106" s="376"/>
      <c r="D106" s="144" t="s">
        <v>105</v>
      </c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56">
        <f>Q116+Q125</f>
        <v>31873</v>
      </c>
      <c r="R106" s="156">
        <f t="shared" ref="R106:U106" si="60">R116+R125</f>
        <v>49294</v>
      </c>
      <c r="S106" s="156">
        <f t="shared" si="60"/>
        <v>36497</v>
      </c>
      <c r="T106" s="156">
        <f t="shared" si="60"/>
        <v>41634</v>
      </c>
      <c r="U106" s="156">
        <f t="shared" si="60"/>
        <v>53548</v>
      </c>
      <c r="V106" s="156"/>
      <c r="W106" s="156"/>
      <c r="X106" s="156"/>
      <c r="Y106" s="156"/>
      <c r="Z106" s="156"/>
      <c r="AA106" s="156"/>
      <c r="AB106" s="156"/>
      <c r="AC106" s="156">
        <f t="shared" si="57"/>
        <v>159298</v>
      </c>
      <c r="AD106" s="157"/>
    </row>
    <row r="107" spans="2:30" ht="15" x14ac:dyDescent="0.4">
      <c r="B107" s="377"/>
      <c r="C107" s="378"/>
      <c r="D107" s="144" t="s">
        <v>32</v>
      </c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58"/>
      <c r="R107" s="158"/>
      <c r="S107" s="158"/>
      <c r="T107" s="158"/>
      <c r="U107" s="158"/>
      <c r="V107" s="156"/>
      <c r="W107" s="156"/>
      <c r="X107" s="156"/>
      <c r="Y107" s="156"/>
      <c r="Z107" s="156"/>
      <c r="AA107" s="156"/>
      <c r="AB107" s="156"/>
      <c r="AC107" s="156">
        <f t="shared" si="57"/>
        <v>0</v>
      </c>
      <c r="AD107" s="157"/>
    </row>
    <row r="108" spans="2:30" ht="15" x14ac:dyDescent="0.4">
      <c r="B108" s="367" t="s">
        <v>26</v>
      </c>
      <c r="C108" s="368"/>
      <c r="D108" s="142" t="s">
        <v>109</v>
      </c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54">
        <f>Q109+Q111+Q110</f>
        <v>8747</v>
      </c>
      <c r="R108" s="154">
        <f t="shared" ref="R108" si="61">R109+R111+R110</f>
        <v>21879</v>
      </c>
      <c r="S108" s="154">
        <f t="shared" ref="S108" si="62">S109+S111+S110</f>
        <v>15348</v>
      </c>
      <c r="T108" s="154">
        <f t="shared" ref="T108" si="63">T109+T111+T110</f>
        <v>17139</v>
      </c>
      <c r="U108" s="154">
        <f t="shared" ref="U108" si="64">U109+U111+U110</f>
        <v>26099</v>
      </c>
      <c r="V108" s="154"/>
      <c r="W108" s="154"/>
      <c r="X108" s="154"/>
      <c r="Y108" s="154"/>
      <c r="Z108" s="154"/>
      <c r="AA108" s="154"/>
      <c r="AB108" s="154"/>
      <c r="AC108" s="154">
        <f t="shared" si="57"/>
        <v>63113</v>
      </c>
      <c r="AD108" s="155"/>
    </row>
    <row r="109" spans="2:30" ht="15" x14ac:dyDescent="0.4">
      <c r="B109" s="369"/>
      <c r="C109" s="370"/>
      <c r="D109" s="144" t="s">
        <v>70</v>
      </c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56">
        <v>7655</v>
      </c>
      <c r="R109" s="156">
        <v>20293</v>
      </c>
      <c r="S109" s="156">
        <v>13797</v>
      </c>
      <c r="T109" s="156">
        <v>15751</v>
      </c>
      <c r="U109" s="156">
        <v>24866</v>
      </c>
      <c r="V109" s="156"/>
      <c r="W109" s="156"/>
      <c r="X109" s="156"/>
      <c r="Y109" s="156"/>
      <c r="Z109" s="156"/>
      <c r="AA109" s="156"/>
      <c r="AB109" s="156"/>
      <c r="AC109" s="156">
        <f t="shared" si="57"/>
        <v>57496</v>
      </c>
      <c r="AD109" s="157"/>
    </row>
    <row r="110" spans="2:30" ht="15" x14ac:dyDescent="0.4">
      <c r="B110" s="369"/>
      <c r="C110" s="370"/>
      <c r="D110" s="144" t="s">
        <v>115</v>
      </c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56">
        <v>542</v>
      </c>
      <c r="R110" s="156">
        <v>780</v>
      </c>
      <c r="S110" s="156">
        <v>776</v>
      </c>
      <c r="T110" s="156">
        <v>704</v>
      </c>
      <c r="U110" s="156">
        <v>606</v>
      </c>
      <c r="V110" s="156"/>
      <c r="W110" s="156"/>
      <c r="X110" s="156"/>
      <c r="Y110" s="156"/>
      <c r="Z110" s="156"/>
      <c r="AA110" s="156"/>
      <c r="AB110" s="156"/>
      <c r="AC110" s="156">
        <f t="shared" si="57"/>
        <v>2802</v>
      </c>
      <c r="AD110" s="157"/>
    </row>
    <row r="111" spans="2:30" ht="15" x14ac:dyDescent="0.4">
      <c r="B111" s="371"/>
      <c r="C111" s="372"/>
      <c r="D111" s="144" t="s">
        <v>114</v>
      </c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56">
        <v>550</v>
      </c>
      <c r="R111" s="156">
        <v>806</v>
      </c>
      <c r="S111" s="156">
        <v>775</v>
      </c>
      <c r="T111" s="156">
        <v>684</v>
      </c>
      <c r="U111" s="156">
        <v>627</v>
      </c>
      <c r="V111" s="156">
        <v>59349</v>
      </c>
      <c r="W111" s="156"/>
      <c r="X111" s="156"/>
      <c r="Y111" s="156"/>
      <c r="Z111" s="156"/>
      <c r="AA111" s="156"/>
      <c r="AB111" s="156"/>
      <c r="AC111" s="156">
        <f t="shared" si="57"/>
        <v>2815</v>
      </c>
      <c r="AD111" s="157"/>
    </row>
    <row r="112" spans="2:30" ht="15" x14ac:dyDescent="0.4">
      <c r="B112" s="367" t="s">
        <v>25</v>
      </c>
      <c r="C112" s="368"/>
      <c r="D112" s="142" t="s">
        <v>109</v>
      </c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54">
        <f>Q113+Q115+Q114+Q116</f>
        <v>31918</v>
      </c>
      <c r="R112" s="154">
        <f t="shared" ref="R112" si="65">R113+R115+R114+R116</f>
        <v>48864</v>
      </c>
      <c r="S112" s="154">
        <f t="shared" ref="S112" si="66">S113+S115+S114+S116</f>
        <v>36511</v>
      </c>
      <c r="T112" s="154">
        <f t="shared" ref="T112" si="67">T113+T115+T114+T116</f>
        <v>41775</v>
      </c>
      <c r="U112" s="154">
        <f t="shared" ref="U112" si="68">U113+U115+U114+U116</f>
        <v>53023</v>
      </c>
      <c r="V112" s="154"/>
      <c r="W112" s="154"/>
      <c r="X112" s="154"/>
      <c r="Y112" s="154"/>
      <c r="Z112" s="154"/>
      <c r="AA112" s="154"/>
      <c r="AB112" s="154"/>
      <c r="AC112" s="154">
        <f t="shared" si="57"/>
        <v>159068</v>
      </c>
      <c r="AD112" s="155"/>
    </row>
    <row r="113" spans="2:30" ht="15" x14ac:dyDescent="0.4">
      <c r="B113" s="369"/>
      <c r="C113" s="370"/>
      <c r="D113" s="144" t="s">
        <v>70</v>
      </c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56">
        <v>964</v>
      </c>
      <c r="R113" s="156">
        <v>1396</v>
      </c>
      <c r="S113" s="156">
        <v>1073</v>
      </c>
      <c r="T113" s="156">
        <v>1087</v>
      </c>
      <c r="U113" s="156">
        <v>906</v>
      </c>
      <c r="V113" s="156"/>
      <c r="W113" s="156"/>
      <c r="X113" s="156"/>
      <c r="Y113" s="156"/>
      <c r="Z113" s="156"/>
      <c r="AA113" s="156"/>
      <c r="AB113" s="156"/>
      <c r="AC113" s="156">
        <f t="shared" si="57"/>
        <v>4520</v>
      </c>
      <c r="AD113" s="157"/>
    </row>
    <row r="114" spans="2:30" ht="15" x14ac:dyDescent="0.4">
      <c r="B114" s="369"/>
      <c r="C114" s="370"/>
      <c r="D114" s="144" t="s">
        <v>115</v>
      </c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56">
        <v>482</v>
      </c>
      <c r="R114" s="156">
        <v>710</v>
      </c>
      <c r="S114" s="156">
        <v>636</v>
      </c>
      <c r="T114" s="156">
        <v>660</v>
      </c>
      <c r="U114" s="156">
        <v>570</v>
      </c>
      <c r="V114" s="156"/>
      <c r="W114" s="156"/>
      <c r="X114" s="156"/>
      <c r="Y114" s="156"/>
      <c r="Z114" s="156"/>
      <c r="AA114" s="156"/>
      <c r="AB114" s="156"/>
      <c r="AC114" s="156">
        <f t="shared" si="57"/>
        <v>2488</v>
      </c>
      <c r="AD114" s="157"/>
    </row>
    <row r="115" spans="2:30" ht="15" x14ac:dyDescent="0.4">
      <c r="B115" s="369"/>
      <c r="C115" s="370"/>
      <c r="D115" s="144" t="s">
        <v>114</v>
      </c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56">
        <v>627</v>
      </c>
      <c r="R115" s="156">
        <v>835</v>
      </c>
      <c r="S115" s="156">
        <v>866</v>
      </c>
      <c r="T115" s="156">
        <v>904</v>
      </c>
      <c r="U115" s="156">
        <v>861</v>
      </c>
      <c r="V115" s="156"/>
      <c r="W115" s="156"/>
      <c r="X115" s="156"/>
      <c r="Y115" s="156"/>
      <c r="Z115" s="156"/>
      <c r="AA115" s="156"/>
      <c r="AB115" s="156"/>
      <c r="AC115" s="156">
        <f t="shared" si="57"/>
        <v>3232</v>
      </c>
      <c r="AD115" s="157"/>
    </row>
    <row r="116" spans="2:30" ht="15" x14ac:dyDescent="0.4">
      <c r="B116" s="371"/>
      <c r="C116" s="372"/>
      <c r="D116" s="144" t="s">
        <v>105</v>
      </c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56">
        <v>29845</v>
      </c>
      <c r="R116" s="156">
        <v>45923</v>
      </c>
      <c r="S116" s="156">
        <v>33936</v>
      </c>
      <c r="T116" s="156">
        <v>39124</v>
      </c>
      <c r="U116" s="156">
        <v>50686</v>
      </c>
      <c r="V116" s="156"/>
      <c r="W116" s="156"/>
      <c r="X116" s="156"/>
      <c r="Y116" s="156"/>
      <c r="Z116" s="156"/>
      <c r="AA116" s="156"/>
      <c r="AB116" s="156"/>
      <c r="AC116" s="156">
        <f t="shared" si="57"/>
        <v>148828</v>
      </c>
      <c r="AD116" s="157"/>
    </row>
    <row r="117" spans="2:30" ht="15" x14ac:dyDescent="0.4">
      <c r="B117" s="367" t="s">
        <v>28</v>
      </c>
      <c r="C117" s="368"/>
      <c r="D117" s="142" t="s">
        <v>109</v>
      </c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54">
        <f>Q118+Q119+Q120</f>
        <v>865</v>
      </c>
      <c r="R117" s="154">
        <f t="shared" ref="R117" si="69">R118+R119+R120</f>
        <v>1064</v>
      </c>
      <c r="S117" s="154">
        <f t="shared" ref="S117" si="70">S118+S119+S120</f>
        <v>1225</v>
      </c>
      <c r="T117" s="154">
        <f t="shared" ref="T117" si="71">T118+T119+T120</f>
        <v>1023</v>
      </c>
      <c r="U117" s="154">
        <f t="shared" ref="U117" si="72">U118+U119+U120</f>
        <v>857</v>
      </c>
      <c r="V117" s="154"/>
      <c r="W117" s="154"/>
      <c r="X117" s="154"/>
      <c r="Y117" s="154"/>
      <c r="Z117" s="154"/>
      <c r="AA117" s="154"/>
      <c r="AB117" s="154"/>
      <c r="AC117" s="154">
        <f t="shared" si="57"/>
        <v>4177</v>
      </c>
      <c r="AD117" s="155"/>
    </row>
    <row r="118" spans="2:30" ht="15" x14ac:dyDescent="0.4">
      <c r="B118" s="369"/>
      <c r="C118" s="370"/>
      <c r="D118" s="144" t="s">
        <v>70</v>
      </c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56">
        <v>549</v>
      </c>
      <c r="R118" s="156">
        <v>730</v>
      </c>
      <c r="S118" s="156">
        <v>824</v>
      </c>
      <c r="T118" s="156">
        <v>615</v>
      </c>
      <c r="U118" s="156">
        <v>562</v>
      </c>
      <c r="V118" s="156"/>
      <c r="W118" s="156"/>
      <c r="X118" s="156"/>
      <c r="Y118" s="156"/>
      <c r="Z118" s="156"/>
      <c r="AA118" s="156"/>
      <c r="AB118" s="156"/>
      <c r="AC118" s="156">
        <f t="shared" si="57"/>
        <v>2718</v>
      </c>
      <c r="AD118" s="157"/>
    </row>
    <row r="119" spans="2:30" ht="15" x14ac:dyDescent="0.4">
      <c r="B119" s="369"/>
      <c r="C119" s="370"/>
      <c r="D119" s="144" t="s">
        <v>115</v>
      </c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56">
        <v>162</v>
      </c>
      <c r="R119" s="156">
        <v>180</v>
      </c>
      <c r="S119" s="156">
        <v>200</v>
      </c>
      <c r="T119" s="156">
        <v>194</v>
      </c>
      <c r="U119" s="156">
        <v>158</v>
      </c>
      <c r="V119" s="156"/>
      <c r="W119" s="156"/>
      <c r="X119" s="156"/>
      <c r="Y119" s="156"/>
      <c r="Z119" s="156"/>
      <c r="AA119" s="156"/>
      <c r="AB119" s="156"/>
      <c r="AC119" s="156">
        <f t="shared" si="57"/>
        <v>736</v>
      </c>
      <c r="AD119" s="157"/>
    </row>
    <row r="120" spans="2:30" ht="15" x14ac:dyDescent="0.4">
      <c r="B120" s="371"/>
      <c r="C120" s="372"/>
      <c r="D120" s="144" t="s">
        <v>114</v>
      </c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56">
        <v>154</v>
      </c>
      <c r="R120" s="156">
        <v>154</v>
      </c>
      <c r="S120" s="156">
        <v>201</v>
      </c>
      <c r="T120" s="156">
        <v>214</v>
      </c>
      <c r="U120" s="156">
        <v>137</v>
      </c>
      <c r="V120" s="156"/>
      <c r="W120" s="156"/>
      <c r="X120" s="156"/>
      <c r="Y120" s="156"/>
      <c r="Z120" s="156"/>
      <c r="AA120" s="156"/>
      <c r="AB120" s="156"/>
      <c r="AC120" s="156">
        <f t="shared" si="57"/>
        <v>723</v>
      </c>
      <c r="AD120" s="157"/>
    </row>
    <row r="121" spans="2:30" ht="15" x14ac:dyDescent="0.4">
      <c r="B121" s="367" t="s">
        <v>27</v>
      </c>
      <c r="C121" s="368"/>
      <c r="D121" s="142" t="s">
        <v>109</v>
      </c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54">
        <f>Q122+Q123+Q125+Q124</f>
        <v>4194</v>
      </c>
      <c r="R121" s="154">
        <f t="shared" ref="R121" si="73">R122+R123+R125+R124</f>
        <v>7523</v>
      </c>
      <c r="S121" s="154">
        <f t="shared" ref="S121" si="74">S122+S123+S125+S124</f>
        <v>5167</v>
      </c>
      <c r="T121" s="154">
        <f t="shared" ref="T121" si="75">T122+T123+T125+T124</f>
        <v>5266</v>
      </c>
      <c r="U121" s="154">
        <f t="shared" ref="U121" si="76">U122+U123+U125+U124</f>
        <v>5414</v>
      </c>
      <c r="V121" s="154"/>
      <c r="W121" s="154"/>
      <c r="X121" s="154"/>
      <c r="Y121" s="154"/>
      <c r="Z121" s="154"/>
      <c r="AA121" s="154"/>
      <c r="AB121" s="154"/>
      <c r="AC121" s="154">
        <f t="shared" si="57"/>
        <v>22150</v>
      </c>
      <c r="AD121" s="155"/>
    </row>
    <row r="122" spans="2:30" ht="15" x14ac:dyDescent="0.4">
      <c r="B122" s="369"/>
      <c r="C122" s="370"/>
      <c r="D122" s="144" t="s">
        <v>70</v>
      </c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56">
        <v>1793</v>
      </c>
      <c r="R122" s="156">
        <v>3755</v>
      </c>
      <c r="S122" s="156">
        <v>2240</v>
      </c>
      <c r="T122" s="156">
        <v>2377</v>
      </c>
      <c r="U122" s="156">
        <v>2239</v>
      </c>
      <c r="V122" s="156"/>
      <c r="W122" s="156"/>
      <c r="X122" s="156"/>
      <c r="Y122" s="156"/>
      <c r="Z122" s="156"/>
      <c r="AA122" s="156"/>
      <c r="AB122" s="156"/>
      <c r="AC122" s="156">
        <f t="shared" si="57"/>
        <v>10165</v>
      </c>
      <c r="AD122" s="157"/>
    </row>
    <row r="123" spans="2:30" ht="15" x14ac:dyDescent="0.4">
      <c r="B123" s="369"/>
      <c r="C123" s="370"/>
      <c r="D123" s="144" t="s">
        <v>115</v>
      </c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56">
        <v>206</v>
      </c>
      <c r="R123" s="156">
        <v>243</v>
      </c>
      <c r="S123" s="156">
        <v>214</v>
      </c>
      <c r="T123" s="156">
        <v>219</v>
      </c>
      <c r="U123" s="156">
        <v>189</v>
      </c>
      <c r="V123" s="156"/>
      <c r="W123" s="156"/>
      <c r="X123" s="156"/>
      <c r="Y123" s="156"/>
      <c r="Z123" s="156"/>
      <c r="AA123" s="156"/>
      <c r="AB123" s="156"/>
      <c r="AC123" s="156">
        <f t="shared" si="57"/>
        <v>882</v>
      </c>
      <c r="AD123" s="157"/>
    </row>
    <row r="124" spans="2:30" ht="15" x14ac:dyDescent="0.4">
      <c r="B124" s="369"/>
      <c r="C124" s="370"/>
      <c r="D124" s="144" t="s">
        <v>114</v>
      </c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56">
        <v>167</v>
      </c>
      <c r="R124" s="156">
        <v>154</v>
      </c>
      <c r="S124" s="156">
        <v>152</v>
      </c>
      <c r="T124" s="156">
        <v>160</v>
      </c>
      <c r="U124" s="156">
        <v>124</v>
      </c>
      <c r="V124" s="156"/>
      <c r="W124" s="156"/>
      <c r="X124" s="156"/>
      <c r="Y124" s="156"/>
      <c r="Z124" s="156"/>
      <c r="AA124" s="156"/>
      <c r="AB124" s="156"/>
      <c r="AC124" s="156">
        <f t="shared" si="57"/>
        <v>633</v>
      </c>
      <c r="AD124" s="157"/>
    </row>
    <row r="125" spans="2:30" ht="15" x14ac:dyDescent="0.4">
      <c r="B125" s="371"/>
      <c r="C125" s="372"/>
      <c r="D125" s="144" t="s">
        <v>105</v>
      </c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56">
        <v>2028</v>
      </c>
      <c r="R125" s="166">
        <f>3371</f>
        <v>3371</v>
      </c>
      <c r="S125" s="166">
        <f>2561</f>
        <v>2561</v>
      </c>
      <c r="T125" s="166">
        <f>2510</f>
        <v>2510</v>
      </c>
      <c r="U125" s="166">
        <f>2862</f>
        <v>2862</v>
      </c>
      <c r="V125" s="156"/>
      <c r="W125" s="156"/>
      <c r="X125" s="156"/>
      <c r="Y125" s="156"/>
      <c r="Z125" s="156"/>
      <c r="AA125" s="156"/>
      <c r="AB125" s="156"/>
      <c r="AC125" s="156">
        <f t="shared" si="57"/>
        <v>10470</v>
      </c>
      <c r="AD125" s="157"/>
    </row>
    <row r="126" spans="2:30" ht="15" x14ac:dyDescent="0.4">
      <c r="B126" s="367" t="s">
        <v>106</v>
      </c>
      <c r="C126" s="368"/>
      <c r="D126" s="142" t="s">
        <v>109</v>
      </c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54">
        <f>Q127+Q128</f>
        <v>1758</v>
      </c>
      <c r="R126" s="154">
        <f t="shared" ref="R126" si="77">R127+R128</f>
        <v>2494</v>
      </c>
      <c r="S126" s="154">
        <f t="shared" ref="S126" si="78">S127+S128</f>
        <v>2522</v>
      </c>
      <c r="T126" s="154">
        <f t="shared" ref="T126" si="79">T127+T128</f>
        <v>2729</v>
      </c>
      <c r="U126" s="154">
        <f t="shared" ref="U126" si="80">U127+U128</f>
        <v>2275</v>
      </c>
      <c r="V126" s="154"/>
      <c r="W126" s="154"/>
      <c r="X126" s="154"/>
      <c r="Y126" s="154"/>
      <c r="Z126" s="154"/>
      <c r="AA126" s="154"/>
      <c r="AB126" s="154"/>
      <c r="AC126" s="154">
        <f t="shared" si="57"/>
        <v>9503</v>
      </c>
      <c r="AD126" s="155"/>
    </row>
    <row r="127" spans="2:30" ht="15" x14ac:dyDescent="0.4">
      <c r="B127" s="369"/>
      <c r="C127" s="370"/>
      <c r="D127" s="144" t="s">
        <v>70</v>
      </c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56">
        <v>1758</v>
      </c>
      <c r="R127" s="156">
        <v>2494</v>
      </c>
      <c r="S127" s="156">
        <v>2522</v>
      </c>
      <c r="T127" s="156">
        <v>2729</v>
      </c>
      <c r="U127" s="156">
        <v>2275</v>
      </c>
      <c r="V127" s="156"/>
      <c r="W127" s="156"/>
      <c r="X127" s="156"/>
      <c r="Y127" s="156"/>
      <c r="Z127" s="156"/>
      <c r="AA127" s="156"/>
      <c r="AB127" s="156"/>
      <c r="AC127" s="156">
        <f t="shared" si="57"/>
        <v>9503</v>
      </c>
      <c r="AD127" s="157"/>
    </row>
    <row r="128" spans="2:30" ht="15" x14ac:dyDescent="0.4">
      <c r="B128" s="369"/>
      <c r="C128" s="370"/>
      <c r="D128" s="144" t="s">
        <v>71</v>
      </c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58"/>
      <c r="R128" s="158"/>
      <c r="S128" s="158"/>
      <c r="T128" s="158"/>
      <c r="U128" s="158"/>
      <c r="V128" s="156"/>
      <c r="W128" s="156"/>
      <c r="X128" s="156"/>
      <c r="Y128" s="156"/>
      <c r="Z128" s="156"/>
      <c r="AA128" s="156"/>
      <c r="AB128" s="156"/>
      <c r="AC128" s="156">
        <f t="shared" si="57"/>
        <v>0</v>
      </c>
      <c r="AD128" s="157"/>
    </row>
    <row r="129" spans="2:30" ht="15" x14ac:dyDescent="0.4">
      <c r="B129" s="367" t="s">
        <v>32</v>
      </c>
      <c r="C129" s="368"/>
      <c r="D129" s="142" t="s">
        <v>109</v>
      </c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59"/>
      <c r="R129" s="159"/>
      <c r="S129" s="159"/>
      <c r="T129" s="159"/>
      <c r="U129" s="159"/>
      <c r="V129" s="154"/>
      <c r="W129" s="154"/>
      <c r="X129" s="154"/>
      <c r="Y129" s="154"/>
      <c r="Z129" s="154"/>
      <c r="AA129" s="154"/>
      <c r="AB129" s="154"/>
      <c r="AC129" s="154">
        <f t="shared" si="57"/>
        <v>0</v>
      </c>
      <c r="AD129" s="155"/>
    </row>
    <row r="130" spans="2:30" ht="15" x14ac:dyDescent="0.4">
      <c r="B130" s="369"/>
      <c r="C130" s="370"/>
      <c r="D130" s="144" t="s">
        <v>20</v>
      </c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58"/>
      <c r="R130" s="158"/>
      <c r="S130" s="158"/>
      <c r="T130" s="158"/>
      <c r="U130" s="158"/>
      <c r="V130" s="156"/>
      <c r="W130" s="156"/>
      <c r="X130" s="156"/>
      <c r="Y130" s="156"/>
      <c r="Z130" s="156"/>
      <c r="AA130" s="156"/>
      <c r="AB130" s="156"/>
      <c r="AC130" s="156">
        <f t="shared" si="57"/>
        <v>0</v>
      </c>
      <c r="AD130" s="157"/>
    </row>
    <row r="131" spans="2:30" ht="15" x14ac:dyDescent="0.4">
      <c r="B131" s="369"/>
      <c r="C131" s="370"/>
      <c r="D131" s="144" t="s">
        <v>21</v>
      </c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58"/>
      <c r="R131" s="158"/>
      <c r="S131" s="158"/>
      <c r="T131" s="158"/>
      <c r="U131" s="158"/>
      <c r="V131" s="156"/>
      <c r="W131" s="156"/>
      <c r="X131" s="156"/>
      <c r="Y131" s="156"/>
      <c r="Z131" s="156"/>
      <c r="AA131" s="156"/>
      <c r="AB131" s="156"/>
      <c r="AC131" s="156">
        <f t="shared" si="57"/>
        <v>0</v>
      </c>
      <c r="AD131" s="157"/>
    </row>
    <row r="132" spans="2:30" ht="15" x14ac:dyDescent="0.4">
      <c r="B132" s="371"/>
      <c r="C132" s="372"/>
      <c r="D132" s="144" t="s">
        <v>110</v>
      </c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58"/>
      <c r="R132" s="158"/>
      <c r="S132" s="158"/>
      <c r="T132" s="158"/>
      <c r="U132" s="158"/>
      <c r="V132" s="156"/>
      <c r="W132" s="156"/>
      <c r="X132" s="156"/>
      <c r="Y132" s="156"/>
      <c r="Z132" s="156"/>
      <c r="AA132" s="156"/>
      <c r="AB132" s="156"/>
      <c r="AC132" s="156">
        <f t="shared" si="57"/>
        <v>0</v>
      </c>
      <c r="AD132" s="157"/>
    </row>
    <row r="133" spans="2:30" x14ac:dyDescent="0.35"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</row>
    <row r="134" spans="2:30" x14ac:dyDescent="0.35"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</row>
    <row r="135" spans="2:30" ht="15" x14ac:dyDescent="0.4">
      <c r="B135" s="365" t="s">
        <v>10</v>
      </c>
      <c r="C135" s="365"/>
      <c r="D135" s="366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140">
        <v>2501</v>
      </c>
      <c r="R135" s="140">
        <v>2502</v>
      </c>
      <c r="S135" s="140">
        <v>2503</v>
      </c>
      <c r="T135" s="140">
        <v>2504</v>
      </c>
      <c r="U135" s="140">
        <v>2505</v>
      </c>
      <c r="V135" s="140">
        <v>2506</v>
      </c>
      <c r="W135" s="140">
        <v>2507</v>
      </c>
      <c r="X135" s="140">
        <v>2508</v>
      </c>
      <c r="Y135" s="140">
        <v>2509</v>
      </c>
      <c r="Z135" s="140">
        <v>2510</v>
      </c>
      <c r="AA135" s="140">
        <v>2511</v>
      </c>
      <c r="AB135" s="140">
        <v>2512</v>
      </c>
      <c r="AC135" s="141" t="s">
        <v>112</v>
      </c>
      <c r="AD135" s="141" t="s">
        <v>113</v>
      </c>
    </row>
    <row r="136" spans="2:30" ht="15" x14ac:dyDescent="0.4">
      <c r="B136" s="373" t="s">
        <v>119</v>
      </c>
      <c r="C136" s="374"/>
      <c r="D136" s="142" t="s">
        <v>109</v>
      </c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54">
        <f>Q137+Q138+Q139</f>
        <v>19530</v>
      </c>
      <c r="R136" s="154">
        <f t="shared" ref="R136" si="81">R137+R138+R139</f>
        <v>20908</v>
      </c>
      <c r="S136" s="154">
        <f t="shared" ref="S136" si="82">S137+S138+S139</f>
        <v>18887</v>
      </c>
      <c r="T136" s="154">
        <f t="shared" ref="T136" si="83">T137+T138+T139</f>
        <v>19000</v>
      </c>
      <c r="U136" s="154">
        <f t="shared" ref="U136" si="84">U137+U138+U139</f>
        <v>24340</v>
      </c>
      <c r="V136" s="154"/>
      <c r="W136" s="154"/>
      <c r="X136" s="154"/>
      <c r="Y136" s="154"/>
      <c r="Z136" s="154"/>
      <c r="AA136" s="154"/>
      <c r="AB136" s="154"/>
      <c r="AC136" s="154">
        <f t="shared" ref="AC136:AC165" si="85">SUM(D136:T136)</f>
        <v>78325</v>
      </c>
      <c r="AD136" s="155"/>
    </row>
    <row r="137" spans="2:30" ht="15" x14ac:dyDescent="0.4">
      <c r="B137" s="375"/>
      <c r="C137" s="376"/>
      <c r="D137" s="144" t="s">
        <v>70</v>
      </c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50">
        <f>Q142+Q146+Q151+Q155+Q160</f>
        <v>5763</v>
      </c>
      <c r="R137" s="150">
        <f t="shared" ref="R137:U137" si="86">R142+R146+R151+R155+R160</f>
        <v>7139</v>
      </c>
      <c r="S137" s="150">
        <f t="shared" si="86"/>
        <v>4676</v>
      </c>
      <c r="T137" s="150">
        <f t="shared" si="86"/>
        <v>8226</v>
      </c>
      <c r="U137" s="150">
        <f t="shared" si="86"/>
        <v>5837</v>
      </c>
      <c r="V137" s="156"/>
      <c r="W137" s="156"/>
      <c r="X137" s="156"/>
      <c r="Y137" s="156"/>
      <c r="Z137" s="156"/>
      <c r="AA137" s="156"/>
      <c r="AB137" s="156"/>
      <c r="AC137" s="156">
        <f t="shared" si="85"/>
        <v>25804</v>
      </c>
      <c r="AD137" s="157"/>
    </row>
    <row r="138" spans="2:30" ht="15" x14ac:dyDescent="0.4">
      <c r="B138" s="375"/>
      <c r="C138" s="376"/>
      <c r="D138" s="144" t="s">
        <v>71</v>
      </c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56">
        <f>Q143+Q144+Q147+Q148+Q152+Q153+Q156+Q157</f>
        <v>10442</v>
      </c>
      <c r="R138" s="156">
        <f t="shared" ref="R138:U138" si="87">R143+R144+R147+R148+R152+R153+R156+R157</f>
        <v>10442</v>
      </c>
      <c r="S138" s="156">
        <f t="shared" si="87"/>
        <v>10829</v>
      </c>
      <c r="T138" s="156">
        <f t="shared" si="87"/>
        <v>7655</v>
      </c>
      <c r="U138" s="156">
        <f t="shared" si="87"/>
        <v>14484</v>
      </c>
      <c r="V138" s="156"/>
      <c r="W138" s="156"/>
      <c r="X138" s="156"/>
      <c r="Y138" s="156"/>
      <c r="Z138" s="156"/>
      <c r="AA138" s="156"/>
      <c r="AB138" s="156"/>
      <c r="AC138" s="156">
        <f t="shared" si="85"/>
        <v>39368</v>
      </c>
      <c r="AD138" s="157"/>
    </row>
    <row r="139" spans="2:30" ht="15" x14ac:dyDescent="0.4">
      <c r="B139" s="375"/>
      <c r="C139" s="376"/>
      <c r="D139" s="144" t="s">
        <v>105</v>
      </c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56">
        <f>Q149+Q158</f>
        <v>3325</v>
      </c>
      <c r="R139" s="156">
        <f t="shared" ref="R139:U139" si="88">R149+R158</f>
        <v>3327</v>
      </c>
      <c r="S139" s="156">
        <f t="shared" si="88"/>
        <v>3382</v>
      </c>
      <c r="T139" s="156">
        <f t="shared" si="88"/>
        <v>3119</v>
      </c>
      <c r="U139" s="156">
        <f t="shared" si="88"/>
        <v>4019</v>
      </c>
      <c r="V139" s="156"/>
      <c r="W139" s="156"/>
      <c r="X139" s="156"/>
      <c r="Y139" s="156"/>
      <c r="Z139" s="156"/>
      <c r="AA139" s="156"/>
      <c r="AB139" s="156"/>
      <c r="AC139" s="156">
        <f t="shared" si="85"/>
        <v>13153</v>
      </c>
      <c r="AD139" s="157"/>
    </row>
    <row r="140" spans="2:30" ht="15" x14ac:dyDescent="0.4">
      <c r="B140" s="377"/>
      <c r="C140" s="378"/>
      <c r="D140" s="144" t="s">
        <v>32</v>
      </c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58"/>
      <c r="R140" s="158"/>
      <c r="S140" s="158"/>
      <c r="T140" s="158"/>
      <c r="U140" s="158"/>
      <c r="V140" s="156"/>
      <c r="W140" s="156"/>
      <c r="X140" s="156"/>
      <c r="Y140" s="156"/>
      <c r="Z140" s="156"/>
      <c r="AA140" s="156"/>
      <c r="AB140" s="156"/>
      <c r="AC140" s="156">
        <f t="shared" si="85"/>
        <v>0</v>
      </c>
      <c r="AD140" s="157"/>
    </row>
    <row r="141" spans="2:30" ht="15" x14ac:dyDescent="0.4">
      <c r="B141" s="367" t="s">
        <v>26</v>
      </c>
      <c r="C141" s="368"/>
      <c r="D141" s="142" t="s">
        <v>109</v>
      </c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54">
        <f>Q142+Q144+Q143</f>
        <v>7182</v>
      </c>
      <c r="R141" s="154">
        <f t="shared" ref="R141" si="89">R142+R144+R143</f>
        <v>7576</v>
      </c>
      <c r="S141" s="154">
        <f t="shared" ref="S141" si="90">S142+S144+S143</f>
        <v>6170</v>
      </c>
      <c r="T141" s="154">
        <f t="shared" ref="T141" si="91">T142+T144+T143</f>
        <v>6491</v>
      </c>
      <c r="U141" s="154">
        <f t="shared" ref="U141" si="92">U142+U144+U143</f>
        <v>5479.9999999999991</v>
      </c>
      <c r="V141" s="154"/>
      <c r="W141" s="154"/>
      <c r="X141" s="154"/>
      <c r="Y141" s="154"/>
      <c r="Z141" s="154"/>
      <c r="AA141" s="154"/>
      <c r="AB141" s="154"/>
      <c r="AC141" s="154">
        <f t="shared" si="85"/>
        <v>27419</v>
      </c>
      <c r="AD141" s="155"/>
    </row>
    <row r="142" spans="2:30" ht="15" x14ac:dyDescent="0.4">
      <c r="B142" s="369"/>
      <c r="C142" s="370"/>
      <c r="D142" s="144" t="s">
        <v>70</v>
      </c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56">
        <v>4275</v>
      </c>
      <c r="R142" s="156">
        <v>4697</v>
      </c>
      <c r="S142" s="156">
        <v>3341</v>
      </c>
      <c r="T142" s="156">
        <v>6602</v>
      </c>
      <c r="U142" s="156">
        <v>4325</v>
      </c>
      <c r="V142" s="156"/>
      <c r="W142" s="156"/>
      <c r="X142" s="156"/>
      <c r="Y142" s="156"/>
      <c r="Z142" s="156"/>
      <c r="AA142" s="156"/>
      <c r="AB142" s="156"/>
      <c r="AC142" s="156">
        <f t="shared" si="85"/>
        <v>18915</v>
      </c>
      <c r="AD142" s="157"/>
    </row>
    <row r="143" spans="2:30" ht="15" x14ac:dyDescent="0.4">
      <c r="B143" s="369"/>
      <c r="C143" s="370"/>
      <c r="D143" s="144" t="s">
        <v>115</v>
      </c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56">
        <v>1926</v>
      </c>
      <c r="R143" s="156">
        <v>1898</v>
      </c>
      <c r="S143" s="156">
        <v>1774</v>
      </c>
      <c r="T143" s="156">
        <v>1416</v>
      </c>
      <c r="U143" s="156">
        <v>2724.9999999999995</v>
      </c>
      <c r="V143" s="156"/>
      <c r="W143" s="156"/>
      <c r="X143" s="156"/>
      <c r="Y143" s="156"/>
      <c r="Z143" s="156"/>
      <c r="AA143" s="156"/>
      <c r="AB143" s="156"/>
      <c r="AC143" s="156">
        <f t="shared" si="85"/>
        <v>7014</v>
      </c>
      <c r="AD143" s="157"/>
    </row>
    <row r="144" spans="2:30" ht="15" x14ac:dyDescent="0.4">
      <c r="B144" s="371"/>
      <c r="C144" s="372"/>
      <c r="D144" s="144" t="s">
        <v>114</v>
      </c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56">
        <v>981</v>
      </c>
      <c r="R144" s="156">
        <v>981</v>
      </c>
      <c r="S144" s="156">
        <v>1055</v>
      </c>
      <c r="T144" s="156">
        <v>-1527</v>
      </c>
      <c r="U144" s="156">
        <v>-1570.0000000000005</v>
      </c>
      <c r="V144" s="156">
        <v>59349</v>
      </c>
      <c r="W144" s="156"/>
      <c r="X144" s="156"/>
      <c r="Y144" s="156"/>
      <c r="Z144" s="156"/>
      <c r="AA144" s="156"/>
      <c r="AB144" s="156"/>
      <c r="AC144" s="156">
        <f t="shared" si="85"/>
        <v>1490</v>
      </c>
      <c r="AD144" s="157"/>
    </row>
    <row r="145" spans="2:30" ht="15" x14ac:dyDescent="0.4">
      <c r="B145" s="367" t="s">
        <v>25</v>
      </c>
      <c r="C145" s="368"/>
      <c r="D145" s="142" t="s">
        <v>109</v>
      </c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54">
        <f>Q146+Q148+Q147+Q149</f>
        <v>9586</v>
      </c>
      <c r="R145" s="154">
        <f t="shared" ref="R145" si="93">R146+R148+R147+R149</f>
        <v>9606</v>
      </c>
      <c r="S145" s="154">
        <f t="shared" ref="S145" si="94">S146+S148+S147+S149</f>
        <v>10080</v>
      </c>
      <c r="T145" s="154">
        <f t="shared" ref="T145" si="95">T146+T148+T147+T149</f>
        <v>10241</v>
      </c>
      <c r="U145" s="154">
        <f t="shared" ref="U145" si="96">U146+U148+U147+U149</f>
        <v>14478</v>
      </c>
      <c r="V145" s="154"/>
      <c r="W145" s="154"/>
      <c r="X145" s="154"/>
      <c r="Y145" s="154"/>
      <c r="Z145" s="154"/>
      <c r="AA145" s="154"/>
      <c r="AB145" s="154"/>
      <c r="AC145" s="154">
        <f t="shared" si="85"/>
        <v>39513</v>
      </c>
      <c r="AD145" s="155"/>
    </row>
    <row r="146" spans="2:30" ht="15" x14ac:dyDescent="0.4">
      <c r="B146" s="369"/>
      <c r="C146" s="370"/>
      <c r="D146" s="144" t="s">
        <v>70</v>
      </c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56">
        <v>304</v>
      </c>
      <c r="R146" s="156">
        <v>311</v>
      </c>
      <c r="S146" s="156">
        <v>3</v>
      </c>
      <c r="T146" s="156">
        <v>443</v>
      </c>
      <c r="U146" s="156">
        <v>1</v>
      </c>
      <c r="V146" s="156"/>
      <c r="W146" s="156"/>
      <c r="X146" s="156"/>
      <c r="Y146" s="156"/>
      <c r="Z146" s="156"/>
      <c r="AA146" s="156"/>
      <c r="AB146" s="156"/>
      <c r="AC146" s="156">
        <f t="shared" si="85"/>
        <v>1061</v>
      </c>
      <c r="AD146" s="157"/>
    </row>
    <row r="147" spans="2:30" ht="15" x14ac:dyDescent="0.4">
      <c r="B147" s="369"/>
      <c r="C147" s="370"/>
      <c r="D147" s="144" t="s">
        <v>115</v>
      </c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56">
        <v>3303</v>
      </c>
      <c r="R147" s="156">
        <v>3303</v>
      </c>
      <c r="S147" s="156">
        <v>3470</v>
      </c>
      <c r="T147" s="156">
        <v>3469</v>
      </c>
      <c r="U147" s="156">
        <v>5148</v>
      </c>
      <c r="V147" s="156"/>
      <c r="W147" s="156"/>
      <c r="X147" s="156"/>
      <c r="Y147" s="156"/>
      <c r="Z147" s="156"/>
      <c r="AA147" s="156"/>
      <c r="AB147" s="156"/>
      <c r="AC147" s="156">
        <f t="shared" si="85"/>
        <v>13545</v>
      </c>
      <c r="AD147" s="157"/>
    </row>
    <row r="148" spans="2:30" ht="15" x14ac:dyDescent="0.4">
      <c r="B148" s="369"/>
      <c r="C148" s="370"/>
      <c r="D148" s="144" t="s">
        <v>114</v>
      </c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56">
        <v>2682</v>
      </c>
      <c r="R148" s="156">
        <v>2682</v>
      </c>
      <c r="S148" s="156">
        <v>3316</v>
      </c>
      <c r="T148" s="156">
        <v>3273</v>
      </c>
      <c r="U148" s="156">
        <v>5448</v>
      </c>
      <c r="V148" s="156"/>
      <c r="W148" s="156"/>
      <c r="X148" s="156"/>
      <c r="Y148" s="156"/>
      <c r="Z148" s="156"/>
      <c r="AA148" s="156"/>
      <c r="AB148" s="156"/>
      <c r="AC148" s="156">
        <f t="shared" si="85"/>
        <v>11953</v>
      </c>
      <c r="AD148" s="157"/>
    </row>
    <row r="149" spans="2:30" ht="15" x14ac:dyDescent="0.4">
      <c r="B149" s="371"/>
      <c r="C149" s="372"/>
      <c r="D149" s="144" t="s">
        <v>105</v>
      </c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56">
        <v>3297</v>
      </c>
      <c r="R149" s="156">
        <v>3310</v>
      </c>
      <c r="S149" s="156">
        <v>3291</v>
      </c>
      <c r="T149" s="156">
        <v>3056</v>
      </c>
      <c r="U149" s="156">
        <v>3881</v>
      </c>
      <c r="V149" s="156"/>
      <c r="W149" s="156"/>
      <c r="X149" s="156"/>
      <c r="Y149" s="156"/>
      <c r="Z149" s="156"/>
      <c r="AA149" s="156"/>
      <c r="AB149" s="156"/>
      <c r="AC149" s="156">
        <f t="shared" si="85"/>
        <v>12954</v>
      </c>
      <c r="AD149" s="157"/>
    </row>
    <row r="150" spans="2:30" ht="15" x14ac:dyDescent="0.4">
      <c r="B150" s="367" t="s">
        <v>28</v>
      </c>
      <c r="C150" s="368"/>
      <c r="D150" s="142" t="s">
        <v>109</v>
      </c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54">
        <f>Q151+Q152+Q153</f>
        <v>843</v>
      </c>
      <c r="R150" s="154">
        <f t="shared" ref="R150" si="97">R151+R152+R153</f>
        <v>889</v>
      </c>
      <c r="S150" s="154">
        <f t="shared" ref="S150" si="98">S151+S152+S153</f>
        <v>660</v>
      </c>
      <c r="T150" s="154">
        <f t="shared" ref="T150" si="99">T151+T152+T153</f>
        <v>540</v>
      </c>
      <c r="U150" s="154">
        <f t="shared" ref="U150" si="100">U151+U152+U153</f>
        <v>2181</v>
      </c>
      <c r="V150" s="154"/>
      <c r="W150" s="154"/>
      <c r="X150" s="154"/>
      <c r="Y150" s="154"/>
      <c r="Z150" s="154"/>
      <c r="AA150" s="154"/>
      <c r="AB150" s="154"/>
      <c r="AC150" s="154">
        <f t="shared" si="85"/>
        <v>2932</v>
      </c>
      <c r="AD150" s="155"/>
    </row>
    <row r="151" spans="2:30" ht="15" x14ac:dyDescent="0.4">
      <c r="B151" s="369"/>
      <c r="C151" s="370"/>
      <c r="D151" s="144" t="s">
        <v>70</v>
      </c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56">
        <v>119</v>
      </c>
      <c r="R151" s="156">
        <v>137</v>
      </c>
      <c r="S151" s="156">
        <v>186</v>
      </c>
      <c r="T151" s="156">
        <v>151</v>
      </c>
      <c r="U151" s="156">
        <v>382</v>
      </c>
      <c r="V151" s="156"/>
      <c r="W151" s="156"/>
      <c r="X151" s="156"/>
      <c r="Y151" s="156"/>
      <c r="Z151" s="156"/>
      <c r="AA151" s="156"/>
      <c r="AB151" s="156"/>
      <c r="AC151" s="156">
        <f t="shared" si="85"/>
        <v>593</v>
      </c>
      <c r="AD151" s="157"/>
    </row>
    <row r="152" spans="2:30" ht="15" x14ac:dyDescent="0.4">
      <c r="B152" s="369"/>
      <c r="C152" s="370"/>
      <c r="D152" s="144" t="s">
        <v>115</v>
      </c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56">
        <v>429</v>
      </c>
      <c r="R152" s="156">
        <v>457</v>
      </c>
      <c r="S152" s="156">
        <v>443</v>
      </c>
      <c r="T152" s="156">
        <v>461</v>
      </c>
      <c r="U152" s="156">
        <v>1093</v>
      </c>
      <c r="V152" s="156"/>
      <c r="W152" s="156"/>
      <c r="X152" s="156"/>
      <c r="Y152" s="156"/>
      <c r="Z152" s="156"/>
      <c r="AA152" s="156"/>
      <c r="AB152" s="156"/>
      <c r="AC152" s="156">
        <f t="shared" si="85"/>
        <v>1790</v>
      </c>
      <c r="AD152" s="157"/>
    </row>
    <row r="153" spans="2:30" ht="15" x14ac:dyDescent="0.4">
      <c r="B153" s="371"/>
      <c r="C153" s="372"/>
      <c r="D153" s="144" t="s">
        <v>114</v>
      </c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56">
        <v>295</v>
      </c>
      <c r="R153" s="156">
        <v>295</v>
      </c>
      <c r="S153" s="156">
        <v>31</v>
      </c>
      <c r="T153" s="156">
        <v>-72</v>
      </c>
      <c r="U153" s="156">
        <v>706</v>
      </c>
      <c r="V153" s="156"/>
      <c r="W153" s="156"/>
      <c r="X153" s="156"/>
      <c r="Y153" s="156"/>
      <c r="Z153" s="156"/>
      <c r="AA153" s="156"/>
      <c r="AB153" s="156"/>
      <c r="AC153" s="156">
        <f t="shared" si="85"/>
        <v>549</v>
      </c>
      <c r="AD153" s="157"/>
    </row>
    <row r="154" spans="2:30" ht="15" x14ac:dyDescent="0.4">
      <c r="B154" s="367" t="s">
        <v>27</v>
      </c>
      <c r="C154" s="368"/>
      <c r="D154" s="142" t="s">
        <v>109</v>
      </c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54">
        <f>Q155+Q156+Q158+Q157</f>
        <v>1220</v>
      </c>
      <c r="R154" s="154">
        <f t="shared" ref="R154" si="101">R155+R156+R158+R157</f>
        <v>2008</v>
      </c>
      <c r="S154" s="154">
        <f t="shared" ref="S154" si="102">S155+S156+S158+S157</f>
        <v>1351</v>
      </c>
      <c r="T154" s="154">
        <f t="shared" ref="T154" si="103">T155+T156+T158+T157</f>
        <v>1119</v>
      </c>
      <c r="U154" s="154">
        <f t="shared" ref="U154" si="104">U155+U156+U158+U157</f>
        <v>1570</v>
      </c>
      <c r="V154" s="154"/>
      <c r="W154" s="154"/>
      <c r="X154" s="154"/>
      <c r="Y154" s="154"/>
      <c r="Z154" s="154"/>
      <c r="AA154" s="154"/>
      <c r="AB154" s="154"/>
      <c r="AC154" s="154">
        <f t="shared" si="85"/>
        <v>5698</v>
      </c>
      <c r="AD154" s="155"/>
    </row>
    <row r="155" spans="2:30" ht="15" x14ac:dyDescent="0.4">
      <c r="B155" s="369"/>
      <c r="C155" s="370"/>
      <c r="D155" s="144" t="s">
        <v>70</v>
      </c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56">
        <v>366</v>
      </c>
      <c r="R155" s="156">
        <v>1165</v>
      </c>
      <c r="S155" s="156">
        <v>520</v>
      </c>
      <c r="T155" s="156">
        <v>421</v>
      </c>
      <c r="U155" s="156">
        <v>498</v>
      </c>
      <c r="V155" s="156"/>
      <c r="W155" s="156"/>
      <c r="X155" s="156"/>
      <c r="Y155" s="156"/>
      <c r="Z155" s="156"/>
      <c r="AA155" s="156"/>
      <c r="AB155" s="156"/>
      <c r="AC155" s="156">
        <f t="shared" si="85"/>
        <v>2472</v>
      </c>
      <c r="AD155" s="157"/>
    </row>
    <row r="156" spans="2:30" ht="15" x14ac:dyDescent="0.4">
      <c r="B156" s="369"/>
      <c r="C156" s="370"/>
      <c r="D156" s="144" t="s">
        <v>115</v>
      </c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56">
        <v>488</v>
      </c>
      <c r="R156" s="156">
        <v>488</v>
      </c>
      <c r="S156" s="156">
        <v>523</v>
      </c>
      <c r="T156" s="156">
        <v>475</v>
      </c>
      <c r="U156" s="156">
        <v>719</v>
      </c>
      <c r="V156" s="156"/>
      <c r="W156" s="156"/>
      <c r="X156" s="156"/>
      <c r="Y156" s="156"/>
      <c r="Z156" s="156"/>
      <c r="AA156" s="156"/>
      <c r="AB156" s="156"/>
      <c r="AC156" s="156">
        <f t="shared" si="85"/>
        <v>1974</v>
      </c>
      <c r="AD156" s="157"/>
    </row>
    <row r="157" spans="2:30" ht="15" x14ac:dyDescent="0.4">
      <c r="B157" s="369"/>
      <c r="C157" s="370"/>
      <c r="D157" s="144" t="s">
        <v>114</v>
      </c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56">
        <v>338</v>
      </c>
      <c r="R157" s="156">
        <v>338</v>
      </c>
      <c r="S157" s="156">
        <v>217</v>
      </c>
      <c r="T157" s="156">
        <v>160</v>
      </c>
      <c r="U157" s="156">
        <v>215</v>
      </c>
      <c r="V157" s="156"/>
      <c r="W157" s="156"/>
      <c r="X157" s="156"/>
      <c r="Y157" s="156"/>
      <c r="Z157" s="156"/>
      <c r="AA157" s="156"/>
      <c r="AB157" s="156"/>
      <c r="AC157" s="156">
        <f t="shared" si="85"/>
        <v>1053</v>
      </c>
      <c r="AD157" s="157"/>
    </row>
    <row r="158" spans="2:30" ht="15" x14ac:dyDescent="0.4">
      <c r="B158" s="371"/>
      <c r="C158" s="372"/>
      <c r="D158" s="144" t="s">
        <v>105</v>
      </c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56">
        <v>28</v>
      </c>
      <c r="R158" s="156">
        <v>17</v>
      </c>
      <c r="S158" s="156">
        <v>91</v>
      </c>
      <c r="T158" s="156">
        <v>63</v>
      </c>
      <c r="U158" s="156">
        <v>138</v>
      </c>
      <c r="V158" s="156"/>
      <c r="W158" s="156"/>
      <c r="X158" s="156"/>
      <c r="Y158" s="156"/>
      <c r="Z158" s="156"/>
      <c r="AA158" s="156"/>
      <c r="AB158" s="156"/>
      <c r="AC158" s="156">
        <f t="shared" si="85"/>
        <v>199</v>
      </c>
      <c r="AD158" s="157"/>
    </row>
    <row r="159" spans="2:30" ht="15" x14ac:dyDescent="0.4">
      <c r="B159" s="367" t="s">
        <v>106</v>
      </c>
      <c r="C159" s="368"/>
      <c r="D159" s="142" t="s">
        <v>109</v>
      </c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54">
        <f>Q160+Q161</f>
        <v>699</v>
      </c>
      <c r="R159" s="154">
        <f t="shared" ref="R159" si="105">R160+R161</f>
        <v>829</v>
      </c>
      <c r="S159" s="154">
        <f t="shared" ref="S159" si="106">S160+S161</f>
        <v>626</v>
      </c>
      <c r="T159" s="154">
        <f t="shared" ref="T159" si="107">T160+T161</f>
        <v>609</v>
      </c>
      <c r="U159" s="154">
        <f t="shared" ref="U159" si="108">U160+U161</f>
        <v>631</v>
      </c>
      <c r="V159" s="154"/>
      <c r="W159" s="154"/>
      <c r="X159" s="154"/>
      <c r="Y159" s="154"/>
      <c r="Z159" s="154"/>
      <c r="AA159" s="154"/>
      <c r="AB159" s="154"/>
      <c r="AC159" s="154">
        <f t="shared" si="85"/>
        <v>2763</v>
      </c>
      <c r="AD159" s="155"/>
    </row>
    <row r="160" spans="2:30" ht="15" x14ac:dyDescent="0.4">
      <c r="B160" s="369"/>
      <c r="C160" s="370"/>
      <c r="D160" s="144" t="s">
        <v>70</v>
      </c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56">
        <v>699</v>
      </c>
      <c r="R160" s="156">
        <v>829</v>
      </c>
      <c r="S160" s="156">
        <v>626</v>
      </c>
      <c r="T160" s="156">
        <v>609</v>
      </c>
      <c r="U160" s="156">
        <v>631</v>
      </c>
      <c r="V160" s="156"/>
      <c r="W160" s="156"/>
      <c r="X160" s="156"/>
      <c r="Y160" s="156"/>
      <c r="Z160" s="156"/>
      <c r="AA160" s="156"/>
      <c r="AB160" s="156"/>
      <c r="AC160" s="156">
        <f t="shared" si="85"/>
        <v>2763</v>
      </c>
      <c r="AD160" s="157"/>
    </row>
    <row r="161" spans="2:30" ht="15" x14ac:dyDescent="0.4">
      <c r="B161" s="369"/>
      <c r="C161" s="370"/>
      <c r="D161" s="144" t="s">
        <v>71</v>
      </c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58"/>
      <c r="R161" s="158"/>
      <c r="S161" s="158"/>
      <c r="T161" s="158"/>
      <c r="U161" s="158"/>
      <c r="V161" s="156"/>
      <c r="W161" s="156"/>
      <c r="X161" s="156"/>
      <c r="Y161" s="156"/>
      <c r="Z161" s="156"/>
      <c r="AA161" s="156"/>
      <c r="AB161" s="156"/>
      <c r="AC161" s="156">
        <f t="shared" si="85"/>
        <v>0</v>
      </c>
      <c r="AD161" s="157"/>
    </row>
    <row r="162" spans="2:30" ht="15" x14ac:dyDescent="0.4">
      <c r="B162" s="367" t="s">
        <v>32</v>
      </c>
      <c r="C162" s="368"/>
      <c r="D162" s="142" t="s">
        <v>109</v>
      </c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59"/>
      <c r="R162" s="159"/>
      <c r="S162" s="159"/>
      <c r="T162" s="159"/>
      <c r="U162" s="159"/>
      <c r="V162" s="154"/>
      <c r="W162" s="154"/>
      <c r="X162" s="154"/>
      <c r="Y162" s="154"/>
      <c r="Z162" s="154"/>
      <c r="AA162" s="154"/>
      <c r="AB162" s="154"/>
      <c r="AC162" s="154">
        <f t="shared" si="85"/>
        <v>0</v>
      </c>
      <c r="AD162" s="155"/>
    </row>
    <row r="163" spans="2:30" ht="15" x14ac:dyDescent="0.4">
      <c r="B163" s="369"/>
      <c r="C163" s="370"/>
      <c r="D163" s="144" t="s">
        <v>20</v>
      </c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58"/>
      <c r="R163" s="158"/>
      <c r="S163" s="158"/>
      <c r="T163" s="158"/>
      <c r="U163" s="158"/>
      <c r="V163" s="156"/>
      <c r="W163" s="156"/>
      <c r="X163" s="156"/>
      <c r="Y163" s="156"/>
      <c r="Z163" s="156"/>
      <c r="AA163" s="156"/>
      <c r="AB163" s="156"/>
      <c r="AC163" s="156">
        <f t="shared" si="85"/>
        <v>0</v>
      </c>
      <c r="AD163" s="157"/>
    </row>
    <row r="164" spans="2:30" ht="15" x14ac:dyDescent="0.4">
      <c r="B164" s="369"/>
      <c r="C164" s="370"/>
      <c r="D164" s="144" t="s">
        <v>21</v>
      </c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58"/>
      <c r="R164" s="158"/>
      <c r="S164" s="158"/>
      <c r="T164" s="158"/>
      <c r="U164" s="158"/>
      <c r="V164" s="156"/>
      <c r="W164" s="156"/>
      <c r="X164" s="156"/>
      <c r="Y164" s="156"/>
      <c r="Z164" s="156"/>
      <c r="AA164" s="156"/>
      <c r="AB164" s="156"/>
      <c r="AC164" s="156">
        <f t="shared" si="85"/>
        <v>0</v>
      </c>
      <c r="AD164" s="157"/>
    </row>
    <row r="165" spans="2:30" ht="15" x14ac:dyDescent="0.4">
      <c r="B165" s="371"/>
      <c r="C165" s="372"/>
      <c r="D165" s="144" t="s">
        <v>110</v>
      </c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58"/>
      <c r="R165" s="158"/>
      <c r="S165" s="158"/>
      <c r="T165" s="158"/>
      <c r="U165" s="158"/>
      <c r="V165" s="156"/>
      <c r="W165" s="156"/>
      <c r="X165" s="156"/>
      <c r="Y165" s="156"/>
      <c r="Z165" s="156"/>
      <c r="AA165" s="156"/>
      <c r="AB165" s="156"/>
      <c r="AC165" s="156">
        <f t="shared" si="85"/>
        <v>0</v>
      </c>
      <c r="AD165" s="157"/>
    </row>
    <row r="166" spans="2:30" x14ac:dyDescent="0.35"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</row>
    <row r="167" spans="2:30" ht="15" x14ac:dyDescent="0.4">
      <c r="B167" s="365" t="s">
        <v>10</v>
      </c>
      <c r="C167" s="365"/>
      <c r="D167" s="366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140">
        <v>2501</v>
      </c>
      <c r="R167" s="140">
        <v>2502</v>
      </c>
      <c r="S167" s="140">
        <v>2503</v>
      </c>
      <c r="T167" s="140">
        <v>2504</v>
      </c>
      <c r="U167" s="140">
        <v>2505</v>
      </c>
      <c r="V167" s="140">
        <v>2506</v>
      </c>
      <c r="W167" s="140">
        <v>2507</v>
      </c>
      <c r="X167" s="140">
        <v>2508</v>
      </c>
      <c r="Y167" s="140">
        <v>2509</v>
      </c>
      <c r="Z167" s="140">
        <v>2510</v>
      </c>
      <c r="AA167" s="140">
        <v>2511</v>
      </c>
      <c r="AB167" s="140">
        <v>2512</v>
      </c>
      <c r="AC167" s="141" t="s">
        <v>112</v>
      </c>
      <c r="AD167" s="141" t="s">
        <v>113</v>
      </c>
    </row>
    <row r="168" spans="2:30" ht="15" x14ac:dyDescent="0.4">
      <c r="B168" s="373" t="s">
        <v>104</v>
      </c>
      <c r="C168" s="374"/>
      <c r="D168" s="142" t="s">
        <v>109</v>
      </c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54">
        <f>Q169+Q170+Q171</f>
        <v>-21357</v>
      </c>
      <c r="R168" s="154">
        <f t="shared" ref="R168" si="109">R169+R170+R171</f>
        <v>-17705</v>
      </c>
      <c r="S168" s="154">
        <f t="shared" ref="S168" si="110">S169+S170+S171</f>
        <v>-20100</v>
      </c>
      <c r="T168" s="154">
        <f t="shared" ref="T168" si="111">T169+T170+T171</f>
        <v>-13029</v>
      </c>
      <c r="U168" s="154">
        <f t="shared" ref="U168" si="112">U169+U170+U171</f>
        <v>4214</v>
      </c>
      <c r="V168" s="154"/>
      <c r="W168" s="154"/>
      <c r="X168" s="154"/>
      <c r="Y168" s="154"/>
      <c r="Z168" s="154"/>
      <c r="AA168" s="154"/>
      <c r="AB168" s="154"/>
      <c r="AC168" s="154">
        <f>SUM(D168:U168)</f>
        <v>-67977</v>
      </c>
      <c r="AD168" s="155"/>
    </row>
    <row r="169" spans="2:30" ht="15" x14ac:dyDescent="0.4">
      <c r="B169" s="375"/>
      <c r="C169" s="376"/>
      <c r="D169" s="144" t="s">
        <v>70</v>
      </c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50">
        <f>Q72-Q104-Q137</f>
        <v>-4486</v>
      </c>
      <c r="R169" s="150">
        <f t="shared" ref="R169:U169" si="113">R72-R104-R137</f>
        <v>-7630</v>
      </c>
      <c r="S169" s="150">
        <f t="shared" si="113"/>
        <v>-4333</v>
      </c>
      <c r="T169" s="150">
        <f t="shared" si="113"/>
        <v>-5666</v>
      </c>
      <c r="U169" s="150">
        <f t="shared" si="113"/>
        <v>-4469</v>
      </c>
      <c r="V169" s="156"/>
      <c r="W169" s="156"/>
      <c r="X169" s="156"/>
      <c r="Y169" s="156"/>
      <c r="Z169" s="156"/>
      <c r="AA169" s="156"/>
      <c r="AB169" s="156"/>
      <c r="AC169" s="156">
        <f t="shared" ref="AC169:AC197" si="114">SUM(D169:U169)</f>
        <v>-26584</v>
      </c>
      <c r="AD169" s="157"/>
    </row>
    <row r="170" spans="2:30" ht="15" x14ac:dyDescent="0.4">
      <c r="B170" s="375"/>
      <c r="C170" s="376"/>
      <c r="D170" s="144" t="s">
        <v>71</v>
      </c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50">
        <f t="shared" ref="Q170:U170" si="115">Q73-Q105-Q138</f>
        <v>-6500</v>
      </c>
      <c r="R170" s="150">
        <f t="shared" si="115"/>
        <v>-4120</v>
      </c>
      <c r="S170" s="150">
        <f t="shared" si="115"/>
        <v>-5777</v>
      </c>
      <c r="T170" s="150">
        <f t="shared" si="115"/>
        <v>-1577</v>
      </c>
      <c r="U170" s="150">
        <f t="shared" si="115"/>
        <v>-442</v>
      </c>
      <c r="V170" s="156"/>
      <c r="W170" s="156"/>
      <c r="X170" s="156"/>
      <c r="Y170" s="156"/>
      <c r="Z170" s="156"/>
      <c r="AA170" s="156"/>
      <c r="AB170" s="156"/>
      <c r="AC170" s="156">
        <f t="shared" si="114"/>
        <v>-18416</v>
      </c>
      <c r="AD170" s="157"/>
    </row>
    <row r="171" spans="2:30" ht="15" x14ac:dyDescent="0.4">
      <c r="B171" s="375"/>
      <c r="C171" s="376"/>
      <c r="D171" s="144" t="s">
        <v>105</v>
      </c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50">
        <f t="shared" ref="Q171:U171" si="116">Q74-Q106-Q139</f>
        <v>-10371</v>
      </c>
      <c r="R171" s="150">
        <f t="shared" si="116"/>
        <v>-5955</v>
      </c>
      <c r="S171" s="150">
        <f t="shared" si="116"/>
        <v>-9990</v>
      </c>
      <c r="T171" s="150">
        <f t="shared" si="116"/>
        <v>-5786</v>
      </c>
      <c r="U171" s="150">
        <f t="shared" si="116"/>
        <v>9125</v>
      </c>
      <c r="V171" s="156"/>
      <c r="W171" s="156"/>
      <c r="X171" s="156"/>
      <c r="Y171" s="156"/>
      <c r="Z171" s="156"/>
      <c r="AA171" s="156"/>
      <c r="AB171" s="156"/>
      <c r="AC171" s="156">
        <f t="shared" si="114"/>
        <v>-22977</v>
      </c>
      <c r="AD171" s="157"/>
    </row>
    <row r="172" spans="2:30" ht="15" x14ac:dyDescent="0.4">
      <c r="B172" s="377"/>
      <c r="C172" s="378"/>
      <c r="D172" s="144" t="s">
        <v>32</v>
      </c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58"/>
      <c r="R172" s="158"/>
      <c r="S172" s="158"/>
      <c r="T172" s="158"/>
      <c r="U172" s="158"/>
      <c r="V172" s="156"/>
      <c r="W172" s="156"/>
      <c r="X172" s="156"/>
      <c r="Y172" s="156"/>
      <c r="Z172" s="156"/>
      <c r="AA172" s="156"/>
      <c r="AB172" s="156"/>
      <c r="AC172" s="156">
        <f t="shared" si="114"/>
        <v>0</v>
      </c>
      <c r="AD172" s="157"/>
    </row>
    <row r="173" spans="2:30" ht="15" x14ac:dyDescent="0.4">
      <c r="B173" s="367" t="s">
        <v>26</v>
      </c>
      <c r="C173" s="368"/>
      <c r="D173" s="142" t="s">
        <v>109</v>
      </c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54">
        <f t="shared" ref="Q173:U173" si="117">Q76-Q108-Q141</f>
        <v>-1506</v>
      </c>
      <c r="R173" s="154">
        <f t="shared" si="117"/>
        <v>464</v>
      </c>
      <c r="S173" s="154">
        <f t="shared" si="117"/>
        <v>-628</v>
      </c>
      <c r="T173" s="154">
        <f t="shared" si="117"/>
        <v>3145</v>
      </c>
      <c r="U173" s="154">
        <f t="shared" si="117"/>
        <v>5179.0000000000009</v>
      </c>
      <c r="V173" s="154"/>
      <c r="W173" s="154"/>
      <c r="X173" s="154"/>
      <c r="Y173" s="154"/>
      <c r="Z173" s="154"/>
      <c r="AA173" s="154"/>
      <c r="AB173" s="154"/>
      <c r="AC173" s="154">
        <f t="shared" si="114"/>
        <v>6654.0000000000009</v>
      </c>
      <c r="AD173" s="155"/>
    </row>
    <row r="174" spans="2:30" ht="15" x14ac:dyDescent="0.4">
      <c r="B174" s="369"/>
      <c r="C174" s="370"/>
      <c r="D174" s="144" t="s">
        <v>70</v>
      </c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56">
        <f>Q77-Q109-Q142</f>
        <v>0</v>
      </c>
      <c r="R174" s="156">
        <f t="shared" ref="R174:U174" si="118">R77-R109-R142</f>
        <v>10</v>
      </c>
      <c r="S174" s="156">
        <f t="shared" si="118"/>
        <v>7</v>
      </c>
      <c r="T174" s="156">
        <f t="shared" si="118"/>
        <v>1</v>
      </c>
      <c r="U174" s="156">
        <f t="shared" si="118"/>
        <v>4</v>
      </c>
      <c r="V174" s="156"/>
      <c r="W174" s="156"/>
      <c r="X174" s="156"/>
      <c r="Y174" s="156"/>
      <c r="Z174" s="156"/>
      <c r="AA174" s="156"/>
      <c r="AB174" s="156"/>
      <c r="AC174" s="156">
        <f t="shared" si="114"/>
        <v>22</v>
      </c>
      <c r="AD174" s="157"/>
    </row>
    <row r="175" spans="2:30" ht="15" x14ac:dyDescent="0.4">
      <c r="B175" s="369"/>
      <c r="C175" s="370"/>
      <c r="D175" s="144" t="s">
        <v>115</v>
      </c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56">
        <f t="shared" ref="Q175:U175" si="119">Q78-Q110-Q143</f>
        <v>-1302</v>
      </c>
      <c r="R175" s="156">
        <f t="shared" si="119"/>
        <v>-478</v>
      </c>
      <c r="S175" s="156">
        <f t="shared" si="119"/>
        <v>-858</v>
      </c>
      <c r="T175" s="156">
        <f t="shared" si="119"/>
        <v>-113</v>
      </c>
      <c r="U175" s="156">
        <f t="shared" si="119"/>
        <v>303</v>
      </c>
      <c r="V175" s="156"/>
      <c r="W175" s="156"/>
      <c r="X175" s="156"/>
      <c r="Y175" s="156"/>
      <c r="Z175" s="156"/>
      <c r="AA175" s="156"/>
      <c r="AB175" s="156"/>
      <c r="AC175" s="156">
        <f t="shared" si="114"/>
        <v>-2448</v>
      </c>
      <c r="AD175" s="157"/>
    </row>
    <row r="176" spans="2:30" ht="15" x14ac:dyDescent="0.4">
      <c r="B176" s="371"/>
      <c r="C176" s="372"/>
      <c r="D176" s="144" t="s">
        <v>114</v>
      </c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56">
        <f t="shared" ref="Q176:U176" si="120">Q79-Q111-Q144</f>
        <v>-204</v>
      </c>
      <c r="R176" s="156">
        <f t="shared" si="120"/>
        <v>932</v>
      </c>
      <c r="S176" s="156">
        <f t="shared" si="120"/>
        <v>223</v>
      </c>
      <c r="T176" s="156">
        <f t="shared" si="120"/>
        <v>3257</v>
      </c>
      <c r="U176" s="156">
        <f t="shared" si="120"/>
        <v>4872</v>
      </c>
      <c r="V176" s="156">
        <v>59349</v>
      </c>
      <c r="W176" s="156"/>
      <c r="X176" s="156"/>
      <c r="Y176" s="156"/>
      <c r="Z176" s="156"/>
      <c r="AA176" s="156"/>
      <c r="AB176" s="156"/>
      <c r="AC176" s="156">
        <f t="shared" si="114"/>
        <v>9080</v>
      </c>
      <c r="AD176" s="157"/>
    </row>
    <row r="177" spans="2:30" ht="15" x14ac:dyDescent="0.4">
      <c r="B177" s="367" t="s">
        <v>25</v>
      </c>
      <c r="C177" s="368"/>
      <c r="D177" s="142" t="s">
        <v>109</v>
      </c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54">
        <f t="shared" ref="Q177:U177" si="121">Q80-Q112-Q145</f>
        <v>-20800</v>
      </c>
      <c r="R177" s="154">
        <f t="shared" si="121"/>
        <v>-28066</v>
      </c>
      <c r="S177" s="154">
        <f t="shared" si="121"/>
        <v>-23409</v>
      </c>
      <c r="T177" s="154">
        <f t="shared" si="121"/>
        <v>-23720</v>
      </c>
      <c r="U177" s="154">
        <f t="shared" si="121"/>
        <v>-23292</v>
      </c>
      <c r="V177" s="154"/>
      <c r="W177" s="154"/>
      <c r="X177" s="154"/>
      <c r="Y177" s="154"/>
      <c r="Z177" s="154"/>
      <c r="AA177" s="154"/>
      <c r="AB177" s="154"/>
      <c r="AC177" s="154">
        <f t="shared" si="114"/>
        <v>-119287</v>
      </c>
      <c r="AD177" s="155"/>
    </row>
    <row r="178" spans="2:30" ht="15" x14ac:dyDescent="0.4">
      <c r="B178" s="369"/>
      <c r="C178" s="370"/>
      <c r="D178" s="144" t="s">
        <v>70</v>
      </c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56">
        <f t="shared" ref="Q178:U178" si="122">Q81-Q113-Q146</f>
        <v>-1268</v>
      </c>
      <c r="R178" s="156">
        <f t="shared" si="122"/>
        <v>-1707</v>
      </c>
      <c r="S178" s="156">
        <f t="shared" si="122"/>
        <v>-1076</v>
      </c>
      <c r="T178" s="156">
        <f t="shared" si="122"/>
        <v>-1530</v>
      </c>
      <c r="U178" s="156">
        <f t="shared" si="122"/>
        <v>-907</v>
      </c>
      <c r="V178" s="156"/>
      <c r="W178" s="156"/>
      <c r="X178" s="156"/>
      <c r="Y178" s="156"/>
      <c r="Z178" s="156"/>
      <c r="AA178" s="156"/>
      <c r="AB178" s="156"/>
      <c r="AC178" s="165">
        <f t="shared" si="114"/>
        <v>-6488</v>
      </c>
      <c r="AD178" s="157"/>
    </row>
    <row r="179" spans="2:30" ht="15" x14ac:dyDescent="0.4">
      <c r="B179" s="369"/>
      <c r="C179" s="370"/>
      <c r="D179" s="144" t="s">
        <v>115</v>
      </c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56">
        <f t="shared" ref="Q179:U179" si="123">Q82-Q114-Q147</f>
        <v>-2148</v>
      </c>
      <c r="R179" s="156">
        <f t="shared" si="123"/>
        <v>-1927</v>
      </c>
      <c r="S179" s="156">
        <f t="shared" si="123"/>
        <v>-2296</v>
      </c>
      <c r="T179" s="156">
        <f t="shared" si="123"/>
        <v>-2233</v>
      </c>
      <c r="U179" s="156">
        <f t="shared" si="123"/>
        <v>-2079</v>
      </c>
      <c r="V179" s="156"/>
      <c r="W179" s="156"/>
      <c r="X179" s="156"/>
      <c r="Y179" s="156"/>
      <c r="Z179" s="156"/>
      <c r="AA179" s="156"/>
      <c r="AB179" s="156"/>
      <c r="AC179" s="165">
        <f t="shared" si="114"/>
        <v>-10683</v>
      </c>
      <c r="AD179" s="157"/>
    </row>
    <row r="180" spans="2:30" ht="15" x14ac:dyDescent="0.4">
      <c r="B180" s="369"/>
      <c r="C180" s="370"/>
      <c r="D180" s="144" t="s">
        <v>114</v>
      </c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56">
        <f t="shared" ref="Q180:U180" si="124">Q83-Q115-Q148</f>
        <v>-1481</v>
      </c>
      <c r="R180" s="156">
        <f t="shared" si="124"/>
        <v>-1183</v>
      </c>
      <c r="S180" s="156">
        <f t="shared" si="124"/>
        <v>-2108</v>
      </c>
      <c r="T180" s="156">
        <f t="shared" si="124"/>
        <v>-2057</v>
      </c>
      <c r="U180" s="156">
        <f t="shared" si="124"/>
        <v>-2196</v>
      </c>
      <c r="V180" s="156"/>
      <c r="W180" s="156"/>
      <c r="X180" s="156"/>
      <c r="Y180" s="156"/>
      <c r="Z180" s="156"/>
      <c r="AA180" s="156"/>
      <c r="AB180" s="156"/>
      <c r="AC180" s="165">
        <f t="shared" si="114"/>
        <v>-9025</v>
      </c>
      <c r="AD180" s="157"/>
    </row>
    <row r="181" spans="2:30" ht="15" x14ac:dyDescent="0.4">
      <c r="B181" s="371"/>
      <c r="C181" s="372"/>
      <c r="D181" s="144" t="s">
        <v>105</v>
      </c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56">
        <f t="shared" ref="Q181:U181" si="125">Q84-Q116-Q149</f>
        <v>-15903</v>
      </c>
      <c r="R181" s="156">
        <f t="shared" si="125"/>
        <v>-23249</v>
      </c>
      <c r="S181" s="156">
        <f t="shared" si="125"/>
        <v>-17929</v>
      </c>
      <c r="T181" s="156">
        <f t="shared" si="125"/>
        <v>-17900</v>
      </c>
      <c r="U181" s="156">
        <f t="shared" si="125"/>
        <v>-18110</v>
      </c>
      <c r="V181" s="156"/>
      <c r="W181" s="156"/>
      <c r="X181" s="156"/>
      <c r="Y181" s="156"/>
      <c r="Z181" s="156"/>
      <c r="AA181" s="156"/>
      <c r="AB181" s="156"/>
      <c r="AC181" s="164">
        <f t="shared" si="114"/>
        <v>-93091</v>
      </c>
      <c r="AD181" s="157"/>
    </row>
    <row r="182" spans="2:30" ht="15" x14ac:dyDescent="0.4">
      <c r="B182" s="367" t="s">
        <v>28</v>
      </c>
      <c r="C182" s="368"/>
      <c r="D182" s="142" t="s">
        <v>109</v>
      </c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54">
        <f t="shared" ref="Q182:U182" si="126">Q85-Q117-Q150</f>
        <v>-727</v>
      </c>
      <c r="R182" s="154">
        <f t="shared" si="126"/>
        <v>-743</v>
      </c>
      <c r="S182" s="154">
        <f t="shared" si="126"/>
        <v>-597</v>
      </c>
      <c r="T182" s="154">
        <f t="shared" si="126"/>
        <v>-82</v>
      </c>
      <c r="U182" s="154">
        <f t="shared" si="126"/>
        <v>-1133</v>
      </c>
      <c r="V182" s="154"/>
      <c r="W182" s="154"/>
      <c r="X182" s="154"/>
      <c r="Y182" s="154"/>
      <c r="Z182" s="154"/>
      <c r="AA182" s="154"/>
      <c r="AB182" s="154"/>
      <c r="AC182" s="154">
        <f t="shared" si="114"/>
        <v>-3282</v>
      </c>
      <c r="AD182" s="155"/>
    </row>
    <row r="183" spans="2:30" ht="15" x14ac:dyDescent="0.4">
      <c r="B183" s="369"/>
      <c r="C183" s="370"/>
      <c r="D183" s="144" t="s">
        <v>70</v>
      </c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56">
        <f t="shared" ref="Q183:U183" si="127">Q86-Q118-Q151</f>
        <v>-514</v>
      </c>
      <c r="R183" s="156">
        <f t="shared" si="127"/>
        <v>-468</v>
      </c>
      <c r="S183" s="156">
        <f t="shared" si="127"/>
        <v>-841</v>
      </c>
      <c r="T183" s="156">
        <f t="shared" si="127"/>
        <v>-479</v>
      </c>
      <c r="U183" s="156">
        <f t="shared" si="127"/>
        <v>-514</v>
      </c>
      <c r="V183" s="156"/>
      <c r="W183" s="156"/>
      <c r="X183" s="156"/>
      <c r="Y183" s="156"/>
      <c r="Z183" s="156"/>
      <c r="AA183" s="156"/>
      <c r="AB183" s="156"/>
      <c r="AC183" s="165">
        <f t="shared" si="114"/>
        <v>-2816</v>
      </c>
      <c r="AD183" s="157"/>
    </row>
    <row r="184" spans="2:30" ht="15" x14ac:dyDescent="0.4">
      <c r="B184" s="369"/>
      <c r="C184" s="370"/>
      <c r="D184" s="144" t="s">
        <v>115</v>
      </c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56">
        <f t="shared" ref="Q184:U184" si="128">Q87-Q119-Q152</f>
        <v>-40</v>
      </c>
      <c r="R184" s="156">
        <f t="shared" si="128"/>
        <v>-108</v>
      </c>
      <c r="S184" s="156">
        <f t="shared" si="128"/>
        <v>129</v>
      </c>
      <c r="T184" s="156">
        <f t="shared" si="128"/>
        <v>136</v>
      </c>
      <c r="U184" s="156">
        <f t="shared" si="128"/>
        <v>-302.99999999999989</v>
      </c>
      <c r="V184" s="156"/>
      <c r="W184" s="156"/>
      <c r="X184" s="156"/>
      <c r="Y184" s="156"/>
      <c r="Z184" s="156"/>
      <c r="AA184" s="156"/>
      <c r="AB184" s="156"/>
      <c r="AC184" s="165">
        <f t="shared" si="114"/>
        <v>-185.99999999999989</v>
      </c>
      <c r="AD184" s="157"/>
    </row>
    <row r="185" spans="2:30" ht="15" x14ac:dyDescent="0.4">
      <c r="B185" s="371"/>
      <c r="C185" s="372"/>
      <c r="D185" s="144" t="s">
        <v>114</v>
      </c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56">
        <f t="shared" ref="Q185:U185" si="129">Q88-Q120-Q153</f>
        <v>-173</v>
      </c>
      <c r="R185" s="156">
        <f t="shared" si="129"/>
        <v>-167</v>
      </c>
      <c r="S185" s="156">
        <f t="shared" si="129"/>
        <v>115</v>
      </c>
      <c r="T185" s="156">
        <f t="shared" si="129"/>
        <v>261</v>
      </c>
      <c r="U185" s="156">
        <f t="shared" si="129"/>
        <v>-316</v>
      </c>
      <c r="V185" s="156"/>
      <c r="W185" s="156"/>
      <c r="X185" s="156"/>
      <c r="Y185" s="156"/>
      <c r="Z185" s="156"/>
      <c r="AA185" s="156"/>
      <c r="AB185" s="156"/>
      <c r="AC185" s="156">
        <f t="shared" si="114"/>
        <v>-280</v>
      </c>
      <c r="AD185" s="157"/>
    </row>
    <row r="186" spans="2:30" ht="15" x14ac:dyDescent="0.4">
      <c r="B186" s="367" t="s">
        <v>27</v>
      </c>
      <c r="C186" s="368"/>
      <c r="D186" s="142" t="s">
        <v>109</v>
      </c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54">
        <f t="shared" ref="Q186:U186" si="130">Q89-Q121-Q154</f>
        <v>2221</v>
      </c>
      <c r="R186" s="154">
        <f t="shared" si="130"/>
        <v>11185</v>
      </c>
      <c r="S186" s="154">
        <f t="shared" si="130"/>
        <v>4197</v>
      </c>
      <c r="T186" s="154">
        <f t="shared" si="130"/>
        <v>8488</v>
      </c>
      <c r="U186" s="154">
        <f t="shared" si="130"/>
        <v>23775</v>
      </c>
      <c r="V186" s="154"/>
      <c r="W186" s="154"/>
      <c r="X186" s="154"/>
      <c r="Y186" s="154"/>
      <c r="Z186" s="154"/>
      <c r="AA186" s="154"/>
      <c r="AB186" s="154"/>
      <c r="AC186" s="154">
        <f t="shared" si="114"/>
        <v>49866</v>
      </c>
      <c r="AD186" s="155"/>
    </row>
    <row r="187" spans="2:30" ht="15" x14ac:dyDescent="0.4">
      <c r="B187" s="369"/>
      <c r="C187" s="370"/>
      <c r="D187" s="144" t="s">
        <v>70</v>
      </c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56">
        <f t="shared" ref="Q187:U187" si="131">Q90-Q122-Q155</f>
        <v>-2159</v>
      </c>
      <c r="R187" s="156">
        <f t="shared" si="131"/>
        <v>-4920</v>
      </c>
      <c r="S187" s="156">
        <f t="shared" si="131"/>
        <v>-2760</v>
      </c>
      <c r="T187" s="156">
        <f t="shared" si="131"/>
        <v>-2798</v>
      </c>
      <c r="U187" s="156">
        <f t="shared" si="131"/>
        <v>-2737</v>
      </c>
      <c r="V187" s="156"/>
      <c r="W187" s="156"/>
      <c r="X187" s="156"/>
      <c r="Y187" s="156"/>
      <c r="Z187" s="156"/>
      <c r="AA187" s="156"/>
      <c r="AB187" s="156"/>
      <c r="AC187" s="165">
        <f t="shared" si="114"/>
        <v>-15374</v>
      </c>
      <c r="AD187" s="157"/>
    </row>
    <row r="188" spans="2:30" ht="15" x14ac:dyDescent="0.4">
      <c r="B188" s="369"/>
      <c r="C188" s="370"/>
      <c r="D188" s="144" t="s">
        <v>115</v>
      </c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56">
        <f t="shared" ref="Q188:U188" si="132">Q91-Q123-Q156</f>
        <v>-667</v>
      </c>
      <c r="R188" s="156">
        <f t="shared" si="132"/>
        <v>-712</v>
      </c>
      <c r="S188" s="156">
        <f t="shared" si="132"/>
        <v>-656</v>
      </c>
      <c r="T188" s="156">
        <f t="shared" si="132"/>
        <v>-570</v>
      </c>
      <c r="U188" s="156">
        <f t="shared" si="132"/>
        <v>-597</v>
      </c>
      <c r="V188" s="156"/>
      <c r="W188" s="156"/>
      <c r="X188" s="156"/>
      <c r="Y188" s="156"/>
      <c r="Z188" s="156"/>
      <c r="AA188" s="156"/>
      <c r="AB188" s="156"/>
      <c r="AC188" s="165">
        <f t="shared" si="114"/>
        <v>-3202</v>
      </c>
      <c r="AD188" s="157"/>
    </row>
    <row r="189" spans="2:30" ht="15" x14ac:dyDescent="0.4">
      <c r="B189" s="369"/>
      <c r="C189" s="370"/>
      <c r="D189" s="144" t="s">
        <v>114</v>
      </c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56">
        <f t="shared" ref="Q189:U189" si="133">Q92-Q124-Q157</f>
        <v>-485</v>
      </c>
      <c r="R189" s="156">
        <f t="shared" si="133"/>
        <v>-477</v>
      </c>
      <c r="S189" s="156">
        <f t="shared" si="133"/>
        <v>-326</v>
      </c>
      <c r="T189" s="156">
        <f t="shared" si="133"/>
        <v>-258</v>
      </c>
      <c r="U189" s="156">
        <f t="shared" si="133"/>
        <v>-126</v>
      </c>
      <c r="V189" s="156"/>
      <c r="W189" s="156"/>
      <c r="X189" s="156"/>
      <c r="Y189" s="156"/>
      <c r="Z189" s="156"/>
      <c r="AA189" s="156"/>
      <c r="AB189" s="156"/>
      <c r="AC189" s="165">
        <f t="shared" si="114"/>
        <v>-1672</v>
      </c>
      <c r="AD189" s="157"/>
    </row>
    <row r="190" spans="2:30" ht="15" x14ac:dyDescent="0.4">
      <c r="B190" s="371"/>
      <c r="C190" s="372"/>
      <c r="D190" s="144" t="s">
        <v>105</v>
      </c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56">
        <f t="shared" ref="Q190:U190" si="134">Q93-Q125-Q158</f>
        <v>5532</v>
      </c>
      <c r="R190" s="156">
        <f t="shared" si="134"/>
        <v>17294</v>
      </c>
      <c r="S190" s="156">
        <f t="shared" si="134"/>
        <v>7939</v>
      </c>
      <c r="T190" s="156">
        <f t="shared" si="134"/>
        <v>12114</v>
      </c>
      <c r="U190" s="156">
        <f t="shared" si="134"/>
        <v>27235</v>
      </c>
      <c r="V190" s="156"/>
      <c r="W190" s="156"/>
      <c r="X190" s="156"/>
      <c r="Y190" s="156"/>
      <c r="Z190" s="156"/>
      <c r="AA190" s="156"/>
      <c r="AB190" s="156"/>
      <c r="AC190" s="165">
        <f t="shared" si="114"/>
        <v>70114</v>
      </c>
      <c r="AD190" s="157"/>
    </row>
    <row r="191" spans="2:30" ht="15" x14ac:dyDescent="0.4">
      <c r="B191" s="367" t="s">
        <v>106</v>
      </c>
      <c r="C191" s="368"/>
      <c r="D191" s="142" t="s">
        <v>109</v>
      </c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54">
        <f t="shared" ref="Q191:U191" si="135">Q94-Q126-Q159</f>
        <v>-545</v>
      </c>
      <c r="R191" s="154">
        <f t="shared" si="135"/>
        <v>-545</v>
      </c>
      <c r="S191" s="154">
        <f t="shared" si="135"/>
        <v>337</v>
      </c>
      <c r="T191" s="154">
        <f t="shared" si="135"/>
        <v>-860</v>
      </c>
      <c r="U191" s="154">
        <f t="shared" si="135"/>
        <v>-315</v>
      </c>
      <c r="V191" s="154"/>
      <c r="W191" s="154"/>
      <c r="X191" s="154"/>
      <c r="Y191" s="154"/>
      <c r="Z191" s="154"/>
      <c r="AA191" s="154"/>
      <c r="AB191" s="154"/>
      <c r="AC191" s="167">
        <f t="shared" si="114"/>
        <v>-1928</v>
      </c>
      <c r="AD191" s="155"/>
    </row>
    <row r="192" spans="2:30" ht="15" x14ac:dyDescent="0.4">
      <c r="B192" s="369"/>
      <c r="C192" s="370"/>
      <c r="D192" s="144" t="s">
        <v>70</v>
      </c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56">
        <f t="shared" ref="Q192:U192" si="136">Q95-Q127-Q160</f>
        <v>-545</v>
      </c>
      <c r="R192" s="156">
        <f t="shared" si="136"/>
        <v>-545</v>
      </c>
      <c r="S192" s="156">
        <f t="shared" si="136"/>
        <v>337</v>
      </c>
      <c r="T192" s="156">
        <f t="shared" si="136"/>
        <v>-860</v>
      </c>
      <c r="U192" s="156">
        <f t="shared" si="136"/>
        <v>-315</v>
      </c>
      <c r="V192" s="156"/>
      <c r="W192" s="156"/>
      <c r="X192" s="156"/>
      <c r="Y192" s="156"/>
      <c r="Z192" s="156"/>
      <c r="AA192" s="156"/>
      <c r="AB192" s="156"/>
      <c r="AC192" s="156">
        <f t="shared" si="114"/>
        <v>-1928</v>
      </c>
      <c r="AD192" s="157"/>
    </row>
    <row r="193" spans="2:30" ht="15" x14ac:dyDescent="0.4">
      <c r="B193" s="369"/>
      <c r="C193" s="370"/>
      <c r="D193" s="144" t="s">
        <v>71</v>
      </c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58"/>
      <c r="R193" s="158"/>
      <c r="S193" s="158"/>
      <c r="T193" s="158"/>
      <c r="U193" s="158"/>
      <c r="V193" s="156"/>
      <c r="W193" s="156"/>
      <c r="X193" s="156"/>
      <c r="Y193" s="156"/>
      <c r="Z193" s="156"/>
      <c r="AA193" s="156"/>
      <c r="AB193" s="156"/>
      <c r="AC193" s="156">
        <f t="shared" si="114"/>
        <v>0</v>
      </c>
      <c r="AD193" s="157"/>
    </row>
    <row r="194" spans="2:30" ht="15" x14ac:dyDescent="0.4">
      <c r="B194" s="367" t="s">
        <v>32</v>
      </c>
      <c r="C194" s="368"/>
      <c r="D194" s="142" t="s">
        <v>109</v>
      </c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59"/>
      <c r="R194" s="159"/>
      <c r="S194" s="159"/>
      <c r="T194" s="159"/>
      <c r="U194" s="159"/>
      <c r="V194" s="154"/>
      <c r="W194" s="154"/>
      <c r="X194" s="154"/>
      <c r="Y194" s="154"/>
      <c r="Z194" s="154"/>
      <c r="AA194" s="154"/>
      <c r="AB194" s="154"/>
      <c r="AC194" s="154">
        <f t="shared" si="114"/>
        <v>0</v>
      </c>
      <c r="AD194" s="155"/>
    </row>
    <row r="195" spans="2:30" ht="15" x14ac:dyDescent="0.4">
      <c r="B195" s="369"/>
      <c r="C195" s="370"/>
      <c r="D195" s="144" t="s">
        <v>20</v>
      </c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58"/>
      <c r="R195" s="158"/>
      <c r="S195" s="158"/>
      <c r="T195" s="158"/>
      <c r="U195" s="158"/>
      <c r="V195" s="156"/>
      <c r="W195" s="156"/>
      <c r="X195" s="156"/>
      <c r="Y195" s="156"/>
      <c r="Z195" s="156"/>
      <c r="AA195" s="156"/>
      <c r="AB195" s="156"/>
      <c r="AC195" s="156">
        <f t="shared" si="114"/>
        <v>0</v>
      </c>
      <c r="AD195" s="157"/>
    </row>
    <row r="196" spans="2:30" ht="15" x14ac:dyDescent="0.4">
      <c r="B196" s="369"/>
      <c r="C196" s="370"/>
      <c r="D196" s="144" t="s">
        <v>21</v>
      </c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58"/>
      <c r="R196" s="158"/>
      <c r="S196" s="158"/>
      <c r="T196" s="158"/>
      <c r="U196" s="158"/>
      <c r="V196" s="156"/>
      <c r="W196" s="156"/>
      <c r="X196" s="156"/>
      <c r="Y196" s="156"/>
      <c r="Z196" s="156"/>
      <c r="AA196" s="156"/>
      <c r="AB196" s="156"/>
      <c r="AC196" s="156">
        <f t="shared" si="114"/>
        <v>0</v>
      </c>
      <c r="AD196" s="157"/>
    </row>
    <row r="197" spans="2:30" ht="15" x14ac:dyDescent="0.4">
      <c r="B197" s="371"/>
      <c r="C197" s="372"/>
      <c r="D197" s="144" t="s">
        <v>110</v>
      </c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58"/>
      <c r="R197" s="158"/>
      <c r="S197" s="158"/>
      <c r="T197" s="158"/>
      <c r="U197" s="158"/>
      <c r="V197" s="156"/>
      <c r="W197" s="156"/>
      <c r="X197" s="156"/>
      <c r="Y197" s="156"/>
      <c r="Z197" s="156"/>
      <c r="AA197" s="156"/>
      <c r="AB197" s="156"/>
      <c r="AC197" s="156">
        <f t="shared" si="114"/>
        <v>0</v>
      </c>
      <c r="AD197" s="157"/>
    </row>
    <row r="199" spans="2:30" ht="15" x14ac:dyDescent="0.4">
      <c r="B199" s="365" t="s">
        <v>10</v>
      </c>
      <c r="C199" s="365"/>
      <c r="D199" s="366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140">
        <v>2501</v>
      </c>
      <c r="R199" s="140">
        <v>2502</v>
      </c>
      <c r="S199" s="140">
        <v>2503</v>
      </c>
      <c r="T199" s="140">
        <v>2504</v>
      </c>
      <c r="U199" s="140">
        <v>2505</v>
      </c>
      <c r="V199" s="140">
        <v>2506</v>
      </c>
      <c r="W199" s="140">
        <v>2507</v>
      </c>
      <c r="X199" s="140">
        <v>2508</v>
      </c>
      <c r="Y199" s="140">
        <v>2509</v>
      </c>
      <c r="Z199" s="140">
        <v>2510</v>
      </c>
      <c r="AA199" s="140">
        <v>2511</v>
      </c>
      <c r="AB199" s="140">
        <v>2512</v>
      </c>
      <c r="AC199" s="141" t="s">
        <v>112</v>
      </c>
      <c r="AD199" s="141" t="s">
        <v>113</v>
      </c>
    </row>
    <row r="200" spans="2:30" ht="15" x14ac:dyDescent="0.4">
      <c r="B200" s="373" t="s">
        <v>103</v>
      </c>
      <c r="C200" s="374"/>
      <c r="D200" s="142" t="s">
        <v>109</v>
      </c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61">
        <f>Q201+Q202+Q203</f>
        <v>0.10987219773037424</v>
      </c>
      <c r="R200" s="161">
        <f t="shared" ref="R200" si="137">R201+R202+R203</f>
        <v>0.15074437214637981</v>
      </c>
      <c r="S200" s="161">
        <f t="shared" ref="S200" si="138">S201+S202+S203</f>
        <v>0.12830989705308704</v>
      </c>
      <c r="T200" s="161">
        <f t="shared" ref="T200" si="139">T201+T202+T203</f>
        <v>0.12792636425900838</v>
      </c>
      <c r="U200" s="161">
        <f t="shared" ref="U200" si="140">U201+U202+U203</f>
        <v>0.17289587574440682</v>
      </c>
      <c r="V200" s="154"/>
      <c r="W200" s="154"/>
      <c r="X200" s="154"/>
      <c r="Y200" s="154"/>
      <c r="Z200" s="154"/>
      <c r="AA200" s="154"/>
      <c r="AB200" s="154"/>
      <c r="AC200" s="154">
        <f t="shared" ref="AC200:AC229" si="141">SUM(D200:T200)</f>
        <v>0.5168528311888495</v>
      </c>
      <c r="AD200" s="155"/>
    </row>
    <row r="201" spans="2:30" ht="15" x14ac:dyDescent="0.4">
      <c r="B201" s="375"/>
      <c r="C201" s="376"/>
      <c r="D201" s="144" t="s">
        <v>70</v>
      </c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60">
        <f>(Q104+Q137)/Q40</f>
        <v>1.2843668193887827E-2</v>
      </c>
      <c r="R201" s="160">
        <f t="shared" ref="R201:U201" si="142">(R104+R137)/R40</f>
        <v>2.5070751513403228E-2</v>
      </c>
      <c r="S201" s="160">
        <f t="shared" si="142"/>
        <v>1.7724441773882896E-2</v>
      </c>
      <c r="T201" s="160">
        <f t="shared" si="142"/>
        <v>2.1692730592281658E-2</v>
      </c>
      <c r="U201" s="160">
        <f t="shared" si="142"/>
        <v>2.5676236550334453E-2</v>
      </c>
      <c r="V201" s="156"/>
      <c r="W201" s="156"/>
      <c r="X201" s="156"/>
      <c r="Y201" s="156"/>
      <c r="Z201" s="156"/>
      <c r="AA201" s="156"/>
      <c r="AB201" s="156"/>
      <c r="AC201" s="156">
        <f t="shared" si="141"/>
        <v>7.7331592073455607E-2</v>
      </c>
      <c r="AD201" s="157"/>
    </row>
    <row r="202" spans="2:30" ht="15" x14ac:dyDescent="0.4">
      <c r="B202" s="375"/>
      <c r="C202" s="376"/>
      <c r="D202" s="144" t="s">
        <v>71</v>
      </c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60">
        <f>(Q105+Q138)/Q41</f>
        <v>4.8285803278451028E-2</v>
      </c>
      <c r="R202" s="160">
        <f t="shared" ref="R202:U202" si="143">(R105+R138)/R41</f>
        <v>5.2197331017344376E-2</v>
      </c>
      <c r="S202" s="160">
        <f t="shared" si="143"/>
        <v>5.4113457624238574E-2</v>
      </c>
      <c r="T202" s="160">
        <f t="shared" si="143"/>
        <v>4.2336102730258757E-2</v>
      </c>
      <c r="U202" s="160">
        <f t="shared" si="143"/>
        <v>6.6083590755145333E-2</v>
      </c>
      <c r="V202" s="156"/>
      <c r="W202" s="156"/>
      <c r="X202" s="156"/>
      <c r="Y202" s="156"/>
      <c r="Z202" s="156"/>
      <c r="AA202" s="156"/>
      <c r="AB202" s="156"/>
      <c r="AC202" s="156">
        <f t="shared" si="141"/>
        <v>0.19693269465029273</v>
      </c>
      <c r="AD202" s="157"/>
    </row>
    <row r="203" spans="2:30" ht="15" x14ac:dyDescent="0.4">
      <c r="B203" s="375"/>
      <c r="C203" s="376"/>
      <c r="D203" s="144" t="s">
        <v>105</v>
      </c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60">
        <f t="shared" ref="Q203:U203" si="144">(Q106+Q139)/Q42</f>
        <v>4.8742726258035392E-2</v>
      </c>
      <c r="R203" s="160">
        <f t="shared" si="144"/>
        <v>7.3476289615632198E-2</v>
      </c>
      <c r="S203" s="160">
        <f t="shared" si="144"/>
        <v>5.6471997654965571E-2</v>
      </c>
      <c r="T203" s="160">
        <f t="shared" si="144"/>
        <v>6.3897530936467981E-2</v>
      </c>
      <c r="U203" s="160">
        <f t="shared" si="144"/>
        <v>8.1136048438927036E-2</v>
      </c>
      <c r="V203" s="156"/>
      <c r="W203" s="156"/>
      <c r="X203" s="156"/>
      <c r="Y203" s="156"/>
      <c r="Z203" s="156"/>
      <c r="AA203" s="156"/>
      <c r="AB203" s="156"/>
      <c r="AC203" s="156">
        <f t="shared" si="141"/>
        <v>0.24258854446510114</v>
      </c>
      <c r="AD203" s="157"/>
    </row>
    <row r="204" spans="2:30" ht="15" x14ac:dyDescent="0.4">
      <c r="B204" s="377"/>
      <c r="C204" s="378"/>
      <c r="D204" s="144" t="s">
        <v>32</v>
      </c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62"/>
      <c r="R204" s="162"/>
      <c r="S204" s="162"/>
      <c r="T204" s="162"/>
      <c r="U204" s="162"/>
      <c r="V204" s="156"/>
      <c r="W204" s="156"/>
      <c r="X204" s="156"/>
      <c r="Y204" s="156"/>
      <c r="Z204" s="156"/>
      <c r="AA204" s="156"/>
      <c r="AB204" s="156"/>
      <c r="AC204" s="156">
        <f t="shared" si="141"/>
        <v>0</v>
      </c>
      <c r="AD204" s="157"/>
    </row>
    <row r="205" spans="2:30" ht="15" x14ac:dyDescent="0.4">
      <c r="B205" s="367" t="s">
        <v>26</v>
      </c>
      <c r="C205" s="368"/>
      <c r="D205" s="142" t="s">
        <v>109</v>
      </c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61">
        <f t="shared" ref="Q205:U205" si="145">(Q108+Q141)/Q44</f>
        <v>1.8437900424457161E-2</v>
      </c>
      <c r="R205" s="161">
        <f t="shared" si="145"/>
        <v>3.3946572900135648E-2</v>
      </c>
      <c r="S205" s="161">
        <f t="shared" si="145"/>
        <v>2.4767010774420849E-2</v>
      </c>
      <c r="T205" s="161">
        <f t="shared" si="145"/>
        <v>2.7042615866679789E-2</v>
      </c>
      <c r="U205" s="161">
        <f t="shared" si="145"/>
        <v>3.5423196085601662E-2</v>
      </c>
      <c r="V205" s="154"/>
      <c r="W205" s="154"/>
      <c r="X205" s="154"/>
      <c r="Y205" s="154"/>
      <c r="Z205" s="154"/>
      <c r="AA205" s="154"/>
      <c r="AB205" s="154"/>
      <c r="AC205" s="154">
        <f t="shared" si="141"/>
        <v>0.10419409996569345</v>
      </c>
      <c r="AD205" s="155"/>
    </row>
    <row r="206" spans="2:30" ht="15" x14ac:dyDescent="0.4">
      <c r="B206" s="369"/>
      <c r="C206" s="370"/>
      <c r="D206" s="144" t="s">
        <v>70</v>
      </c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60">
        <f>(Q109+Q142)/Q45</f>
        <v>1.586497351626592E-2</v>
      </c>
      <c r="R206" s="160">
        <f t="shared" ref="R206:U206" si="146">(R109+R142)/R45</f>
        <v>3.3189454811076435E-2</v>
      </c>
      <c r="S206" s="160">
        <f t="shared" si="146"/>
        <v>2.2781835148737283E-2</v>
      </c>
      <c r="T206" s="160">
        <f t="shared" si="146"/>
        <v>2.9641524921397513E-2</v>
      </c>
      <c r="U206" s="160">
        <f t="shared" si="146"/>
        <v>3.8078131196126311E-2</v>
      </c>
      <c r="V206" s="156"/>
      <c r="W206" s="156"/>
      <c r="X206" s="156"/>
      <c r="Y206" s="156"/>
      <c r="Z206" s="156"/>
      <c r="AA206" s="156"/>
      <c r="AB206" s="156"/>
      <c r="AC206" s="156">
        <f t="shared" si="141"/>
        <v>0.10147778839747716</v>
      </c>
      <c r="AD206" s="157"/>
    </row>
    <row r="207" spans="2:30" ht="15" x14ac:dyDescent="0.4">
      <c r="B207" s="369"/>
      <c r="C207" s="370"/>
      <c r="D207" s="144" t="s">
        <v>115</v>
      </c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60">
        <f t="shared" ref="Q207:U207" si="147">(Q110+Q143)/Q46</f>
        <v>3.5485262401150248E-2</v>
      </c>
      <c r="R207" s="160">
        <f t="shared" si="147"/>
        <v>3.8550678739545395E-2</v>
      </c>
      <c r="S207" s="160">
        <f t="shared" si="147"/>
        <v>3.704510786663761E-2</v>
      </c>
      <c r="T207" s="160">
        <f t="shared" si="147"/>
        <v>3.0848927563225749E-2</v>
      </c>
      <c r="U207" s="160">
        <f t="shared" si="147"/>
        <v>4.8257877580586736E-2</v>
      </c>
      <c r="V207" s="156"/>
      <c r="W207" s="156"/>
      <c r="X207" s="156"/>
      <c r="Y207" s="156"/>
      <c r="Z207" s="156"/>
      <c r="AA207" s="156"/>
      <c r="AB207" s="156"/>
      <c r="AC207" s="156">
        <f t="shared" si="141"/>
        <v>0.141929976570559</v>
      </c>
      <c r="AD207" s="157"/>
    </row>
    <row r="208" spans="2:30" ht="15" x14ac:dyDescent="0.4">
      <c r="B208" s="371"/>
      <c r="C208" s="372"/>
      <c r="D208" s="144" t="s">
        <v>114</v>
      </c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60">
        <f t="shared" ref="Q208:U208" si="148">(Q111+Q144)/Q47</f>
        <v>3.6103381596943832E-2</v>
      </c>
      <c r="R208" s="160">
        <f t="shared" si="148"/>
        <v>3.9474265518003093E-2</v>
      </c>
      <c r="S208" s="160">
        <f t="shared" si="148"/>
        <v>3.8351915500041918E-2</v>
      </c>
      <c r="T208" s="160">
        <f t="shared" si="148"/>
        <v>-1.653816726502266E-2</v>
      </c>
      <c r="U208" s="160">
        <f t="shared" si="148"/>
        <v>-1.6886023815919068E-2</v>
      </c>
      <c r="V208" s="156">
        <v>59349</v>
      </c>
      <c r="W208" s="156"/>
      <c r="X208" s="156"/>
      <c r="Y208" s="156"/>
      <c r="Z208" s="156"/>
      <c r="AA208" s="156"/>
      <c r="AB208" s="156"/>
      <c r="AC208" s="156">
        <f t="shared" si="141"/>
        <v>9.7391395349966187E-2</v>
      </c>
      <c r="AD208" s="157"/>
    </row>
    <row r="209" spans="2:30" ht="15" x14ac:dyDescent="0.4">
      <c r="B209" s="367" t="s">
        <v>25</v>
      </c>
      <c r="C209" s="368"/>
      <c r="D209" s="142" t="s">
        <v>109</v>
      </c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61">
        <f t="shared" ref="Q209:U209" si="149">(Q112+Q145)/Q48</f>
        <v>5.620314598951337E-2</v>
      </c>
      <c r="R209" s="161">
        <f t="shared" si="149"/>
        <v>8.2400043969238446E-2</v>
      </c>
      <c r="S209" s="161">
        <f t="shared" si="149"/>
        <v>6.7899291437498718E-2</v>
      </c>
      <c r="T209" s="161">
        <f t="shared" si="149"/>
        <v>7.8519694833483783E-2</v>
      </c>
      <c r="U209" s="161">
        <f t="shared" si="149"/>
        <v>0.10560793283747884</v>
      </c>
      <c r="V209" s="154"/>
      <c r="W209" s="154"/>
      <c r="X209" s="154"/>
      <c r="Y209" s="154"/>
      <c r="Z209" s="154"/>
      <c r="AA209" s="154"/>
      <c r="AB209" s="154"/>
      <c r="AC209" s="154">
        <f t="shared" si="141"/>
        <v>0.28502217622973436</v>
      </c>
      <c r="AD209" s="155"/>
    </row>
    <row r="210" spans="2:30" ht="15" x14ac:dyDescent="0.4">
      <c r="B210" s="369"/>
      <c r="C210" s="370"/>
      <c r="D210" s="144" t="s">
        <v>70</v>
      </c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60">
        <f t="shared" ref="Q210:U210" si="150">(Q113+Q146)/Q49</f>
        <v>1.9118844425680771E-2</v>
      </c>
      <c r="R210" s="160">
        <f t="shared" si="150"/>
        <v>2.6418014392942814E-2</v>
      </c>
      <c r="S210" s="160">
        <f t="shared" si="150"/>
        <v>1.6934481184784148E-2</v>
      </c>
      <c r="T210" s="160">
        <f t="shared" si="150"/>
        <v>2.4673837668725506E-2</v>
      </c>
      <c r="U210" s="160">
        <f t="shared" si="150"/>
        <v>1.4844031291938072E-2</v>
      </c>
      <c r="V210" s="156"/>
      <c r="W210" s="156"/>
      <c r="X210" s="156"/>
      <c r="Y210" s="156"/>
      <c r="Z210" s="156"/>
      <c r="AA210" s="156"/>
      <c r="AB210" s="156"/>
      <c r="AC210" s="156">
        <f t="shared" si="141"/>
        <v>8.7145177672133242E-2</v>
      </c>
      <c r="AD210" s="157"/>
    </row>
    <row r="211" spans="2:30" ht="15" x14ac:dyDescent="0.4">
      <c r="B211" s="369"/>
      <c r="C211" s="370"/>
      <c r="D211" s="144" t="s">
        <v>115</v>
      </c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60">
        <f t="shared" ref="Q211:U211" si="151">(Q114+Q147)/Q50</f>
        <v>8.4315341605221542E-2</v>
      </c>
      <c r="R211" s="160">
        <f t="shared" si="151"/>
        <v>9.4241698370203367E-2</v>
      </c>
      <c r="S211" s="160">
        <f t="shared" si="151"/>
        <v>0.10192126296976617</v>
      </c>
      <c r="T211" s="160">
        <f t="shared" si="151"/>
        <v>0.10850655664467979</v>
      </c>
      <c r="U211" s="160">
        <f t="shared" si="151"/>
        <v>0.15894812920442541</v>
      </c>
      <c r="V211" s="156"/>
      <c r="W211" s="156"/>
      <c r="X211" s="156"/>
      <c r="Y211" s="156"/>
      <c r="Z211" s="156"/>
      <c r="AA211" s="156"/>
      <c r="AB211" s="156"/>
      <c r="AC211" s="156">
        <f t="shared" si="141"/>
        <v>0.38898485958987083</v>
      </c>
      <c r="AD211" s="157"/>
    </row>
    <row r="212" spans="2:30" ht="15" x14ac:dyDescent="0.4">
      <c r="B212" s="369"/>
      <c r="C212" s="370"/>
      <c r="D212" s="144" t="s">
        <v>114</v>
      </c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60">
        <f t="shared" ref="Q212:U212" si="152">(Q115+Q148)/Q51</f>
        <v>7.4201143625967039E-2</v>
      </c>
      <c r="R212" s="160">
        <f t="shared" si="152"/>
        <v>8.1823046320638387E-2</v>
      </c>
      <c r="S212" s="160">
        <f t="shared" si="152"/>
        <v>0.10231192660550459</v>
      </c>
      <c r="T212" s="160">
        <f t="shared" si="152"/>
        <v>0.10760471946004431</v>
      </c>
      <c r="U212" s="160">
        <f t="shared" si="152"/>
        <v>0.17227349680519907</v>
      </c>
      <c r="V212" s="156"/>
      <c r="W212" s="156"/>
      <c r="X212" s="156"/>
      <c r="Y212" s="156"/>
      <c r="Z212" s="156"/>
      <c r="AA212" s="156"/>
      <c r="AB212" s="156"/>
      <c r="AC212" s="156">
        <f t="shared" si="141"/>
        <v>0.36594083601215432</v>
      </c>
      <c r="AD212" s="157"/>
    </row>
    <row r="213" spans="2:30" ht="15" x14ac:dyDescent="0.4">
      <c r="B213" s="371"/>
      <c r="C213" s="372"/>
      <c r="D213" s="144" t="s">
        <v>105</v>
      </c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60">
        <f t="shared" ref="Q213:U213" si="153">(Q116+Q149)/Q52</f>
        <v>5.6880903998242534E-2</v>
      </c>
      <c r="R213" s="160">
        <f t="shared" si="153"/>
        <v>8.8009266955901513E-2</v>
      </c>
      <c r="S213" s="160">
        <f t="shared" si="153"/>
        <v>6.8750715633876164E-2</v>
      </c>
      <c r="T213" s="160">
        <f t="shared" si="153"/>
        <v>8.0561062535095054E-2</v>
      </c>
      <c r="U213" s="160">
        <f t="shared" si="153"/>
        <v>0.10795342138374733</v>
      </c>
      <c r="V213" s="156"/>
      <c r="W213" s="156"/>
      <c r="X213" s="156"/>
      <c r="Y213" s="156"/>
      <c r="Z213" s="156"/>
      <c r="AA213" s="156"/>
      <c r="AB213" s="156"/>
      <c r="AC213" s="156">
        <f t="shared" si="141"/>
        <v>0.29420194912311526</v>
      </c>
      <c r="AD213" s="157"/>
    </row>
    <row r="214" spans="2:30" ht="15" x14ac:dyDescent="0.4">
      <c r="B214" s="367" t="s">
        <v>28</v>
      </c>
      <c r="C214" s="368"/>
      <c r="D214" s="142" t="s">
        <v>109</v>
      </c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61">
        <f t="shared" ref="Q214:U214" si="154">(Q117+Q150)/Q53</f>
        <v>2.1181868915483352E-2</v>
      </c>
      <c r="R214" s="161">
        <f t="shared" si="154"/>
        <v>2.432190091907644E-2</v>
      </c>
      <c r="S214" s="161">
        <f t="shared" si="154"/>
        <v>2.365089522088807E-2</v>
      </c>
      <c r="T214" s="161">
        <f t="shared" si="154"/>
        <v>1.9630992602268301E-2</v>
      </c>
      <c r="U214" s="161">
        <f t="shared" si="154"/>
        <v>3.870754019825192E-2</v>
      </c>
      <c r="V214" s="154"/>
      <c r="W214" s="154"/>
      <c r="X214" s="154"/>
      <c r="Y214" s="154"/>
      <c r="Z214" s="154"/>
      <c r="AA214" s="154"/>
      <c r="AB214" s="154"/>
      <c r="AC214" s="154">
        <f t="shared" si="141"/>
        <v>8.8785657657716177E-2</v>
      </c>
      <c r="AD214" s="155"/>
    </row>
    <row r="215" spans="2:30" ht="15" x14ac:dyDescent="0.4">
      <c r="B215" s="369"/>
      <c r="C215" s="370"/>
      <c r="D215" s="144" t="s">
        <v>70</v>
      </c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60">
        <f t="shared" ref="Q215:U215" si="155">(Q118+Q151)/Q54</f>
        <v>2.4810577923042639E-2</v>
      </c>
      <c r="R215" s="160">
        <f t="shared" si="155"/>
        <v>3.2771394012700329E-2</v>
      </c>
      <c r="S215" s="160">
        <f t="shared" si="155"/>
        <v>3.943002147179387E-2</v>
      </c>
      <c r="T215" s="160">
        <f t="shared" si="155"/>
        <v>3.0474220241884151E-2</v>
      </c>
      <c r="U215" s="160">
        <f t="shared" si="155"/>
        <v>3.8339696206644465E-2</v>
      </c>
      <c r="V215" s="156"/>
      <c r="W215" s="156"/>
      <c r="X215" s="156"/>
      <c r="Y215" s="156"/>
      <c r="Z215" s="156"/>
      <c r="AA215" s="156"/>
      <c r="AB215" s="156"/>
      <c r="AC215" s="156">
        <f t="shared" si="141"/>
        <v>0.12748621364942098</v>
      </c>
      <c r="AD215" s="157"/>
    </row>
    <row r="216" spans="2:30" ht="15" x14ac:dyDescent="0.4">
      <c r="B216" s="369"/>
      <c r="C216" s="370"/>
      <c r="D216" s="144" t="s">
        <v>115</v>
      </c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60">
        <f t="shared" ref="Q216:U216" si="156">(Q119+Q152)/Q55</f>
        <v>2.2902538267777564E-2</v>
      </c>
      <c r="R216" s="160">
        <f t="shared" si="156"/>
        <v>2.4788885862162897E-2</v>
      </c>
      <c r="S216" s="160">
        <f t="shared" si="156"/>
        <v>2.489739022690312E-2</v>
      </c>
      <c r="T216" s="160">
        <f t="shared" si="156"/>
        <v>2.5229181110854326E-2</v>
      </c>
      <c r="U216" s="160">
        <f t="shared" si="156"/>
        <v>4.8754822869168712E-2</v>
      </c>
      <c r="V216" s="156"/>
      <c r="W216" s="156"/>
      <c r="X216" s="156"/>
      <c r="Y216" s="156"/>
      <c r="Z216" s="156"/>
      <c r="AA216" s="156"/>
      <c r="AB216" s="156"/>
      <c r="AC216" s="156">
        <f t="shared" si="141"/>
        <v>9.7817995467697913E-2</v>
      </c>
      <c r="AD216" s="157"/>
    </row>
    <row r="217" spans="2:30" ht="15" x14ac:dyDescent="0.4">
      <c r="B217" s="371"/>
      <c r="C217" s="372"/>
      <c r="D217" s="144" t="s">
        <v>114</v>
      </c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60">
        <f t="shared" ref="Q217:U217" si="157">(Q120+Q153)/Q56</f>
        <v>1.6089729807209917E-2</v>
      </c>
      <c r="R217" s="160">
        <f t="shared" si="157"/>
        <v>1.5953100017765145E-2</v>
      </c>
      <c r="S217" s="160">
        <f t="shared" si="157"/>
        <v>8.209483368719038E-3</v>
      </c>
      <c r="T217" s="160">
        <f t="shared" si="157"/>
        <v>4.978787560043477E-3</v>
      </c>
      <c r="U217" s="160">
        <f t="shared" si="157"/>
        <v>2.9888317674171248E-2</v>
      </c>
      <c r="V217" s="156"/>
      <c r="W217" s="156"/>
      <c r="X217" s="156"/>
      <c r="Y217" s="156"/>
      <c r="Z217" s="156"/>
      <c r="AA217" s="156"/>
      <c r="AB217" s="156"/>
      <c r="AC217" s="156">
        <f t="shared" si="141"/>
        <v>4.5231100753737576E-2</v>
      </c>
      <c r="AD217" s="157"/>
    </row>
    <row r="218" spans="2:30" ht="15" x14ac:dyDescent="0.4">
      <c r="B218" s="367" t="s">
        <v>27</v>
      </c>
      <c r="C218" s="368"/>
      <c r="D218" s="142" t="s">
        <v>109</v>
      </c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61">
        <f t="shared" ref="Q218:U218" si="158">(Q121+Q154)/Q57</f>
        <v>2.0236075083538287E-2</v>
      </c>
      <c r="R218" s="161">
        <f t="shared" si="158"/>
        <v>3.4178931061192873E-2</v>
      </c>
      <c r="S218" s="161">
        <f t="shared" si="158"/>
        <v>2.3027489551426764E-2</v>
      </c>
      <c r="T218" s="161">
        <f t="shared" si="158"/>
        <v>2.1900864715425961E-2</v>
      </c>
      <c r="U218" s="161">
        <f t="shared" si="158"/>
        <v>2.2149209047431784E-2</v>
      </c>
      <c r="V218" s="154"/>
      <c r="W218" s="154"/>
      <c r="X218" s="154"/>
      <c r="Y218" s="154"/>
      <c r="Z218" s="154"/>
      <c r="AA218" s="154"/>
      <c r="AB218" s="154"/>
      <c r="AC218" s="154">
        <f t="shared" si="141"/>
        <v>9.9343360411583884E-2</v>
      </c>
      <c r="AD218" s="155"/>
    </row>
    <row r="219" spans="2:30" ht="15" x14ac:dyDescent="0.4">
      <c r="B219" s="369"/>
      <c r="C219" s="370"/>
      <c r="D219" s="144" t="s">
        <v>70</v>
      </c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60">
        <f t="shared" ref="Q219:U219" si="159">(Q122+Q155)/Q58</f>
        <v>2.015364940677887E-2</v>
      </c>
      <c r="R219" s="160">
        <f t="shared" si="159"/>
        <v>4.8137603099592002E-2</v>
      </c>
      <c r="S219" s="160">
        <f t="shared" si="159"/>
        <v>2.7753476726296418E-2</v>
      </c>
      <c r="T219" s="160">
        <f t="shared" si="159"/>
        <v>2.8950118469927264E-2</v>
      </c>
      <c r="U219" s="160">
        <f t="shared" si="159"/>
        <v>2.9144305307096004E-2</v>
      </c>
      <c r="V219" s="156"/>
      <c r="W219" s="156"/>
      <c r="X219" s="156"/>
      <c r="Y219" s="156"/>
      <c r="Z219" s="156"/>
      <c r="AA219" s="156"/>
      <c r="AB219" s="156"/>
      <c r="AC219" s="156">
        <f t="shared" si="141"/>
        <v>0.12499484770259456</v>
      </c>
      <c r="AD219" s="157"/>
    </row>
    <row r="220" spans="2:30" ht="15" x14ac:dyDescent="0.4">
      <c r="B220" s="369"/>
      <c r="C220" s="370"/>
      <c r="D220" s="144" t="s">
        <v>115</v>
      </c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60">
        <f t="shared" ref="Q220:U220" si="160">(Q123+Q156)/Q59</f>
        <v>5.2401087284808218E-2</v>
      </c>
      <c r="R220" s="160">
        <f t="shared" si="160"/>
        <v>5.8260938869849364E-2</v>
      </c>
      <c r="S220" s="160">
        <f t="shared" si="160"/>
        <v>6.1979648473635525E-2</v>
      </c>
      <c r="T220" s="160">
        <f t="shared" si="160"/>
        <v>6.1302005123222328E-2</v>
      </c>
      <c r="U220" s="160">
        <f t="shared" si="160"/>
        <v>8.466989929130922E-2</v>
      </c>
      <c r="V220" s="156"/>
      <c r="W220" s="156"/>
      <c r="X220" s="156"/>
      <c r="Y220" s="156"/>
      <c r="Z220" s="156"/>
      <c r="AA220" s="156"/>
      <c r="AB220" s="156"/>
      <c r="AC220" s="156">
        <f t="shared" si="141"/>
        <v>0.23394367975151542</v>
      </c>
      <c r="AD220" s="157"/>
    </row>
    <row r="221" spans="2:30" ht="15" x14ac:dyDescent="0.4">
      <c r="B221" s="369"/>
      <c r="C221" s="370"/>
      <c r="D221" s="144" t="s">
        <v>114</v>
      </c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60">
        <f t="shared" ref="Q221:U221" si="161">(Q124+Q157)/Q60</f>
        <v>6.5507847969905303E-2</v>
      </c>
      <c r="R221" s="160">
        <f t="shared" si="161"/>
        <v>6.6975224612033757E-2</v>
      </c>
      <c r="S221" s="160">
        <f t="shared" si="161"/>
        <v>5.2564102564102565E-2</v>
      </c>
      <c r="T221" s="160">
        <f t="shared" si="161"/>
        <v>4.7323277136941733E-2</v>
      </c>
      <c r="U221" s="160">
        <f t="shared" si="161"/>
        <v>5.1084990958408683E-2</v>
      </c>
      <c r="V221" s="156"/>
      <c r="W221" s="156"/>
      <c r="X221" s="156"/>
      <c r="Y221" s="156"/>
      <c r="Z221" s="156"/>
      <c r="AA221" s="156"/>
      <c r="AB221" s="156"/>
      <c r="AC221" s="156">
        <f t="shared" si="141"/>
        <v>0.23237045228298336</v>
      </c>
      <c r="AD221" s="157"/>
    </row>
    <row r="222" spans="2:30" ht="15" x14ac:dyDescent="0.4">
      <c r="B222" s="371"/>
      <c r="C222" s="372"/>
      <c r="D222" s="144" t="s">
        <v>105</v>
      </c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60">
        <f t="shared" ref="Q222:U222" si="162">(Q125+Q158)/Q61</f>
        <v>1.4742367096413359E-2</v>
      </c>
      <c r="R222" s="160">
        <f t="shared" si="162"/>
        <v>2.1613207787899665E-2</v>
      </c>
      <c r="S222" s="160">
        <f t="shared" si="162"/>
        <v>1.6102492486110689E-2</v>
      </c>
      <c r="T222" s="160">
        <f t="shared" si="162"/>
        <v>1.4552426629866127E-2</v>
      </c>
      <c r="U222" s="160">
        <f t="shared" si="162"/>
        <v>1.4702711179941581E-2</v>
      </c>
      <c r="V222" s="156"/>
      <c r="W222" s="156"/>
      <c r="X222" s="156"/>
      <c r="Y222" s="156"/>
      <c r="Z222" s="156"/>
      <c r="AA222" s="156"/>
      <c r="AB222" s="156"/>
      <c r="AC222" s="156">
        <f t="shared" si="141"/>
        <v>6.7010494000289841E-2</v>
      </c>
      <c r="AD222" s="157"/>
    </row>
    <row r="223" spans="2:30" ht="15" x14ac:dyDescent="0.4">
      <c r="B223" s="367" t="s">
        <v>106</v>
      </c>
      <c r="C223" s="368"/>
      <c r="D223" s="142" t="s">
        <v>109</v>
      </c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61">
        <f t="shared" ref="Q223:U223" si="163">(Q126+Q159)/Q62</f>
        <v>5.0487719175675485E-3</v>
      </c>
      <c r="R223" s="161">
        <f t="shared" si="163"/>
        <v>6.8940478413310928E-3</v>
      </c>
      <c r="S223" s="161">
        <f t="shared" si="163"/>
        <v>6.5987230171340415E-3</v>
      </c>
      <c r="T223" s="161">
        <f t="shared" si="163"/>
        <v>6.9363345067056771E-3</v>
      </c>
      <c r="U223" s="161">
        <f t="shared" si="163"/>
        <v>6.022685587211845E-3</v>
      </c>
      <c r="V223" s="154"/>
      <c r="W223" s="154"/>
      <c r="X223" s="154"/>
      <c r="Y223" s="154"/>
      <c r="Z223" s="154"/>
      <c r="AA223" s="154"/>
      <c r="AB223" s="154"/>
      <c r="AC223" s="154">
        <f t="shared" si="141"/>
        <v>2.547787728273836E-2</v>
      </c>
      <c r="AD223" s="155"/>
    </row>
    <row r="224" spans="2:30" ht="15" x14ac:dyDescent="0.4">
      <c r="B224" s="369"/>
      <c r="C224" s="370"/>
      <c r="D224" s="144" t="s">
        <v>70</v>
      </c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60">
        <f t="shared" ref="Q224:U224" si="164">(Q127+Q160)/Q63</f>
        <v>6.8720544841763742E-3</v>
      </c>
      <c r="R224" s="160">
        <f t="shared" si="164"/>
        <v>9.3817847130269316E-3</v>
      </c>
      <c r="S224" s="160">
        <f t="shared" si="164"/>
        <v>9.0223322786261301E-3</v>
      </c>
      <c r="T224" s="160">
        <f t="shared" si="164"/>
        <v>9.4308704201794633E-3</v>
      </c>
      <c r="U224" s="160">
        <f t="shared" si="164"/>
        <v>8.1736205257443729E-3</v>
      </c>
      <c r="V224" s="156"/>
      <c r="W224" s="156"/>
      <c r="X224" s="156"/>
      <c r="Y224" s="156"/>
      <c r="Z224" s="156"/>
      <c r="AA224" s="156"/>
      <c r="AB224" s="156"/>
      <c r="AC224" s="156">
        <f t="shared" si="141"/>
        <v>3.47070418960089E-2</v>
      </c>
      <c r="AD224" s="157"/>
    </row>
    <row r="225" spans="2:30" ht="15" x14ac:dyDescent="0.4">
      <c r="B225" s="369"/>
      <c r="C225" s="370"/>
      <c r="D225" s="144" t="s">
        <v>71</v>
      </c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62"/>
      <c r="R225" s="162"/>
      <c r="S225" s="162"/>
      <c r="T225" s="162"/>
      <c r="U225" s="162"/>
      <c r="V225" s="156"/>
      <c r="W225" s="156"/>
      <c r="X225" s="156"/>
      <c r="Y225" s="156"/>
      <c r="Z225" s="156"/>
      <c r="AA225" s="156"/>
      <c r="AB225" s="156"/>
      <c r="AC225" s="156">
        <f t="shared" si="141"/>
        <v>0</v>
      </c>
      <c r="AD225" s="157"/>
    </row>
    <row r="226" spans="2:30" ht="15" x14ac:dyDescent="0.4">
      <c r="B226" s="367" t="s">
        <v>32</v>
      </c>
      <c r="C226" s="368"/>
      <c r="D226" s="142" t="s">
        <v>109</v>
      </c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63"/>
      <c r="R226" s="163"/>
      <c r="S226" s="163"/>
      <c r="T226" s="163"/>
      <c r="U226" s="163"/>
      <c r="V226" s="154"/>
      <c r="W226" s="154"/>
      <c r="X226" s="154"/>
      <c r="Y226" s="154"/>
      <c r="Z226" s="154"/>
      <c r="AA226" s="154"/>
      <c r="AB226" s="154"/>
      <c r="AC226" s="154">
        <f t="shared" si="141"/>
        <v>0</v>
      </c>
      <c r="AD226" s="155"/>
    </row>
    <row r="227" spans="2:30" ht="15" x14ac:dyDescent="0.4">
      <c r="B227" s="369"/>
      <c r="C227" s="370"/>
      <c r="D227" s="144" t="s">
        <v>20</v>
      </c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62"/>
      <c r="R227" s="162"/>
      <c r="S227" s="162"/>
      <c r="T227" s="162"/>
      <c r="U227" s="162"/>
      <c r="V227" s="156"/>
      <c r="W227" s="156"/>
      <c r="X227" s="156"/>
      <c r="Y227" s="156"/>
      <c r="Z227" s="156"/>
      <c r="AA227" s="156"/>
      <c r="AB227" s="156"/>
      <c r="AC227" s="156">
        <f t="shared" si="141"/>
        <v>0</v>
      </c>
      <c r="AD227" s="157"/>
    </row>
    <row r="228" spans="2:30" ht="15" x14ac:dyDescent="0.4">
      <c r="B228" s="369"/>
      <c r="C228" s="370"/>
      <c r="D228" s="144" t="s">
        <v>21</v>
      </c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62"/>
      <c r="R228" s="162"/>
      <c r="S228" s="162"/>
      <c r="T228" s="162"/>
      <c r="U228" s="162"/>
      <c r="V228" s="156"/>
      <c r="W228" s="156"/>
      <c r="X228" s="156"/>
      <c r="Y228" s="156"/>
      <c r="Z228" s="156"/>
      <c r="AA228" s="156"/>
      <c r="AB228" s="156"/>
      <c r="AC228" s="156">
        <f t="shared" si="141"/>
        <v>0</v>
      </c>
      <c r="AD228" s="157"/>
    </row>
    <row r="229" spans="2:30" ht="15" x14ac:dyDescent="0.4">
      <c r="B229" s="371"/>
      <c r="C229" s="372"/>
      <c r="D229" s="144" t="s">
        <v>110</v>
      </c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62"/>
      <c r="R229" s="162"/>
      <c r="S229" s="162"/>
      <c r="T229" s="162"/>
      <c r="U229" s="162"/>
      <c r="V229" s="156"/>
      <c r="W229" s="156"/>
      <c r="X229" s="156"/>
      <c r="Y229" s="156"/>
      <c r="Z229" s="156"/>
      <c r="AA229" s="156"/>
      <c r="AB229" s="156"/>
      <c r="AC229" s="156">
        <f t="shared" si="141"/>
        <v>0</v>
      </c>
      <c r="AD229" s="157"/>
    </row>
    <row r="231" spans="2:30" ht="15" x14ac:dyDescent="0.4">
      <c r="B231" s="365" t="s">
        <v>10</v>
      </c>
      <c r="C231" s="365"/>
      <c r="D231" s="366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140">
        <v>2501</v>
      </c>
      <c r="R231" s="140">
        <v>2502</v>
      </c>
      <c r="S231" s="140">
        <v>2503</v>
      </c>
      <c r="T231" s="140">
        <v>2504</v>
      </c>
      <c r="U231" s="140">
        <v>2505</v>
      </c>
      <c r="V231" s="140">
        <v>2506</v>
      </c>
      <c r="W231" s="140">
        <v>2507</v>
      </c>
      <c r="X231" s="140">
        <v>2508</v>
      </c>
      <c r="Y231" s="140">
        <v>2509</v>
      </c>
      <c r="Z231" s="140">
        <v>2510</v>
      </c>
      <c r="AA231" s="140">
        <v>2511</v>
      </c>
      <c r="AB231" s="140">
        <v>2512</v>
      </c>
      <c r="AC231" s="141" t="s">
        <v>112</v>
      </c>
      <c r="AD231" s="141" t="s">
        <v>113</v>
      </c>
    </row>
    <row r="232" spans="2:30" ht="15" x14ac:dyDescent="0.4">
      <c r="B232" s="373" t="s">
        <v>118</v>
      </c>
      <c r="C232" s="374"/>
      <c r="D232" s="142" t="s">
        <v>109</v>
      </c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71">
        <f>Q233+Q234+Q235</f>
        <v>0</v>
      </c>
      <c r="R232" s="171">
        <f t="shared" ref="R232" si="165">R233+R234+R235</f>
        <v>0</v>
      </c>
      <c r="S232" s="171">
        <f t="shared" ref="S232" si="166">S233+S234+S235</f>
        <v>0</v>
      </c>
      <c r="T232" s="171">
        <f t="shared" ref="T232" si="167">T233+T234+T235</f>
        <v>0</v>
      </c>
      <c r="U232" s="171">
        <f t="shared" ref="U232" si="168">U233+U234+U235</f>
        <v>0</v>
      </c>
      <c r="V232" s="171"/>
      <c r="W232" s="171"/>
      <c r="X232" s="171"/>
      <c r="Y232" s="171"/>
      <c r="Z232" s="171"/>
      <c r="AA232" s="171"/>
      <c r="AB232" s="171"/>
      <c r="AC232" s="171"/>
      <c r="AD232" s="169"/>
    </row>
    <row r="233" spans="2:30" ht="15" x14ac:dyDescent="0.4">
      <c r="B233" s="375"/>
      <c r="C233" s="376"/>
      <c r="D233" s="144" t="s">
        <v>70</v>
      </c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0"/>
    </row>
    <row r="234" spans="2:30" ht="15" x14ac:dyDescent="0.4">
      <c r="B234" s="375"/>
      <c r="C234" s="376"/>
      <c r="D234" s="144" t="s">
        <v>71</v>
      </c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0"/>
    </row>
    <row r="235" spans="2:30" ht="15" x14ac:dyDescent="0.4">
      <c r="B235" s="375"/>
      <c r="C235" s="376"/>
      <c r="D235" s="144" t="s">
        <v>105</v>
      </c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0"/>
    </row>
    <row r="236" spans="2:30" ht="15" x14ac:dyDescent="0.4">
      <c r="B236" s="377"/>
      <c r="C236" s="378"/>
      <c r="D236" s="144" t="s">
        <v>32</v>
      </c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73"/>
      <c r="R236" s="173"/>
      <c r="S236" s="173"/>
      <c r="T236" s="173"/>
      <c r="U236" s="173"/>
      <c r="V236" s="172"/>
      <c r="W236" s="172"/>
      <c r="X236" s="172"/>
      <c r="Y236" s="172"/>
      <c r="Z236" s="172"/>
      <c r="AA236" s="172"/>
      <c r="AB236" s="172"/>
      <c r="AC236" s="172"/>
      <c r="AD236" s="170"/>
    </row>
    <row r="237" spans="2:30" ht="15" x14ac:dyDescent="0.4">
      <c r="B237" s="367" t="s">
        <v>26</v>
      </c>
      <c r="C237" s="368"/>
      <c r="D237" s="142" t="s">
        <v>109</v>
      </c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71">
        <f>Q238+Q240+Q239</f>
        <v>59398.976892985833</v>
      </c>
      <c r="R237" s="171">
        <f t="shared" ref="R237" si="169">R238+R240+R239</f>
        <v>68280.24892777401</v>
      </c>
      <c r="S237" s="171">
        <f t="shared" ref="S237" si="170">S238+S240+S239</f>
        <v>65345.128492397933</v>
      </c>
      <c r="T237" s="171">
        <f t="shared" ref="T237" si="171">T238+T240+T239</f>
        <v>62716.279032030885</v>
      </c>
      <c r="U237" s="171">
        <f t="shared" ref="U237" si="172">U238+U240+U239</f>
        <v>60005.147374859691</v>
      </c>
      <c r="V237" s="171"/>
      <c r="W237" s="171"/>
      <c r="X237" s="171"/>
      <c r="Y237" s="171"/>
      <c r="Z237" s="171"/>
      <c r="AA237" s="171"/>
      <c r="AB237" s="171"/>
      <c r="AC237" s="171"/>
      <c r="AD237" s="169"/>
    </row>
    <row r="238" spans="2:30" ht="15" x14ac:dyDescent="0.4">
      <c r="B238" s="369"/>
      <c r="C238" s="370"/>
      <c r="D238" s="144" t="s">
        <v>70</v>
      </c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72">
        <v>59398.976892985833</v>
      </c>
      <c r="R238" s="172">
        <v>68280.24892777401</v>
      </c>
      <c r="S238" s="172">
        <v>65345.128492397933</v>
      </c>
      <c r="T238" s="172">
        <v>62716.279032030885</v>
      </c>
      <c r="U238" s="172">
        <v>60005.147374859691</v>
      </c>
      <c r="V238" s="172"/>
      <c r="W238" s="172"/>
      <c r="X238" s="172"/>
      <c r="Y238" s="172"/>
      <c r="Z238" s="172"/>
      <c r="AA238" s="172"/>
      <c r="AB238" s="172"/>
      <c r="AC238" s="172"/>
      <c r="AD238" s="170"/>
    </row>
    <row r="239" spans="2:30" ht="15" x14ac:dyDescent="0.4">
      <c r="B239" s="369"/>
      <c r="C239" s="370"/>
      <c r="D239" s="144" t="s">
        <v>115</v>
      </c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0"/>
    </row>
    <row r="240" spans="2:30" ht="15" x14ac:dyDescent="0.4">
      <c r="B240" s="371"/>
      <c r="C240" s="372"/>
      <c r="D240" s="144" t="s">
        <v>114</v>
      </c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72"/>
      <c r="R240" s="172"/>
      <c r="S240" s="172"/>
      <c r="T240" s="172"/>
      <c r="U240" s="172"/>
      <c r="V240" s="172">
        <v>59349</v>
      </c>
      <c r="W240" s="172"/>
      <c r="X240" s="172"/>
      <c r="Y240" s="172"/>
      <c r="Z240" s="172"/>
      <c r="AA240" s="172"/>
      <c r="AB240" s="172"/>
      <c r="AC240" s="172"/>
      <c r="AD240" s="170"/>
    </row>
    <row r="241" spans="2:30" ht="15" x14ac:dyDescent="0.4">
      <c r="B241" s="367" t="s">
        <v>25</v>
      </c>
      <c r="C241" s="368"/>
      <c r="D241" s="142" t="s">
        <v>109</v>
      </c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71">
        <f>Q242+Q244+Q243+Q245</f>
        <v>70247.456313459537</v>
      </c>
      <c r="R241" s="171">
        <f t="shared" ref="R241" si="173">R242+R244+R243+R245</f>
        <v>74027.25532867515</v>
      </c>
      <c r="S241" s="171">
        <f t="shared" ref="S241" si="174">S242+S244+S243+S245</f>
        <v>73429.65250270754</v>
      </c>
      <c r="T241" s="171">
        <f t="shared" ref="T241" si="175">T242+T244+T243+T245</f>
        <v>72599.897711573212</v>
      </c>
      <c r="U241" s="171">
        <f t="shared" ref="U241" si="176">U242+U244+U243+U245</f>
        <v>68871.077795097866</v>
      </c>
      <c r="V241" s="171"/>
      <c r="W241" s="171"/>
      <c r="X241" s="171"/>
      <c r="Y241" s="171"/>
      <c r="Z241" s="171"/>
      <c r="AA241" s="171"/>
      <c r="AB241" s="171"/>
      <c r="AC241" s="171"/>
      <c r="AD241" s="169"/>
    </row>
    <row r="242" spans="2:30" ht="15" x14ac:dyDescent="0.4">
      <c r="B242" s="369"/>
      <c r="C242" s="370"/>
      <c r="D242" s="144" t="s">
        <v>70</v>
      </c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72">
        <v>70247.456313459537</v>
      </c>
      <c r="R242" s="172">
        <v>74027.25532867515</v>
      </c>
      <c r="S242" s="172">
        <v>73429.65250270754</v>
      </c>
      <c r="T242" s="172">
        <v>72599.897711573212</v>
      </c>
      <c r="U242" s="172">
        <v>68871.077795097866</v>
      </c>
      <c r="V242" s="172"/>
      <c r="W242" s="172"/>
      <c r="X242" s="172"/>
      <c r="Y242" s="172"/>
      <c r="Z242" s="172"/>
      <c r="AA242" s="172"/>
      <c r="AB242" s="172"/>
      <c r="AC242" s="172"/>
      <c r="AD242" s="170"/>
    </row>
    <row r="243" spans="2:30" ht="15" x14ac:dyDescent="0.4">
      <c r="B243" s="369"/>
      <c r="C243" s="370"/>
      <c r="D243" s="144" t="s">
        <v>115</v>
      </c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0"/>
    </row>
    <row r="244" spans="2:30" ht="15" x14ac:dyDescent="0.4">
      <c r="B244" s="369"/>
      <c r="C244" s="370"/>
      <c r="D244" s="144" t="s">
        <v>114</v>
      </c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0"/>
    </row>
    <row r="245" spans="2:30" ht="15" x14ac:dyDescent="0.4">
      <c r="B245" s="371"/>
      <c r="C245" s="372"/>
      <c r="D245" s="144" t="s">
        <v>105</v>
      </c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0"/>
    </row>
    <row r="246" spans="2:30" ht="15" x14ac:dyDescent="0.4">
      <c r="B246" s="367" t="s">
        <v>28</v>
      </c>
      <c r="C246" s="368"/>
      <c r="D246" s="142" t="s">
        <v>109</v>
      </c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71">
        <f>Q247+Q248+Q249</f>
        <v>40073.341480519484</v>
      </c>
      <c r="R246" s="171">
        <f t="shared" ref="R246" si="177">R247+R248+R249</f>
        <v>54677.151710144928</v>
      </c>
      <c r="S246" s="171">
        <f t="shared" ref="S246" si="178">S247+S248+S249</f>
        <v>51619.862518776092</v>
      </c>
      <c r="T246" s="171">
        <f t="shared" ref="T246" si="179">T247+T248+T249</f>
        <v>49902.08767397808</v>
      </c>
      <c r="U246" s="171">
        <f t="shared" ref="U246" si="180">U247+U248+U249</f>
        <v>48089.844121593298</v>
      </c>
      <c r="V246" s="171"/>
      <c r="W246" s="171"/>
      <c r="X246" s="171"/>
      <c r="Y246" s="171"/>
      <c r="Z246" s="171"/>
      <c r="AA246" s="171"/>
      <c r="AB246" s="171"/>
      <c r="AC246" s="171"/>
      <c r="AD246" s="169"/>
    </row>
    <row r="247" spans="2:30" ht="15" x14ac:dyDescent="0.4">
      <c r="B247" s="369"/>
      <c r="C247" s="370"/>
      <c r="D247" s="144" t="s">
        <v>70</v>
      </c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72">
        <v>40073.341480519484</v>
      </c>
      <c r="R247" s="172">
        <v>54677.151710144928</v>
      </c>
      <c r="S247" s="172">
        <v>51619.862518776092</v>
      </c>
      <c r="T247" s="172">
        <v>49902.08767397808</v>
      </c>
      <c r="U247" s="172">
        <v>48089.844121593298</v>
      </c>
      <c r="V247" s="172"/>
      <c r="W247" s="172"/>
      <c r="X247" s="172"/>
      <c r="Y247" s="172"/>
      <c r="Z247" s="172"/>
      <c r="AA247" s="172"/>
      <c r="AB247" s="172"/>
      <c r="AC247" s="172"/>
      <c r="AD247" s="170"/>
    </row>
    <row r="248" spans="2:30" ht="15" x14ac:dyDescent="0.4">
      <c r="B248" s="369"/>
      <c r="C248" s="370"/>
      <c r="D248" s="144" t="s">
        <v>115</v>
      </c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0"/>
    </row>
    <row r="249" spans="2:30" ht="15" x14ac:dyDescent="0.4">
      <c r="B249" s="371"/>
      <c r="C249" s="372"/>
      <c r="D249" s="144" t="s">
        <v>114</v>
      </c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0"/>
    </row>
    <row r="250" spans="2:30" ht="15" x14ac:dyDescent="0.4">
      <c r="B250" s="367" t="s">
        <v>27</v>
      </c>
      <c r="C250" s="368"/>
      <c r="D250" s="142" t="s">
        <v>109</v>
      </c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71">
        <f>Q251+Q252+Q254+Q253</f>
        <v>42583.29692505917</v>
      </c>
      <c r="R250" s="171">
        <f t="shared" ref="R250" si="181">R251+R252+R254+R253</f>
        <v>44826.152964857378</v>
      </c>
      <c r="S250" s="171">
        <f t="shared" ref="S250" si="182">S251+S252+S254+S253</f>
        <v>45465.626314318521</v>
      </c>
      <c r="T250" s="171">
        <f t="shared" ref="T250" si="183">T251+T252+T254+T253</f>
        <v>45360.802672466678</v>
      </c>
      <c r="U250" s="171">
        <f t="shared" ref="U250" si="184">U251+U252+U254+U253</f>
        <v>44327.920031069298</v>
      </c>
      <c r="V250" s="171"/>
      <c r="W250" s="171"/>
      <c r="X250" s="171"/>
      <c r="Y250" s="171"/>
      <c r="Z250" s="171"/>
      <c r="AA250" s="171"/>
      <c r="AB250" s="171"/>
      <c r="AC250" s="171"/>
      <c r="AD250" s="169"/>
    </row>
    <row r="251" spans="2:30" ht="15" x14ac:dyDescent="0.4">
      <c r="B251" s="369"/>
      <c r="C251" s="370"/>
      <c r="D251" s="144" t="s">
        <v>70</v>
      </c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72">
        <v>42583.29692505917</v>
      </c>
      <c r="R251" s="172">
        <v>44826.152964857378</v>
      </c>
      <c r="S251" s="172">
        <v>45465.626314318521</v>
      </c>
      <c r="T251" s="172">
        <v>45360.802672466678</v>
      </c>
      <c r="U251" s="172">
        <v>44327.920031069298</v>
      </c>
      <c r="V251" s="172"/>
      <c r="W251" s="172"/>
      <c r="X251" s="172"/>
      <c r="Y251" s="172"/>
      <c r="Z251" s="172"/>
      <c r="AA251" s="172"/>
      <c r="AB251" s="172"/>
      <c r="AC251" s="172"/>
      <c r="AD251" s="170"/>
    </row>
    <row r="252" spans="2:30" ht="15" x14ac:dyDescent="0.4">
      <c r="B252" s="369"/>
      <c r="C252" s="370"/>
      <c r="D252" s="144" t="s">
        <v>115</v>
      </c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0"/>
    </row>
    <row r="253" spans="2:30" ht="15" x14ac:dyDescent="0.4">
      <c r="B253" s="369"/>
      <c r="C253" s="370"/>
      <c r="D253" s="144" t="s">
        <v>114</v>
      </c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0"/>
    </row>
    <row r="254" spans="2:30" ht="15" x14ac:dyDescent="0.4">
      <c r="B254" s="371"/>
      <c r="C254" s="372"/>
      <c r="D254" s="144" t="s">
        <v>105</v>
      </c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0"/>
    </row>
    <row r="255" spans="2:30" ht="15" x14ac:dyDescent="0.4">
      <c r="B255" s="367" t="s">
        <v>106</v>
      </c>
      <c r="C255" s="368"/>
      <c r="D255" s="142" t="s">
        <v>109</v>
      </c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71">
        <f>Q256+Q257</f>
        <v>0</v>
      </c>
      <c r="R255" s="171">
        <f t="shared" ref="R255" si="185">R256+R257</f>
        <v>0</v>
      </c>
      <c r="S255" s="171">
        <f t="shared" ref="S255" si="186">S256+S257</f>
        <v>0</v>
      </c>
      <c r="T255" s="171">
        <f t="shared" ref="T255" si="187">T256+T257</f>
        <v>0</v>
      </c>
      <c r="U255" s="171">
        <f t="shared" ref="U255" si="188">U256+U257</f>
        <v>0</v>
      </c>
      <c r="V255" s="171"/>
      <c r="W255" s="171"/>
      <c r="X255" s="171"/>
      <c r="Y255" s="171"/>
      <c r="Z255" s="171"/>
      <c r="AA255" s="171"/>
      <c r="AB255" s="171"/>
      <c r="AC255" s="171"/>
      <c r="AD255" s="169"/>
    </row>
    <row r="256" spans="2:30" ht="15" x14ac:dyDescent="0.4">
      <c r="B256" s="369"/>
      <c r="C256" s="370"/>
      <c r="D256" s="144" t="s">
        <v>70</v>
      </c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0"/>
    </row>
    <row r="257" spans="2:30" ht="15" x14ac:dyDescent="0.4">
      <c r="B257" s="369"/>
      <c r="C257" s="370"/>
      <c r="D257" s="144" t="s">
        <v>71</v>
      </c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73"/>
      <c r="R257" s="173"/>
      <c r="S257" s="173"/>
      <c r="T257" s="173"/>
      <c r="U257" s="173"/>
      <c r="V257" s="172"/>
      <c r="W257" s="172"/>
      <c r="X257" s="172"/>
      <c r="Y257" s="172"/>
      <c r="Z257" s="172"/>
      <c r="AA257" s="172"/>
      <c r="AB257" s="172"/>
      <c r="AC257" s="172"/>
      <c r="AD257" s="170"/>
    </row>
  </sheetData>
  <mergeCells count="63">
    <mergeCell ref="B250:C254"/>
    <mergeCell ref="B255:C257"/>
    <mergeCell ref="B135:D135"/>
    <mergeCell ref="B136:C140"/>
    <mergeCell ref="B141:C144"/>
    <mergeCell ref="B145:C149"/>
    <mergeCell ref="B150:C153"/>
    <mergeCell ref="B154:C158"/>
    <mergeCell ref="B159:C161"/>
    <mergeCell ref="B226:C229"/>
    <mergeCell ref="B231:D231"/>
    <mergeCell ref="B232:C236"/>
    <mergeCell ref="B237:C240"/>
    <mergeCell ref="B241:C245"/>
    <mergeCell ref="B246:C249"/>
    <mergeCell ref="B223:C225"/>
    <mergeCell ref="B205:C208"/>
    <mergeCell ref="B209:C213"/>
    <mergeCell ref="B214:C217"/>
    <mergeCell ref="B177:C181"/>
    <mergeCell ref="B182:C185"/>
    <mergeCell ref="B186:C190"/>
    <mergeCell ref="B191:C193"/>
    <mergeCell ref="B194:C197"/>
    <mergeCell ref="B218:C222"/>
    <mergeCell ref="B173:C176"/>
    <mergeCell ref="B162:C165"/>
    <mergeCell ref="B97:C100"/>
    <mergeCell ref="B102:D102"/>
    <mergeCell ref="B103:C107"/>
    <mergeCell ref="B108:C111"/>
    <mergeCell ref="B112:C116"/>
    <mergeCell ref="B117:C120"/>
    <mergeCell ref="B121:C125"/>
    <mergeCell ref="B126:C128"/>
    <mergeCell ref="B129:C132"/>
    <mergeCell ref="B167:D167"/>
    <mergeCell ref="B168:C172"/>
    <mergeCell ref="B199:D199"/>
    <mergeCell ref="B200:C204"/>
    <mergeCell ref="B94:C96"/>
    <mergeCell ref="B57:C61"/>
    <mergeCell ref="B62:C64"/>
    <mergeCell ref="B65:C68"/>
    <mergeCell ref="B53:C56"/>
    <mergeCell ref="B70:D70"/>
    <mergeCell ref="B71:C75"/>
    <mergeCell ref="B76:C79"/>
    <mergeCell ref="B80:C84"/>
    <mergeCell ref="B85:C88"/>
    <mergeCell ref="B89:C93"/>
    <mergeCell ref="B8:D8"/>
    <mergeCell ref="B48:C52"/>
    <mergeCell ref="B14:C16"/>
    <mergeCell ref="B17:C22"/>
    <mergeCell ref="B23:C25"/>
    <mergeCell ref="B26:C29"/>
    <mergeCell ref="B30:C32"/>
    <mergeCell ref="B33:C36"/>
    <mergeCell ref="B9:C13"/>
    <mergeCell ref="B38:D38"/>
    <mergeCell ref="B39:C43"/>
    <mergeCell ref="B44:C4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A173-6ECF-4CC5-A026-CC8D6BDDB4AD}">
  <sheetPr>
    <tabColor rgb="FFFFFF00"/>
  </sheetPr>
  <dimension ref="A1:AF20"/>
  <sheetViews>
    <sheetView showGridLines="0" tabSelected="1" zoomScale="85" zoomScaleNormal="85" workbookViewId="0">
      <selection activeCell="G24" sqref="G24"/>
    </sheetView>
  </sheetViews>
  <sheetFormatPr defaultRowHeight="14.5" outlineLevelCol="1" x14ac:dyDescent="0.35"/>
  <cols>
    <col min="2" max="4" width="23.26953125" customWidth="1"/>
    <col min="5" max="9" width="23.26953125" customWidth="1" outlineLevel="1"/>
    <col min="10" max="18" width="8.7265625" outlineLevel="1"/>
    <col min="33" max="16384" width="8.7265625" style="168"/>
  </cols>
  <sheetData>
    <row r="1" spans="2:14" ht="15" thickBot="1" x14ac:dyDescent="0.4"/>
    <row r="2" spans="2:14" ht="22" thickTop="1" x14ac:dyDescent="0.35">
      <c r="B2" s="269" t="s">
        <v>10</v>
      </c>
      <c r="C2" s="272" t="s">
        <v>261</v>
      </c>
      <c r="D2" s="269" t="s">
        <v>26</v>
      </c>
      <c r="E2" s="267" t="s">
        <v>25</v>
      </c>
      <c r="F2" s="267" t="s">
        <v>27</v>
      </c>
      <c r="G2" s="267" t="s">
        <v>106</v>
      </c>
      <c r="H2" s="267" t="s">
        <v>28</v>
      </c>
      <c r="I2" s="267" t="s">
        <v>32</v>
      </c>
    </row>
    <row r="3" spans="2:14" ht="30.5" customHeight="1" x14ac:dyDescent="0.35">
      <c r="B3" s="270" t="s">
        <v>267</v>
      </c>
      <c r="C3" s="437">
        <f t="shared" ref="C3:C5" si="0">D3+E3+F3</f>
        <v>494.93140067000002</v>
      </c>
      <c r="D3" s="438">
        <f>SUM('관리수수료 트렌드 정리'!D3:D14)</f>
        <v>154.63152970000002</v>
      </c>
      <c r="E3" s="439">
        <f>SUM('관리수수료 트렌드 정리'!C3:C14)</f>
        <v>298.69881447</v>
      </c>
      <c r="F3" s="439">
        <f>SUM('관리수수료 트렌드 정리'!E3:E14)</f>
        <v>41.601056499999999</v>
      </c>
      <c r="G3" s="439"/>
      <c r="H3" s="440"/>
      <c r="I3" s="439"/>
    </row>
    <row r="4" spans="2:14" ht="30.5" customHeight="1" x14ac:dyDescent="0.35">
      <c r="B4" s="270" t="s">
        <v>268</v>
      </c>
      <c r="C4" s="437">
        <f t="shared" si="0"/>
        <v>346.97322337000003</v>
      </c>
      <c r="D4" s="438">
        <f>SUM('관리수수료 트렌드 정리'!D15:D26)</f>
        <v>132.08525799</v>
      </c>
      <c r="E4" s="439">
        <f>SUM('관리수수료 트렌드 정리'!C15:C26)</f>
        <v>180.35233632000001</v>
      </c>
      <c r="F4" s="439">
        <v>34.535629060000005</v>
      </c>
      <c r="G4" s="439"/>
      <c r="H4" s="440"/>
      <c r="I4" s="439"/>
    </row>
    <row r="5" spans="2:14" ht="30.5" customHeight="1" x14ac:dyDescent="0.35">
      <c r="B5" s="270" t="s">
        <v>266</v>
      </c>
      <c r="C5" s="437">
        <f t="shared" si="0"/>
        <v>304.08587799090907</v>
      </c>
      <c r="D5" s="438">
        <f>SUM('관리수수료 트렌드 정리'!D27:D38)</f>
        <v>174.63155602727269</v>
      </c>
      <c r="E5" s="439">
        <f>SUM('관리수수료 트렌드 정리'!C27:C38)</f>
        <v>91.460927609090916</v>
      </c>
      <c r="F5" s="439">
        <v>37.993394354545458</v>
      </c>
      <c r="G5" s="439"/>
      <c r="H5" s="440"/>
      <c r="I5" s="439"/>
    </row>
    <row r="6" spans="2:14" ht="30.5" customHeight="1" x14ac:dyDescent="0.35">
      <c r="B6" s="270" t="s">
        <v>265</v>
      </c>
      <c r="C6" s="437">
        <f>D6+E6+F6</f>
        <v>415.79902318000001</v>
      </c>
      <c r="D6" s="438">
        <v>238.02310019839877</v>
      </c>
      <c r="E6" s="439">
        <v>127.87814674160126</v>
      </c>
      <c r="F6" s="439">
        <v>49.897776239999999</v>
      </c>
      <c r="G6" s="439"/>
      <c r="H6" s="440"/>
      <c r="I6" s="439"/>
    </row>
    <row r="7" spans="2:14" ht="30.5" customHeight="1" x14ac:dyDescent="0.35">
      <c r="B7" s="270" t="s">
        <v>264</v>
      </c>
      <c r="C7" s="437">
        <f t="shared" ref="C7" si="1">D7+E7+F7+G7+I7</f>
        <v>481.46281804999995</v>
      </c>
      <c r="D7" s="438">
        <f>SUM('관리수수료 트렌드 정리'!D51:D62)</f>
        <v>264.94001451968626</v>
      </c>
      <c r="E7" s="439">
        <f>SUM('관리수수료 트렌드 정리'!C51:C62)</f>
        <v>157.18940188031374</v>
      </c>
      <c r="F7" s="439">
        <f>SUM('관리수수료 트렌드 정리'!E51:E62)</f>
        <v>59.333401650000006</v>
      </c>
      <c r="G7" s="439"/>
      <c r="H7" s="440"/>
      <c r="I7" s="439"/>
    </row>
    <row r="8" spans="2:14" ht="30.5" customHeight="1" x14ac:dyDescent="0.35">
      <c r="B8" s="270" t="s">
        <v>263</v>
      </c>
      <c r="C8" s="437">
        <f>D8+E8+F8+G8+I8</f>
        <v>614.8775781600001</v>
      </c>
      <c r="D8" s="438">
        <f>SUM('관리수수료 트렌드 정리'!D63:D74)</f>
        <v>311.06231604253765</v>
      </c>
      <c r="E8" s="439">
        <f>SUM('관리수수료 트렌드 정리'!C63:C74)</f>
        <v>170.37647784746238</v>
      </c>
      <c r="F8" s="439">
        <f>SUM('관리수수료 트렌드 정리'!E63:E74)</f>
        <v>69.930816120000003</v>
      </c>
      <c r="G8" s="439">
        <f>SUM('관리수수료 트렌드 정리'!J63:M74)</f>
        <v>63.507968149999989</v>
      </c>
      <c r="H8" s="440"/>
      <c r="I8" s="439"/>
    </row>
    <row r="9" spans="2:14" ht="30.5" customHeight="1" x14ac:dyDescent="0.35">
      <c r="B9" s="270" t="s">
        <v>213</v>
      </c>
      <c r="C9" s="437">
        <f>D9+E9+F9+G9+I9</f>
        <v>717.87909192167194</v>
      </c>
      <c r="D9" s="438">
        <f>'소매 (E)'!C4</f>
        <v>322</v>
      </c>
      <c r="E9" s="439">
        <f>'도매(E)'!C4</f>
        <v>141.31445681860001</v>
      </c>
      <c r="F9" s="439">
        <f>'디지털(E)'!C3</f>
        <v>68.900000000000006</v>
      </c>
      <c r="G9" s="439">
        <f>SUM('관리수수료 트렌드 정리'!J75:M86)</f>
        <v>86.448425710000009</v>
      </c>
      <c r="H9" s="439">
        <f>'소상공인(E)'!C3</f>
        <v>16.325662454545455</v>
      </c>
      <c r="I9" s="439">
        <f>'소매 (E)'!C10</f>
        <v>99.216209393071992</v>
      </c>
    </row>
    <row r="10" spans="2:14" ht="30.5" customHeight="1" x14ac:dyDescent="0.35">
      <c r="B10" s="271" t="s">
        <v>281</v>
      </c>
      <c r="C10" s="437">
        <f>D10+E10+F10+G10+H10+I10</f>
        <v>650.10979342490907</v>
      </c>
      <c r="D10" s="441">
        <f>'소매 (E)'!C5</f>
        <v>290.27044956014834</v>
      </c>
      <c r="E10" s="442">
        <f>'도매(E)'!C5</f>
        <v>136.4348501375147</v>
      </c>
      <c r="F10" s="442">
        <f>'디지털(E)'!C4</f>
        <v>60.040496189999992</v>
      </c>
      <c r="G10" s="442">
        <f>'B2B(E)'!AQ5</f>
        <v>54.121058100000006</v>
      </c>
      <c r="H10" s="442">
        <f>'소상공인(E)'!C4</f>
        <v>14.470160067246084</v>
      </c>
      <c r="I10" s="442">
        <f>'소매 (E)'!C11</f>
        <v>94.772779370000009</v>
      </c>
    </row>
    <row r="11" spans="2:14" ht="30.5" customHeight="1" x14ac:dyDescent="0.35">
      <c r="B11" s="271" t="s">
        <v>249</v>
      </c>
      <c r="C11" s="437">
        <f>D11+E11+F11+G11+H11+I11</f>
        <v>604.56068432821417</v>
      </c>
      <c r="D11" s="441">
        <f>'소매 (E)'!C6</f>
        <v>283.04188852138321</v>
      </c>
      <c r="E11" s="442">
        <f>'도매(E)'!C6</f>
        <v>109.63096927083342</v>
      </c>
      <c r="F11" s="442">
        <f>'디지털(E)'!C5</f>
        <v>52.915118788751485</v>
      </c>
      <c r="G11" s="442">
        <v>54.519283849999994</v>
      </c>
      <c r="H11" s="442">
        <v>14.470160067246084</v>
      </c>
      <c r="I11" s="442">
        <v>89.983263829999999</v>
      </c>
    </row>
    <row r="12" spans="2:14" ht="30.5" customHeight="1" thickBot="1" x14ac:dyDescent="0.4">
      <c r="B12" s="271" t="s">
        <v>250</v>
      </c>
      <c r="C12" s="443">
        <f>D12+E12+F12+G12+H12+I12</f>
        <v>55.381674495145148</v>
      </c>
      <c r="D12" s="441"/>
      <c r="E12" s="442"/>
      <c r="F12" s="442">
        <f>'디지털(E)'!C6</f>
        <v>55.381674495145148</v>
      </c>
      <c r="G12" s="442"/>
      <c r="H12" s="442">
        <f>'소상공인(E)'!C6</f>
        <v>0</v>
      </c>
      <c r="I12" s="442">
        <f>'소매 (E)'!C13</f>
        <v>0</v>
      </c>
      <c r="K12">
        <v>130</v>
      </c>
      <c r="L12">
        <v>22</v>
      </c>
      <c r="M12">
        <v>76</v>
      </c>
      <c r="N12">
        <v>130</v>
      </c>
    </row>
    <row r="13" spans="2:14" ht="21.5" thickTop="1" x14ac:dyDescent="0.5">
      <c r="B13" s="238"/>
      <c r="C13" s="238"/>
      <c r="K13">
        <v>200</v>
      </c>
      <c r="L13">
        <v>23</v>
      </c>
      <c r="M13">
        <v>90</v>
      </c>
      <c r="N13">
        <v>150</v>
      </c>
    </row>
    <row r="14" spans="2:14" ht="21" x14ac:dyDescent="0.5">
      <c r="D14" s="379">
        <v>100</v>
      </c>
      <c r="E14" s="379"/>
      <c r="F14" s="320">
        <v>60</v>
      </c>
      <c r="G14" s="319">
        <v>30</v>
      </c>
      <c r="H14" s="319">
        <v>-50</v>
      </c>
      <c r="I14" s="322">
        <v>50</v>
      </c>
      <c r="K14" s="322">
        <v>200</v>
      </c>
      <c r="L14" s="319">
        <v>24</v>
      </c>
      <c r="M14" s="319">
        <v>144</v>
      </c>
      <c r="N14" s="319">
        <v>210</v>
      </c>
    </row>
    <row r="15" spans="2:14" x14ac:dyDescent="0.35">
      <c r="D15" s="321">
        <v>100</v>
      </c>
      <c r="E15" s="321">
        <v>30</v>
      </c>
      <c r="F15" s="321">
        <v>50</v>
      </c>
      <c r="G15" s="321">
        <v>30</v>
      </c>
      <c r="H15" s="321">
        <v>-50</v>
      </c>
      <c r="I15" s="321">
        <v>50</v>
      </c>
      <c r="J15" s="321"/>
      <c r="K15" s="321">
        <v>210</v>
      </c>
      <c r="L15" s="321">
        <v>25</v>
      </c>
      <c r="M15" s="321">
        <v>13</v>
      </c>
      <c r="N15" s="321">
        <v>210</v>
      </c>
    </row>
    <row r="16" spans="2:14" x14ac:dyDescent="0.35">
      <c r="D16" s="319">
        <v>40</v>
      </c>
      <c r="K16">
        <v>260</v>
      </c>
      <c r="L16" s="321">
        <v>26</v>
      </c>
    </row>
    <row r="17" spans="2:12" x14ac:dyDescent="0.35">
      <c r="K17">
        <v>20</v>
      </c>
      <c r="L17">
        <v>27</v>
      </c>
    </row>
    <row r="18" spans="2:12" ht="16.5" x14ac:dyDescent="0.45">
      <c r="B18" s="318" t="s">
        <v>282</v>
      </c>
    </row>
    <row r="19" spans="2:12" x14ac:dyDescent="0.35">
      <c r="B19">
        <v>160</v>
      </c>
      <c r="D19" s="321">
        <v>100</v>
      </c>
      <c r="E19" s="321">
        <v>30</v>
      </c>
      <c r="F19" s="321">
        <v>50</v>
      </c>
      <c r="G19" s="321">
        <v>30</v>
      </c>
      <c r="H19" s="321">
        <v>0</v>
      </c>
      <c r="I19" s="321">
        <v>50</v>
      </c>
      <c r="K19">
        <v>200</v>
      </c>
    </row>
    <row r="20" spans="2:12" x14ac:dyDescent="0.35">
      <c r="B20">
        <v>210</v>
      </c>
      <c r="K20">
        <v>200</v>
      </c>
    </row>
  </sheetData>
  <mergeCells count="1">
    <mergeCell ref="D14:E1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56A1-5EEC-4B00-809F-BA1E1CBC9278}">
  <sheetPr>
    <tabColor rgb="FFFF0000"/>
  </sheetPr>
  <dimension ref="A26:AP99"/>
  <sheetViews>
    <sheetView showGridLines="0" zoomScaleNormal="100" zoomScaleSheetLayoutView="100" workbookViewId="0">
      <selection activeCell="T66" sqref="A64:T67"/>
    </sheetView>
  </sheetViews>
  <sheetFormatPr defaultRowHeight="14.5" outlineLevelCol="1" x14ac:dyDescent="0.35"/>
  <cols>
    <col min="2" max="3" width="13.81640625" customWidth="1"/>
    <col min="4" max="4" width="18.7265625" customWidth="1"/>
    <col min="5" max="16" width="18.7265625" hidden="1" customWidth="1" outlineLevel="1"/>
    <col min="17" max="17" width="13.81640625" customWidth="1" collapsed="1"/>
    <col min="18" max="21" width="13.81640625" customWidth="1"/>
    <col min="22" max="22" width="15.7265625" bestFit="1" customWidth="1"/>
    <col min="23" max="30" width="13.81640625" customWidth="1"/>
    <col min="31" max="16384" width="8.7265625" style="168"/>
  </cols>
  <sheetData>
    <row r="26" hidden="1" x14ac:dyDescent="0.35"/>
    <row r="27" hidden="1" x14ac:dyDescent="0.35"/>
    <row r="28" hidden="1" x14ac:dyDescent="0.35"/>
    <row r="29" hidden="1" x14ac:dyDescent="0.35"/>
    <row r="30" hidden="1" x14ac:dyDescent="0.35"/>
    <row r="31" hidden="1" x14ac:dyDescent="0.35"/>
    <row r="32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spans="2:30" hidden="1" x14ac:dyDescent="0.35"/>
    <row r="50" spans="2:30" hidden="1" x14ac:dyDescent="0.35"/>
    <row r="51" spans="2:30" hidden="1" x14ac:dyDescent="0.35"/>
    <row r="52" spans="2:30" hidden="1" x14ac:dyDescent="0.35"/>
    <row r="53" spans="2:30" hidden="1" x14ac:dyDescent="0.35"/>
    <row r="54" spans="2:30" hidden="1" x14ac:dyDescent="0.35"/>
    <row r="55" spans="2:30" hidden="1" x14ac:dyDescent="0.35"/>
    <row r="56" spans="2:30" hidden="1" x14ac:dyDescent="0.35"/>
    <row r="57" spans="2:30" hidden="1" x14ac:dyDescent="0.35"/>
    <row r="58" spans="2:30" hidden="1" x14ac:dyDescent="0.35"/>
    <row r="59" spans="2:30" hidden="1" x14ac:dyDescent="0.35"/>
    <row r="60" spans="2:30" hidden="1" x14ac:dyDescent="0.35"/>
    <row r="61" spans="2:30" hidden="1" x14ac:dyDescent="0.35"/>
    <row r="62" spans="2:30" hidden="1" x14ac:dyDescent="0.35">
      <c r="E62">
        <v>75</v>
      </c>
      <c r="F62">
        <v>76</v>
      </c>
      <c r="G62">
        <v>77</v>
      </c>
      <c r="H62">
        <v>78</v>
      </c>
      <c r="I62">
        <v>79</v>
      </c>
      <c r="J62">
        <v>80</v>
      </c>
      <c r="K62">
        <v>81</v>
      </c>
      <c r="L62">
        <v>82</v>
      </c>
      <c r="M62">
        <v>83</v>
      </c>
      <c r="N62">
        <v>84</v>
      </c>
      <c r="O62">
        <v>85</v>
      </c>
      <c r="P62">
        <v>86</v>
      </c>
    </row>
    <row r="63" spans="2:30" ht="15" x14ac:dyDescent="0.4">
      <c r="B63" s="365" t="s">
        <v>10</v>
      </c>
      <c r="C63" s="365"/>
      <c r="D63" s="366"/>
      <c r="E63" s="229">
        <v>2401</v>
      </c>
      <c r="F63" s="229">
        <v>2402</v>
      </c>
      <c r="G63" s="229">
        <v>2403</v>
      </c>
      <c r="H63" s="229">
        <v>2404</v>
      </c>
      <c r="I63" s="229">
        <v>2405</v>
      </c>
      <c r="J63" s="229">
        <v>2406</v>
      </c>
      <c r="K63" s="229">
        <v>2407</v>
      </c>
      <c r="L63" s="229">
        <v>2408</v>
      </c>
      <c r="M63" s="229">
        <v>2409</v>
      </c>
      <c r="N63" s="229">
        <v>2410</v>
      </c>
      <c r="O63" s="229">
        <v>2411</v>
      </c>
      <c r="P63" s="229">
        <v>2412</v>
      </c>
      <c r="Q63" s="140">
        <v>2501</v>
      </c>
      <c r="R63" s="140">
        <v>2502</v>
      </c>
      <c r="S63" s="140">
        <v>2503</v>
      </c>
      <c r="T63" s="140">
        <v>2504</v>
      </c>
      <c r="U63" s="140">
        <v>2505</v>
      </c>
      <c r="V63" s="140">
        <v>2506</v>
      </c>
      <c r="W63" s="140">
        <v>2507</v>
      </c>
      <c r="X63" s="140">
        <v>2508</v>
      </c>
      <c r="Y63" s="140">
        <v>2509</v>
      </c>
      <c r="Z63" s="140">
        <v>2510</v>
      </c>
      <c r="AA63" s="140">
        <v>2511</v>
      </c>
      <c r="AB63" s="140">
        <v>2512</v>
      </c>
      <c r="AC63" s="141" t="s">
        <v>112</v>
      </c>
      <c r="AD63" s="141" t="s">
        <v>113</v>
      </c>
    </row>
    <row r="64" spans="2:30" ht="15" x14ac:dyDescent="0.4">
      <c r="B64" s="367" t="s">
        <v>26</v>
      </c>
      <c r="C64" s="368"/>
      <c r="D64" s="142" t="s">
        <v>109</v>
      </c>
      <c r="E64" s="143">
        <v>27</v>
      </c>
      <c r="F64" s="143">
        <v>27.4</v>
      </c>
      <c r="G64" s="143">
        <v>26.9</v>
      </c>
      <c r="H64" s="143">
        <v>27.1</v>
      </c>
      <c r="I64" s="143">
        <v>26.8</v>
      </c>
      <c r="J64" s="143">
        <v>27.1</v>
      </c>
      <c r="K64" s="143">
        <v>27</v>
      </c>
      <c r="L64" s="143">
        <v>26.8</v>
      </c>
      <c r="M64" s="143">
        <v>26.9</v>
      </c>
      <c r="N64" s="143">
        <v>26.6</v>
      </c>
      <c r="O64" s="143">
        <v>26.4</v>
      </c>
      <c r="P64" s="143">
        <v>26</v>
      </c>
      <c r="Q64" s="143">
        <v>23.890353636317499</v>
      </c>
      <c r="R64" s="143">
        <v>24.7013072668055</v>
      </c>
      <c r="S64" s="143">
        <v>25.050896464807799</v>
      </c>
      <c r="T64" s="143">
        <v>23.8094090845251</v>
      </c>
      <c r="U64" s="143">
        <v>23.575919609002199</v>
      </c>
      <c r="V64" s="143">
        <f>V65+V66</f>
        <v>24.228225378433898</v>
      </c>
      <c r="W64" s="143">
        <f t="shared" ref="W64:Z64" si="0">W65+W66</f>
        <v>29.315020192624178</v>
      </c>
      <c r="X64" s="143">
        <f t="shared" si="0"/>
        <v>27.780371358018428</v>
      </c>
      <c r="Y64" s="143">
        <f t="shared" si="0"/>
        <v>28.513277641250681</v>
      </c>
      <c r="Z64" s="143">
        <f t="shared" si="0"/>
        <v>28.40653107094575</v>
      </c>
      <c r="AA64" s="143"/>
      <c r="AB64" s="143"/>
      <c r="AC64" s="143"/>
      <c r="AD64" s="146"/>
    </row>
    <row r="65" spans="2:30" ht="15" x14ac:dyDescent="0.4">
      <c r="B65" s="369"/>
      <c r="C65" s="370"/>
      <c r="D65" s="144" t="s">
        <v>70</v>
      </c>
      <c r="E65" s="217">
        <f>E64-E66</f>
        <v>23.23254170909091</v>
      </c>
      <c r="F65" s="217">
        <f t="shared" ref="F65:P65" si="1">F64-F66</f>
        <v>23.638276345454543</v>
      </c>
      <c r="G65" s="217">
        <f t="shared" si="1"/>
        <v>23.080874654545454</v>
      </c>
      <c r="H65" s="217">
        <f t="shared" si="1"/>
        <v>23.254129290909091</v>
      </c>
      <c r="I65" s="217">
        <f t="shared" si="1"/>
        <v>23.032484127272728</v>
      </c>
      <c r="J65" s="217">
        <f t="shared" si="1"/>
        <v>23.332454600000002</v>
      </c>
      <c r="K65" s="217">
        <f t="shared" si="1"/>
        <v>23.242897509090909</v>
      </c>
      <c r="L65" s="217">
        <f t="shared" si="1"/>
        <v>23.106259845454545</v>
      </c>
      <c r="M65" s="217">
        <f t="shared" si="1"/>
        <v>23.190662436363635</v>
      </c>
      <c r="N65" s="217">
        <f t="shared" si="1"/>
        <v>22.880206072727276</v>
      </c>
      <c r="O65" s="217">
        <f t="shared" si="1"/>
        <v>22.721913781818181</v>
      </c>
      <c r="P65" s="217">
        <f t="shared" si="1"/>
        <v>22.313856636363639</v>
      </c>
      <c r="Q65" s="217">
        <v>20.4028175363175</v>
      </c>
      <c r="R65" s="217">
        <v>20.814095912260047</v>
      </c>
      <c r="S65" s="217">
        <v>20.926437392080526</v>
      </c>
      <c r="T65" s="217">
        <v>20.153445729979644</v>
      </c>
      <c r="U65" s="217">
        <v>19.901025872638563</v>
      </c>
      <c r="V65" s="217">
        <v>20.510782387524806</v>
      </c>
      <c r="W65" s="217">
        <v>25.571296610805998</v>
      </c>
      <c r="X65" s="217">
        <v>23.976149658018429</v>
      </c>
      <c r="Y65" s="217">
        <v>24.6919041594325</v>
      </c>
      <c r="Z65" s="217">
        <v>24.564482698218477</v>
      </c>
      <c r="AA65" s="217"/>
      <c r="AB65" s="217"/>
      <c r="AC65" s="217"/>
      <c r="AD65" s="218"/>
    </row>
    <row r="66" spans="2:30" ht="15" x14ac:dyDescent="0.4">
      <c r="B66" s="371"/>
      <c r="C66" s="372"/>
      <c r="D66" s="144" t="s">
        <v>71</v>
      </c>
      <c r="E66" s="145">
        <v>3.7674582909090906</v>
      </c>
      <c r="F66" s="145">
        <v>3.7617236545454542</v>
      </c>
      <c r="G66" s="145">
        <v>3.8191253454545451</v>
      </c>
      <c r="H66" s="145">
        <v>3.8458707090909088</v>
      </c>
      <c r="I66" s="145">
        <v>3.7675158727272726</v>
      </c>
      <c r="J66" s="145">
        <v>3.7675453999999995</v>
      </c>
      <c r="K66" s="145">
        <v>3.7571024909090904</v>
      </c>
      <c r="L66" s="145">
        <v>3.6937401545454542</v>
      </c>
      <c r="M66" s="145">
        <v>3.709337563636363</v>
      </c>
      <c r="N66" s="145">
        <v>3.7197939272727267</v>
      </c>
      <c r="O66" s="145">
        <v>3.6780862181818179</v>
      </c>
      <c r="P66" s="145">
        <v>3.6861433636363632</v>
      </c>
      <c r="Q66" s="145">
        <v>3.4875360999999998</v>
      </c>
      <c r="R66" s="145">
        <v>3.8872113545454545</v>
      </c>
      <c r="S66" s="145">
        <v>4.1244590727272721</v>
      </c>
      <c r="T66" s="145">
        <v>3.6559633545454542</v>
      </c>
      <c r="U66" s="145">
        <v>3.6748937363636363</v>
      </c>
      <c r="V66" s="145">
        <v>3.7174429909090905</v>
      </c>
      <c r="W66" s="145">
        <v>3.74372358181818</v>
      </c>
      <c r="X66" s="145">
        <v>3.8042216999999998</v>
      </c>
      <c r="Y66" s="145">
        <v>3.8213734818181813</v>
      </c>
      <c r="Z66" s="145">
        <v>3.8420483727272727</v>
      </c>
      <c r="AA66" s="145"/>
      <c r="AB66" s="145"/>
      <c r="AC66" s="145"/>
      <c r="AD66" s="147"/>
    </row>
    <row r="67" spans="2:30" ht="15" x14ac:dyDescent="0.4">
      <c r="B67" s="365" t="s">
        <v>10</v>
      </c>
      <c r="C67" s="365"/>
      <c r="D67" s="366"/>
      <c r="E67" s="229">
        <v>2401</v>
      </c>
      <c r="F67" s="229">
        <v>2402</v>
      </c>
      <c r="G67" s="229">
        <v>2403</v>
      </c>
      <c r="H67" s="229">
        <v>2404</v>
      </c>
      <c r="I67" s="229">
        <v>2405</v>
      </c>
      <c r="J67" s="229">
        <v>2406</v>
      </c>
      <c r="K67" s="229">
        <v>2407</v>
      </c>
      <c r="L67" s="229">
        <v>2408</v>
      </c>
      <c r="M67" s="229">
        <v>2409</v>
      </c>
      <c r="N67" s="229">
        <v>2410</v>
      </c>
      <c r="O67" s="229">
        <v>2411</v>
      </c>
      <c r="P67" s="229">
        <v>2412</v>
      </c>
      <c r="Q67" s="140">
        <v>2501</v>
      </c>
      <c r="R67" s="140">
        <v>2502</v>
      </c>
      <c r="S67" s="140">
        <v>2503</v>
      </c>
      <c r="T67" s="140">
        <v>2504</v>
      </c>
      <c r="U67" s="140">
        <v>2505</v>
      </c>
      <c r="V67" s="140">
        <v>2506</v>
      </c>
      <c r="W67" s="140">
        <v>2507</v>
      </c>
      <c r="X67" s="140">
        <v>2508</v>
      </c>
      <c r="Y67" s="140">
        <v>2509</v>
      </c>
      <c r="Z67" s="140">
        <v>2510</v>
      </c>
      <c r="AA67" s="140">
        <v>2511</v>
      </c>
      <c r="AB67" s="140">
        <v>2512</v>
      </c>
      <c r="AC67" s="141" t="s">
        <v>112</v>
      </c>
      <c r="AD67" s="141" t="s">
        <v>113</v>
      </c>
    </row>
    <row r="68" spans="2:30" ht="15" x14ac:dyDescent="0.4">
      <c r="B68" s="367" t="s">
        <v>32</v>
      </c>
      <c r="C68" s="368"/>
      <c r="D68" s="142" t="s">
        <v>109</v>
      </c>
      <c r="E68" s="143">
        <f>SUM(E69:E71)</f>
        <v>8.3630734600000007</v>
      </c>
      <c r="F68" s="143">
        <f t="shared" ref="F68:P68" si="2">SUM(F69:F71)</f>
        <v>7.4613187610590836</v>
      </c>
      <c r="G68" s="143">
        <f t="shared" si="2"/>
        <v>7.5899537946190829</v>
      </c>
      <c r="H68" s="143">
        <f t="shared" si="2"/>
        <v>4.8425968090911473</v>
      </c>
      <c r="I68" s="143">
        <f t="shared" si="2"/>
        <v>6.1175146962040525</v>
      </c>
      <c r="J68" s="143">
        <f t="shared" si="2"/>
        <v>6.3733312678490828</v>
      </c>
      <c r="K68" s="143">
        <f t="shared" si="2"/>
        <v>7.9993811042495535</v>
      </c>
      <c r="L68" s="143">
        <f t="shared" si="2"/>
        <v>7.1907802900000002</v>
      </c>
      <c r="M68" s="143">
        <f t="shared" si="2"/>
        <v>5.5329017999999994</v>
      </c>
      <c r="N68" s="143">
        <f t="shared" si="2"/>
        <v>12.734405110000001</v>
      </c>
      <c r="O68" s="143">
        <f t="shared" si="2"/>
        <v>3.9508259800000003</v>
      </c>
      <c r="P68" s="143">
        <f t="shared" si="2"/>
        <v>21.060126320000002</v>
      </c>
      <c r="Q68" s="143">
        <v>6.0540025899999996</v>
      </c>
      <c r="R68" s="143">
        <v>7.7356880200000004</v>
      </c>
      <c r="S68" s="143">
        <v>4.7217180299999999</v>
      </c>
      <c r="T68" s="143">
        <v>13.8960987</v>
      </c>
      <c r="U68" s="143">
        <v>4.3757564899999997</v>
      </c>
      <c r="V68" s="143">
        <f>V69+V70+V71</f>
        <v>13.00069583</v>
      </c>
      <c r="W68" s="143">
        <f t="shared" ref="W68:Z68" si="3">W69+W70+W71</f>
        <v>7.4690453299999993</v>
      </c>
      <c r="X68" s="143">
        <f t="shared" si="3"/>
        <v>6.4659673599999996</v>
      </c>
      <c r="Y68" s="143">
        <f t="shared" si="3"/>
        <v>8.0688768799999995</v>
      </c>
      <c r="Z68" s="143">
        <f t="shared" si="3"/>
        <v>7.2972452399999996</v>
      </c>
      <c r="AA68" s="143"/>
      <c r="AB68" s="143"/>
      <c r="AC68" s="143"/>
      <c r="AD68" s="146"/>
    </row>
    <row r="69" spans="2:30" ht="14.5" customHeight="1" x14ac:dyDescent="0.4">
      <c r="B69" s="369"/>
      <c r="C69" s="370"/>
      <c r="D69" s="144" t="s">
        <v>20</v>
      </c>
      <c r="E69" s="145">
        <v>6.9</v>
      </c>
      <c r="F69" s="145">
        <v>7.3</v>
      </c>
      <c r="G69" s="145">
        <v>7.3</v>
      </c>
      <c r="H69" s="145">
        <v>7.35</v>
      </c>
      <c r="I69" s="145">
        <v>7.3868889199999996</v>
      </c>
      <c r="J69" s="145">
        <v>7.3146807799999998</v>
      </c>
      <c r="K69" s="145">
        <v>7.6354254900000003</v>
      </c>
      <c r="L69" s="145">
        <v>7.4</v>
      </c>
      <c r="M69" s="145">
        <v>7.6538857499999997</v>
      </c>
      <c r="N69" s="145">
        <v>7.86863885</v>
      </c>
      <c r="O69" s="145">
        <v>7.6142395199999999</v>
      </c>
      <c r="P69" s="145">
        <v>7.94</v>
      </c>
      <c r="Q69" s="145">
        <v>7.9</v>
      </c>
      <c r="R69" s="145">
        <v>7.97160958</v>
      </c>
      <c r="S69" s="145">
        <v>7.4216384199999998</v>
      </c>
      <c r="T69" s="145">
        <v>7.6139127899999997</v>
      </c>
      <c r="U69" s="145">
        <v>7.6228569999999998</v>
      </c>
      <c r="V69" s="145">
        <f>'관리수수료 트렌드 정리'!Q92</f>
        <v>7.7721819999999999</v>
      </c>
      <c r="W69" s="145">
        <v>7.4912716799999997</v>
      </c>
      <c r="X69" s="145">
        <v>6.6766701099999999</v>
      </c>
      <c r="Y69" s="145">
        <v>6.9000006899999997</v>
      </c>
      <c r="Z69" s="145">
        <v>6.8727279599999997</v>
      </c>
      <c r="AA69" s="145"/>
      <c r="AB69" s="145"/>
      <c r="AC69" s="145"/>
      <c r="AD69" s="147"/>
    </row>
    <row r="70" spans="2:30" ht="14.5" customHeight="1" x14ac:dyDescent="0.4">
      <c r="B70" s="369"/>
      <c r="C70" s="370"/>
      <c r="D70" s="144" t="s">
        <v>21</v>
      </c>
      <c r="E70" s="145">
        <v>0.69062104000000002</v>
      </c>
      <c r="F70" s="145">
        <v>0.67475181000000006</v>
      </c>
      <c r="G70" s="145">
        <v>0.65596743000000002</v>
      </c>
      <c r="H70" s="145">
        <v>0.66106860999999995</v>
      </c>
      <c r="I70" s="145">
        <v>0.66754687999999995</v>
      </c>
      <c r="J70" s="145">
        <v>0.64455618000000003</v>
      </c>
      <c r="K70" s="145">
        <v>0.70951200000000003</v>
      </c>
      <c r="L70" s="145">
        <v>0.70516719999999999</v>
      </c>
      <c r="M70" s="145">
        <v>0.62985632999999996</v>
      </c>
      <c r="N70" s="145">
        <v>0.65229932000000002</v>
      </c>
      <c r="O70" s="145">
        <v>0.63941378000000004</v>
      </c>
      <c r="P70" s="145">
        <v>0.61422584999999996</v>
      </c>
      <c r="Q70" s="145">
        <v>0.60595882000000001</v>
      </c>
      <c r="R70" s="145">
        <v>0.66603878000000005</v>
      </c>
      <c r="S70" s="145">
        <v>0.63645967999999997</v>
      </c>
      <c r="T70" s="145">
        <v>0.57387266000000003</v>
      </c>
      <c r="U70" s="145">
        <v>0.69777632999999994</v>
      </c>
      <c r="V70" s="145">
        <f>'관리수수료 트렌드 정리'!R92</f>
        <v>0.75951674000000002</v>
      </c>
      <c r="W70" s="145">
        <v>0.68965745000000001</v>
      </c>
      <c r="X70" s="145">
        <v>0.63667795999999999</v>
      </c>
      <c r="Y70" s="145">
        <v>0.63216598000000002</v>
      </c>
      <c r="Z70" s="145">
        <v>0.58205907999999995</v>
      </c>
      <c r="AA70" s="145"/>
      <c r="AB70" s="145"/>
      <c r="AC70" s="145"/>
      <c r="AD70" s="147"/>
    </row>
    <row r="71" spans="2:30" ht="14.5" customHeight="1" x14ac:dyDescent="0.4">
      <c r="B71" s="371"/>
      <c r="C71" s="372"/>
      <c r="D71" s="144" t="s">
        <v>110</v>
      </c>
      <c r="E71" s="145">
        <v>0.77245242000000003</v>
      </c>
      <c r="F71" s="145">
        <v>-0.51343304894091601</v>
      </c>
      <c r="G71" s="145">
        <v>-0.36601363538091658</v>
      </c>
      <c r="H71" s="145">
        <v>-3.1684718009088515</v>
      </c>
      <c r="I71" s="145">
        <v>-1.936921103795948</v>
      </c>
      <c r="J71" s="145">
        <v>-1.5859056921509171</v>
      </c>
      <c r="K71" s="145">
        <v>-0.34555638575044634</v>
      </c>
      <c r="L71" s="145">
        <v>-0.91438691000000005</v>
      </c>
      <c r="M71" s="145">
        <v>-2.7508402799999998</v>
      </c>
      <c r="N71" s="145">
        <v>4.21346694</v>
      </c>
      <c r="O71" s="145">
        <v>-4.3028273199999996</v>
      </c>
      <c r="P71" s="145">
        <v>12.50590047</v>
      </c>
      <c r="Q71" s="145">
        <v>-2.45195623</v>
      </c>
      <c r="R71" s="145">
        <v>-0.90196034000000003</v>
      </c>
      <c r="S71" s="145">
        <v>-3.3363800700000001</v>
      </c>
      <c r="T71" s="145">
        <v>5.7083132499999998</v>
      </c>
      <c r="U71" s="145">
        <v>-3.9448768400000001</v>
      </c>
      <c r="V71" s="145">
        <f>'관리수수료 트렌드 정리'!P92</f>
        <v>4.4689970900000002</v>
      </c>
      <c r="W71" s="145">
        <v>-0.71188379999999996</v>
      </c>
      <c r="X71" s="145">
        <v>-0.84738071000000004</v>
      </c>
      <c r="Y71" s="145">
        <v>0.53671020999999997</v>
      </c>
      <c r="Z71" s="145">
        <v>-0.15754180000000001</v>
      </c>
      <c r="AA71" s="145"/>
      <c r="AB71" s="145"/>
      <c r="AC71" s="145"/>
      <c r="AD71" s="147"/>
    </row>
    <row r="72" spans="2:30" ht="15" x14ac:dyDescent="0.4">
      <c r="B72" s="365" t="s">
        <v>10</v>
      </c>
      <c r="C72" s="365"/>
      <c r="D72" s="366"/>
      <c r="E72" s="229">
        <v>2401</v>
      </c>
      <c r="F72" s="229">
        <v>2402</v>
      </c>
      <c r="G72" s="229">
        <v>2403</v>
      </c>
      <c r="H72" s="229">
        <v>2404</v>
      </c>
      <c r="I72" s="229">
        <v>2405</v>
      </c>
      <c r="J72" s="229">
        <v>2406</v>
      </c>
      <c r="K72" s="229">
        <v>2407</v>
      </c>
      <c r="L72" s="229">
        <v>2408</v>
      </c>
      <c r="M72" s="229">
        <v>2409</v>
      </c>
      <c r="N72" s="229">
        <v>2410</v>
      </c>
      <c r="O72" s="229">
        <v>2411</v>
      </c>
      <c r="P72" s="229">
        <v>2412</v>
      </c>
      <c r="Q72" s="140">
        <v>2501</v>
      </c>
      <c r="R72" s="140">
        <v>2502</v>
      </c>
      <c r="S72" s="140">
        <v>2503</v>
      </c>
      <c r="T72" s="140">
        <v>2504</v>
      </c>
      <c r="U72" s="140">
        <v>2505</v>
      </c>
      <c r="V72" s="140">
        <v>2506</v>
      </c>
      <c r="W72" s="140">
        <v>2507</v>
      </c>
      <c r="X72" s="140">
        <v>2508</v>
      </c>
      <c r="Y72" s="140">
        <v>2509</v>
      </c>
      <c r="Z72" s="140">
        <v>2510</v>
      </c>
      <c r="AA72" s="140">
        <v>2511</v>
      </c>
      <c r="AB72" s="140">
        <v>2512</v>
      </c>
      <c r="AC72" s="141" t="s">
        <v>112</v>
      </c>
      <c r="AD72" s="141" t="s">
        <v>113</v>
      </c>
    </row>
    <row r="73" spans="2:30" ht="15" x14ac:dyDescent="0.4">
      <c r="B73" s="367" t="s">
        <v>205</v>
      </c>
      <c r="C73" s="368"/>
      <c r="D73" s="142" t="s">
        <v>109</v>
      </c>
      <c r="E73" s="148">
        <f>E74+E77</f>
        <v>894405</v>
      </c>
      <c r="F73" s="148">
        <f t="shared" ref="F73:P73" si="4">F74+F77</f>
        <v>893011</v>
      </c>
      <c r="G73" s="148">
        <f t="shared" si="4"/>
        <v>892673</v>
      </c>
      <c r="H73" s="148">
        <f t="shared" si="4"/>
        <v>890727</v>
      </c>
      <c r="I73" s="148">
        <f t="shared" si="4"/>
        <v>889722</v>
      </c>
      <c r="J73" s="148">
        <f t="shared" si="4"/>
        <v>890125</v>
      </c>
      <c r="K73" s="148">
        <f t="shared" si="4"/>
        <v>890893</v>
      </c>
      <c r="L73" s="148">
        <f t="shared" si="4"/>
        <v>892043</v>
      </c>
      <c r="M73" s="148">
        <f t="shared" si="4"/>
        <v>890763</v>
      </c>
      <c r="N73" s="148">
        <f t="shared" si="4"/>
        <v>883936</v>
      </c>
      <c r="O73" s="148">
        <f t="shared" si="4"/>
        <v>887759</v>
      </c>
      <c r="P73" s="148">
        <f t="shared" si="4"/>
        <v>886188</v>
      </c>
      <c r="Q73" s="148">
        <v>863927</v>
      </c>
      <c r="R73" s="148">
        <v>867687</v>
      </c>
      <c r="S73" s="148">
        <v>868817</v>
      </c>
      <c r="T73" s="148">
        <v>873806</v>
      </c>
      <c r="U73" s="148">
        <v>891478</v>
      </c>
      <c r="V73" s="148">
        <f t="shared" ref="V73:Z73" si="5">V74+V77</f>
        <v>829860</v>
      </c>
      <c r="W73" s="148">
        <f t="shared" si="5"/>
        <v>829106</v>
      </c>
      <c r="X73" s="148">
        <f t="shared" si="5"/>
        <v>825302</v>
      </c>
      <c r="Y73" s="148">
        <f t="shared" si="5"/>
        <v>820999</v>
      </c>
      <c r="Z73" s="148">
        <f t="shared" si="5"/>
        <v>815114</v>
      </c>
      <c r="AA73" s="148"/>
      <c r="AB73" s="148"/>
      <c r="AC73" s="148"/>
      <c r="AD73" s="149"/>
    </row>
    <row r="74" spans="2:30" ht="15" x14ac:dyDescent="0.4">
      <c r="B74" s="369"/>
      <c r="C74" s="370"/>
      <c r="D74" s="144" t="s">
        <v>70</v>
      </c>
      <c r="E74" s="150">
        <v>749129</v>
      </c>
      <c r="F74" s="150">
        <v>748834</v>
      </c>
      <c r="G74" s="150">
        <v>748987</v>
      </c>
      <c r="H74" s="150">
        <v>747221</v>
      </c>
      <c r="I74" s="150">
        <v>747650</v>
      </c>
      <c r="J74" s="150">
        <v>750317</v>
      </c>
      <c r="K74" s="150">
        <v>752257</v>
      </c>
      <c r="L74" s="150">
        <v>755901</v>
      </c>
      <c r="M74" s="150">
        <v>756168</v>
      </c>
      <c r="N74" s="150">
        <v>751500</v>
      </c>
      <c r="O74" s="150">
        <v>756006</v>
      </c>
      <c r="P74" s="150">
        <v>755811</v>
      </c>
      <c r="Q74" s="150">
        <v>751971</v>
      </c>
      <c r="R74" s="150">
        <v>752950</v>
      </c>
      <c r="S74" s="150">
        <v>752266</v>
      </c>
      <c r="T74" s="150">
        <v>754111</v>
      </c>
      <c r="U74" s="150">
        <v>766608</v>
      </c>
      <c r="V74" s="150">
        <v>764910</v>
      </c>
      <c r="W74" s="150">
        <v>762687</v>
      </c>
      <c r="X74" s="150">
        <v>758312</v>
      </c>
      <c r="Y74" s="150">
        <v>753607</v>
      </c>
      <c r="Z74" s="150">
        <v>748268</v>
      </c>
      <c r="AA74" s="150"/>
      <c r="AB74" s="150"/>
      <c r="AC74" s="150"/>
      <c r="AD74" s="151"/>
    </row>
    <row r="75" spans="2:30" ht="15" x14ac:dyDescent="0.4">
      <c r="B75" s="369"/>
      <c r="C75" s="370"/>
      <c r="D75" s="144" t="s">
        <v>71</v>
      </c>
      <c r="E75" s="150">
        <v>145276</v>
      </c>
      <c r="F75" s="150">
        <v>144177</v>
      </c>
      <c r="G75" s="150">
        <v>143686</v>
      </c>
      <c r="H75" s="150">
        <v>143506</v>
      </c>
      <c r="I75" s="150">
        <v>142072</v>
      </c>
      <c r="J75" s="150">
        <v>139808</v>
      </c>
      <c r="K75" s="150">
        <v>138636</v>
      </c>
      <c r="L75" s="150">
        <v>136142</v>
      </c>
      <c r="M75" s="150">
        <v>134595</v>
      </c>
      <c r="N75" s="150">
        <v>132436</v>
      </c>
      <c r="O75" s="150">
        <v>131753</v>
      </c>
      <c r="P75" s="150">
        <v>130377</v>
      </c>
      <c r="Q75" s="150">
        <f>Q76+Q77</f>
        <v>128645</v>
      </c>
      <c r="R75" s="150">
        <f t="shared" ref="R75:Y75" si="6">R76+R77</f>
        <v>129575</v>
      </c>
      <c r="S75" s="150">
        <f t="shared" si="6"/>
        <v>129166</v>
      </c>
      <c r="T75" s="150">
        <f t="shared" si="6"/>
        <v>129992</v>
      </c>
      <c r="U75" s="150">
        <f t="shared" si="6"/>
        <v>134949</v>
      </c>
      <c r="V75" s="150">
        <f t="shared" si="6"/>
        <v>135217</v>
      </c>
      <c r="W75" s="150">
        <f t="shared" si="6"/>
        <v>137095</v>
      </c>
      <c r="X75" s="150">
        <f t="shared" si="6"/>
        <v>137024</v>
      </c>
      <c r="Y75" s="150">
        <f t="shared" si="6"/>
        <v>136903</v>
      </c>
      <c r="Z75" s="150">
        <f>Z76+Z77</f>
        <v>135234</v>
      </c>
      <c r="AA75" s="150"/>
      <c r="AB75" s="150"/>
      <c r="AC75" s="150"/>
      <c r="AD75" s="151"/>
    </row>
    <row r="76" spans="2:30" ht="15" x14ac:dyDescent="0.4">
      <c r="B76" s="369"/>
      <c r="C76" s="370"/>
      <c r="D76" s="144" t="s">
        <v>278</v>
      </c>
      <c r="E76" s="150">
        <v>145276</v>
      </c>
      <c r="F76" s="150">
        <v>144177</v>
      </c>
      <c r="G76" s="150">
        <v>143686</v>
      </c>
      <c r="H76" s="150">
        <v>143506</v>
      </c>
      <c r="I76" s="150">
        <v>142072</v>
      </c>
      <c r="J76" s="150">
        <v>139808</v>
      </c>
      <c r="K76" s="150">
        <v>138636</v>
      </c>
      <c r="L76" s="150">
        <v>136142</v>
      </c>
      <c r="M76" s="150">
        <v>134595</v>
      </c>
      <c r="N76" s="150">
        <v>132436</v>
      </c>
      <c r="O76" s="150">
        <v>131753</v>
      </c>
      <c r="P76" s="150">
        <v>130377</v>
      </c>
      <c r="Q76" s="150">
        <v>69550</v>
      </c>
      <c r="R76" s="150">
        <v>69467</v>
      </c>
      <c r="S76" s="150">
        <v>68835</v>
      </c>
      <c r="T76" s="150">
        <v>68722</v>
      </c>
      <c r="U76" s="150">
        <v>70687</v>
      </c>
      <c r="V76" s="150">
        <v>70267</v>
      </c>
      <c r="W76" s="150">
        <v>70676</v>
      </c>
      <c r="X76" s="150">
        <v>70034</v>
      </c>
      <c r="Y76" s="150">
        <v>69511</v>
      </c>
      <c r="Z76" s="150">
        <v>68388</v>
      </c>
      <c r="AA76" s="150"/>
      <c r="AB76" s="150"/>
      <c r="AC76" s="150"/>
      <c r="AD76" s="151"/>
    </row>
    <row r="77" spans="2:30" ht="15" x14ac:dyDescent="0.4">
      <c r="B77" s="369"/>
      <c r="C77" s="370"/>
      <c r="D77" s="144" t="s">
        <v>279</v>
      </c>
      <c r="E77" s="150">
        <v>145276</v>
      </c>
      <c r="F77" s="150">
        <v>144177</v>
      </c>
      <c r="G77" s="150">
        <v>143686</v>
      </c>
      <c r="H77" s="150">
        <v>143506</v>
      </c>
      <c r="I77" s="150">
        <v>142072</v>
      </c>
      <c r="J77" s="150">
        <v>139808</v>
      </c>
      <c r="K77" s="150">
        <v>138636</v>
      </c>
      <c r="L77" s="150">
        <v>136142</v>
      </c>
      <c r="M77" s="150">
        <v>134595</v>
      </c>
      <c r="N77" s="150">
        <v>132436</v>
      </c>
      <c r="O77" s="150">
        <v>131753</v>
      </c>
      <c r="P77" s="150">
        <v>130377</v>
      </c>
      <c r="Q77" s="150">
        <v>59095</v>
      </c>
      <c r="R77" s="150">
        <v>60108</v>
      </c>
      <c r="S77" s="150">
        <v>60331</v>
      </c>
      <c r="T77" s="150">
        <v>61270</v>
      </c>
      <c r="U77" s="150">
        <v>64262</v>
      </c>
      <c r="V77" s="150">
        <v>64950</v>
      </c>
      <c r="W77" s="150">
        <v>66419</v>
      </c>
      <c r="X77" s="150">
        <v>66990</v>
      </c>
      <c r="Y77" s="150">
        <v>67392</v>
      </c>
      <c r="Z77" s="150">
        <v>66846</v>
      </c>
      <c r="AA77" s="150"/>
      <c r="AB77" s="150"/>
      <c r="AC77" s="150"/>
      <c r="AD77" s="151"/>
    </row>
    <row r="78" spans="2:30" ht="15" x14ac:dyDescent="0.4">
      <c r="B78" s="365" t="s">
        <v>10</v>
      </c>
      <c r="C78" s="365"/>
      <c r="D78" s="366"/>
      <c r="E78" s="229">
        <v>2401</v>
      </c>
      <c r="F78" s="229">
        <v>2402</v>
      </c>
      <c r="G78" s="229">
        <v>2403</v>
      </c>
      <c r="H78" s="229">
        <v>2404</v>
      </c>
      <c r="I78" s="229">
        <v>2405</v>
      </c>
      <c r="J78" s="229">
        <v>2406</v>
      </c>
      <c r="K78" s="229">
        <v>2407</v>
      </c>
      <c r="L78" s="229">
        <v>2408</v>
      </c>
      <c r="M78" s="229">
        <v>2409</v>
      </c>
      <c r="N78" s="229">
        <v>2410</v>
      </c>
      <c r="O78" s="229">
        <v>2411</v>
      </c>
      <c r="P78" s="229">
        <v>2412</v>
      </c>
      <c r="Q78" s="140">
        <v>2501</v>
      </c>
      <c r="R78" s="140">
        <v>2502</v>
      </c>
      <c r="S78" s="140">
        <v>2503</v>
      </c>
      <c r="T78" s="140">
        <v>2504</v>
      </c>
      <c r="U78" s="140">
        <v>2505</v>
      </c>
      <c r="V78" s="140">
        <v>2506</v>
      </c>
      <c r="W78" s="140">
        <v>2507</v>
      </c>
      <c r="X78" s="140">
        <v>2508</v>
      </c>
      <c r="Y78" s="140">
        <v>2509</v>
      </c>
      <c r="Z78" s="140">
        <v>2510</v>
      </c>
      <c r="AA78" s="140">
        <v>2511</v>
      </c>
      <c r="AB78" s="140">
        <v>2512</v>
      </c>
      <c r="AC78" s="141" t="s">
        <v>112</v>
      </c>
      <c r="AD78" s="141" t="s">
        <v>113</v>
      </c>
    </row>
    <row r="79" spans="2:30" ht="15" x14ac:dyDescent="0.4">
      <c r="B79" s="367" t="s">
        <v>204</v>
      </c>
      <c r="C79" s="368"/>
      <c r="D79" s="142" t="s">
        <v>109</v>
      </c>
      <c r="E79" s="154">
        <f>E80+E83</f>
        <v>26997</v>
      </c>
      <c r="F79" s="154">
        <f t="shared" ref="F79:P79" si="7">F80+F83</f>
        <v>17538</v>
      </c>
      <c r="G79" s="154">
        <f t="shared" si="7"/>
        <v>19530</v>
      </c>
      <c r="H79" s="154">
        <f t="shared" si="7"/>
        <v>19429</v>
      </c>
      <c r="I79" s="154">
        <f t="shared" si="7"/>
        <v>19761</v>
      </c>
      <c r="J79" s="154">
        <f t="shared" si="7"/>
        <v>17706</v>
      </c>
      <c r="K79" s="154">
        <f t="shared" si="7"/>
        <v>25828.999999999993</v>
      </c>
      <c r="L79" s="154">
        <f t="shared" si="7"/>
        <v>19335</v>
      </c>
      <c r="M79" s="154">
        <f t="shared" si="7"/>
        <v>23821</v>
      </c>
      <c r="N79" s="154">
        <f t="shared" si="7"/>
        <v>19517</v>
      </c>
      <c r="O79" s="154">
        <f t="shared" si="7"/>
        <v>18278</v>
      </c>
      <c r="P79" s="154">
        <f t="shared" si="7"/>
        <v>16088</v>
      </c>
      <c r="Q79" s="154">
        <v>14423</v>
      </c>
      <c r="R79" s="154">
        <v>29919</v>
      </c>
      <c r="S79" s="154">
        <v>20890</v>
      </c>
      <c r="T79" s="154">
        <v>26775</v>
      </c>
      <c r="U79" s="154">
        <v>36758</v>
      </c>
      <c r="V79" s="154">
        <f>V80+V83</f>
        <v>20258</v>
      </c>
      <c r="W79" s="154">
        <f t="shared" ref="W79:Z79" si="8">W80+W83</f>
        <v>32204</v>
      </c>
      <c r="X79" s="154">
        <f t="shared" si="8"/>
        <v>19962</v>
      </c>
      <c r="Y79" s="154">
        <f t="shared" si="8"/>
        <v>25261</v>
      </c>
      <c r="Z79" s="154">
        <f t="shared" si="8"/>
        <v>16884</v>
      </c>
      <c r="AA79" s="154"/>
      <c r="AB79" s="154"/>
      <c r="AC79" s="154"/>
      <c r="AD79" s="155"/>
    </row>
    <row r="80" spans="2:30" ht="15" x14ac:dyDescent="0.4">
      <c r="B80" s="369"/>
      <c r="C80" s="370"/>
      <c r="D80" s="144" t="s">
        <v>70</v>
      </c>
      <c r="E80" s="156">
        <v>23395</v>
      </c>
      <c r="F80" s="156">
        <v>14757</v>
      </c>
      <c r="G80" s="156">
        <v>16162</v>
      </c>
      <c r="H80" s="156">
        <v>15877</v>
      </c>
      <c r="I80" s="156">
        <v>16155.999999999998</v>
      </c>
      <c r="J80" s="156">
        <v>14590.999999999998</v>
      </c>
      <c r="K80" s="156">
        <v>21829.999999999993</v>
      </c>
      <c r="L80" s="156">
        <v>16249.000000000002</v>
      </c>
      <c r="M80" s="156">
        <v>20549</v>
      </c>
      <c r="N80" s="156">
        <v>16254</v>
      </c>
      <c r="O80" s="156">
        <v>15024</v>
      </c>
      <c r="P80" s="156">
        <v>13168</v>
      </c>
      <c r="Q80" s="156">
        <v>11930</v>
      </c>
      <c r="R80" s="156">
        <v>25000</v>
      </c>
      <c r="S80" s="156">
        <v>17145</v>
      </c>
      <c r="T80" s="156">
        <v>22354</v>
      </c>
      <c r="U80" s="156">
        <v>29195</v>
      </c>
      <c r="V80" s="156">
        <v>18050</v>
      </c>
      <c r="W80" s="156">
        <v>29155</v>
      </c>
      <c r="X80" s="156">
        <v>17775</v>
      </c>
      <c r="Y80" s="156">
        <v>23129</v>
      </c>
      <c r="Z80" s="156">
        <v>15351</v>
      </c>
      <c r="AA80" s="156"/>
      <c r="AB80" s="156"/>
      <c r="AC80" s="156"/>
      <c r="AD80" s="157"/>
    </row>
    <row r="81" spans="2:42" ht="15" x14ac:dyDescent="0.4">
      <c r="B81" s="369"/>
      <c r="C81" s="370"/>
      <c r="D81" s="144" t="s">
        <v>71</v>
      </c>
      <c r="E81" s="156">
        <v>3602</v>
      </c>
      <c r="F81" s="156">
        <v>2781</v>
      </c>
      <c r="G81" s="156">
        <v>3368</v>
      </c>
      <c r="H81" s="156">
        <v>3552</v>
      </c>
      <c r="I81" s="156">
        <v>3605</v>
      </c>
      <c r="J81" s="156">
        <v>3115</v>
      </c>
      <c r="K81" s="156">
        <v>3999</v>
      </c>
      <c r="L81" s="156">
        <v>3086</v>
      </c>
      <c r="M81" s="156">
        <v>3272</v>
      </c>
      <c r="N81" s="156">
        <v>3263</v>
      </c>
      <c r="O81" s="156">
        <v>3254</v>
      </c>
      <c r="P81" s="156">
        <v>2920</v>
      </c>
      <c r="Q81" s="156">
        <f>Q82+Q83</f>
        <v>2493</v>
      </c>
      <c r="R81" s="156">
        <f t="shared" ref="R81:Z81" si="9">R82+R83</f>
        <v>4919</v>
      </c>
      <c r="S81" s="156">
        <f t="shared" si="9"/>
        <v>3745</v>
      </c>
      <c r="T81" s="156">
        <f t="shared" si="9"/>
        <v>4421</v>
      </c>
      <c r="U81" s="156">
        <f t="shared" si="9"/>
        <v>7562.9999999999991</v>
      </c>
      <c r="V81" s="156">
        <f t="shared" si="9"/>
        <v>4089</v>
      </c>
      <c r="W81" s="156">
        <f t="shared" si="9"/>
        <v>5722</v>
      </c>
      <c r="X81" s="156">
        <f t="shared" si="9"/>
        <v>3850</v>
      </c>
      <c r="Y81" s="156">
        <f t="shared" si="9"/>
        <v>3971</v>
      </c>
      <c r="Z81" s="156">
        <f t="shared" si="9"/>
        <v>2765</v>
      </c>
      <c r="AA81" s="156"/>
      <c r="AB81" s="156"/>
      <c r="AC81" s="156"/>
      <c r="AD81" s="157"/>
    </row>
    <row r="82" spans="2:42" ht="15" x14ac:dyDescent="0.4">
      <c r="B82" s="369"/>
      <c r="C82" s="370"/>
      <c r="D82" s="144" t="s">
        <v>278</v>
      </c>
      <c r="E82" s="156">
        <v>3602</v>
      </c>
      <c r="F82" s="156">
        <v>2781</v>
      </c>
      <c r="G82" s="156">
        <v>3368</v>
      </c>
      <c r="H82" s="156">
        <v>3552</v>
      </c>
      <c r="I82" s="156">
        <v>3605</v>
      </c>
      <c r="J82" s="156">
        <v>3115</v>
      </c>
      <c r="K82" s="156">
        <v>3999</v>
      </c>
      <c r="L82" s="156">
        <v>3086</v>
      </c>
      <c r="M82" s="156">
        <v>3272</v>
      </c>
      <c r="N82" s="156">
        <v>3263</v>
      </c>
      <c r="O82" s="156">
        <v>3254</v>
      </c>
      <c r="P82" s="156">
        <v>2920</v>
      </c>
      <c r="Q82" s="156">
        <v>1166</v>
      </c>
      <c r="R82" s="156">
        <v>2200</v>
      </c>
      <c r="S82" s="156">
        <v>1692</v>
      </c>
      <c r="T82" s="156">
        <v>2007</v>
      </c>
      <c r="U82" s="156">
        <v>3633.9999999999995</v>
      </c>
      <c r="V82" s="156">
        <v>1880.9999999999998</v>
      </c>
      <c r="W82" s="156">
        <v>2673</v>
      </c>
      <c r="X82" s="156">
        <v>1663</v>
      </c>
      <c r="Y82" s="156">
        <v>1839</v>
      </c>
      <c r="Z82" s="156">
        <v>1232</v>
      </c>
      <c r="AA82" s="156"/>
      <c r="AB82" s="156"/>
      <c r="AC82" s="156"/>
      <c r="AD82" s="157"/>
    </row>
    <row r="83" spans="2:42" ht="15" x14ac:dyDescent="0.4">
      <c r="B83" s="369"/>
      <c r="C83" s="370"/>
      <c r="D83" s="144" t="s">
        <v>279</v>
      </c>
      <c r="E83" s="156">
        <v>3602</v>
      </c>
      <c r="F83" s="156">
        <v>2781</v>
      </c>
      <c r="G83" s="156">
        <v>3368</v>
      </c>
      <c r="H83" s="156">
        <v>3552</v>
      </c>
      <c r="I83" s="156">
        <v>3605</v>
      </c>
      <c r="J83" s="156">
        <v>3115</v>
      </c>
      <c r="K83" s="156">
        <v>3999</v>
      </c>
      <c r="L83" s="156">
        <v>3086</v>
      </c>
      <c r="M83" s="156">
        <v>3272</v>
      </c>
      <c r="N83" s="156">
        <v>3263</v>
      </c>
      <c r="O83" s="156">
        <v>3254</v>
      </c>
      <c r="P83" s="156">
        <v>2920</v>
      </c>
      <c r="Q83" s="156">
        <v>1327</v>
      </c>
      <c r="R83" s="156">
        <v>2719</v>
      </c>
      <c r="S83" s="156">
        <v>2053</v>
      </c>
      <c r="T83" s="156">
        <v>2414</v>
      </c>
      <c r="U83" s="156">
        <v>3928.9999999999995</v>
      </c>
      <c r="V83" s="156">
        <v>2208</v>
      </c>
      <c r="W83" s="156">
        <v>3049</v>
      </c>
      <c r="X83" s="156">
        <v>2187</v>
      </c>
      <c r="Y83" s="156">
        <v>2132</v>
      </c>
      <c r="Z83" s="156">
        <v>1533</v>
      </c>
      <c r="AA83" s="156"/>
      <c r="AB83" s="156"/>
      <c r="AC83" s="156"/>
      <c r="AD83" s="157"/>
    </row>
    <row r="84" spans="2:42" ht="15" x14ac:dyDescent="0.4">
      <c r="B84" s="365" t="s">
        <v>10</v>
      </c>
      <c r="C84" s="365"/>
      <c r="D84" s="366"/>
      <c r="E84" s="229">
        <v>2401</v>
      </c>
      <c r="F84" s="229">
        <v>2402</v>
      </c>
      <c r="G84" s="229">
        <v>2403</v>
      </c>
      <c r="H84" s="229">
        <v>2404</v>
      </c>
      <c r="I84" s="229">
        <v>2405</v>
      </c>
      <c r="J84" s="229">
        <v>2406</v>
      </c>
      <c r="K84" s="229">
        <v>2407</v>
      </c>
      <c r="L84" s="229">
        <v>2408</v>
      </c>
      <c r="M84" s="229">
        <v>2409</v>
      </c>
      <c r="N84" s="229">
        <v>2410</v>
      </c>
      <c r="O84" s="229">
        <v>2411</v>
      </c>
      <c r="P84" s="229">
        <v>2412</v>
      </c>
      <c r="Q84" s="140">
        <v>2501</v>
      </c>
      <c r="R84" s="140">
        <v>2502</v>
      </c>
      <c r="S84" s="140">
        <v>2503</v>
      </c>
      <c r="T84" s="140">
        <v>2504</v>
      </c>
      <c r="U84" s="140">
        <v>2505</v>
      </c>
      <c r="V84" s="140">
        <v>2506</v>
      </c>
      <c r="W84" s="140">
        <v>2507</v>
      </c>
      <c r="X84" s="140">
        <v>2508</v>
      </c>
      <c r="Y84" s="140">
        <v>2509</v>
      </c>
      <c r="Z84" s="140">
        <v>2510</v>
      </c>
      <c r="AA84" s="140">
        <v>2511</v>
      </c>
      <c r="AB84" s="140">
        <v>2512</v>
      </c>
      <c r="AC84" s="141" t="s">
        <v>112</v>
      </c>
      <c r="AD84" s="141" t="s">
        <v>113</v>
      </c>
    </row>
    <row r="85" spans="2:42" ht="15" x14ac:dyDescent="0.4">
      <c r="B85" s="367" t="s">
        <v>203</v>
      </c>
      <c r="C85" s="368"/>
      <c r="D85" s="144" t="s">
        <v>70</v>
      </c>
      <c r="E85" s="144">
        <v>62</v>
      </c>
      <c r="F85" s="144">
        <v>-295</v>
      </c>
      <c r="G85" s="144">
        <v>153</v>
      </c>
      <c r="H85" s="144">
        <v>-1766</v>
      </c>
      <c r="I85" s="144">
        <v>429</v>
      </c>
      <c r="J85" s="144">
        <v>2667</v>
      </c>
      <c r="K85" s="144">
        <v>1940</v>
      </c>
      <c r="L85" s="144">
        <v>3644</v>
      </c>
      <c r="M85" s="144">
        <v>267</v>
      </c>
      <c r="N85" s="144">
        <v>-4668</v>
      </c>
      <c r="O85" s="144">
        <v>4506</v>
      </c>
      <c r="P85" s="144">
        <v>-195</v>
      </c>
      <c r="Q85" s="156">
        <v>-3840</v>
      </c>
      <c r="R85" s="156">
        <v>979</v>
      </c>
      <c r="S85" s="156">
        <v>-684</v>
      </c>
      <c r="T85" s="156">
        <v>1845</v>
      </c>
      <c r="U85" s="156">
        <v>12497</v>
      </c>
      <c r="V85" s="156">
        <v>-1698</v>
      </c>
      <c r="W85" s="156">
        <v>-2223</v>
      </c>
      <c r="X85" s="156">
        <v>-4375</v>
      </c>
      <c r="Y85" s="156">
        <v>-4705</v>
      </c>
      <c r="Z85" s="156">
        <v>-5339</v>
      </c>
      <c r="AA85" s="156"/>
      <c r="AB85" s="156"/>
      <c r="AC85" s="156"/>
      <c r="AD85" s="157"/>
    </row>
    <row r="86" spans="2:42" ht="15" x14ac:dyDescent="0.4">
      <c r="B86" s="369"/>
      <c r="C86" s="370"/>
      <c r="D86" s="144" t="s">
        <v>71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56">
        <f>Q87+Q88</f>
        <v>-1732</v>
      </c>
      <c r="R86" s="156">
        <f t="shared" ref="R86:Z86" si="10">R87+R88</f>
        <v>930</v>
      </c>
      <c r="S86" s="156">
        <f t="shared" si="10"/>
        <v>-409</v>
      </c>
      <c r="T86" s="156">
        <f t="shared" si="10"/>
        <v>826</v>
      </c>
      <c r="U86" s="156">
        <f t="shared" si="10"/>
        <v>4957</v>
      </c>
      <c r="V86" s="156">
        <f t="shared" si="10"/>
        <v>268</v>
      </c>
      <c r="W86" s="156">
        <f t="shared" si="10"/>
        <v>1878</v>
      </c>
      <c r="X86" s="156">
        <f t="shared" si="10"/>
        <v>-71</v>
      </c>
      <c r="Y86" s="156">
        <f t="shared" si="10"/>
        <v>-121</v>
      </c>
      <c r="Z86" s="156">
        <f t="shared" si="10"/>
        <v>-1669</v>
      </c>
      <c r="AA86" s="156"/>
      <c r="AB86" s="156"/>
      <c r="AC86" s="156"/>
      <c r="AD86" s="157"/>
    </row>
    <row r="87" spans="2:42" ht="15" x14ac:dyDescent="0.4">
      <c r="B87" s="369"/>
      <c r="C87" s="370"/>
      <c r="D87" s="144" t="s">
        <v>278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56">
        <v>-1254</v>
      </c>
      <c r="R87" s="156">
        <v>-83</v>
      </c>
      <c r="S87" s="156">
        <v>-632</v>
      </c>
      <c r="T87" s="156">
        <v>-113</v>
      </c>
      <c r="U87" s="156">
        <v>1965</v>
      </c>
      <c r="V87" s="156">
        <v>-420</v>
      </c>
      <c r="W87" s="156">
        <v>409</v>
      </c>
      <c r="X87" s="156">
        <v>-642</v>
      </c>
      <c r="Y87" s="156">
        <v>-523</v>
      </c>
      <c r="Z87" s="156">
        <v>-1123</v>
      </c>
      <c r="AA87" s="156"/>
      <c r="AB87" s="156"/>
      <c r="AC87" s="156"/>
      <c r="AD87" s="157"/>
    </row>
    <row r="88" spans="2:42" ht="15" x14ac:dyDescent="0.4">
      <c r="B88" s="371"/>
      <c r="C88" s="372"/>
      <c r="D88" s="144" t="s">
        <v>279</v>
      </c>
      <c r="E88" s="144">
        <v>598</v>
      </c>
      <c r="F88" s="144">
        <v>-1099</v>
      </c>
      <c r="G88" s="144">
        <v>-491</v>
      </c>
      <c r="H88" s="144">
        <v>-180</v>
      </c>
      <c r="I88" s="144">
        <v>-1434</v>
      </c>
      <c r="J88" s="144">
        <v>-2264</v>
      </c>
      <c r="K88" s="144">
        <v>-1172</v>
      </c>
      <c r="L88" s="144">
        <v>-2494</v>
      </c>
      <c r="M88" s="144">
        <v>-1547</v>
      </c>
      <c r="N88" s="144">
        <v>-2159</v>
      </c>
      <c r="O88" s="144">
        <v>-683</v>
      </c>
      <c r="P88" s="144">
        <v>-1190</v>
      </c>
      <c r="Q88" s="156">
        <v>-478</v>
      </c>
      <c r="R88" s="156">
        <v>1013</v>
      </c>
      <c r="S88" s="156">
        <v>223</v>
      </c>
      <c r="T88" s="156">
        <v>939</v>
      </c>
      <c r="U88" s="156">
        <v>2992</v>
      </c>
      <c r="V88" s="156">
        <v>688</v>
      </c>
      <c r="W88" s="156">
        <v>1469</v>
      </c>
      <c r="X88" s="156">
        <v>571</v>
      </c>
      <c r="Y88" s="156">
        <v>402</v>
      </c>
      <c r="Z88" s="156">
        <v>-546</v>
      </c>
      <c r="AA88" s="156"/>
      <c r="AB88" s="156"/>
      <c r="AC88" s="156"/>
      <c r="AD88" s="157"/>
    </row>
    <row r="89" spans="2:42" ht="15" x14ac:dyDescent="0.4">
      <c r="B89" s="365" t="s">
        <v>10</v>
      </c>
      <c r="C89" s="365"/>
      <c r="D89" s="366"/>
      <c r="E89" s="229">
        <v>2401</v>
      </c>
      <c r="F89" s="229">
        <v>2402</v>
      </c>
      <c r="G89" s="229">
        <v>2403</v>
      </c>
      <c r="H89" s="229">
        <v>2404</v>
      </c>
      <c r="I89" s="229">
        <v>2405</v>
      </c>
      <c r="J89" s="229">
        <v>2406</v>
      </c>
      <c r="K89" s="229">
        <v>2407</v>
      </c>
      <c r="L89" s="229">
        <v>2408</v>
      </c>
      <c r="M89" s="229">
        <v>2409</v>
      </c>
      <c r="N89" s="229">
        <v>2410</v>
      </c>
      <c r="O89" s="229">
        <v>2411</v>
      </c>
      <c r="P89" s="229">
        <v>2412</v>
      </c>
      <c r="Q89" s="140">
        <v>2501</v>
      </c>
      <c r="R89" s="140">
        <v>2502</v>
      </c>
      <c r="S89" s="140">
        <v>2503</v>
      </c>
      <c r="T89" s="140">
        <v>2504</v>
      </c>
      <c r="U89" s="140">
        <v>2505</v>
      </c>
      <c r="V89" s="140">
        <v>2506</v>
      </c>
      <c r="W89" s="140">
        <v>2507</v>
      </c>
      <c r="X89" s="140">
        <v>2508</v>
      </c>
      <c r="Y89" s="140">
        <v>2509</v>
      </c>
      <c r="Z89" s="140">
        <v>2510</v>
      </c>
      <c r="AA89" s="140">
        <v>2511</v>
      </c>
      <c r="AB89" s="140">
        <v>2512</v>
      </c>
      <c r="AC89" s="141" t="s">
        <v>112</v>
      </c>
      <c r="AD89" s="141" t="s">
        <v>113</v>
      </c>
    </row>
    <row r="90" spans="2:42" ht="20.5" customHeight="1" x14ac:dyDescent="0.4">
      <c r="B90" s="369" t="s">
        <v>206</v>
      </c>
      <c r="C90" s="370"/>
      <c r="D90" s="144" t="s">
        <v>70</v>
      </c>
      <c r="E90" s="219">
        <f t="shared" ref="E90:P90" si="11">E65*100000000/E74/0.085*1.1/(1-E93)</f>
        <v>40134.132054378766</v>
      </c>
      <c r="F90" s="219">
        <f t="shared" si="11"/>
        <v>40851.123967001869</v>
      </c>
      <c r="G90" s="219">
        <f t="shared" si="11"/>
        <v>39879.687097372851</v>
      </c>
      <c r="H90" s="219">
        <f t="shared" si="11"/>
        <v>40274.000707090599</v>
      </c>
      <c r="I90" s="219">
        <f t="shared" si="11"/>
        <v>39867.24291407194</v>
      </c>
      <c r="J90" s="219">
        <f t="shared" si="11"/>
        <v>40242.912325135672</v>
      </c>
      <c r="K90" s="219">
        <f t="shared" si="11"/>
        <v>39985.063396278296</v>
      </c>
      <c r="L90" s="219">
        <f t="shared" si="11"/>
        <v>39558.3795014551</v>
      </c>
      <c r="M90" s="219">
        <f t="shared" si="11"/>
        <v>39688.85949403089</v>
      </c>
      <c r="N90" s="219">
        <f t="shared" si="11"/>
        <v>39400.769723298501</v>
      </c>
      <c r="O90" s="219">
        <f t="shared" si="11"/>
        <v>38894.968558450593</v>
      </c>
      <c r="P90" s="219">
        <f t="shared" si="11"/>
        <v>38206.318308490918</v>
      </c>
      <c r="Q90" s="219">
        <f>Q65*100000000/Q74/0.085*1.1/(1-Q93)</f>
        <v>35678.626215938981</v>
      </c>
      <c r="R90" s="219">
        <f>R65*100000000/R74/0.085*1.1/(1-R93)</f>
        <v>37001.880361050949</v>
      </c>
      <c r="S90" s="219">
        <f>S65*100000000/S74/0.085*1.1/(1-S93)</f>
        <v>36838.852443605792</v>
      </c>
      <c r="T90" s="219">
        <f>T65*100000000/T74/0.085*1.1/(1-T93)</f>
        <v>35641.468584161645</v>
      </c>
      <c r="U90" s="219">
        <f>U65*100000000/U74/0.085*1.1/(1-U93)</f>
        <v>34924.972947946393</v>
      </c>
      <c r="V90" s="219">
        <f t="shared" ref="V90:Y90" si="12">V65*100000000/V74/0.085*1.1/(1-V93)</f>
        <v>34624.430533831059</v>
      </c>
      <c r="W90" s="219">
        <f t="shared" si="12"/>
        <v>43389.052392684716</v>
      </c>
      <c r="X90" s="219">
        <f t="shared" si="12"/>
        <v>40917.140149391045</v>
      </c>
      <c r="Y90" s="219">
        <f t="shared" si="12"/>
        <v>42401.714570335425</v>
      </c>
      <c r="Z90" s="222"/>
      <c r="AA90" s="222"/>
      <c r="AB90" s="222"/>
      <c r="AC90" s="219"/>
      <c r="AD90" s="220"/>
    </row>
    <row r="91" spans="2:42" ht="20.5" customHeight="1" x14ac:dyDescent="0.4">
      <c r="B91" s="371" t="s">
        <v>212</v>
      </c>
      <c r="C91" s="372"/>
      <c r="D91" s="144" t="s">
        <v>211</v>
      </c>
      <c r="E91" s="219">
        <f t="shared" ref="E91:P91" si="13">E66*100000000/E77*(1-E94)</f>
        <v>2593.3108640856649</v>
      </c>
      <c r="F91" s="219">
        <f t="shared" si="13"/>
        <v>2609.1010733649987</v>
      </c>
      <c r="G91" s="219">
        <f t="shared" si="13"/>
        <v>2657.9662217993018</v>
      </c>
      <c r="H91" s="219">
        <f t="shared" si="13"/>
        <v>2679.9372215035669</v>
      </c>
      <c r="I91" s="219">
        <f t="shared" si="13"/>
        <v>2651.8355993631908</v>
      </c>
      <c r="J91" s="219">
        <f t="shared" si="13"/>
        <v>2694.7995822842749</v>
      </c>
      <c r="K91" s="219">
        <f t="shared" si="13"/>
        <v>2710.048249306883</v>
      </c>
      <c r="L91" s="219">
        <f t="shared" si="13"/>
        <v>2713.1525572897817</v>
      </c>
      <c r="M91" s="219">
        <f t="shared" si="13"/>
        <v>2755.9252302361629</v>
      </c>
      <c r="N91" s="219">
        <f t="shared" si="13"/>
        <v>2808.7483216593123</v>
      </c>
      <c r="O91" s="219">
        <f t="shared" si="13"/>
        <v>2791.6527275901258</v>
      </c>
      <c r="P91" s="219">
        <f t="shared" si="13"/>
        <v>2827.2957374662428</v>
      </c>
      <c r="Q91" s="219">
        <f>Q66*100000000/Q75*(1-Q94)</f>
        <v>2614.7770736196635</v>
      </c>
      <c r="R91" s="219">
        <f t="shared" ref="R91:Y91" si="14">R66*100000000/R75*(1-R94)</f>
        <v>2884.3192887699474</v>
      </c>
      <c r="S91" s="219">
        <f t="shared" si="14"/>
        <v>3074.8556442767899</v>
      </c>
      <c r="T91" s="219">
        <f t="shared" si="14"/>
        <v>2725.6914316629282</v>
      </c>
      <c r="U91" s="219">
        <f t="shared" si="14"/>
        <v>2591.7577487143549</v>
      </c>
      <c r="V91" s="219">
        <f t="shared" si="14"/>
        <v>2749.2423222738935</v>
      </c>
      <c r="W91" s="219">
        <f t="shared" si="14"/>
        <v>2730.7513635203181</v>
      </c>
      <c r="X91" s="219">
        <f t="shared" si="14"/>
        <v>2776.3177983418964</v>
      </c>
      <c r="Y91" s="219">
        <f t="shared" si="14"/>
        <v>2791.3000312762915</v>
      </c>
      <c r="Z91" s="222"/>
      <c r="AA91" s="222"/>
      <c r="AB91" s="222"/>
      <c r="AC91" s="219"/>
      <c r="AD91" s="220"/>
    </row>
    <row r="92" spans="2:42" customFormat="1" ht="15" x14ac:dyDescent="0.4">
      <c r="B92" s="367" t="s">
        <v>210</v>
      </c>
      <c r="C92" s="368"/>
      <c r="D92" s="142" t="s">
        <v>109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61">
        <v>1.8437900424457161E-2</v>
      </c>
      <c r="R92" s="161">
        <v>3.3946572900135648E-2</v>
      </c>
      <c r="S92" s="161">
        <v>2.4767010774420849E-2</v>
      </c>
      <c r="T92" s="161">
        <v>2.7042615866679789E-2</v>
      </c>
      <c r="U92" s="161">
        <v>3.5423196085601662E-2</v>
      </c>
      <c r="V92" s="154"/>
      <c r="W92" s="154"/>
      <c r="X92" s="154"/>
      <c r="Y92" s="154"/>
      <c r="Z92" s="154"/>
      <c r="AA92" s="154"/>
      <c r="AB92" s="154"/>
      <c r="AC92" s="154"/>
      <c r="AD92" s="155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</row>
    <row r="93" spans="2:42" customFormat="1" ht="15" x14ac:dyDescent="0.4">
      <c r="B93" s="369"/>
      <c r="C93" s="370"/>
      <c r="D93" s="144" t="s">
        <v>70</v>
      </c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60">
        <v>1.586497351626592E-2</v>
      </c>
      <c r="R93" s="160">
        <v>3.3189454811076435E-2</v>
      </c>
      <c r="S93" s="160">
        <v>2.2781835148737283E-2</v>
      </c>
      <c r="T93" s="160">
        <v>2.9641524921397513E-2</v>
      </c>
      <c r="U93" s="160">
        <v>3.8078131196126297E-2</v>
      </c>
      <c r="V93" s="156">
        <f>V85/V74</f>
        <v>-2.2198690041965721E-3</v>
      </c>
      <c r="W93" s="156"/>
      <c r="X93" s="156"/>
      <c r="Y93" s="156"/>
      <c r="Z93" s="156"/>
      <c r="AA93" s="156"/>
      <c r="AB93" s="156"/>
      <c r="AC93" s="156"/>
      <c r="AD93" s="157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</row>
    <row r="94" spans="2:42" customFormat="1" ht="15" x14ac:dyDescent="0.4">
      <c r="B94" s="369"/>
      <c r="C94" s="370"/>
      <c r="D94" s="144" t="s">
        <v>115</v>
      </c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60">
        <v>3.5485262401150248E-2</v>
      </c>
      <c r="R94" s="160">
        <v>3.8550678739545395E-2</v>
      </c>
      <c r="S94" s="160">
        <v>3.704510786663761E-2</v>
      </c>
      <c r="T94" s="160">
        <v>3.0848927563225749E-2</v>
      </c>
      <c r="U94" s="160">
        <v>4.8257877580586736E-2</v>
      </c>
      <c r="V94" s="156"/>
      <c r="W94" s="156"/>
      <c r="X94" s="156"/>
      <c r="Y94" s="156"/>
      <c r="Z94" s="156"/>
      <c r="AA94" s="156"/>
      <c r="AB94" s="156"/>
      <c r="AC94" s="156"/>
      <c r="AD94" s="157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</row>
    <row r="95" spans="2:42" customFormat="1" ht="15" x14ac:dyDescent="0.4">
      <c r="B95" s="371"/>
      <c r="C95" s="372"/>
      <c r="D95" s="144" t="s">
        <v>114</v>
      </c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60">
        <v>3.6103381596943832E-2</v>
      </c>
      <c r="R95" s="160">
        <v>3.9474265518003093E-2</v>
      </c>
      <c r="S95" s="160">
        <v>3.8351915500041918E-2</v>
      </c>
      <c r="T95" s="160">
        <v>-1.653816726502266E-2</v>
      </c>
      <c r="U95" s="160">
        <v>-1.6886023815919068E-2</v>
      </c>
      <c r="V95" s="160">
        <v>1.6101074306809425E-2</v>
      </c>
      <c r="W95" s="160"/>
      <c r="X95" s="160"/>
      <c r="Y95" s="160"/>
      <c r="Z95" s="160"/>
      <c r="AA95" s="160"/>
      <c r="AB95" s="160"/>
      <c r="AC95" s="156"/>
      <c r="AD95" s="157"/>
      <c r="AE95" s="168"/>
      <c r="AM95" s="168"/>
      <c r="AN95" s="168"/>
      <c r="AO95" s="168"/>
      <c r="AP95" s="168"/>
    </row>
    <row r="97" spans="4:22" ht="15" x14ac:dyDescent="0.4">
      <c r="D97" s="234" t="s">
        <v>245</v>
      </c>
      <c r="Q97" s="216">
        <f>Q74*Q93</f>
        <v>11930</v>
      </c>
      <c r="R97" s="216">
        <f t="shared" ref="R97:U97" si="15">R74*R93</f>
        <v>24990.000000000004</v>
      </c>
      <c r="S97" s="216">
        <f t="shared" si="15"/>
        <v>17138</v>
      </c>
      <c r="T97" s="216">
        <f t="shared" si="15"/>
        <v>22353</v>
      </c>
      <c r="U97" s="216">
        <f t="shared" si="15"/>
        <v>29190.999999999989</v>
      </c>
      <c r="V97" s="223">
        <f>AVERAGE(Q97:U97)</f>
        <v>21120.399999999998</v>
      </c>
    </row>
    <row r="98" spans="4:22" ht="15" x14ac:dyDescent="0.4">
      <c r="D98" s="234" t="s">
        <v>246</v>
      </c>
      <c r="Q98">
        <v>2493</v>
      </c>
      <c r="R98">
        <v>4919</v>
      </c>
      <c r="S98">
        <v>3745</v>
      </c>
      <c r="T98">
        <v>4421</v>
      </c>
      <c r="U98">
        <v>7562.9999999999991</v>
      </c>
      <c r="V98" s="223">
        <f>AVERAGE(Q98:U98)</f>
        <v>4628.2</v>
      </c>
    </row>
    <row r="99" spans="4:22" x14ac:dyDescent="0.35">
      <c r="Q99" s="216"/>
      <c r="R99" s="16">
        <f>R66/Q66-1</f>
        <v>0.11460103726107795</v>
      </c>
      <c r="S99" s="16">
        <f>S66/R66-1</f>
        <v>6.1032883613183264E-2</v>
      </c>
      <c r="T99" s="16">
        <f>T66/S66-1</f>
        <v>-0.11358961500666032</v>
      </c>
      <c r="U99" s="16">
        <f>U66/T66-1</f>
        <v>5.1779462708907431E-3</v>
      </c>
      <c r="V99" s="16">
        <f>V66/U66-1</f>
        <v>1.1578363239302059E-2</v>
      </c>
    </row>
  </sheetData>
  <mergeCells count="14">
    <mergeCell ref="B92:C95"/>
    <mergeCell ref="B85:C88"/>
    <mergeCell ref="B91:C91"/>
    <mergeCell ref="B79:C83"/>
    <mergeCell ref="B78:D78"/>
    <mergeCell ref="B90:C90"/>
    <mergeCell ref="B84:D84"/>
    <mergeCell ref="B89:D89"/>
    <mergeCell ref="B73:C77"/>
    <mergeCell ref="B72:D72"/>
    <mergeCell ref="B68:C71"/>
    <mergeCell ref="B63:D63"/>
    <mergeCell ref="B64:C66"/>
    <mergeCell ref="B67:D67"/>
  </mergeCells>
  <phoneticPr fontId="2" type="noConversion"/>
  <pageMargins left="0.7" right="0.7" top="0.75" bottom="0.75" header="0.3" footer="0.3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4302-2B03-43B9-97E7-225626F7949E}">
  <sheetPr>
    <tabColor theme="1"/>
  </sheetPr>
  <dimension ref="A2:BD93"/>
  <sheetViews>
    <sheetView showGridLines="0" topLeftCell="A13" zoomScale="85" zoomScaleNormal="85" zoomScaleSheetLayoutView="100" workbookViewId="0">
      <selection activeCell="E8" sqref="E8:G8"/>
    </sheetView>
  </sheetViews>
  <sheetFormatPr defaultRowHeight="14.5" outlineLevelCol="1" x14ac:dyDescent="0.35"/>
  <cols>
    <col min="2" max="3" width="13.81640625" customWidth="1"/>
    <col min="4" max="4" width="18.7265625" customWidth="1"/>
    <col min="5" max="5" width="18.7265625" hidden="1" customWidth="1" outlineLevel="1"/>
    <col min="6" max="6" width="30.1796875" hidden="1" customWidth="1" outlineLevel="1"/>
    <col min="7" max="10" width="18.7265625" hidden="1" customWidth="1" outlineLevel="1"/>
    <col min="11" max="11" width="29.90625" hidden="1" customWidth="1" outlineLevel="1"/>
    <col min="12" max="12" width="32.26953125" hidden="1" customWidth="1" outlineLevel="1"/>
    <col min="13" max="16" width="18.7265625" hidden="1" customWidth="1" outlineLevel="1"/>
    <col min="17" max="17" width="6.1796875" hidden="1" customWidth="1" outlineLevel="1"/>
    <col min="18" max="18" width="20.26953125" customWidth="1" collapsed="1"/>
    <col min="19" max="19" width="20.26953125" customWidth="1"/>
    <col min="20" max="22" width="13.81640625" customWidth="1"/>
    <col min="23" max="23" width="15.7265625" bestFit="1" customWidth="1"/>
    <col min="24" max="44" width="13.81640625" customWidth="1"/>
    <col min="45" max="16384" width="8.7265625" style="168"/>
  </cols>
  <sheetData>
    <row r="2" spans="2:56" ht="19" x14ac:dyDescent="0.5">
      <c r="B2" s="293" t="s">
        <v>280</v>
      </c>
    </row>
    <row r="3" spans="2:56" ht="21.5" x14ac:dyDescent="0.55000000000000004">
      <c r="B3" s="239" t="s">
        <v>10</v>
      </c>
      <c r="C3" s="240" t="s">
        <v>247</v>
      </c>
      <c r="D3" s="240" t="s">
        <v>70</v>
      </c>
      <c r="E3" s="240" t="s">
        <v>71</v>
      </c>
      <c r="F3" s="240" t="s">
        <v>258</v>
      </c>
      <c r="H3" s="279" t="s">
        <v>10</v>
      </c>
      <c r="I3" s="280" t="s">
        <v>273</v>
      </c>
      <c r="J3" s="280" t="s">
        <v>274</v>
      </c>
      <c r="K3" s="280" t="s">
        <v>275</v>
      </c>
      <c r="L3" s="280" t="s">
        <v>276</v>
      </c>
      <c r="AJ3" s="168"/>
      <c r="AK3" s="168"/>
      <c r="AL3" s="168"/>
      <c r="AM3" s="168"/>
      <c r="AN3" s="168"/>
      <c r="AO3" s="168"/>
      <c r="AP3" s="168"/>
      <c r="AQ3" s="168"/>
      <c r="AR3" s="168"/>
    </row>
    <row r="4" spans="2:56" ht="21.5" x14ac:dyDescent="0.55000000000000004">
      <c r="B4" s="243" t="s">
        <v>213</v>
      </c>
      <c r="C4" s="310">
        <f>SUM(E54:P54)</f>
        <v>322</v>
      </c>
      <c r="D4" s="244">
        <f>SUM(E55:P55)</f>
        <v>277.02655700909094</v>
      </c>
      <c r="E4" s="244">
        <f>SUM(E56:P56)</f>
        <v>44.973442990909085</v>
      </c>
      <c r="F4" s="244"/>
      <c r="G4" s="242"/>
      <c r="H4" s="243" t="s">
        <v>213</v>
      </c>
      <c r="I4" s="282">
        <f>SUM(E70:P70)</f>
        <v>204012</v>
      </c>
      <c r="J4" s="281">
        <f>SUM(E71:P71)</f>
        <v>39817</v>
      </c>
      <c r="K4" s="282">
        <f>I4/12</f>
        <v>17001</v>
      </c>
      <c r="L4" s="282">
        <f>J4/12</f>
        <v>3318.0833333333335</v>
      </c>
      <c r="AJ4" s="168"/>
      <c r="AK4" s="168"/>
      <c r="AL4" s="168"/>
      <c r="AM4" s="168"/>
      <c r="AN4" s="168"/>
      <c r="AO4" s="168"/>
      <c r="AP4" s="168"/>
      <c r="AQ4" s="168"/>
      <c r="AR4" s="168"/>
    </row>
    <row r="5" spans="2:56" ht="21.5" x14ac:dyDescent="0.55000000000000004">
      <c r="B5" s="311" t="s">
        <v>281</v>
      </c>
      <c r="C5" s="310">
        <f>SUM(R54:AC54)</f>
        <v>290.27044956014834</v>
      </c>
      <c r="D5" s="310">
        <f>SUM(R55:AC55)</f>
        <v>244.88387382378468</v>
      </c>
      <c r="E5" s="310">
        <f>SUM(R56:AC56)</f>
        <v>45.386575736363632</v>
      </c>
      <c r="F5" s="310"/>
      <c r="G5" s="168"/>
      <c r="H5" s="245" t="s">
        <v>248</v>
      </c>
      <c r="I5" s="283">
        <f>SUM(R70:AC70)</f>
        <v>235577</v>
      </c>
      <c r="J5" s="284">
        <f>SUM(R71:AC71)</f>
        <v>50993.2</v>
      </c>
      <c r="K5" s="284">
        <f t="shared" ref="K5:K7" si="0">I5/12</f>
        <v>19631.416666666668</v>
      </c>
      <c r="L5" s="284">
        <f t="shared" ref="L5:L7" si="1">J5/12</f>
        <v>4249.4333333333334</v>
      </c>
      <c r="AJ5" s="168"/>
      <c r="AK5" s="168"/>
      <c r="AL5" s="168"/>
      <c r="AM5" s="168"/>
      <c r="AN5" s="168"/>
      <c r="AO5" s="168"/>
      <c r="AP5" s="168"/>
      <c r="AQ5" s="168"/>
      <c r="AR5" s="168"/>
    </row>
    <row r="6" spans="2:56" ht="21.5" x14ac:dyDescent="0.55000000000000004">
      <c r="B6" s="245" t="s">
        <v>249</v>
      </c>
      <c r="C6" s="246">
        <f>SUM(AE54:AP54)</f>
        <v>283.04188852138321</v>
      </c>
      <c r="D6" s="246">
        <f>SUM(AE55:AP55)</f>
        <v>238.64188852138321</v>
      </c>
      <c r="E6" s="246">
        <f>SUM(AE56:AP56)</f>
        <v>44.400000000000006</v>
      </c>
      <c r="F6" s="246"/>
      <c r="G6" s="168"/>
      <c r="H6" s="245" t="s">
        <v>249</v>
      </c>
      <c r="I6" s="283">
        <f>SUM(AE70:AP70)</f>
        <v>235577</v>
      </c>
      <c r="J6" s="284">
        <f>SUM(R72:AC72)</f>
        <v>30078</v>
      </c>
      <c r="K6" s="284">
        <f t="shared" si="0"/>
        <v>19631.416666666668</v>
      </c>
      <c r="L6" s="284">
        <f t="shared" si="1"/>
        <v>2506.5</v>
      </c>
      <c r="AJ6" s="168"/>
      <c r="AK6" s="168"/>
      <c r="AL6" s="168"/>
      <c r="AM6" s="168"/>
      <c r="AN6" s="168"/>
      <c r="AO6" s="168"/>
      <c r="AP6" s="168"/>
      <c r="AQ6" s="168"/>
      <c r="AR6" s="168"/>
    </row>
    <row r="7" spans="2:56" ht="21.5" x14ac:dyDescent="0.55000000000000004">
      <c r="B7" s="245" t="s">
        <v>250</v>
      </c>
      <c r="C7" s="247"/>
      <c r="D7" s="247"/>
      <c r="E7" s="247"/>
      <c r="F7" s="247"/>
      <c r="G7" s="168"/>
      <c r="H7" s="245" t="s">
        <v>250</v>
      </c>
      <c r="I7" s="284"/>
      <c r="J7" s="284"/>
      <c r="K7" s="284">
        <f t="shared" si="0"/>
        <v>0</v>
      </c>
      <c r="L7" s="284">
        <f t="shared" si="1"/>
        <v>0</v>
      </c>
      <c r="AJ7" s="168"/>
      <c r="AK7" s="168"/>
      <c r="AL7" s="168"/>
      <c r="AM7" s="168"/>
      <c r="AN7" s="168"/>
      <c r="AO7" s="168"/>
      <c r="AP7" s="168"/>
      <c r="AQ7" s="168"/>
      <c r="AR7" s="168"/>
    </row>
    <row r="8" spans="2:56" ht="21" x14ac:dyDescent="0.5">
      <c r="B8" s="238"/>
      <c r="C8" s="238"/>
    </row>
    <row r="9" spans="2:56" ht="21.5" x14ac:dyDescent="0.55000000000000004">
      <c r="B9" s="239" t="s">
        <v>10</v>
      </c>
      <c r="C9" s="240" t="s">
        <v>32</v>
      </c>
      <c r="D9" s="240" t="s">
        <v>20</v>
      </c>
      <c r="E9" s="240" t="s">
        <v>259</v>
      </c>
      <c r="F9" s="240" t="s">
        <v>260</v>
      </c>
      <c r="AM9" s="168"/>
      <c r="AN9" s="168"/>
      <c r="AO9" s="168"/>
      <c r="AP9" s="168"/>
      <c r="AQ9" s="168"/>
      <c r="AR9" s="168"/>
    </row>
    <row r="10" spans="2:56" ht="21.5" x14ac:dyDescent="0.55000000000000004">
      <c r="B10" s="243" t="s">
        <v>213</v>
      </c>
      <c r="C10" s="310">
        <f>D10+E10+F10</f>
        <v>99.216209393071992</v>
      </c>
      <c r="D10" s="244">
        <f>SUM(E59:P59)</f>
        <v>89.663759309999989</v>
      </c>
      <c r="E10" s="244">
        <f>SUM(E60:P60)</f>
        <v>7.9449864300000002</v>
      </c>
      <c r="F10" s="244">
        <f>SUM(E61:P61)</f>
        <v>1.6074636530720063</v>
      </c>
      <c r="G10" s="242"/>
      <c r="H10" s="242"/>
      <c r="I10" s="242"/>
      <c r="J10" s="242"/>
      <c r="K10" s="242"/>
      <c r="L10" s="242"/>
      <c r="AM10" s="168"/>
      <c r="AN10" s="168"/>
      <c r="AO10" s="168"/>
      <c r="AP10" s="168"/>
      <c r="AQ10" s="168"/>
      <c r="AR10" s="168"/>
    </row>
    <row r="11" spans="2:56" ht="21.5" x14ac:dyDescent="0.55000000000000004">
      <c r="B11" s="311" t="s">
        <v>281</v>
      </c>
      <c r="C11" s="310">
        <f t="shared" ref="C11" si="2">D11+E11+F11</f>
        <v>94.772779370000009</v>
      </c>
      <c r="D11" s="310">
        <f>SUM(R59:AC59)</f>
        <v>87.933780690000006</v>
      </c>
      <c r="E11" s="310">
        <f>SUM(R60:AC60)</f>
        <v>8.1954288599999998</v>
      </c>
      <c r="F11" s="310">
        <f>SUM(R61:AC61)</f>
        <v>-1.3564301799999996</v>
      </c>
      <c r="G11" s="168"/>
      <c r="H11" s="168"/>
      <c r="I11" s="168"/>
      <c r="J11" s="168"/>
      <c r="K11" s="168"/>
      <c r="L11" s="168"/>
      <c r="AM11" s="168"/>
      <c r="AN11" s="168"/>
      <c r="AO11" s="168"/>
      <c r="AP11" s="168"/>
      <c r="AQ11" s="168"/>
      <c r="AR11" s="168"/>
    </row>
    <row r="12" spans="2:56" ht="21.5" x14ac:dyDescent="0.55000000000000004">
      <c r="B12" s="245" t="s">
        <v>249</v>
      </c>
      <c r="C12" s="246"/>
      <c r="D12" s="246"/>
      <c r="E12" s="246"/>
      <c r="F12" s="246"/>
      <c r="G12" s="168"/>
      <c r="H12" s="168"/>
      <c r="I12" s="168"/>
      <c r="J12" s="168"/>
      <c r="K12" s="168"/>
      <c r="L12" s="168"/>
      <c r="AM12" s="168"/>
      <c r="AN12" s="168"/>
      <c r="AO12" s="168"/>
      <c r="AP12" s="168"/>
      <c r="AQ12" s="168"/>
      <c r="AR12" s="168"/>
    </row>
    <row r="13" spans="2:56" ht="21.5" x14ac:dyDescent="0.55000000000000004">
      <c r="B13" s="245" t="s">
        <v>250</v>
      </c>
      <c r="C13" s="247"/>
      <c r="D13" s="247"/>
      <c r="E13" s="247"/>
      <c r="F13" s="247"/>
      <c r="G13" s="168"/>
      <c r="H13" s="168"/>
      <c r="I13" s="168"/>
      <c r="J13" s="168"/>
      <c r="K13" s="168"/>
      <c r="L13" s="168"/>
      <c r="AM13" s="168"/>
      <c r="AN13" s="168"/>
      <c r="AO13" s="168"/>
      <c r="AP13" s="168"/>
      <c r="AQ13" s="168"/>
      <c r="AR13" s="168"/>
    </row>
    <row r="16" spans="2:56" customFormat="1" hidden="1" x14ac:dyDescent="0.35"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</row>
    <row r="17" spans="45:56" customFormat="1" hidden="1" x14ac:dyDescent="0.35"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</row>
    <row r="18" spans="45:56" customFormat="1" hidden="1" x14ac:dyDescent="0.35"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</row>
    <row r="19" spans="45:56" customFormat="1" hidden="1" x14ac:dyDescent="0.35"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</row>
    <row r="20" spans="45:56" customFormat="1" hidden="1" x14ac:dyDescent="0.35"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</row>
    <row r="21" spans="45:56" customFormat="1" hidden="1" x14ac:dyDescent="0.35"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</row>
    <row r="22" spans="45:56" customFormat="1" hidden="1" x14ac:dyDescent="0.35"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</row>
    <row r="23" spans="45:56" customFormat="1" hidden="1" x14ac:dyDescent="0.35"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</row>
    <row r="24" spans="45:56" customFormat="1" hidden="1" x14ac:dyDescent="0.35"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</row>
    <row r="25" spans="45:56" customFormat="1" hidden="1" x14ac:dyDescent="0.35"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</row>
    <row r="26" spans="45:56" customFormat="1" hidden="1" x14ac:dyDescent="0.35"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</row>
    <row r="27" spans="45:56" customFormat="1" hidden="1" x14ac:dyDescent="0.35"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</row>
    <row r="28" spans="45:56" customFormat="1" hidden="1" x14ac:dyDescent="0.35"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</row>
    <row r="29" spans="45:56" customFormat="1" hidden="1" x14ac:dyDescent="0.35"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</row>
    <row r="30" spans="45:56" customFormat="1" hidden="1" x14ac:dyDescent="0.35"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</row>
    <row r="31" spans="45:56" customFormat="1" hidden="1" x14ac:dyDescent="0.35"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</row>
    <row r="32" spans="45:56" customFormat="1" hidden="1" x14ac:dyDescent="0.35"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</row>
    <row r="33" spans="45:56" customFormat="1" hidden="1" x14ac:dyDescent="0.35"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</row>
    <row r="34" spans="45:56" customFormat="1" hidden="1" x14ac:dyDescent="0.35"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</row>
    <row r="35" spans="45:56" customFormat="1" hidden="1" x14ac:dyDescent="0.35"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</row>
    <row r="36" spans="45:56" customFormat="1" hidden="1" x14ac:dyDescent="0.35"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</row>
    <row r="37" spans="45:56" customFormat="1" hidden="1" x14ac:dyDescent="0.35"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</row>
    <row r="38" spans="45:56" customFormat="1" hidden="1" x14ac:dyDescent="0.35"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</row>
    <row r="39" spans="45:56" hidden="1" x14ac:dyDescent="0.35"/>
    <row r="40" spans="45:56" hidden="1" x14ac:dyDescent="0.35"/>
    <row r="41" spans="45:56" hidden="1" x14ac:dyDescent="0.35"/>
    <row r="42" spans="45:56" hidden="1" x14ac:dyDescent="0.35"/>
    <row r="43" spans="45:56" hidden="1" x14ac:dyDescent="0.35"/>
    <row r="44" spans="45:56" hidden="1" x14ac:dyDescent="0.35"/>
    <row r="45" spans="45:56" hidden="1" x14ac:dyDescent="0.35"/>
    <row r="46" spans="45:56" hidden="1" x14ac:dyDescent="0.35"/>
    <row r="47" spans="45:56" hidden="1" x14ac:dyDescent="0.35"/>
    <row r="48" spans="45:56" hidden="1" x14ac:dyDescent="0.35"/>
    <row r="49" spans="2:44" hidden="1" x14ac:dyDescent="0.35"/>
    <row r="50" spans="2:44" hidden="1" x14ac:dyDescent="0.35"/>
    <row r="51" spans="2:44" hidden="1" x14ac:dyDescent="0.35"/>
    <row r="52" spans="2:44" hidden="1" x14ac:dyDescent="0.35">
      <c r="E52">
        <v>75</v>
      </c>
      <c r="F52">
        <v>76</v>
      </c>
      <c r="G52">
        <v>77</v>
      </c>
      <c r="H52">
        <v>78</v>
      </c>
      <c r="I52">
        <v>79</v>
      </c>
      <c r="J52">
        <v>80</v>
      </c>
      <c r="K52">
        <v>81</v>
      </c>
      <c r="L52">
        <v>82</v>
      </c>
      <c r="M52">
        <v>83</v>
      </c>
      <c r="N52">
        <v>84</v>
      </c>
      <c r="O52">
        <v>85</v>
      </c>
      <c r="P52">
        <v>86</v>
      </c>
    </row>
    <row r="53" spans="2:44" ht="15" x14ac:dyDescent="0.4">
      <c r="B53" s="380" t="s">
        <v>10</v>
      </c>
      <c r="C53" s="380"/>
      <c r="D53" s="381"/>
      <c r="E53" s="230">
        <v>2401</v>
      </c>
      <c r="F53" s="230">
        <v>2402</v>
      </c>
      <c r="G53" s="230">
        <v>2403</v>
      </c>
      <c r="H53" s="230">
        <v>2404</v>
      </c>
      <c r="I53" s="230">
        <v>2405</v>
      </c>
      <c r="J53" s="230">
        <v>2406</v>
      </c>
      <c r="K53" s="230">
        <v>2407</v>
      </c>
      <c r="L53" s="230">
        <v>2408</v>
      </c>
      <c r="M53" s="230">
        <v>2409</v>
      </c>
      <c r="N53" s="230">
        <v>2410</v>
      </c>
      <c r="O53" s="230">
        <v>2411</v>
      </c>
      <c r="P53" s="230">
        <v>2412</v>
      </c>
      <c r="R53" s="294">
        <v>2501</v>
      </c>
      <c r="S53" s="294">
        <v>2502</v>
      </c>
      <c r="T53" s="294">
        <v>2503</v>
      </c>
      <c r="U53" s="294">
        <v>2504</v>
      </c>
      <c r="V53" s="294">
        <v>2505</v>
      </c>
      <c r="W53" s="294">
        <v>2506</v>
      </c>
      <c r="X53" s="294">
        <v>2507</v>
      </c>
      <c r="Y53" s="294">
        <v>2508</v>
      </c>
      <c r="Z53" s="294">
        <v>2509</v>
      </c>
      <c r="AA53" s="294">
        <v>2510</v>
      </c>
      <c r="AB53" s="294">
        <v>2511</v>
      </c>
      <c r="AC53" s="309">
        <v>2512</v>
      </c>
      <c r="AE53" s="296">
        <v>2601</v>
      </c>
      <c r="AF53" s="235">
        <v>2602</v>
      </c>
      <c r="AG53" s="235">
        <v>2603</v>
      </c>
      <c r="AH53" s="235">
        <v>2604</v>
      </c>
      <c r="AI53" s="235">
        <v>2605</v>
      </c>
      <c r="AJ53" s="235">
        <v>2606</v>
      </c>
      <c r="AK53" s="235">
        <v>2607</v>
      </c>
      <c r="AL53" s="235">
        <v>2608</v>
      </c>
      <c r="AM53" s="235">
        <v>2609</v>
      </c>
      <c r="AN53" s="235">
        <v>2610</v>
      </c>
      <c r="AO53" s="235">
        <v>2611</v>
      </c>
      <c r="AP53" s="235">
        <v>2612</v>
      </c>
      <c r="AQ53" s="141" t="s">
        <v>112</v>
      </c>
      <c r="AR53" s="141" t="s">
        <v>113</v>
      </c>
    </row>
    <row r="54" spans="2:44" ht="15" x14ac:dyDescent="0.4">
      <c r="B54" s="367" t="s">
        <v>26</v>
      </c>
      <c r="C54" s="368"/>
      <c r="D54" s="142" t="s">
        <v>109</v>
      </c>
      <c r="E54" s="143">
        <v>27</v>
      </c>
      <c r="F54" s="143">
        <v>27.4</v>
      </c>
      <c r="G54" s="143">
        <v>26.9</v>
      </c>
      <c r="H54" s="143">
        <v>27.1</v>
      </c>
      <c r="I54" s="143">
        <v>26.8</v>
      </c>
      <c r="J54" s="143">
        <v>27.1</v>
      </c>
      <c r="K54" s="143">
        <v>27</v>
      </c>
      <c r="L54" s="143">
        <v>26.8</v>
      </c>
      <c r="M54" s="143">
        <v>26.9</v>
      </c>
      <c r="N54" s="143">
        <v>26.6</v>
      </c>
      <c r="O54" s="143">
        <v>26.4</v>
      </c>
      <c r="P54" s="143">
        <v>26</v>
      </c>
      <c r="R54" s="143">
        <v>23.890353636317499</v>
      </c>
      <c r="S54" s="143">
        <v>24.7013072668055</v>
      </c>
      <c r="T54" s="143">
        <v>25.050896464807799</v>
      </c>
      <c r="U54" s="143">
        <v>23.8094090845251</v>
      </c>
      <c r="V54" s="143">
        <v>23.575919609002199</v>
      </c>
      <c r="W54" s="143">
        <v>24.228225378433898</v>
      </c>
      <c r="X54" s="143">
        <v>25.571296610805998</v>
      </c>
      <c r="Y54" s="143">
        <v>23.976149658018429</v>
      </c>
      <c r="Z54" s="143">
        <v>24.0597381794325</v>
      </c>
      <c r="AA54" s="143">
        <v>23.890145548218499</v>
      </c>
      <c r="AB54" s="143">
        <v>23.781974852222</v>
      </c>
      <c r="AC54" s="146">
        <v>23.735033271558898</v>
      </c>
      <c r="AE54" s="297">
        <f t="shared" ref="AE54:AP54" si="3">AE55+AE56</f>
        <v>23.636790529951838</v>
      </c>
      <c r="AF54" s="143">
        <f t="shared" si="3"/>
        <v>23.906079391122969</v>
      </c>
      <c r="AG54" s="143">
        <f t="shared" si="3"/>
        <v>24.061122648782465</v>
      </c>
      <c r="AH54" s="143">
        <f t="shared" si="3"/>
        <v>23.242945002294128</v>
      </c>
      <c r="AI54" s="143">
        <f t="shared" si="3"/>
        <v>22.731500819933625</v>
      </c>
      <c r="AJ54" s="143">
        <f t="shared" si="3"/>
        <v>23.693367192338865</v>
      </c>
      <c r="AK54" s="143">
        <f t="shared" si="3"/>
        <v>24.990445884290128</v>
      </c>
      <c r="AL54" s="143">
        <f t="shared" si="3"/>
        <v>23.429924198417584</v>
      </c>
      <c r="AM54" s="143">
        <f t="shared" si="3"/>
        <v>23.500998792752309</v>
      </c>
      <c r="AN54" s="143">
        <f t="shared" si="3"/>
        <v>23.328738313438073</v>
      </c>
      <c r="AO54" s="143">
        <f t="shared" si="3"/>
        <v>23.26875012930897</v>
      </c>
      <c r="AP54" s="143">
        <f t="shared" si="3"/>
        <v>23.251225618752226</v>
      </c>
      <c r="AQ54" s="143">
        <v>97.451966452455906</v>
      </c>
      <c r="AR54" s="146">
        <v>24.205577212291622</v>
      </c>
    </row>
    <row r="55" spans="2:44" ht="15" x14ac:dyDescent="0.4">
      <c r="B55" s="369"/>
      <c r="C55" s="370"/>
      <c r="D55" s="144" t="s">
        <v>70</v>
      </c>
      <c r="E55" s="217">
        <f>E54-E56</f>
        <v>23.23254170909091</v>
      </c>
      <c r="F55" s="217">
        <f t="shared" ref="F55:P55" si="4">F54-F56</f>
        <v>23.638276345454543</v>
      </c>
      <c r="G55" s="217">
        <f t="shared" si="4"/>
        <v>23.080874654545454</v>
      </c>
      <c r="H55" s="217">
        <f t="shared" si="4"/>
        <v>23.254129290909091</v>
      </c>
      <c r="I55" s="217">
        <f t="shared" si="4"/>
        <v>23.032484127272728</v>
      </c>
      <c r="J55" s="217">
        <f t="shared" si="4"/>
        <v>23.332454600000002</v>
      </c>
      <c r="K55" s="217">
        <f t="shared" si="4"/>
        <v>23.242897509090909</v>
      </c>
      <c r="L55" s="217">
        <f t="shared" si="4"/>
        <v>23.106259845454545</v>
      </c>
      <c r="M55" s="217">
        <f t="shared" si="4"/>
        <v>23.190662436363635</v>
      </c>
      <c r="N55" s="217">
        <f t="shared" si="4"/>
        <v>22.880206072727276</v>
      </c>
      <c r="O55" s="217">
        <f t="shared" si="4"/>
        <v>22.721913781818181</v>
      </c>
      <c r="P55" s="217">
        <f t="shared" si="4"/>
        <v>22.313856636363639</v>
      </c>
      <c r="R55" s="217">
        <v>20.4028175363175</v>
      </c>
      <c r="S55" s="217">
        <v>20.814095912260047</v>
      </c>
      <c r="T55" s="217">
        <v>20.926437392080526</v>
      </c>
      <c r="U55" s="217">
        <v>20.153445729979644</v>
      </c>
      <c r="V55" s="217">
        <v>19.901025872638563</v>
      </c>
      <c r="W55" s="217">
        <f>W54-W56</f>
        <v>20.510782387524806</v>
      </c>
      <c r="X55" s="217">
        <f t="shared" ref="X55:AC55" si="5">X54-X56</f>
        <v>21.827573028987818</v>
      </c>
      <c r="Y55" s="217">
        <f t="shared" si="5"/>
        <v>20.171927958018429</v>
      </c>
      <c r="Z55" s="217">
        <f t="shared" si="5"/>
        <v>20.238364697614319</v>
      </c>
      <c r="AA55" s="217">
        <f t="shared" si="5"/>
        <v>20.048097175491225</v>
      </c>
      <c r="AB55" s="217">
        <f t="shared" si="5"/>
        <v>19.990057952221999</v>
      </c>
      <c r="AC55" s="218">
        <f t="shared" si="5"/>
        <v>19.899248180649806</v>
      </c>
      <c r="AE55" s="298">
        <f>AC64*0.085/1.1/100000000*AE76*(1-R79)</f>
        <v>19.936790529951839</v>
      </c>
      <c r="AF55" s="217">
        <f>AE64*0.085/1.1/100000000*AF76*(1-S79)</f>
        <v>20.206079391122969</v>
      </c>
      <c r="AG55" s="217">
        <f t="shared" ref="AG55:AP55" si="6">AF64*0.085/1.1/100000000*AG76*(1-T79)</f>
        <v>20.361122648782466</v>
      </c>
      <c r="AH55" s="217">
        <f t="shared" si="6"/>
        <v>19.542945002294129</v>
      </c>
      <c r="AI55" s="217">
        <f t="shared" si="6"/>
        <v>19.031500819933626</v>
      </c>
      <c r="AJ55" s="217">
        <f t="shared" si="6"/>
        <v>19.993367192338866</v>
      </c>
      <c r="AK55" s="217">
        <f t="shared" si="6"/>
        <v>21.290445884290129</v>
      </c>
      <c r="AL55" s="217">
        <f t="shared" si="6"/>
        <v>19.729924198417585</v>
      </c>
      <c r="AM55" s="217">
        <f t="shared" si="6"/>
        <v>19.80099879275231</v>
      </c>
      <c r="AN55" s="217">
        <f t="shared" si="6"/>
        <v>19.628738313438074</v>
      </c>
      <c r="AO55" s="217">
        <f t="shared" si="6"/>
        <v>19.56875012930897</v>
      </c>
      <c r="AP55" s="217">
        <f t="shared" si="6"/>
        <v>19.551225618752227</v>
      </c>
      <c r="AQ55" s="217">
        <f>SUM(R55:AC55)</f>
        <v>244.88387382378468</v>
      </c>
      <c r="AR55" s="218">
        <v>20.439564488655257</v>
      </c>
    </row>
    <row r="56" spans="2:44" ht="15" x14ac:dyDescent="0.4">
      <c r="B56" s="371"/>
      <c r="C56" s="372"/>
      <c r="D56" s="144" t="s">
        <v>71</v>
      </c>
      <c r="E56" s="145">
        <v>3.7674582909090906</v>
      </c>
      <c r="F56" s="145">
        <v>3.7617236545454542</v>
      </c>
      <c r="G56" s="145">
        <v>3.8191253454545451</v>
      </c>
      <c r="H56" s="145">
        <v>3.8458707090909088</v>
      </c>
      <c r="I56" s="145">
        <v>3.7675158727272726</v>
      </c>
      <c r="J56" s="145">
        <v>3.7675453999999995</v>
      </c>
      <c r="K56" s="145">
        <v>3.7571024909090904</v>
      </c>
      <c r="L56" s="145">
        <v>3.6937401545454542</v>
      </c>
      <c r="M56" s="145">
        <v>3.709337563636363</v>
      </c>
      <c r="N56" s="145">
        <v>3.7197939272727267</v>
      </c>
      <c r="O56" s="145">
        <v>3.6780862181818179</v>
      </c>
      <c r="P56" s="145">
        <v>3.6861433636363632</v>
      </c>
      <c r="R56" s="145">
        <v>3.4875360999999998</v>
      </c>
      <c r="S56" s="145">
        <v>3.8872113545454545</v>
      </c>
      <c r="T56" s="145">
        <v>4.1244590727272721</v>
      </c>
      <c r="U56" s="145">
        <v>3.6559633545454542</v>
      </c>
      <c r="V56" s="145">
        <v>3.6748937363636363</v>
      </c>
      <c r="W56" s="145">
        <v>3.7174429909090905</v>
      </c>
      <c r="X56" s="145">
        <v>3.7437235818181813</v>
      </c>
      <c r="Y56" s="145">
        <v>3.8042216999999994</v>
      </c>
      <c r="Z56" s="145">
        <v>3.8213734818181813</v>
      </c>
      <c r="AA56" s="145">
        <v>3.8420483727272727</v>
      </c>
      <c r="AB56" s="145">
        <v>3.7919168999999995</v>
      </c>
      <c r="AC56" s="147">
        <v>3.8357850909090905</v>
      </c>
      <c r="AE56" s="299">
        <v>3.7</v>
      </c>
      <c r="AF56" s="145">
        <v>3.7</v>
      </c>
      <c r="AG56" s="145">
        <v>3.7</v>
      </c>
      <c r="AH56" s="145">
        <v>3.7</v>
      </c>
      <c r="AI56" s="145">
        <v>3.7</v>
      </c>
      <c r="AJ56" s="145">
        <v>3.7</v>
      </c>
      <c r="AK56" s="145">
        <v>3.7</v>
      </c>
      <c r="AL56" s="145">
        <v>3.7</v>
      </c>
      <c r="AM56" s="145">
        <v>3.7</v>
      </c>
      <c r="AN56" s="145">
        <v>3.7</v>
      </c>
      <c r="AO56" s="145">
        <v>3.7</v>
      </c>
      <c r="AP56" s="145">
        <v>3.7</v>
      </c>
      <c r="AQ56" s="145">
        <v>15.15516988181818</v>
      </c>
      <c r="AR56" s="147">
        <v>3.7660127236363636</v>
      </c>
    </row>
    <row r="57" spans="2:44" ht="15" x14ac:dyDescent="0.4">
      <c r="B57" s="365" t="s">
        <v>10</v>
      </c>
      <c r="C57" s="365"/>
      <c r="D57" s="366"/>
      <c r="E57" s="230">
        <v>2401</v>
      </c>
      <c r="F57" s="230">
        <v>2402</v>
      </c>
      <c r="G57" s="230">
        <v>2403</v>
      </c>
      <c r="H57" s="230">
        <v>2404</v>
      </c>
      <c r="I57" s="230">
        <v>2405</v>
      </c>
      <c r="J57" s="230">
        <v>2406</v>
      </c>
      <c r="K57" s="230">
        <v>2407</v>
      </c>
      <c r="L57" s="230">
        <v>2408</v>
      </c>
      <c r="M57" s="230">
        <v>2409</v>
      </c>
      <c r="N57" s="230">
        <v>2410</v>
      </c>
      <c r="O57" s="230">
        <v>2411</v>
      </c>
      <c r="P57" s="230">
        <v>2412</v>
      </c>
      <c r="R57" s="294">
        <v>2501</v>
      </c>
      <c r="S57" s="294">
        <v>2502</v>
      </c>
      <c r="T57" s="294">
        <v>2503</v>
      </c>
      <c r="U57" s="294">
        <v>2504</v>
      </c>
      <c r="V57" s="294">
        <v>2505</v>
      </c>
      <c r="W57" s="294">
        <v>2506</v>
      </c>
      <c r="X57" s="294">
        <v>2507</v>
      </c>
      <c r="Y57" s="294">
        <v>2508</v>
      </c>
      <c r="Z57" s="294">
        <v>2509</v>
      </c>
      <c r="AA57" s="294">
        <v>2510</v>
      </c>
      <c r="AB57" s="294">
        <v>2511</v>
      </c>
      <c r="AC57" s="309">
        <v>2512</v>
      </c>
      <c r="AE57" s="296">
        <v>2601</v>
      </c>
      <c r="AF57" s="235">
        <v>2602</v>
      </c>
      <c r="AG57" s="235">
        <v>2603</v>
      </c>
      <c r="AH57" s="235">
        <v>2604</v>
      </c>
      <c r="AI57" s="235">
        <v>2605</v>
      </c>
      <c r="AJ57" s="235">
        <v>2606</v>
      </c>
      <c r="AK57" s="235">
        <v>2607</v>
      </c>
      <c r="AL57" s="235">
        <v>2608</v>
      </c>
      <c r="AM57" s="235">
        <v>2609</v>
      </c>
      <c r="AN57" s="235">
        <v>2610</v>
      </c>
      <c r="AO57" s="235">
        <v>2611</v>
      </c>
      <c r="AP57" s="235">
        <v>2612</v>
      </c>
      <c r="AQ57" s="141" t="s">
        <v>112</v>
      </c>
      <c r="AR57" s="141" t="s">
        <v>113</v>
      </c>
    </row>
    <row r="58" spans="2:44" ht="15" x14ac:dyDescent="0.4">
      <c r="B58" s="367" t="s">
        <v>32</v>
      </c>
      <c r="C58" s="368"/>
      <c r="D58" s="142" t="s">
        <v>109</v>
      </c>
      <c r="E58" s="143">
        <f>SUM(E59:E61)</f>
        <v>8.3630734600000007</v>
      </c>
      <c r="F58" s="143">
        <f t="shared" ref="F58:P58" si="7">SUM(F59:F61)</f>
        <v>7.4613187610590836</v>
      </c>
      <c r="G58" s="143">
        <f t="shared" si="7"/>
        <v>7.5899537946190829</v>
      </c>
      <c r="H58" s="143">
        <f t="shared" si="7"/>
        <v>4.8425968090911473</v>
      </c>
      <c r="I58" s="143">
        <f t="shared" si="7"/>
        <v>6.1175146962040525</v>
      </c>
      <c r="J58" s="143">
        <f t="shared" si="7"/>
        <v>6.3733312678490828</v>
      </c>
      <c r="K58" s="143">
        <f t="shared" si="7"/>
        <v>7.9993811042495535</v>
      </c>
      <c r="L58" s="143">
        <f t="shared" si="7"/>
        <v>7.1907802900000002</v>
      </c>
      <c r="M58" s="143">
        <f t="shared" si="7"/>
        <v>5.5329017999999994</v>
      </c>
      <c r="N58" s="143">
        <f t="shared" si="7"/>
        <v>12.734405110000001</v>
      </c>
      <c r="O58" s="143">
        <f t="shared" si="7"/>
        <v>3.9508259800000003</v>
      </c>
      <c r="P58" s="143">
        <f t="shared" si="7"/>
        <v>21.060126320000002</v>
      </c>
      <c r="R58" s="143">
        <v>6.0540025899999996</v>
      </c>
      <c r="S58" s="143">
        <v>7.7356880200000004</v>
      </c>
      <c r="T58" s="143">
        <v>4.7217180299999999</v>
      </c>
      <c r="U58" s="143">
        <v>13.8960987</v>
      </c>
      <c r="V58" s="143">
        <v>4.3757564899999997</v>
      </c>
      <c r="W58" s="143">
        <f>W59+W60+W61</f>
        <v>13.00069583</v>
      </c>
      <c r="X58" s="143">
        <f t="shared" ref="X58:AP58" si="8">X59+X60+X61</f>
        <v>7.4690453299999993</v>
      </c>
      <c r="Y58" s="143">
        <f t="shared" si="8"/>
        <v>6.4659673599999996</v>
      </c>
      <c r="Z58" s="143">
        <f t="shared" si="8"/>
        <v>8.0688768799999995</v>
      </c>
      <c r="AA58" s="143">
        <f t="shared" si="8"/>
        <v>7.2972452399999996</v>
      </c>
      <c r="AB58" s="143">
        <f t="shared" si="8"/>
        <v>7.4603884999999996</v>
      </c>
      <c r="AC58" s="146">
        <f t="shared" si="8"/>
        <v>8.2272964000000002</v>
      </c>
      <c r="AE58" s="297">
        <f t="shared" si="8"/>
        <v>7.6</v>
      </c>
      <c r="AF58" s="143">
        <f t="shared" si="8"/>
        <v>7.6</v>
      </c>
      <c r="AG58" s="143">
        <f t="shared" si="8"/>
        <v>7.6</v>
      </c>
      <c r="AH58" s="143">
        <f t="shared" si="8"/>
        <v>7.6</v>
      </c>
      <c r="AI58" s="143">
        <f t="shared" si="8"/>
        <v>7.6</v>
      </c>
      <c r="AJ58" s="143">
        <f t="shared" si="8"/>
        <v>7.6</v>
      </c>
      <c r="AK58" s="143">
        <f t="shared" si="8"/>
        <v>7.6</v>
      </c>
      <c r="AL58" s="143">
        <f t="shared" si="8"/>
        <v>7.6</v>
      </c>
      <c r="AM58" s="143">
        <f t="shared" si="8"/>
        <v>7.6</v>
      </c>
      <c r="AN58" s="143">
        <f t="shared" si="8"/>
        <v>7.6</v>
      </c>
      <c r="AO58" s="143">
        <f t="shared" si="8"/>
        <v>7.6</v>
      </c>
      <c r="AP58" s="143">
        <f t="shared" si="8"/>
        <v>7.6</v>
      </c>
      <c r="AQ58" s="143">
        <v>32.407507339999995</v>
      </c>
      <c r="AR58" s="146">
        <v>7.356652765999999</v>
      </c>
    </row>
    <row r="59" spans="2:44" ht="14.5" customHeight="1" x14ac:dyDescent="0.4">
      <c r="B59" s="369"/>
      <c r="C59" s="370"/>
      <c r="D59" s="144" t="s">
        <v>20</v>
      </c>
      <c r="E59" s="145">
        <v>6.9</v>
      </c>
      <c r="F59" s="145">
        <v>7.3</v>
      </c>
      <c r="G59" s="145">
        <v>7.3</v>
      </c>
      <c r="H59" s="145">
        <v>7.35</v>
      </c>
      <c r="I59" s="145">
        <v>7.3868889199999996</v>
      </c>
      <c r="J59" s="145">
        <v>7.3146807799999998</v>
      </c>
      <c r="K59" s="145">
        <v>7.6354254900000003</v>
      </c>
      <c r="L59" s="145">
        <v>7.4</v>
      </c>
      <c r="M59" s="145">
        <v>7.6538857499999997</v>
      </c>
      <c r="N59" s="145">
        <v>7.86863885</v>
      </c>
      <c r="O59" s="145">
        <v>7.6142395199999999</v>
      </c>
      <c r="P59" s="145">
        <v>7.94</v>
      </c>
      <c r="R59" s="145">
        <v>7.9</v>
      </c>
      <c r="S59" s="145">
        <v>7.97160958</v>
      </c>
      <c r="T59" s="145">
        <v>7.4216384199999998</v>
      </c>
      <c r="U59" s="145">
        <v>7.6139127899999997</v>
      </c>
      <c r="V59" s="145">
        <v>7.6228569999999998</v>
      </c>
      <c r="W59" s="145">
        <v>7.7721819999999999</v>
      </c>
      <c r="X59" s="145">
        <v>7.4912716799999997</v>
      </c>
      <c r="Y59" s="145">
        <v>6.6766701099999999</v>
      </c>
      <c r="Z59" s="145">
        <v>6.9000006899999997</v>
      </c>
      <c r="AA59" s="145">
        <v>6.8727279599999997</v>
      </c>
      <c r="AB59" s="145">
        <v>6.8454552299999998</v>
      </c>
      <c r="AC59" s="147">
        <v>6.8454552299999998</v>
      </c>
      <c r="AE59" s="299">
        <v>7.5</v>
      </c>
      <c r="AF59" s="145">
        <v>7.5</v>
      </c>
      <c r="AG59" s="145">
        <v>7.5</v>
      </c>
      <c r="AH59" s="145">
        <v>7.5</v>
      </c>
      <c r="AI59" s="145">
        <v>7.5</v>
      </c>
      <c r="AJ59" s="145">
        <v>7.5</v>
      </c>
      <c r="AK59" s="145">
        <v>7.5</v>
      </c>
      <c r="AL59" s="145">
        <v>7.5</v>
      </c>
      <c r="AM59" s="145">
        <v>7.5</v>
      </c>
      <c r="AN59" s="145">
        <v>7.5</v>
      </c>
      <c r="AO59" s="145">
        <v>7.5</v>
      </c>
      <c r="AP59" s="145">
        <v>7.5</v>
      </c>
      <c r="AQ59" s="145">
        <v>30.907160790000002</v>
      </c>
      <c r="AR59" s="147">
        <v>7.7060035580000008</v>
      </c>
    </row>
    <row r="60" spans="2:44" ht="14.5" customHeight="1" x14ac:dyDescent="0.4">
      <c r="B60" s="369"/>
      <c r="C60" s="370"/>
      <c r="D60" s="144" t="s">
        <v>21</v>
      </c>
      <c r="E60" s="145">
        <v>0.69062104000000002</v>
      </c>
      <c r="F60" s="145">
        <v>0.67475181000000006</v>
      </c>
      <c r="G60" s="145">
        <v>0.65596743000000002</v>
      </c>
      <c r="H60" s="145">
        <v>0.66106860999999995</v>
      </c>
      <c r="I60" s="145">
        <v>0.66754687999999995</v>
      </c>
      <c r="J60" s="145">
        <v>0.64455618000000003</v>
      </c>
      <c r="K60" s="145">
        <v>0.70951200000000003</v>
      </c>
      <c r="L60" s="145">
        <v>0.70516719999999999</v>
      </c>
      <c r="M60" s="145">
        <v>0.62985632999999996</v>
      </c>
      <c r="N60" s="145">
        <v>0.65229932000000002</v>
      </c>
      <c r="O60" s="145">
        <v>0.63941378000000004</v>
      </c>
      <c r="P60" s="145">
        <v>0.61422584999999996</v>
      </c>
      <c r="R60" s="145">
        <v>0.60595882000000001</v>
      </c>
      <c r="S60" s="145">
        <v>0.66603878000000005</v>
      </c>
      <c r="T60" s="145">
        <v>0.63645967999999997</v>
      </c>
      <c r="U60" s="145">
        <v>0.57387266000000003</v>
      </c>
      <c r="V60" s="145">
        <v>0.69777632999999994</v>
      </c>
      <c r="W60" s="145">
        <v>0.75951674000000002</v>
      </c>
      <c r="X60" s="145">
        <v>0.68965745000000001</v>
      </c>
      <c r="Y60" s="145">
        <v>0.63667795999999999</v>
      </c>
      <c r="Z60" s="145">
        <v>0.63216598000000002</v>
      </c>
      <c r="AA60" s="145">
        <v>0.58205907999999995</v>
      </c>
      <c r="AB60" s="145">
        <v>0.81182807000000001</v>
      </c>
      <c r="AC60" s="147">
        <v>0.90341731000000003</v>
      </c>
      <c r="AE60" s="299">
        <v>0.6</v>
      </c>
      <c r="AF60" s="145">
        <v>0.6</v>
      </c>
      <c r="AG60" s="145">
        <v>0.6</v>
      </c>
      <c r="AH60" s="145">
        <v>0.6</v>
      </c>
      <c r="AI60" s="145">
        <v>0.6</v>
      </c>
      <c r="AJ60" s="145">
        <v>0.6</v>
      </c>
      <c r="AK60" s="145">
        <v>0.6</v>
      </c>
      <c r="AL60" s="145">
        <v>0.6</v>
      </c>
      <c r="AM60" s="145">
        <v>0.6</v>
      </c>
      <c r="AN60" s="145">
        <v>0.6</v>
      </c>
      <c r="AO60" s="145">
        <v>0.6</v>
      </c>
      <c r="AP60" s="145">
        <v>0.6</v>
      </c>
      <c r="AQ60" s="145">
        <v>2.4823299400000001</v>
      </c>
      <c r="AR60" s="147">
        <v>0.63602125399999998</v>
      </c>
    </row>
    <row r="61" spans="2:44" ht="14.5" customHeight="1" x14ac:dyDescent="0.4">
      <c r="B61" s="371"/>
      <c r="C61" s="372"/>
      <c r="D61" s="144" t="s">
        <v>110</v>
      </c>
      <c r="E61" s="145">
        <v>0.77245242000000003</v>
      </c>
      <c r="F61" s="145">
        <v>-0.51343304894091601</v>
      </c>
      <c r="G61" s="145">
        <v>-0.36601363538091658</v>
      </c>
      <c r="H61" s="145">
        <v>-3.1684718009088515</v>
      </c>
      <c r="I61" s="145">
        <v>-1.936921103795948</v>
      </c>
      <c r="J61" s="145">
        <v>-1.5859056921509171</v>
      </c>
      <c r="K61" s="145">
        <v>-0.34555638575044634</v>
      </c>
      <c r="L61" s="145">
        <v>-0.91438691000000005</v>
      </c>
      <c r="M61" s="145">
        <v>-2.7508402799999998</v>
      </c>
      <c r="N61" s="145">
        <v>4.21346694</v>
      </c>
      <c r="O61" s="145">
        <v>-4.3028273199999996</v>
      </c>
      <c r="P61" s="145">
        <v>12.50590047</v>
      </c>
      <c r="R61" s="145">
        <v>-2.45195623</v>
      </c>
      <c r="S61" s="145">
        <v>-0.90196034000000003</v>
      </c>
      <c r="T61" s="145">
        <v>-3.3363800700000001</v>
      </c>
      <c r="U61" s="145">
        <v>5.7083132499999998</v>
      </c>
      <c r="V61" s="145">
        <v>-3.9448768400000001</v>
      </c>
      <c r="W61" s="145">
        <v>4.4689970900000002</v>
      </c>
      <c r="X61" s="145">
        <v>-0.71188379999999996</v>
      </c>
      <c r="Y61" s="145">
        <v>-0.84738071000000004</v>
      </c>
      <c r="Z61" s="145">
        <v>0.53671020999999997</v>
      </c>
      <c r="AA61" s="145">
        <v>-0.15754180000000001</v>
      </c>
      <c r="AB61" s="145">
        <v>-0.19689480000000001</v>
      </c>
      <c r="AC61" s="147">
        <f>'관리수수료 트렌드 정리'!P98</f>
        <v>0.47842385999999998</v>
      </c>
      <c r="AE61" s="299">
        <v>-0.5</v>
      </c>
      <c r="AF61" s="145">
        <v>-0.5</v>
      </c>
      <c r="AG61" s="145">
        <v>-0.5</v>
      </c>
      <c r="AH61" s="145">
        <v>-0.5</v>
      </c>
      <c r="AI61" s="145">
        <v>-0.5</v>
      </c>
      <c r="AJ61" s="145">
        <v>-0.5</v>
      </c>
      <c r="AK61" s="145">
        <v>-0.5</v>
      </c>
      <c r="AL61" s="145">
        <v>-0.5</v>
      </c>
      <c r="AM61" s="145">
        <v>-0.5</v>
      </c>
      <c r="AN61" s="145">
        <v>-0.5</v>
      </c>
      <c r="AO61" s="145">
        <v>-0.5</v>
      </c>
      <c r="AP61" s="145">
        <v>-0.5</v>
      </c>
      <c r="AQ61" s="145">
        <v>-0.9819833899999999</v>
      </c>
      <c r="AR61" s="147">
        <v>-0.98537204599999995</v>
      </c>
    </row>
    <row r="62" spans="2:44" ht="15" x14ac:dyDescent="0.4">
      <c r="B62" s="365" t="s">
        <v>10</v>
      </c>
      <c r="C62" s="365"/>
      <c r="D62" s="366"/>
      <c r="E62" s="230">
        <v>2401</v>
      </c>
      <c r="F62" s="230">
        <v>2402</v>
      </c>
      <c r="G62" s="230">
        <v>2403</v>
      </c>
      <c r="H62" s="230">
        <v>2404</v>
      </c>
      <c r="I62" s="230">
        <v>2405</v>
      </c>
      <c r="J62" s="230">
        <v>2406</v>
      </c>
      <c r="K62" s="230">
        <v>2407</v>
      </c>
      <c r="L62" s="230">
        <v>2408</v>
      </c>
      <c r="M62" s="230">
        <v>2409</v>
      </c>
      <c r="N62" s="230">
        <v>2410</v>
      </c>
      <c r="O62" s="230">
        <v>2411</v>
      </c>
      <c r="P62" s="230">
        <v>2412</v>
      </c>
      <c r="R62" s="294">
        <v>2501</v>
      </c>
      <c r="S62" s="294">
        <v>2502</v>
      </c>
      <c r="T62" s="294">
        <v>2503</v>
      </c>
      <c r="U62" s="294">
        <v>2504</v>
      </c>
      <c r="V62" s="294">
        <v>2505</v>
      </c>
      <c r="W62" s="294">
        <v>2506</v>
      </c>
      <c r="X62" s="294">
        <v>2507</v>
      </c>
      <c r="Y62" s="294">
        <v>2508</v>
      </c>
      <c r="Z62" s="294">
        <v>2509</v>
      </c>
      <c r="AA62" s="294">
        <v>2510</v>
      </c>
      <c r="AB62" s="294">
        <v>2511</v>
      </c>
      <c r="AC62" s="309">
        <v>2512</v>
      </c>
      <c r="AE62" s="296">
        <v>2601</v>
      </c>
      <c r="AF62" s="235">
        <v>2602</v>
      </c>
      <c r="AG62" s="235">
        <v>2603</v>
      </c>
      <c r="AH62" s="235">
        <v>2604</v>
      </c>
      <c r="AI62" s="235">
        <v>2605</v>
      </c>
      <c r="AJ62" s="235">
        <v>2606</v>
      </c>
      <c r="AK62" s="235">
        <v>2607</v>
      </c>
      <c r="AL62" s="235">
        <v>2608</v>
      </c>
      <c r="AM62" s="235">
        <v>2609</v>
      </c>
      <c r="AN62" s="235">
        <v>2610</v>
      </c>
      <c r="AO62" s="235">
        <v>2611</v>
      </c>
      <c r="AP62" s="235">
        <v>2612</v>
      </c>
      <c r="AQ62" s="141" t="s">
        <v>112</v>
      </c>
      <c r="AR62" s="141" t="s">
        <v>113</v>
      </c>
    </row>
    <row r="63" spans="2:44" ht="15" x14ac:dyDescent="0.4">
      <c r="B63" s="367" t="s">
        <v>205</v>
      </c>
      <c r="C63" s="368"/>
      <c r="D63" s="142" t="s">
        <v>109</v>
      </c>
      <c r="E63" s="148">
        <f>E64+E65</f>
        <v>894405</v>
      </c>
      <c r="F63" s="148">
        <f t="shared" ref="F63:P63" si="9">F64+F65</f>
        <v>893011</v>
      </c>
      <c r="G63" s="148">
        <f t="shared" si="9"/>
        <v>892673</v>
      </c>
      <c r="H63" s="148">
        <f t="shared" si="9"/>
        <v>890727</v>
      </c>
      <c r="I63" s="148">
        <f t="shared" si="9"/>
        <v>889722</v>
      </c>
      <c r="J63" s="148">
        <f t="shared" si="9"/>
        <v>890125</v>
      </c>
      <c r="K63" s="148">
        <f t="shared" si="9"/>
        <v>890893</v>
      </c>
      <c r="L63" s="148">
        <f t="shared" si="9"/>
        <v>892043</v>
      </c>
      <c r="M63" s="148">
        <f t="shared" si="9"/>
        <v>890763</v>
      </c>
      <c r="N63" s="148">
        <f t="shared" si="9"/>
        <v>883936</v>
      </c>
      <c r="O63" s="148">
        <f t="shared" si="9"/>
        <v>887759</v>
      </c>
      <c r="P63" s="148">
        <f t="shared" si="9"/>
        <v>886188</v>
      </c>
      <c r="R63" s="148">
        <v>863927</v>
      </c>
      <c r="S63" s="148">
        <v>867687</v>
      </c>
      <c r="T63" s="148">
        <v>868817</v>
      </c>
      <c r="U63" s="148">
        <v>873806</v>
      </c>
      <c r="V63" s="148">
        <v>891478</v>
      </c>
      <c r="W63" s="148">
        <f t="shared" ref="W63:AC63" si="10">W64+W65</f>
        <v>900127</v>
      </c>
      <c r="X63" s="148">
        <f t="shared" si="10"/>
        <v>899782</v>
      </c>
      <c r="Y63" s="148">
        <f t="shared" si="10"/>
        <v>895336</v>
      </c>
      <c r="Z63" s="148">
        <f t="shared" si="10"/>
        <v>890510</v>
      </c>
      <c r="AA63" s="148">
        <f t="shared" si="10"/>
        <v>883502</v>
      </c>
      <c r="AB63" s="148">
        <f t="shared" si="10"/>
        <v>876733</v>
      </c>
      <c r="AC63" s="149">
        <f t="shared" si="10"/>
        <v>867471</v>
      </c>
      <c r="AE63" s="300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>
        <v>3474237</v>
      </c>
      <c r="AR63" s="149"/>
    </row>
    <row r="64" spans="2:44" ht="15" x14ac:dyDescent="0.4">
      <c r="B64" s="369"/>
      <c r="C64" s="370"/>
      <c r="D64" s="144" t="s">
        <v>70</v>
      </c>
      <c r="E64" s="150">
        <v>749129</v>
      </c>
      <c r="F64" s="150">
        <v>748834</v>
      </c>
      <c r="G64" s="150">
        <v>748987</v>
      </c>
      <c r="H64" s="150">
        <v>747221</v>
      </c>
      <c r="I64" s="150">
        <v>747650</v>
      </c>
      <c r="J64" s="150">
        <v>750317</v>
      </c>
      <c r="K64" s="150">
        <v>752257</v>
      </c>
      <c r="L64" s="150">
        <v>755901</v>
      </c>
      <c r="M64" s="150">
        <v>756168</v>
      </c>
      <c r="N64" s="150">
        <v>751500</v>
      </c>
      <c r="O64" s="150">
        <v>756006</v>
      </c>
      <c r="P64" s="150">
        <v>755811</v>
      </c>
      <c r="R64" s="150">
        <v>751971</v>
      </c>
      <c r="S64" s="150">
        <v>752950</v>
      </c>
      <c r="T64" s="150">
        <v>752266</v>
      </c>
      <c r="U64" s="150">
        <v>754111</v>
      </c>
      <c r="V64" s="150">
        <v>766608</v>
      </c>
      <c r="W64" s="150">
        <v>764910</v>
      </c>
      <c r="X64" s="150">
        <v>762687</v>
      </c>
      <c r="Y64" s="150">
        <v>758312</v>
      </c>
      <c r="Z64" s="150">
        <v>753607</v>
      </c>
      <c r="AA64" s="150">
        <v>748268</v>
      </c>
      <c r="AB64" s="150">
        <v>742935</v>
      </c>
      <c r="AC64" s="151">
        <v>734795</v>
      </c>
      <c r="AE64" s="301">
        <f>AC64+AE73</f>
        <v>730955</v>
      </c>
      <c r="AF64" s="150">
        <f t="shared" ref="AF64:AP64" si="11">AE64+AF73</f>
        <v>731944</v>
      </c>
      <c r="AG64" s="150">
        <f t="shared" si="11"/>
        <v>731267</v>
      </c>
      <c r="AH64" s="150">
        <f t="shared" si="11"/>
        <v>733113</v>
      </c>
      <c r="AI64" s="150">
        <f t="shared" si="11"/>
        <v>745614</v>
      </c>
      <c r="AJ64" s="150">
        <f t="shared" si="11"/>
        <v>743919</v>
      </c>
      <c r="AK64" s="150">
        <f t="shared" si="11"/>
        <v>741696</v>
      </c>
      <c r="AL64" s="150">
        <f t="shared" si="11"/>
        <v>737321</v>
      </c>
      <c r="AM64" s="150">
        <f t="shared" si="11"/>
        <v>732616</v>
      </c>
      <c r="AN64" s="150">
        <f t="shared" si="11"/>
        <v>727277</v>
      </c>
      <c r="AO64" s="150">
        <f t="shared" si="11"/>
        <v>721944</v>
      </c>
      <c r="AP64" s="150">
        <f t="shared" si="11"/>
        <v>713804</v>
      </c>
      <c r="AQ64" s="150">
        <v>3011298</v>
      </c>
      <c r="AR64" s="151"/>
    </row>
    <row r="65" spans="2:54" ht="15" x14ac:dyDescent="0.4">
      <c r="B65" s="369"/>
      <c r="C65" s="370"/>
      <c r="D65" s="144" t="s">
        <v>71</v>
      </c>
      <c r="E65" s="150">
        <v>145276</v>
      </c>
      <c r="F65" s="150">
        <v>144177</v>
      </c>
      <c r="G65" s="150">
        <v>143686</v>
      </c>
      <c r="H65" s="150">
        <v>143506</v>
      </c>
      <c r="I65" s="150">
        <v>142072</v>
      </c>
      <c r="J65" s="150">
        <v>139808</v>
      </c>
      <c r="K65" s="150">
        <v>138636</v>
      </c>
      <c r="L65" s="150">
        <v>136142</v>
      </c>
      <c r="M65" s="150">
        <v>134595</v>
      </c>
      <c r="N65" s="150">
        <v>132436</v>
      </c>
      <c r="O65" s="150">
        <v>131753</v>
      </c>
      <c r="P65" s="150">
        <v>130377</v>
      </c>
      <c r="R65" s="150">
        <v>128645</v>
      </c>
      <c r="S65" s="150">
        <v>129575</v>
      </c>
      <c r="T65" s="150">
        <v>129166</v>
      </c>
      <c r="U65" s="150">
        <v>129992</v>
      </c>
      <c r="V65" s="150">
        <v>134949</v>
      </c>
      <c r="W65" s="150">
        <v>135217</v>
      </c>
      <c r="X65" s="150">
        <v>137095</v>
      </c>
      <c r="Y65" s="150">
        <v>137024</v>
      </c>
      <c r="Z65" s="150">
        <v>136903</v>
      </c>
      <c r="AA65" s="150">
        <v>135234</v>
      </c>
      <c r="AB65" s="150">
        <v>133798</v>
      </c>
      <c r="AC65" s="151">
        <v>132676</v>
      </c>
      <c r="AE65" s="301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>
        <v>462939</v>
      </c>
      <c r="AR65" s="151"/>
    </row>
    <row r="66" spans="2:54" ht="15" x14ac:dyDescent="0.4">
      <c r="B66" s="306"/>
      <c r="C66" s="306"/>
      <c r="D66" s="316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R66" s="150">
        <v>69550</v>
      </c>
      <c r="S66" s="150">
        <v>69467</v>
      </c>
      <c r="T66" s="150">
        <v>68835</v>
      </c>
      <c r="U66" s="150">
        <v>68722</v>
      </c>
      <c r="V66" s="150">
        <v>70687</v>
      </c>
      <c r="W66" s="150">
        <v>70267</v>
      </c>
      <c r="X66" s="150">
        <v>70676</v>
      </c>
      <c r="Y66" s="150">
        <v>70034</v>
      </c>
      <c r="Z66" s="150">
        <v>69511</v>
      </c>
      <c r="AA66" s="150">
        <v>68388</v>
      </c>
      <c r="AB66" s="150">
        <v>67227</v>
      </c>
      <c r="AC66" s="151">
        <v>66318</v>
      </c>
      <c r="AE66" s="30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</row>
    <row r="67" spans="2:54" ht="15" x14ac:dyDescent="0.4">
      <c r="B67" s="306"/>
      <c r="C67" s="306"/>
      <c r="D67" s="316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R67" s="150">
        <v>59095</v>
      </c>
      <c r="S67" s="150">
        <v>60108</v>
      </c>
      <c r="T67" s="150">
        <v>60331</v>
      </c>
      <c r="U67" s="150">
        <v>61270</v>
      </c>
      <c r="V67" s="150">
        <v>64262</v>
      </c>
      <c r="W67" s="150">
        <v>64950</v>
      </c>
      <c r="X67" s="150">
        <v>66419</v>
      </c>
      <c r="Y67" s="150">
        <v>66990</v>
      </c>
      <c r="Z67" s="150">
        <v>67392</v>
      </c>
      <c r="AA67" s="150">
        <v>66846</v>
      </c>
      <c r="AB67" s="150">
        <v>66571</v>
      </c>
      <c r="AC67" s="151">
        <v>66358</v>
      </c>
      <c r="AE67" s="30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</row>
    <row r="68" spans="2:54" ht="15" x14ac:dyDescent="0.4">
      <c r="B68" s="365" t="s">
        <v>10</v>
      </c>
      <c r="C68" s="365"/>
      <c r="D68" s="366"/>
      <c r="E68" s="230">
        <v>2401</v>
      </c>
      <c r="F68" s="230">
        <v>2402</v>
      </c>
      <c r="G68" s="230">
        <v>2403</v>
      </c>
      <c r="H68" s="230">
        <v>2404</v>
      </c>
      <c r="I68" s="230">
        <v>2405</v>
      </c>
      <c r="J68" s="230">
        <v>2406</v>
      </c>
      <c r="K68" s="230">
        <v>2407</v>
      </c>
      <c r="L68" s="230">
        <v>2408</v>
      </c>
      <c r="M68" s="230">
        <v>2409</v>
      </c>
      <c r="N68" s="230">
        <v>2410</v>
      </c>
      <c r="O68" s="230">
        <v>2411</v>
      </c>
      <c r="P68" s="230">
        <v>2412</v>
      </c>
      <c r="R68" s="294">
        <v>2501</v>
      </c>
      <c r="S68" s="294">
        <v>2502</v>
      </c>
      <c r="T68" s="294">
        <v>2503</v>
      </c>
      <c r="U68" s="294">
        <v>2504</v>
      </c>
      <c r="V68" s="294">
        <v>2505</v>
      </c>
      <c r="W68" s="294">
        <v>2506</v>
      </c>
      <c r="X68" s="294">
        <v>2507</v>
      </c>
      <c r="Y68" s="294">
        <v>2508</v>
      </c>
      <c r="Z68" s="294">
        <v>2509</v>
      </c>
      <c r="AA68" s="294">
        <v>2510</v>
      </c>
      <c r="AB68" s="294">
        <v>2511</v>
      </c>
      <c r="AC68" s="309">
        <v>2512</v>
      </c>
      <c r="AE68" s="296">
        <v>2601</v>
      </c>
      <c r="AF68" s="235">
        <v>2602</v>
      </c>
      <c r="AG68" s="235">
        <v>2603</v>
      </c>
      <c r="AH68" s="235">
        <v>2604</v>
      </c>
      <c r="AI68" s="235">
        <v>2605</v>
      </c>
      <c r="AJ68" s="235">
        <v>2606</v>
      </c>
      <c r="AK68" s="235">
        <v>2607</v>
      </c>
      <c r="AL68" s="235">
        <v>2608</v>
      </c>
      <c r="AM68" s="235">
        <v>2609</v>
      </c>
      <c r="AN68" s="235">
        <v>2610</v>
      </c>
      <c r="AO68" s="235">
        <v>2611</v>
      </c>
      <c r="AP68" s="235">
        <v>2612</v>
      </c>
      <c r="AQ68" s="141" t="s">
        <v>112</v>
      </c>
      <c r="AR68" s="141" t="s">
        <v>113</v>
      </c>
    </row>
    <row r="69" spans="2:54" ht="15" x14ac:dyDescent="0.4">
      <c r="B69" s="367" t="s">
        <v>204</v>
      </c>
      <c r="C69" s="368"/>
      <c r="D69" s="142" t="s">
        <v>109</v>
      </c>
      <c r="E69" s="154">
        <f>E70+E71</f>
        <v>26997</v>
      </c>
      <c r="F69" s="154">
        <f t="shared" ref="F69:P69" si="12">F70+F71</f>
        <v>17538</v>
      </c>
      <c r="G69" s="154">
        <f t="shared" si="12"/>
        <v>19530</v>
      </c>
      <c r="H69" s="154">
        <f t="shared" si="12"/>
        <v>19429</v>
      </c>
      <c r="I69" s="154">
        <f t="shared" si="12"/>
        <v>19761</v>
      </c>
      <c r="J69" s="154">
        <f t="shared" si="12"/>
        <v>17706</v>
      </c>
      <c r="K69" s="154">
        <f t="shared" si="12"/>
        <v>25828.999999999993</v>
      </c>
      <c r="L69" s="154">
        <f t="shared" si="12"/>
        <v>19335</v>
      </c>
      <c r="M69" s="154">
        <f t="shared" si="12"/>
        <v>23821</v>
      </c>
      <c r="N69" s="154">
        <f t="shared" si="12"/>
        <v>19517</v>
      </c>
      <c r="O69" s="154">
        <f t="shared" si="12"/>
        <v>18278</v>
      </c>
      <c r="P69" s="154">
        <f t="shared" si="12"/>
        <v>16088</v>
      </c>
      <c r="R69" s="154">
        <v>14423</v>
      </c>
      <c r="S69" s="154">
        <v>29919</v>
      </c>
      <c r="T69" s="154">
        <v>20890</v>
      </c>
      <c r="U69" s="154">
        <v>26775</v>
      </c>
      <c r="V69" s="154">
        <v>36758</v>
      </c>
      <c r="W69" s="154">
        <f>W70+W71</f>
        <v>22139</v>
      </c>
      <c r="X69" s="154">
        <v>22139</v>
      </c>
      <c r="Y69" s="154">
        <v>22139</v>
      </c>
      <c r="Z69" s="154">
        <v>22139</v>
      </c>
      <c r="AA69" s="154">
        <v>22139</v>
      </c>
      <c r="AB69" s="154">
        <v>22139</v>
      </c>
      <c r="AC69" s="155">
        <v>22139</v>
      </c>
      <c r="AE69" s="302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>
        <v>92007</v>
      </c>
      <c r="AR69" s="155"/>
    </row>
    <row r="70" spans="2:54" ht="15" x14ac:dyDescent="0.4">
      <c r="B70" s="369"/>
      <c r="C70" s="370"/>
      <c r="D70" s="144" t="s">
        <v>70</v>
      </c>
      <c r="E70" s="156">
        <v>23395</v>
      </c>
      <c r="F70" s="156">
        <v>14757</v>
      </c>
      <c r="G70" s="156">
        <v>16162</v>
      </c>
      <c r="H70" s="156">
        <v>15877</v>
      </c>
      <c r="I70" s="156">
        <v>16155.999999999998</v>
      </c>
      <c r="J70" s="156">
        <v>14590.999999999998</v>
      </c>
      <c r="K70" s="156">
        <v>21829.999999999993</v>
      </c>
      <c r="L70" s="156">
        <v>16249.000000000002</v>
      </c>
      <c r="M70" s="156">
        <v>20549</v>
      </c>
      <c r="N70" s="156">
        <v>16254</v>
      </c>
      <c r="O70" s="156">
        <v>15024</v>
      </c>
      <c r="P70" s="156">
        <v>13168</v>
      </c>
      <c r="R70" s="156">
        <v>11930</v>
      </c>
      <c r="S70" s="156">
        <v>25000</v>
      </c>
      <c r="T70" s="156">
        <v>17145</v>
      </c>
      <c r="U70" s="156">
        <v>22356</v>
      </c>
      <c r="V70" s="156">
        <v>29195</v>
      </c>
      <c r="W70" s="156">
        <v>18050</v>
      </c>
      <c r="X70" s="156">
        <v>29155</v>
      </c>
      <c r="Y70" s="156">
        <v>17775</v>
      </c>
      <c r="Z70" s="156">
        <v>23129</v>
      </c>
      <c r="AA70" s="156">
        <v>15351</v>
      </c>
      <c r="AB70" s="156">
        <v>13674</v>
      </c>
      <c r="AC70" s="157">
        <v>12817</v>
      </c>
      <c r="AE70" s="303">
        <v>11930</v>
      </c>
      <c r="AF70" s="156">
        <v>25000</v>
      </c>
      <c r="AG70" s="156">
        <v>17145</v>
      </c>
      <c r="AH70" s="156">
        <v>22356</v>
      </c>
      <c r="AI70" s="156">
        <v>29195</v>
      </c>
      <c r="AJ70" s="156">
        <v>18050</v>
      </c>
      <c r="AK70" s="156">
        <v>29155</v>
      </c>
      <c r="AL70" s="156">
        <v>17775</v>
      </c>
      <c r="AM70" s="156">
        <v>23129</v>
      </c>
      <c r="AN70" s="156">
        <v>15351</v>
      </c>
      <c r="AO70" s="156">
        <v>13674</v>
      </c>
      <c r="AP70" s="157">
        <v>12817</v>
      </c>
      <c r="AQ70" s="156">
        <v>76429</v>
      </c>
      <c r="AR70" s="157"/>
    </row>
    <row r="71" spans="2:54" ht="15" x14ac:dyDescent="0.4">
      <c r="B71" s="369"/>
      <c r="C71" s="370"/>
      <c r="D71" s="144" t="s">
        <v>71</v>
      </c>
      <c r="E71" s="156">
        <v>3602</v>
      </c>
      <c r="F71" s="156">
        <v>2781</v>
      </c>
      <c r="G71" s="156">
        <v>3368</v>
      </c>
      <c r="H71" s="156">
        <v>3552</v>
      </c>
      <c r="I71" s="156">
        <v>3605</v>
      </c>
      <c r="J71" s="156">
        <v>3115</v>
      </c>
      <c r="K71" s="156">
        <v>3999</v>
      </c>
      <c r="L71" s="156">
        <v>3086</v>
      </c>
      <c r="M71" s="156">
        <v>3272</v>
      </c>
      <c r="N71" s="156">
        <v>3263</v>
      </c>
      <c r="O71" s="156">
        <v>3254</v>
      </c>
      <c r="P71" s="156">
        <v>2920</v>
      </c>
      <c r="R71" s="156">
        <v>2493</v>
      </c>
      <c r="S71" s="156">
        <v>4919</v>
      </c>
      <c r="T71" s="156">
        <v>3745</v>
      </c>
      <c r="U71" s="156">
        <v>4421</v>
      </c>
      <c r="V71" s="156">
        <v>7562.9999999999991</v>
      </c>
      <c r="W71" s="156">
        <v>4089</v>
      </c>
      <c r="X71" s="156">
        <v>5722</v>
      </c>
      <c r="Y71" s="156">
        <v>3850</v>
      </c>
      <c r="Z71" s="156">
        <v>3971</v>
      </c>
      <c r="AA71" s="156">
        <v>2765</v>
      </c>
      <c r="AB71" s="156">
        <v>2827</v>
      </c>
      <c r="AC71" s="157">
        <v>4628.2</v>
      </c>
      <c r="AE71" s="156">
        <v>2493</v>
      </c>
      <c r="AF71" s="156">
        <v>4919</v>
      </c>
      <c r="AG71" s="156">
        <v>3745</v>
      </c>
      <c r="AH71" s="156">
        <v>4421</v>
      </c>
      <c r="AI71" s="156">
        <v>7562.9999999999991</v>
      </c>
      <c r="AJ71" s="156">
        <v>4089</v>
      </c>
      <c r="AK71" s="156">
        <v>5722</v>
      </c>
      <c r="AL71" s="156">
        <v>3850</v>
      </c>
      <c r="AM71" s="156">
        <v>3971</v>
      </c>
      <c r="AN71" s="156">
        <v>2765</v>
      </c>
      <c r="AO71" s="156">
        <v>2827</v>
      </c>
      <c r="AP71" s="157">
        <v>4628.2</v>
      </c>
      <c r="AQ71" s="156">
        <v>15578</v>
      </c>
      <c r="AR71" s="157"/>
    </row>
    <row r="72" spans="2:54" ht="15" x14ac:dyDescent="0.4">
      <c r="B72" s="365" t="s">
        <v>10</v>
      </c>
      <c r="C72" s="365"/>
      <c r="D72" s="366"/>
      <c r="E72" s="230">
        <v>2401</v>
      </c>
      <c r="F72" s="230">
        <v>2402</v>
      </c>
      <c r="G72" s="230">
        <v>2403</v>
      </c>
      <c r="H72" s="230">
        <v>2404</v>
      </c>
      <c r="I72" s="230">
        <v>2405</v>
      </c>
      <c r="J72" s="230">
        <v>2406</v>
      </c>
      <c r="K72" s="230">
        <v>2407</v>
      </c>
      <c r="L72" s="230">
        <v>2408</v>
      </c>
      <c r="M72" s="230">
        <v>2409</v>
      </c>
      <c r="N72" s="230">
        <v>2410</v>
      </c>
      <c r="O72" s="230">
        <v>2411</v>
      </c>
      <c r="P72" s="230">
        <v>2412</v>
      </c>
      <c r="R72" s="294">
        <v>2501</v>
      </c>
      <c r="S72" s="294">
        <v>2502</v>
      </c>
      <c r="T72" s="294">
        <v>2503</v>
      </c>
      <c r="U72" s="294">
        <v>2504</v>
      </c>
      <c r="V72" s="294">
        <v>2505</v>
      </c>
      <c r="W72" s="294">
        <v>2506</v>
      </c>
      <c r="X72" s="294">
        <v>2507</v>
      </c>
      <c r="Y72" s="294">
        <v>2508</v>
      </c>
      <c r="Z72" s="294">
        <v>2509</v>
      </c>
      <c r="AA72" s="294">
        <v>2510</v>
      </c>
      <c r="AB72" s="294">
        <v>2511</v>
      </c>
      <c r="AC72" s="309">
        <v>2512</v>
      </c>
      <c r="AE72" s="296">
        <v>2601</v>
      </c>
      <c r="AF72" s="235">
        <v>2602</v>
      </c>
      <c r="AG72" s="235">
        <v>2603</v>
      </c>
      <c r="AH72" s="235">
        <v>2604</v>
      </c>
      <c r="AI72" s="235">
        <v>2605</v>
      </c>
      <c r="AJ72" s="235">
        <v>2606</v>
      </c>
      <c r="AK72" s="235">
        <v>2607</v>
      </c>
      <c r="AL72" s="235">
        <v>2608</v>
      </c>
      <c r="AM72" s="235">
        <v>2609</v>
      </c>
      <c r="AN72" s="235">
        <v>2610</v>
      </c>
      <c r="AO72" s="235">
        <v>2611</v>
      </c>
      <c r="AP72" s="235">
        <v>2612</v>
      </c>
      <c r="AQ72" s="141" t="s">
        <v>112</v>
      </c>
      <c r="AR72" s="141" t="s">
        <v>113</v>
      </c>
    </row>
    <row r="73" spans="2:54" ht="15" x14ac:dyDescent="0.4">
      <c r="B73" s="367" t="s">
        <v>203</v>
      </c>
      <c r="C73" s="368"/>
      <c r="D73" s="144" t="s">
        <v>70</v>
      </c>
      <c r="E73" s="144">
        <v>62</v>
      </c>
      <c r="F73" s="144">
        <v>-295</v>
      </c>
      <c r="G73" s="144">
        <v>153</v>
      </c>
      <c r="H73" s="144">
        <v>-1766</v>
      </c>
      <c r="I73" s="144">
        <v>429</v>
      </c>
      <c r="J73" s="144">
        <v>2667</v>
      </c>
      <c r="K73" s="144">
        <v>1940</v>
      </c>
      <c r="L73" s="144">
        <v>3644</v>
      </c>
      <c r="M73" s="144">
        <v>267</v>
      </c>
      <c r="N73" s="144">
        <v>-4668</v>
      </c>
      <c r="O73" s="144">
        <v>4506</v>
      </c>
      <c r="P73" s="144">
        <v>-195</v>
      </c>
      <c r="R73" s="156">
        <v>-3840</v>
      </c>
      <c r="S73" s="156">
        <v>979</v>
      </c>
      <c r="T73" s="156">
        <v>-684</v>
      </c>
      <c r="U73" s="156">
        <v>1845</v>
      </c>
      <c r="V73" s="156">
        <v>12497</v>
      </c>
      <c r="W73" s="156">
        <v>-1698</v>
      </c>
      <c r="X73" s="156">
        <v>-2223</v>
      </c>
      <c r="Y73" s="156">
        <v>-4375</v>
      </c>
      <c r="Z73" s="156">
        <v>-4705</v>
      </c>
      <c r="AA73" s="156">
        <v>-5339</v>
      </c>
      <c r="AB73" s="156">
        <f>AB64-AA64</f>
        <v>-5333</v>
      </c>
      <c r="AC73" s="157">
        <f>AC64-AB64</f>
        <v>-8140</v>
      </c>
      <c r="AE73" s="303">
        <f>AE70-(R82+R83+R84)</f>
        <v>-3840</v>
      </c>
      <c r="AF73" s="156">
        <f t="shared" ref="AF73:AP73" si="13">AF70-(S82+S83+S84)</f>
        <v>989</v>
      </c>
      <c r="AG73" s="156">
        <f t="shared" si="13"/>
        <v>-677</v>
      </c>
      <c r="AH73" s="156">
        <f t="shared" si="13"/>
        <v>1846</v>
      </c>
      <c r="AI73" s="156">
        <f t="shared" si="13"/>
        <v>12501</v>
      </c>
      <c r="AJ73" s="156">
        <f t="shared" si="13"/>
        <v>-1695</v>
      </c>
      <c r="AK73" s="156">
        <f t="shared" si="13"/>
        <v>-2223</v>
      </c>
      <c r="AL73" s="156">
        <f t="shared" si="13"/>
        <v>-4375</v>
      </c>
      <c r="AM73" s="156">
        <f t="shared" si="13"/>
        <v>-4705</v>
      </c>
      <c r="AN73" s="156">
        <f t="shared" si="13"/>
        <v>-5339</v>
      </c>
      <c r="AO73" s="156">
        <f t="shared" si="13"/>
        <v>-5333</v>
      </c>
      <c r="AP73" s="156">
        <f t="shared" si="13"/>
        <v>-8140</v>
      </c>
      <c r="AQ73" s="156">
        <v>22</v>
      </c>
      <c r="AR73" s="157"/>
    </row>
    <row r="74" spans="2:54" ht="15" x14ac:dyDescent="0.4">
      <c r="B74" s="371"/>
      <c r="C74" s="372"/>
      <c r="D74" s="144" t="s">
        <v>71</v>
      </c>
      <c r="E74" s="144">
        <v>598</v>
      </c>
      <c r="F74" s="144">
        <v>-1099</v>
      </c>
      <c r="G74" s="144">
        <v>-491</v>
      </c>
      <c r="H74" s="144">
        <v>-180</v>
      </c>
      <c r="I74" s="144">
        <v>-1434</v>
      </c>
      <c r="J74" s="144">
        <v>-2264</v>
      </c>
      <c r="K74" s="144">
        <v>-1172</v>
      </c>
      <c r="L74" s="144">
        <v>-2494</v>
      </c>
      <c r="M74" s="144">
        <v>-1547</v>
      </c>
      <c r="N74" s="144">
        <v>-2159</v>
      </c>
      <c r="O74" s="144">
        <v>-683</v>
      </c>
      <c r="P74" s="144">
        <v>-1190</v>
      </c>
      <c r="R74" s="156">
        <v>-1732</v>
      </c>
      <c r="S74" s="156">
        <v>930</v>
      </c>
      <c r="T74" s="156">
        <v>-409</v>
      </c>
      <c r="U74" s="156">
        <v>826</v>
      </c>
      <c r="V74" s="156">
        <v>4957</v>
      </c>
      <c r="W74" s="156">
        <v>268</v>
      </c>
      <c r="X74" s="156">
        <v>1878</v>
      </c>
      <c r="Y74" s="156">
        <v>-71</v>
      </c>
      <c r="Z74" s="156">
        <v>-121</v>
      </c>
      <c r="AA74" s="156">
        <v>-1669</v>
      </c>
      <c r="AB74" s="156">
        <v>-1436</v>
      </c>
      <c r="AC74" s="157">
        <f>AC65-AB65</f>
        <v>-1122</v>
      </c>
      <c r="AE74" s="303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>
        <v>6632</v>
      </c>
      <c r="AR74" s="157"/>
    </row>
    <row r="75" spans="2:54" ht="15" x14ac:dyDescent="0.4">
      <c r="B75" s="365" t="s">
        <v>10</v>
      </c>
      <c r="C75" s="365"/>
      <c r="D75" s="366"/>
      <c r="E75" s="230">
        <v>2401</v>
      </c>
      <c r="F75" s="230">
        <v>2402</v>
      </c>
      <c r="G75" s="230">
        <v>2403</v>
      </c>
      <c r="H75" s="230">
        <v>2404</v>
      </c>
      <c r="I75" s="230">
        <v>2405</v>
      </c>
      <c r="J75" s="230">
        <v>2406</v>
      </c>
      <c r="K75" s="230">
        <v>2407</v>
      </c>
      <c r="L75" s="230">
        <v>2408</v>
      </c>
      <c r="M75" s="230">
        <v>2409</v>
      </c>
      <c r="N75" s="230">
        <v>2410</v>
      </c>
      <c r="O75" s="230">
        <v>2411</v>
      </c>
      <c r="P75" s="230">
        <v>2412</v>
      </c>
      <c r="R75" s="294">
        <v>2501</v>
      </c>
      <c r="S75" s="294">
        <v>2502</v>
      </c>
      <c r="T75" s="294">
        <v>2503</v>
      </c>
      <c r="U75" s="294">
        <v>2504</v>
      </c>
      <c r="V75" s="294">
        <v>2505</v>
      </c>
      <c r="W75" s="294">
        <v>2506</v>
      </c>
      <c r="X75" s="294">
        <v>2507</v>
      </c>
      <c r="Y75" s="294">
        <v>2508</v>
      </c>
      <c r="Z75" s="294">
        <v>2509</v>
      </c>
      <c r="AA75" s="294">
        <v>2510</v>
      </c>
      <c r="AB75" s="294">
        <v>2511</v>
      </c>
      <c r="AC75" s="309">
        <v>2512</v>
      </c>
      <c r="AE75" s="296">
        <v>2601</v>
      </c>
      <c r="AF75" s="235">
        <v>2602</v>
      </c>
      <c r="AG75" s="235">
        <v>2603</v>
      </c>
      <c r="AH75" s="235">
        <v>2604</v>
      </c>
      <c r="AI75" s="235">
        <v>2605</v>
      </c>
      <c r="AJ75" s="235">
        <v>2606</v>
      </c>
      <c r="AK75" s="235">
        <v>2607</v>
      </c>
      <c r="AL75" s="235">
        <v>2608</v>
      </c>
      <c r="AM75" s="235">
        <v>2609</v>
      </c>
      <c r="AN75" s="235">
        <v>2610</v>
      </c>
      <c r="AO75" s="235">
        <v>2611</v>
      </c>
      <c r="AP75" s="235">
        <v>2612</v>
      </c>
      <c r="AQ75" s="141" t="s">
        <v>112</v>
      </c>
      <c r="AR75" s="141" t="s">
        <v>113</v>
      </c>
    </row>
    <row r="76" spans="2:54" ht="20.5" customHeight="1" x14ac:dyDescent="0.4">
      <c r="B76" s="369" t="s">
        <v>206</v>
      </c>
      <c r="C76" s="370"/>
      <c r="D76" s="144" t="s">
        <v>70</v>
      </c>
      <c r="E76" s="219">
        <f>E55*100000000/E64/0.085*1.1/(1-E79)</f>
        <v>40134.132054378766</v>
      </c>
      <c r="F76" s="219">
        <f t="shared" ref="F76:P76" si="14">F55*100000000/F64/0.085*1.1/(1-F79)</f>
        <v>40851.123967001869</v>
      </c>
      <c r="G76" s="219">
        <f t="shared" si="14"/>
        <v>39879.687097372851</v>
      </c>
      <c r="H76" s="219">
        <f t="shared" si="14"/>
        <v>40274.000707090599</v>
      </c>
      <c r="I76" s="219">
        <f t="shared" si="14"/>
        <v>39867.24291407194</v>
      </c>
      <c r="J76" s="219">
        <f t="shared" si="14"/>
        <v>40242.912325135672</v>
      </c>
      <c r="K76" s="219">
        <f t="shared" si="14"/>
        <v>39985.063396278296</v>
      </c>
      <c r="L76" s="219">
        <f t="shared" si="14"/>
        <v>39558.3795014551</v>
      </c>
      <c r="M76" s="219">
        <f t="shared" si="14"/>
        <v>39688.85949403089</v>
      </c>
      <c r="N76" s="219">
        <f t="shared" si="14"/>
        <v>39400.769723298501</v>
      </c>
      <c r="O76" s="219">
        <f t="shared" si="14"/>
        <v>38894.968558450593</v>
      </c>
      <c r="P76" s="219">
        <f t="shared" si="14"/>
        <v>38206.318308490918</v>
      </c>
      <c r="R76" s="219">
        <f t="shared" ref="R76:W76" si="15">R55*100000000/R64/0.085*1.1/(1-R79)</f>
        <v>35864.724747004831</v>
      </c>
      <c r="S76" s="219">
        <f t="shared" si="15"/>
        <v>36952.185062989702</v>
      </c>
      <c r="T76" s="219">
        <f t="shared" si="15"/>
        <v>36873.161083980587</v>
      </c>
      <c r="U76" s="219">
        <f t="shared" si="15"/>
        <v>35551.927775737706</v>
      </c>
      <c r="V76" s="219">
        <f t="shared" si="15"/>
        <v>34342.963028234961</v>
      </c>
      <c r="W76" s="219">
        <f t="shared" si="15"/>
        <v>35620.78927845398</v>
      </c>
      <c r="X76" s="219">
        <f t="shared" ref="X76:AB76" si="16">X55*100000000/X64/0.085*1.1/(1-X79)</f>
        <v>38625.871484254058</v>
      </c>
      <c r="Y76" s="219">
        <f t="shared" si="16"/>
        <v>35460.738187614828</v>
      </c>
      <c r="Z76" s="219">
        <f t="shared" si="16"/>
        <v>36086.799733243046</v>
      </c>
      <c r="AA76" s="219">
        <f t="shared" si="16"/>
        <v>35658.852170837148</v>
      </c>
      <c r="AB76" s="219">
        <f t="shared" si="16"/>
        <v>35734.88905208675</v>
      </c>
      <c r="AC76" s="219">
        <f>AC55*100000000/AC64/0.085*1.1/(1-AC79)</f>
        <v>36075.367567686371</v>
      </c>
      <c r="AE76" s="304">
        <v>35864.724747004831</v>
      </c>
      <c r="AF76" s="222">
        <v>36952.185062989702</v>
      </c>
      <c r="AG76" s="222">
        <v>36873.161083980587</v>
      </c>
      <c r="AH76" s="222">
        <v>35551.927775737706</v>
      </c>
      <c r="AI76" s="222">
        <v>34342.963028234961</v>
      </c>
      <c r="AJ76" s="222">
        <v>35620.78927845398</v>
      </c>
      <c r="AK76" s="222">
        <v>38625.871484254058</v>
      </c>
      <c r="AL76" s="222">
        <v>35460.738187614828</v>
      </c>
      <c r="AM76" s="222">
        <v>36086.799733243046</v>
      </c>
      <c r="AN76" s="222">
        <v>35658.852170837148</v>
      </c>
      <c r="AO76" s="222">
        <v>35734.88905208675</v>
      </c>
      <c r="AP76" s="222">
        <v>36075.367567686371</v>
      </c>
      <c r="AQ76" s="219"/>
      <c r="AR76" s="220"/>
    </row>
    <row r="77" spans="2:54" ht="20.5" customHeight="1" x14ac:dyDescent="0.4">
      <c r="B77" s="371" t="s">
        <v>212</v>
      </c>
      <c r="C77" s="372"/>
      <c r="D77" s="144" t="s">
        <v>211</v>
      </c>
      <c r="E77" s="219">
        <f t="shared" ref="E77:P77" si="17">E56*100000000/E65*(1-E80)</f>
        <v>2593.3108640856649</v>
      </c>
      <c r="F77" s="219">
        <f t="shared" si="17"/>
        <v>2609.1010733649987</v>
      </c>
      <c r="G77" s="219">
        <f t="shared" si="17"/>
        <v>2657.9662217993018</v>
      </c>
      <c r="H77" s="219">
        <f t="shared" si="17"/>
        <v>2679.9372215035669</v>
      </c>
      <c r="I77" s="219">
        <f t="shared" si="17"/>
        <v>2651.8355993631908</v>
      </c>
      <c r="J77" s="219">
        <f t="shared" si="17"/>
        <v>2694.7995822842749</v>
      </c>
      <c r="K77" s="219">
        <f t="shared" si="17"/>
        <v>2710.048249306883</v>
      </c>
      <c r="L77" s="219">
        <f t="shared" si="17"/>
        <v>2713.1525572897817</v>
      </c>
      <c r="M77" s="219">
        <f t="shared" si="17"/>
        <v>2755.9252302361629</v>
      </c>
      <c r="N77" s="219">
        <f t="shared" si="17"/>
        <v>2808.7483216593123</v>
      </c>
      <c r="O77" s="219">
        <f t="shared" si="17"/>
        <v>2791.6527275901258</v>
      </c>
      <c r="P77" s="219">
        <f t="shared" si="17"/>
        <v>2827.2957374662428</v>
      </c>
      <c r="R77" s="219">
        <f>R56*100000000/(R66*(1-R80)+R67*(1-R81))</f>
        <v>2803.0349622247227</v>
      </c>
      <c r="S77" s="219">
        <f t="shared" ref="S77:AC77" si="18">S56*100000000/(S66*(1-S80)+S67*(1-S81))</f>
        <v>3095.2585117333574</v>
      </c>
      <c r="T77" s="219">
        <f t="shared" si="18"/>
        <v>3299.2505301309247</v>
      </c>
      <c r="U77" s="219">
        <f t="shared" si="18"/>
        <v>2892.4447214296656</v>
      </c>
      <c r="V77" s="219">
        <f t="shared" si="18"/>
        <v>2776.7949467396356</v>
      </c>
      <c r="W77" s="219">
        <f t="shared" si="18"/>
        <v>2829.1903793944189</v>
      </c>
      <c r="X77" s="219">
        <f t="shared" si="18"/>
        <v>2809.5275696378872</v>
      </c>
      <c r="Y77" s="219">
        <f t="shared" si="18"/>
        <v>2858.1036490537399</v>
      </c>
      <c r="Z77" s="219">
        <f t="shared" si="18"/>
        <v>2877.3019417203254</v>
      </c>
      <c r="AA77" s="219">
        <f t="shared" si="18"/>
        <v>2937.345850708924</v>
      </c>
      <c r="AB77" s="219">
        <f t="shared" si="18"/>
        <v>2927.3299880341215</v>
      </c>
      <c r="AC77" s="312">
        <f t="shared" si="18"/>
        <v>2976.4994613980793</v>
      </c>
      <c r="AE77" s="304"/>
      <c r="AF77" s="222"/>
      <c r="AG77" s="222"/>
      <c r="AH77" s="222"/>
      <c r="AI77" s="222"/>
      <c r="AJ77" s="222"/>
      <c r="AK77" s="222"/>
      <c r="AL77" s="222"/>
      <c r="AM77" s="222"/>
      <c r="AN77" s="222"/>
      <c r="AO77" s="222"/>
      <c r="AP77" s="222"/>
      <c r="AQ77" s="219"/>
      <c r="AR77" s="220"/>
    </row>
    <row r="78" spans="2:54" customFormat="1" ht="15" x14ac:dyDescent="0.4">
      <c r="B78" s="367" t="s">
        <v>210</v>
      </c>
      <c r="C78" s="368"/>
      <c r="D78" s="142" t="s">
        <v>109</v>
      </c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R78" s="161">
        <v>1.8437900424457161E-2</v>
      </c>
      <c r="S78" s="161">
        <v>3.3946572900135648E-2</v>
      </c>
      <c r="T78" s="161">
        <v>2.4767010774420849E-2</v>
      </c>
      <c r="U78" s="161">
        <v>2.7042615866679789E-2</v>
      </c>
      <c r="V78" s="161">
        <v>3.5423196085601662E-2</v>
      </c>
      <c r="W78" s="154"/>
      <c r="X78" s="154"/>
      <c r="Y78" s="154"/>
      <c r="Z78" s="154"/>
      <c r="AA78" s="154"/>
      <c r="AB78" s="154"/>
      <c r="AC78" s="155"/>
      <c r="AE78" s="302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>
        <v>0.10419409996569345</v>
      </c>
      <c r="AR78" s="155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</row>
    <row r="79" spans="2:54" customFormat="1" ht="15" x14ac:dyDescent="0.4">
      <c r="B79" s="369"/>
      <c r="C79" s="370"/>
      <c r="D79" s="144" t="s">
        <v>70</v>
      </c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R79" s="160">
        <v>2.0971553424267691E-2</v>
      </c>
      <c r="S79" s="160">
        <v>3.1889235673019455E-2</v>
      </c>
      <c r="T79" s="160">
        <v>2.3691087992811055E-2</v>
      </c>
      <c r="U79" s="160">
        <v>2.7197587623042231E-2</v>
      </c>
      <c r="V79" s="160">
        <v>2.177644898044372E-2</v>
      </c>
      <c r="W79" s="160">
        <v>2.5813494398033755E-2</v>
      </c>
      <c r="X79" s="160">
        <v>4.1141385653616754E-2</v>
      </c>
      <c r="Y79" s="160">
        <v>2.9209612929770333E-2</v>
      </c>
      <c r="Z79" s="160">
        <v>3.6934370301762061E-2</v>
      </c>
      <c r="AA79" s="160">
        <v>2.765052093634901E-2</v>
      </c>
      <c r="AB79" s="160">
        <v>2.5583664788978847E-2</v>
      </c>
      <c r="AC79" s="295">
        <v>2.8520879973325895E-2</v>
      </c>
      <c r="AE79" s="303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>
        <v>0.10147778839747716</v>
      </c>
      <c r="AR79" s="157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</row>
    <row r="80" spans="2:54" customFormat="1" ht="15" x14ac:dyDescent="0.4">
      <c r="B80" s="369"/>
      <c r="C80" s="370"/>
      <c r="D80" s="144" t="s">
        <v>115</v>
      </c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R80" s="160">
        <f>R90</f>
        <v>3.4795111430625449E-2</v>
      </c>
      <c r="S80" s="160">
        <f t="shared" ref="S80:AC80" si="19">S90</f>
        <v>3.2864525602084443E-2</v>
      </c>
      <c r="T80" s="160">
        <f t="shared" si="19"/>
        <v>3.376189438512385E-2</v>
      </c>
      <c r="U80" s="160">
        <f t="shared" si="19"/>
        <v>3.0848927563225749E-2</v>
      </c>
      <c r="V80" s="160">
        <f t="shared" si="19"/>
        <v>2.3611130759545598E-2</v>
      </c>
      <c r="W80" s="160">
        <f t="shared" si="19"/>
        <v>3.2746523972846428E-2</v>
      </c>
      <c r="X80" s="160">
        <f t="shared" si="19"/>
        <v>3.2033505008772424E-2</v>
      </c>
      <c r="Y80" s="160">
        <f t="shared" si="19"/>
        <v>3.2912585315703798E-2</v>
      </c>
      <c r="Z80" s="160">
        <f t="shared" si="19"/>
        <v>3.3980233344362766E-2</v>
      </c>
      <c r="AA80" s="160">
        <f t="shared" si="19"/>
        <v>3.443586594139323E-2</v>
      </c>
      <c r="AB80" s="160">
        <f t="shared" si="19"/>
        <v>3.5833816770047745E-2</v>
      </c>
      <c r="AC80" s="295">
        <f t="shared" si="19"/>
        <v>3.1831478633251906E-2</v>
      </c>
      <c r="AE80" s="303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>
        <v>0.141929976570559</v>
      </c>
      <c r="AR80" s="157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</row>
    <row r="81" spans="2:56" customFormat="1" ht="15" x14ac:dyDescent="0.4">
      <c r="B81" s="371"/>
      <c r="C81" s="372"/>
      <c r="D81" s="144" t="s">
        <v>114</v>
      </c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R81" s="160">
        <f>R93</f>
        <v>3.0544039258820543E-2</v>
      </c>
      <c r="S81" s="160">
        <f t="shared" ref="S81:AC81" si="20">S93</f>
        <v>2.8382245291808078E-2</v>
      </c>
      <c r="T81" s="160">
        <f t="shared" si="20"/>
        <v>3.0332664799191129E-2</v>
      </c>
      <c r="U81" s="160">
        <f t="shared" si="20"/>
        <v>2.4073771829606658E-2</v>
      </c>
      <c r="V81" s="160">
        <f t="shared" si="20"/>
        <v>1.4580934300208515E-2</v>
      </c>
      <c r="W81" s="160">
        <f t="shared" si="20"/>
        <v>2.3402617397998461E-2</v>
      </c>
      <c r="X81" s="160">
        <f t="shared" si="20"/>
        <v>2.3788373808699317E-2</v>
      </c>
      <c r="Y81" s="160">
        <f t="shared" si="20"/>
        <v>2.4123003433348261E-2</v>
      </c>
      <c r="Z81" s="160">
        <f t="shared" si="20"/>
        <v>2.5670702754036087E-2</v>
      </c>
      <c r="AA81" s="160">
        <f t="shared" si="20"/>
        <v>3.1101337402387578E-2</v>
      </c>
      <c r="AB81" s="160">
        <f t="shared" si="20"/>
        <v>2.7849964699343557E-2</v>
      </c>
      <c r="AC81" s="295">
        <f t="shared" si="20"/>
        <v>2.5558335091473521E-2</v>
      </c>
      <c r="AE81" s="305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56">
        <v>9.7391395349966187E-2</v>
      </c>
      <c r="AR81" s="157"/>
      <c r="AS81" s="168"/>
      <c r="BA81" s="168"/>
      <c r="BB81" s="168"/>
      <c r="BC81" s="168"/>
      <c r="BD81" s="168"/>
    </row>
    <row r="82" spans="2:56" x14ac:dyDescent="0.35">
      <c r="R82" s="314">
        <v>4258</v>
      </c>
      <c r="S82" s="314">
        <v>5159</v>
      </c>
      <c r="T82" s="314">
        <v>4681</v>
      </c>
      <c r="U82" s="314">
        <v>4288</v>
      </c>
      <c r="V82" s="314">
        <v>3646</v>
      </c>
      <c r="W82" s="314">
        <v>4195</v>
      </c>
      <c r="X82" s="314">
        <v>5672</v>
      </c>
      <c r="Y82" s="314">
        <v>5374</v>
      </c>
      <c r="Z82" s="314">
        <v>5187</v>
      </c>
      <c r="AA82" s="314">
        <v>4551</v>
      </c>
      <c r="AB82" s="314">
        <v>4269</v>
      </c>
      <c r="AC82" s="314">
        <v>4838</v>
      </c>
    </row>
    <row r="83" spans="2:56" ht="15" x14ac:dyDescent="0.4">
      <c r="D83" s="234" t="s">
        <v>245</v>
      </c>
      <c r="R83" s="216">
        <v>7237</v>
      </c>
      <c r="S83" s="216">
        <v>14155</v>
      </c>
      <c r="T83" s="216">
        <v>9800</v>
      </c>
      <c r="U83" s="216">
        <v>9620</v>
      </c>
      <c r="V83" s="216">
        <v>8723</v>
      </c>
      <c r="W83" s="315">
        <v>9061</v>
      </c>
      <c r="X83" s="314">
        <v>17137</v>
      </c>
      <c r="Y83" s="314">
        <v>10225</v>
      </c>
      <c r="Z83" s="314">
        <v>16586</v>
      </c>
      <c r="AA83" s="314">
        <v>10427</v>
      </c>
      <c r="AB83" s="314">
        <v>8817</v>
      </c>
      <c r="AC83" s="314">
        <v>9540</v>
      </c>
    </row>
    <row r="84" spans="2:56" ht="15" x14ac:dyDescent="0.4">
      <c r="D84" s="234" t="s">
        <v>246</v>
      </c>
      <c r="R84" s="314">
        <v>4275</v>
      </c>
      <c r="S84" s="314">
        <v>4697</v>
      </c>
      <c r="T84" s="314">
        <v>3341</v>
      </c>
      <c r="U84" s="314">
        <v>6602</v>
      </c>
      <c r="V84" s="314">
        <v>4325</v>
      </c>
      <c r="W84" s="315">
        <v>6489</v>
      </c>
      <c r="X84" s="314">
        <v>8569</v>
      </c>
      <c r="Y84" s="314">
        <v>6551</v>
      </c>
      <c r="Z84" s="314">
        <v>6061</v>
      </c>
      <c r="AA84" s="314">
        <v>5712</v>
      </c>
      <c r="AB84" s="314">
        <v>5921</v>
      </c>
      <c r="AC84" s="314">
        <v>6579</v>
      </c>
    </row>
    <row r="85" spans="2:56" x14ac:dyDescent="0.35">
      <c r="R85" s="216"/>
      <c r="S85" s="16">
        <f>S56/R56-1</f>
        <v>0.11460103726107795</v>
      </c>
      <c r="T85" s="16">
        <f>T56/S56-1</f>
        <v>6.1032883613183264E-2</v>
      </c>
      <c r="U85" s="16">
        <f>U56/T56-1</f>
        <v>-0.11358961500666032</v>
      </c>
      <c r="V85" s="16">
        <f>V56/U56-1</f>
        <v>5.1779462708907431E-3</v>
      </c>
    </row>
    <row r="87" spans="2:56" x14ac:dyDescent="0.35">
      <c r="R87" s="313">
        <f>(R82+R83+R84)/R64</f>
        <v>2.0971553424267691E-2</v>
      </c>
      <c r="S87" s="313">
        <f t="shared" ref="S87:AC87" si="21">(S82+S83+S84)/S64</f>
        <v>3.1889235673019455E-2</v>
      </c>
      <c r="T87" s="313">
        <f t="shared" si="21"/>
        <v>2.3691087992811055E-2</v>
      </c>
      <c r="U87" s="313">
        <f t="shared" si="21"/>
        <v>2.7197587623042231E-2</v>
      </c>
      <c r="V87" s="313">
        <f t="shared" si="21"/>
        <v>2.177644898044372E-2</v>
      </c>
      <c r="W87" s="313">
        <f t="shared" si="21"/>
        <v>2.5813494398033755E-2</v>
      </c>
      <c r="X87" s="313">
        <f t="shared" si="21"/>
        <v>4.1141385653616754E-2</v>
      </c>
      <c r="Y87" s="313">
        <f t="shared" si="21"/>
        <v>2.9209612929770333E-2</v>
      </c>
      <c r="Z87" s="313">
        <f t="shared" si="21"/>
        <v>3.6934370301762061E-2</v>
      </c>
      <c r="AA87" s="313">
        <f t="shared" si="21"/>
        <v>2.765052093634901E-2</v>
      </c>
      <c r="AB87" s="313">
        <f t="shared" si="21"/>
        <v>2.5583664788978847E-2</v>
      </c>
      <c r="AC87" s="313">
        <f t="shared" si="21"/>
        <v>2.8520879973325895E-2</v>
      </c>
    </row>
    <row r="88" spans="2:56" x14ac:dyDescent="0.35">
      <c r="R88">
        <v>494</v>
      </c>
      <c r="S88">
        <v>607</v>
      </c>
      <c r="T88">
        <v>550</v>
      </c>
      <c r="U88">
        <v>522</v>
      </c>
      <c r="V88">
        <v>452</v>
      </c>
      <c r="W88">
        <v>493</v>
      </c>
      <c r="X88">
        <v>513</v>
      </c>
      <c r="Y88">
        <v>473</v>
      </c>
      <c r="Z88">
        <v>499</v>
      </c>
      <c r="AA88">
        <v>479</v>
      </c>
      <c r="AB88">
        <v>397</v>
      </c>
      <c r="AC88">
        <v>465</v>
      </c>
    </row>
    <row r="89" spans="2:56" x14ac:dyDescent="0.35">
      <c r="R89">
        <v>1926</v>
      </c>
      <c r="S89">
        <v>1676</v>
      </c>
      <c r="T89">
        <v>1774</v>
      </c>
      <c r="U89">
        <v>1598</v>
      </c>
      <c r="V89">
        <v>1216.9999999999995</v>
      </c>
      <c r="W89">
        <v>1807.9999999999998</v>
      </c>
      <c r="X89">
        <v>1751</v>
      </c>
      <c r="Y89">
        <v>1832</v>
      </c>
      <c r="Z89">
        <v>1863</v>
      </c>
      <c r="AA89">
        <v>1876</v>
      </c>
      <c r="AB89">
        <v>2012</v>
      </c>
      <c r="AC89">
        <v>1646</v>
      </c>
    </row>
    <row r="90" spans="2:56" x14ac:dyDescent="0.35">
      <c r="R90" s="16">
        <f>(R88+R89)/R66</f>
        <v>3.4795111430625449E-2</v>
      </c>
      <c r="S90" s="16">
        <f t="shared" ref="S90:AC90" si="22">(S88+S89)/S66</f>
        <v>3.2864525602084443E-2</v>
      </c>
      <c r="T90" s="16">
        <f t="shared" si="22"/>
        <v>3.376189438512385E-2</v>
      </c>
      <c r="U90" s="16">
        <f t="shared" si="22"/>
        <v>3.0848927563225749E-2</v>
      </c>
      <c r="V90" s="16">
        <f t="shared" si="22"/>
        <v>2.3611130759545598E-2</v>
      </c>
      <c r="W90" s="16">
        <f t="shared" si="22"/>
        <v>3.2746523972846428E-2</v>
      </c>
      <c r="X90" s="16">
        <f t="shared" si="22"/>
        <v>3.2033505008772424E-2</v>
      </c>
      <c r="Y90" s="16">
        <f t="shared" si="22"/>
        <v>3.2912585315703798E-2</v>
      </c>
      <c r="Z90" s="16">
        <f t="shared" si="22"/>
        <v>3.3980233344362766E-2</v>
      </c>
      <c r="AA90" s="16">
        <f t="shared" si="22"/>
        <v>3.443586594139323E-2</v>
      </c>
      <c r="AB90" s="16">
        <f t="shared" si="22"/>
        <v>3.5833816770047745E-2</v>
      </c>
      <c r="AC90" s="16">
        <f t="shared" si="22"/>
        <v>3.1831478633251906E-2</v>
      </c>
    </row>
    <row r="91" spans="2:56" x14ac:dyDescent="0.35">
      <c r="R91">
        <v>550</v>
      </c>
      <c r="S91">
        <v>756</v>
      </c>
      <c r="T91">
        <v>775</v>
      </c>
      <c r="U91">
        <v>684</v>
      </c>
      <c r="V91">
        <v>627</v>
      </c>
      <c r="W91">
        <v>680</v>
      </c>
      <c r="X91">
        <v>658</v>
      </c>
      <c r="Y91">
        <v>614</v>
      </c>
      <c r="Z91">
        <v>680</v>
      </c>
      <c r="AA91">
        <v>812</v>
      </c>
      <c r="AB91">
        <v>730</v>
      </c>
      <c r="AC91">
        <v>699</v>
      </c>
    </row>
    <row r="92" spans="2:56" x14ac:dyDescent="0.35">
      <c r="R92">
        <v>1255</v>
      </c>
      <c r="S92">
        <v>950</v>
      </c>
      <c r="T92">
        <v>1055</v>
      </c>
      <c r="U92">
        <v>791</v>
      </c>
      <c r="V92">
        <v>309.99999999999955</v>
      </c>
      <c r="W92">
        <v>840</v>
      </c>
      <c r="X92">
        <v>922</v>
      </c>
      <c r="Y92">
        <v>1002</v>
      </c>
      <c r="Z92">
        <v>1050</v>
      </c>
      <c r="AA92">
        <v>1267</v>
      </c>
      <c r="AB92">
        <v>1124</v>
      </c>
      <c r="AC92">
        <v>997</v>
      </c>
    </row>
    <row r="93" spans="2:56" x14ac:dyDescent="0.35">
      <c r="R93" s="16">
        <f>(R91+R92)/R67</f>
        <v>3.0544039258820543E-2</v>
      </c>
      <c r="S93" s="16">
        <f t="shared" ref="S93:AC93" si="23">(S91+S92)/S67</f>
        <v>2.8382245291808078E-2</v>
      </c>
      <c r="T93" s="16">
        <f t="shared" si="23"/>
        <v>3.0332664799191129E-2</v>
      </c>
      <c r="U93" s="16">
        <f t="shared" si="23"/>
        <v>2.4073771829606658E-2</v>
      </c>
      <c r="V93" s="16">
        <f t="shared" si="23"/>
        <v>1.4580934300208515E-2</v>
      </c>
      <c r="W93" s="16">
        <f t="shared" si="23"/>
        <v>2.3402617397998461E-2</v>
      </c>
      <c r="X93" s="16">
        <f t="shared" si="23"/>
        <v>2.3788373808699317E-2</v>
      </c>
      <c r="Y93" s="16">
        <f t="shared" si="23"/>
        <v>2.4123003433348261E-2</v>
      </c>
      <c r="Z93" s="16">
        <f t="shared" si="23"/>
        <v>2.5670702754036087E-2</v>
      </c>
      <c r="AA93" s="16">
        <f t="shared" si="23"/>
        <v>3.1101337402387578E-2</v>
      </c>
      <c r="AB93" s="16">
        <f t="shared" si="23"/>
        <v>2.7849964699343557E-2</v>
      </c>
      <c r="AC93" s="16">
        <f t="shared" si="23"/>
        <v>2.5558335091473521E-2</v>
      </c>
    </row>
  </sheetData>
  <mergeCells count="14">
    <mergeCell ref="B77:C77"/>
    <mergeCell ref="B78:C81"/>
    <mergeCell ref="B68:D68"/>
    <mergeCell ref="B69:C71"/>
    <mergeCell ref="B72:D72"/>
    <mergeCell ref="B73:C74"/>
    <mergeCell ref="B75:D75"/>
    <mergeCell ref="B76:C76"/>
    <mergeCell ref="B63:C65"/>
    <mergeCell ref="B53:D53"/>
    <mergeCell ref="B54:C56"/>
    <mergeCell ref="B57:D57"/>
    <mergeCell ref="B58:C61"/>
    <mergeCell ref="B62:D62"/>
  </mergeCells>
  <phoneticPr fontId="2" type="noConversion"/>
  <pageMargins left="0.7" right="0.7" top="0.75" bottom="0.75" header="0.3" footer="0.3"/>
  <pageSetup paperSize="9"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4E65-2861-4BC1-A4FF-4257B708AE47}">
  <sheetPr>
    <tabColor rgb="FFFF0000"/>
  </sheetPr>
  <dimension ref="A28:R61"/>
  <sheetViews>
    <sheetView showGridLines="0" topLeftCell="A16" zoomScaleNormal="100" zoomScaleSheetLayoutView="100" workbookViewId="0">
      <selection activeCell="M40" sqref="M40"/>
    </sheetView>
  </sheetViews>
  <sheetFormatPr defaultRowHeight="14.5" x14ac:dyDescent="0.35"/>
  <cols>
    <col min="2" max="3" width="13.81640625" customWidth="1"/>
    <col min="4" max="4" width="17.36328125" bestFit="1" customWidth="1"/>
    <col min="5" max="5" width="15.7265625" bestFit="1" customWidth="1"/>
    <col min="6" max="18" width="13.81640625" customWidth="1"/>
    <col min="19" max="16384" width="8.7265625" style="168"/>
  </cols>
  <sheetData>
    <row r="28" spans="2:18" ht="15" x14ac:dyDescent="0.4">
      <c r="B28" s="365" t="s">
        <v>10</v>
      </c>
      <c r="C28" s="365"/>
      <c r="D28" s="366"/>
      <c r="E28" s="140">
        <v>2501</v>
      </c>
      <c r="F28" s="140">
        <v>2502</v>
      </c>
      <c r="G28" s="140">
        <v>2503</v>
      </c>
      <c r="H28" s="140">
        <v>2504</v>
      </c>
      <c r="I28" s="140">
        <v>2505</v>
      </c>
      <c r="J28" s="140">
        <v>2506</v>
      </c>
      <c r="K28" s="140">
        <v>2507</v>
      </c>
      <c r="L28" s="140">
        <v>2508</v>
      </c>
      <c r="M28" s="140">
        <v>2509</v>
      </c>
      <c r="N28" s="140">
        <v>2510</v>
      </c>
      <c r="O28" s="140">
        <v>2511</v>
      </c>
      <c r="P28" s="140">
        <v>2512</v>
      </c>
      <c r="Q28" s="141" t="s">
        <v>112</v>
      </c>
      <c r="R28" s="141" t="s">
        <v>113</v>
      </c>
    </row>
    <row r="29" spans="2:18" ht="15" x14ac:dyDescent="0.4">
      <c r="B29" s="367" t="s">
        <v>220</v>
      </c>
      <c r="C29" s="368"/>
      <c r="D29" s="224" t="s">
        <v>216</v>
      </c>
      <c r="E29" s="291">
        <f>E30+E35</f>
        <v>10.268493769999999</v>
      </c>
      <c r="F29" s="291">
        <f>F30+F35+E35</f>
        <v>11.618201233194521</v>
      </c>
      <c r="G29" s="291">
        <f t="shared" ref="G29:I29" si="0">G30+G35</f>
        <v>10.122570055192176</v>
      </c>
      <c r="H29" s="291">
        <f t="shared" si="0"/>
        <v>9.7292867327476618</v>
      </c>
      <c r="I29" s="291">
        <f t="shared" si="0"/>
        <v>9.4927223309978057</v>
      </c>
      <c r="J29" s="291">
        <f>J30</f>
        <v>11.278029041566105</v>
      </c>
      <c r="K29" s="292"/>
      <c r="L29" s="292"/>
      <c r="M29" s="292"/>
      <c r="N29" s="292"/>
      <c r="O29" s="227"/>
      <c r="P29" s="227"/>
      <c r="Q29" s="227">
        <v>34.743971023861633</v>
      </c>
      <c r="R29" s="228">
        <v>8.4690585329718875</v>
      </c>
    </row>
    <row r="30" spans="2:18" ht="15" x14ac:dyDescent="0.4">
      <c r="B30" s="369"/>
      <c r="C30" s="370"/>
      <c r="D30" s="142" t="s">
        <v>109</v>
      </c>
      <c r="E30" s="274">
        <v>9.1</v>
      </c>
      <c r="F30" s="274">
        <v>9.0830929431945204</v>
      </c>
      <c r="G30" s="274">
        <v>8.5529125751921757</v>
      </c>
      <c r="H30" s="274">
        <v>8.0079655054749317</v>
      </c>
      <c r="I30" s="274">
        <v>7.6013216409978055</v>
      </c>
      <c r="J30" s="274">
        <f>'관리수수료 트렌드 정리'!C92</f>
        <v>11.278029041566105</v>
      </c>
      <c r="K30" s="274">
        <v>9.4702209891940292</v>
      </c>
      <c r="L30" s="274">
        <v>9.1583624919815758</v>
      </c>
      <c r="M30" s="274">
        <v>9.0471217205674606</v>
      </c>
      <c r="N30" s="274">
        <v>8.8861888617815215</v>
      </c>
      <c r="O30" s="143"/>
      <c r="P30" s="143"/>
      <c r="Q30" s="143">
        <v>34.743971023861633</v>
      </c>
      <c r="R30" s="146">
        <v>8.4690585329718875</v>
      </c>
    </row>
    <row r="31" spans="2:18" ht="15" x14ac:dyDescent="0.4">
      <c r="B31" s="369"/>
      <c r="C31" s="370"/>
      <c r="D31" s="144" t="s">
        <v>70</v>
      </c>
      <c r="E31" s="145">
        <f>E30-E32-E33-E34</f>
        <v>1.6986729109090906</v>
      </c>
      <c r="F31" s="145">
        <f>F30-F32-F33-F34</f>
        <v>1.7475366086490656</v>
      </c>
      <c r="G31" s="145">
        <f>G30-G32-G33-G34</f>
        <v>1.4124375792244486</v>
      </c>
      <c r="H31" s="145">
        <f>H30-H32-H33-H34</f>
        <v>1.5719564927476593</v>
      </c>
      <c r="I31" s="145">
        <f>I30-I32-I33-I34</f>
        <v>1.5193556683278064</v>
      </c>
      <c r="J31" s="145">
        <f>J30-J32-J33-J34-J35-I35</f>
        <v>1.4699261024024703</v>
      </c>
      <c r="K31" s="145">
        <f>K30-K32-K33-K34-K35</f>
        <v>1.5963926273758515</v>
      </c>
      <c r="L31" s="145">
        <f t="shared" ref="L31:M31" si="1">L30-L32-L33-L34-L35</f>
        <v>1.3876070347088505</v>
      </c>
      <c r="M31" s="145">
        <f t="shared" si="1"/>
        <v>1.3495309432947349</v>
      </c>
      <c r="N31" s="145">
        <f>N30-N32-N33-N34-N35</f>
        <v>1.27550359996334</v>
      </c>
      <c r="O31" s="145"/>
      <c r="P31" s="145"/>
      <c r="Q31" s="145">
        <v>10.859399530225264</v>
      </c>
      <c r="R31" s="147">
        <v>2.6479276942446139</v>
      </c>
    </row>
    <row r="32" spans="2:18" ht="15" x14ac:dyDescent="0.4">
      <c r="B32" s="369"/>
      <c r="C32" s="370"/>
      <c r="D32" s="224" t="s">
        <v>214</v>
      </c>
      <c r="E32" s="225">
        <v>1.26379318</v>
      </c>
      <c r="F32" s="225">
        <v>1.16579338</v>
      </c>
      <c r="G32" s="225">
        <v>1.0448888386949999</v>
      </c>
      <c r="H32" s="225">
        <v>0.95432053999999999</v>
      </c>
      <c r="I32" s="225">
        <v>0.86088327266999998</v>
      </c>
      <c r="J32" s="225">
        <v>0.76625679999999996</v>
      </c>
      <c r="K32" s="225">
        <v>0.66542557999999996</v>
      </c>
      <c r="L32" s="225">
        <v>0.58167732000000005</v>
      </c>
      <c r="M32" s="225">
        <v>0.50999541999999998</v>
      </c>
      <c r="N32" s="225">
        <v>0.42652901999999998</v>
      </c>
      <c r="O32" s="225"/>
      <c r="P32" s="225"/>
      <c r="Q32" s="225"/>
      <c r="R32" s="226"/>
    </row>
    <row r="33" spans="2:18" ht="15" x14ac:dyDescent="0.4">
      <c r="B33" s="369"/>
      <c r="C33" s="370"/>
      <c r="D33" s="144" t="s">
        <v>71</v>
      </c>
      <c r="E33" s="145">
        <v>1.997533909090909</v>
      </c>
      <c r="F33" s="145">
        <v>2.0294241181818182</v>
      </c>
      <c r="G33" s="145">
        <v>2.2323665300000002</v>
      </c>
      <c r="H33" s="145">
        <v>1.8044475454545452</v>
      </c>
      <c r="I33" s="145">
        <v>1.7026086363636364</v>
      </c>
      <c r="J33" s="145">
        <v>1.5949691818181799</v>
      </c>
      <c r="K33" s="145">
        <v>1.49219945454545</v>
      </c>
      <c r="L33" s="145">
        <v>1.4055082727272701</v>
      </c>
      <c r="M33" s="145">
        <v>1.3104794545454546</v>
      </c>
      <c r="N33" s="145">
        <v>1.2273192727272726</v>
      </c>
      <c r="O33" s="145"/>
      <c r="P33" s="145"/>
      <c r="Q33" s="145">
        <v>8.0637721027272722</v>
      </c>
      <c r="R33" s="147">
        <v>1.9532761478181819</v>
      </c>
    </row>
    <row r="34" spans="2:18" ht="16.5" customHeight="1" x14ac:dyDescent="0.4">
      <c r="B34" s="369"/>
      <c r="C34" s="370"/>
      <c r="D34" s="144" t="s">
        <v>105</v>
      </c>
      <c r="E34" s="145">
        <v>4.1399999999999997</v>
      </c>
      <c r="F34" s="145">
        <v>4.140338836363636</v>
      </c>
      <c r="G34" s="145">
        <v>3.8632196272727271</v>
      </c>
      <c r="H34" s="145">
        <v>3.6772409272727269</v>
      </c>
      <c r="I34" s="145">
        <v>3.5184740636363632</v>
      </c>
      <c r="J34" s="145">
        <v>3.3729351545454542</v>
      </c>
      <c r="K34" s="145">
        <v>3.217503527272727</v>
      </c>
      <c r="L34" s="145">
        <v>3.0304161545454544</v>
      </c>
      <c r="M34" s="145">
        <v>2.8506905727272724</v>
      </c>
      <c r="N34" s="145">
        <v>2.6879537090909089</v>
      </c>
      <c r="O34" s="145"/>
      <c r="P34" s="145"/>
      <c r="Q34" s="145">
        <v>15.820799390909091</v>
      </c>
      <c r="R34" s="147">
        <v>3.8678546909090912</v>
      </c>
    </row>
    <row r="35" spans="2:18" ht="16.5" customHeight="1" x14ac:dyDescent="0.4">
      <c r="B35" s="371"/>
      <c r="C35" s="372"/>
      <c r="D35" s="224" t="s">
        <v>215</v>
      </c>
      <c r="E35" s="225">
        <v>1.16849377</v>
      </c>
      <c r="F35" s="225">
        <v>1.3666145199999999</v>
      </c>
      <c r="G35" s="225">
        <v>1.56965748</v>
      </c>
      <c r="H35" s="225">
        <v>1.7213212272727301</v>
      </c>
      <c r="I35" s="225">
        <v>1.89140069</v>
      </c>
      <c r="J35" s="225">
        <v>2.1825411127999996</v>
      </c>
      <c r="K35" s="225">
        <v>2.4986997999999998</v>
      </c>
      <c r="L35" s="225">
        <v>2.7531537099999999</v>
      </c>
      <c r="M35" s="225">
        <v>3.0264253299999999</v>
      </c>
      <c r="N35" s="225">
        <v>3.26888326</v>
      </c>
      <c r="O35" s="225"/>
      <c r="P35" s="225"/>
      <c r="Q35" s="225"/>
      <c r="R35" s="226"/>
    </row>
    <row r="36" spans="2:18" ht="15" x14ac:dyDescent="0.4">
      <c r="B36" s="367" t="s">
        <v>207</v>
      </c>
      <c r="C36" s="368"/>
      <c r="D36" s="142" t="s">
        <v>109</v>
      </c>
      <c r="E36" s="148">
        <v>738464</v>
      </c>
      <c r="F36" s="148">
        <v>709587</v>
      </c>
      <c r="G36" s="148">
        <v>686178</v>
      </c>
      <c r="H36" s="148">
        <v>662458</v>
      </c>
      <c r="I36" s="148">
        <v>639166</v>
      </c>
      <c r="J36" s="148">
        <f>J37+J38+J41</f>
        <v>614364</v>
      </c>
      <c r="K36" s="148">
        <f t="shared" ref="K36:M36" si="2">K37+K38+K41</f>
        <v>583185</v>
      </c>
      <c r="L36" s="148">
        <f t="shared" si="2"/>
        <v>556731</v>
      </c>
      <c r="M36" s="148">
        <f t="shared" si="2"/>
        <v>531164</v>
      </c>
      <c r="N36" s="148">
        <f>N37+N38+N41</f>
        <v>507552</v>
      </c>
      <c r="O36" s="148"/>
      <c r="P36" s="148"/>
      <c r="Q36" s="148">
        <v>2796687</v>
      </c>
      <c r="R36" s="149"/>
    </row>
    <row r="37" spans="2:18" ht="15" x14ac:dyDescent="0.4">
      <c r="B37" s="369"/>
      <c r="C37" s="370"/>
      <c r="D37" s="144" t="s">
        <v>277</v>
      </c>
      <c r="E37" s="150">
        <v>66322</v>
      </c>
      <c r="F37" s="150">
        <v>64615</v>
      </c>
      <c r="G37" s="150">
        <v>63539</v>
      </c>
      <c r="H37" s="150">
        <v>62009</v>
      </c>
      <c r="I37" s="150">
        <v>61102</v>
      </c>
      <c r="J37" s="150">
        <v>59733</v>
      </c>
      <c r="K37" s="150">
        <v>57967</v>
      </c>
      <c r="L37" s="150">
        <v>56554</v>
      </c>
      <c r="M37" s="150">
        <v>54874</v>
      </c>
      <c r="N37" s="150">
        <v>53548</v>
      </c>
      <c r="O37" s="150"/>
      <c r="P37" s="150"/>
      <c r="Q37" s="150">
        <v>256485</v>
      </c>
      <c r="R37" s="151"/>
    </row>
    <row r="38" spans="2:18" ht="15" x14ac:dyDescent="0.4">
      <c r="B38" s="369"/>
      <c r="C38" s="370"/>
      <c r="D38" s="144" t="s">
        <v>71</v>
      </c>
      <c r="E38" s="150">
        <f>E39+E40</f>
        <v>89486</v>
      </c>
      <c r="F38" s="150">
        <f t="shared" ref="F38:N38" si="3">F39+F40</f>
        <v>85565</v>
      </c>
      <c r="G38" s="150">
        <f t="shared" si="3"/>
        <v>81161</v>
      </c>
      <c r="H38" s="150">
        <f t="shared" si="3"/>
        <v>76871</v>
      </c>
      <c r="I38" s="150">
        <f t="shared" si="3"/>
        <v>72596</v>
      </c>
      <c r="J38" s="150">
        <f t="shared" si="3"/>
        <v>68144</v>
      </c>
      <c r="K38" s="150">
        <f t="shared" si="3"/>
        <v>63626</v>
      </c>
      <c r="L38" s="150">
        <f t="shared" si="3"/>
        <v>59480</v>
      </c>
      <c r="M38" s="150">
        <f t="shared" si="3"/>
        <v>56076</v>
      </c>
      <c r="N38" s="150">
        <f t="shared" si="3"/>
        <v>52411</v>
      </c>
      <c r="O38" s="150"/>
      <c r="P38" s="150"/>
      <c r="Q38" s="150">
        <v>333083</v>
      </c>
      <c r="R38" s="151"/>
    </row>
    <row r="39" spans="2:18" ht="15" x14ac:dyDescent="0.4">
      <c r="B39" s="369"/>
      <c r="C39" s="370"/>
      <c r="D39" s="144" t="s">
        <v>115</v>
      </c>
      <c r="E39" s="150">
        <v>44891</v>
      </c>
      <c r="F39" s="150">
        <v>42582</v>
      </c>
      <c r="G39" s="150">
        <v>40286</v>
      </c>
      <c r="H39" s="150">
        <v>38053</v>
      </c>
      <c r="I39" s="150">
        <v>35974</v>
      </c>
      <c r="J39" s="150">
        <v>33891</v>
      </c>
      <c r="K39" s="150">
        <v>31645</v>
      </c>
      <c r="L39" s="150">
        <v>29508</v>
      </c>
      <c r="M39" s="150">
        <v>27707</v>
      </c>
      <c r="N39" s="150">
        <v>25748</v>
      </c>
      <c r="O39" s="150"/>
      <c r="P39" s="150"/>
      <c r="Q39" s="150"/>
      <c r="R39" s="151"/>
    </row>
    <row r="40" spans="2:18" ht="15" x14ac:dyDescent="0.4">
      <c r="B40" s="369"/>
      <c r="C40" s="370"/>
      <c r="D40" s="144" t="s">
        <v>114</v>
      </c>
      <c r="E40" s="150">
        <v>44595</v>
      </c>
      <c r="F40" s="150">
        <v>42983</v>
      </c>
      <c r="G40" s="150">
        <v>40875</v>
      </c>
      <c r="H40" s="150">
        <v>38818</v>
      </c>
      <c r="I40" s="150">
        <v>36622</v>
      </c>
      <c r="J40" s="150">
        <v>34253</v>
      </c>
      <c r="K40" s="150">
        <v>31981</v>
      </c>
      <c r="L40" s="150">
        <v>29972</v>
      </c>
      <c r="M40" s="150">
        <v>28369</v>
      </c>
      <c r="N40" s="150">
        <v>26663</v>
      </c>
      <c r="O40" s="150"/>
      <c r="P40" s="150"/>
      <c r="Q40" s="150"/>
      <c r="R40" s="151"/>
    </row>
    <row r="41" spans="2:18" ht="15" x14ac:dyDescent="0.4">
      <c r="B41" s="371"/>
      <c r="C41" s="372"/>
      <c r="D41" s="144" t="s">
        <v>105</v>
      </c>
      <c r="E41" s="150">
        <v>582656</v>
      </c>
      <c r="F41" s="150">
        <v>559407</v>
      </c>
      <c r="G41" s="150">
        <v>541478</v>
      </c>
      <c r="H41" s="150">
        <v>523578</v>
      </c>
      <c r="I41" s="150">
        <v>505468</v>
      </c>
      <c r="J41" s="150">
        <v>486487</v>
      </c>
      <c r="K41" s="150">
        <v>461592</v>
      </c>
      <c r="L41" s="150">
        <v>440697</v>
      </c>
      <c r="M41" s="150">
        <v>420214</v>
      </c>
      <c r="N41" s="150">
        <v>401593</v>
      </c>
      <c r="O41" s="150"/>
      <c r="P41" s="150"/>
      <c r="Q41" s="150">
        <v>2207119</v>
      </c>
      <c r="R41" s="151"/>
    </row>
    <row r="42" spans="2:18" ht="15" x14ac:dyDescent="0.4">
      <c r="B42" s="367" t="s">
        <v>208</v>
      </c>
      <c r="C42" s="368"/>
      <c r="D42" s="142" t="s">
        <v>109</v>
      </c>
      <c r="E42" s="154">
        <v>20704</v>
      </c>
      <c r="F42" s="154">
        <v>30404</v>
      </c>
      <c r="G42" s="154">
        <v>23182</v>
      </c>
      <c r="H42" s="154">
        <v>28296</v>
      </c>
      <c r="I42" s="154">
        <v>44209</v>
      </c>
      <c r="J42" s="154">
        <f>J44+J45+J46</f>
        <v>34432</v>
      </c>
      <c r="K42" s="154">
        <f t="shared" ref="K42:N42" si="4">K44+K45+K46</f>
        <v>38252</v>
      </c>
      <c r="L42" s="154">
        <f t="shared" si="4"/>
        <v>30197</v>
      </c>
      <c r="M42" s="154">
        <f t="shared" si="4"/>
        <v>32574</v>
      </c>
      <c r="N42" s="154">
        <f t="shared" si="4"/>
        <v>30662</v>
      </c>
      <c r="O42" s="154"/>
      <c r="P42" s="154"/>
      <c r="Q42" s="154">
        <v>102586</v>
      </c>
      <c r="R42" s="155"/>
    </row>
    <row r="43" spans="2:18" ht="15" x14ac:dyDescent="0.4">
      <c r="B43" s="369"/>
      <c r="C43" s="370"/>
      <c r="D43" s="144" t="s">
        <v>70</v>
      </c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6"/>
      <c r="P43" s="156"/>
      <c r="Q43" s="156">
        <v>0</v>
      </c>
      <c r="R43" s="157"/>
    </row>
    <row r="44" spans="2:18" ht="15" x14ac:dyDescent="0.4">
      <c r="B44" s="369"/>
      <c r="C44" s="370"/>
      <c r="D44" s="144" t="s">
        <v>115</v>
      </c>
      <c r="E44" s="156">
        <v>1637</v>
      </c>
      <c r="F44" s="156">
        <v>2086</v>
      </c>
      <c r="G44" s="156">
        <v>1810</v>
      </c>
      <c r="H44" s="156">
        <v>1896</v>
      </c>
      <c r="I44" s="156">
        <v>3639</v>
      </c>
      <c r="J44" s="156">
        <v>2896</v>
      </c>
      <c r="K44" s="156">
        <v>2548</v>
      </c>
      <c r="L44" s="156">
        <v>2549</v>
      </c>
      <c r="M44" s="156">
        <v>2550</v>
      </c>
      <c r="N44" s="156">
        <v>1819.0000000000002</v>
      </c>
      <c r="O44" s="156"/>
      <c r="P44" s="156"/>
      <c r="Q44" s="156">
        <v>7429</v>
      </c>
      <c r="R44" s="157"/>
    </row>
    <row r="45" spans="2:18" ht="15" x14ac:dyDescent="0.4">
      <c r="B45" s="369"/>
      <c r="C45" s="370"/>
      <c r="D45" s="144" t="s">
        <v>114</v>
      </c>
      <c r="E45" s="156">
        <v>1828</v>
      </c>
      <c r="F45" s="156">
        <v>2334</v>
      </c>
      <c r="G45" s="156">
        <v>2074</v>
      </c>
      <c r="H45" s="156">
        <v>2120</v>
      </c>
      <c r="I45" s="156">
        <v>4113</v>
      </c>
      <c r="J45" s="156">
        <v>3180</v>
      </c>
      <c r="K45" s="156">
        <v>2864</v>
      </c>
      <c r="L45" s="156">
        <v>2865</v>
      </c>
      <c r="M45" s="156">
        <v>2866</v>
      </c>
      <c r="N45" s="156">
        <v>1989</v>
      </c>
      <c r="O45" s="156"/>
      <c r="P45" s="156"/>
      <c r="Q45" s="156">
        <v>8356</v>
      </c>
      <c r="R45" s="157"/>
    </row>
    <row r="46" spans="2:18" ht="15" x14ac:dyDescent="0.4">
      <c r="B46" s="371"/>
      <c r="C46" s="372"/>
      <c r="D46" s="144" t="s">
        <v>105</v>
      </c>
      <c r="E46" s="156">
        <v>17239</v>
      </c>
      <c r="F46" s="156">
        <v>25984</v>
      </c>
      <c r="G46" s="156">
        <v>19298</v>
      </c>
      <c r="H46" s="156">
        <v>24280</v>
      </c>
      <c r="I46" s="156">
        <v>36457</v>
      </c>
      <c r="J46" s="156">
        <v>28356</v>
      </c>
      <c r="K46" s="156">
        <v>32840</v>
      </c>
      <c r="L46" s="156">
        <v>24783</v>
      </c>
      <c r="M46" s="156">
        <v>27158</v>
      </c>
      <c r="N46" s="156">
        <v>26854</v>
      </c>
      <c r="O46" s="156"/>
      <c r="P46" s="156"/>
      <c r="Q46" s="156">
        <v>86801</v>
      </c>
      <c r="R46" s="157"/>
    </row>
    <row r="47" spans="2:18" ht="15" hidden="1" x14ac:dyDescent="0.4">
      <c r="B47" s="367" t="s">
        <v>218</v>
      </c>
      <c r="C47" s="368"/>
      <c r="D47" s="142" t="s">
        <v>109</v>
      </c>
      <c r="E47" s="154">
        <v>31918</v>
      </c>
      <c r="F47" s="154">
        <v>48864</v>
      </c>
      <c r="G47" s="154">
        <v>36511</v>
      </c>
      <c r="H47" s="154">
        <v>41775</v>
      </c>
      <c r="I47" s="154">
        <v>53023</v>
      </c>
      <c r="J47" s="154"/>
      <c r="K47" s="154"/>
      <c r="L47" s="154"/>
      <c r="M47" s="154"/>
      <c r="N47" s="154"/>
      <c r="O47" s="154"/>
      <c r="P47" s="154"/>
      <c r="Q47" s="154">
        <v>159068</v>
      </c>
      <c r="R47" s="155"/>
    </row>
    <row r="48" spans="2:18" ht="15" hidden="1" x14ac:dyDescent="0.4">
      <c r="B48" s="369"/>
      <c r="C48" s="370"/>
      <c r="D48" s="144" t="s">
        <v>70</v>
      </c>
      <c r="E48" s="156">
        <v>1268</v>
      </c>
      <c r="F48" s="156">
        <v>1707</v>
      </c>
      <c r="G48" s="156">
        <v>1076</v>
      </c>
      <c r="H48" s="156">
        <v>1530</v>
      </c>
      <c r="I48" s="156">
        <v>907</v>
      </c>
      <c r="J48" s="156"/>
      <c r="K48" s="156"/>
      <c r="L48" s="156"/>
      <c r="M48" s="156"/>
      <c r="N48" s="156"/>
      <c r="O48" s="156"/>
      <c r="P48" s="156"/>
      <c r="Q48" s="156">
        <v>4520</v>
      </c>
      <c r="R48" s="157"/>
    </row>
    <row r="49" spans="2:18" ht="15" hidden="1" x14ac:dyDescent="0.4">
      <c r="B49" s="369"/>
      <c r="C49" s="370"/>
      <c r="D49" s="144" t="s">
        <v>115</v>
      </c>
      <c r="E49" s="156">
        <v>3785</v>
      </c>
      <c r="F49" s="156">
        <v>4013</v>
      </c>
      <c r="G49" s="156">
        <v>4106</v>
      </c>
      <c r="H49" s="156">
        <v>4129</v>
      </c>
      <c r="I49" s="156">
        <v>5718</v>
      </c>
      <c r="J49" s="156"/>
      <c r="K49" s="156"/>
      <c r="L49" s="156"/>
      <c r="M49" s="156"/>
      <c r="N49" s="156"/>
      <c r="O49" s="156"/>
      <c r="P49" s="156"/>
      <c r="Q49" s="156">
        <v>2488</v>
      </c>
      <c r="R49" s="157"/>
    </row>
    <row r="50" spans="2:18" ht="15" hidden="1" x14ac:dyDescent="0.4">
      <c r="B50" s="369"/>
      <c r="C50" s="370"/>
      <c r="D50" s="144" t="s">
        <v>114</v>
      </c>
      <c r="E50" s="156">
        <v>3309</v>
      </c>
      <c r="F50" s="156">
        <v>3517</v>
      </c>
      <c r="G50" s="156">
        <v>4182</v>
      </c>
      <c r="H50" s="156">
        <v>4177</v>
      </c>
      <c r="I50" s="156">
        <v>6309</v>
      </c>
      <c r="J50" s="156"/>
      <c r="K50" s="156"/>
      <c r="L50" s="156"/>
      <c r="M50" s="156"/>
      <c r="N50" s="156"/>
      <c r="O50" s="156"/>
      <c r="P50" s="156"/>
      <c r="Q50" s="156">
        <v>3232</v>
      </c>
      <c r="R50" s="157"/>
    </row>
    <row r="51" spans="2:18" ht="15" hidden="1" x14ac:dyDescent="0.4">
      <c r="B51" s="371"/>
      <c r="C51" s="372"/>
      <c r="D51" s="144" t="s">
        <v>105</v>
      </c>
      <c r="E51" s="156">
        <v>33142</v>
      </c>
      <c r="F51" s="156">
        <v>49233</v>
      </c>
      <c r="G51" s="156">
        <v>37227</v>
      </c>
      <c r="H51" s="156">
        <v>42180</v>
      </c>
      <c r="I51" s="156">
        <v>54567</v>
      </c>
      <c r="J51" s="156"/>
      <c r="K51" s="156"/>
      <c r="L51" s="156"/>
      <c r="M51" s="156"/>
      <c r="N51" s="156"/>
      <c r="O51" s="156"/>
      <c r="P51" s="156"/>
      <c r="Q51" s="156">
        <v>148828</v>
      </c>
      <c r="R51" s="157"/>
    </row>
    <row r="52" spans="2:18" ht="15" x14ac:dyDescent="0.4">
      <c r="B52" s="367" t="s">
        <v>217</v>
      </c>
      <c r="C52" s="368"/>
      <c r="D52" s="144" t="s">
        <v>70</v>
      </c>
      <c r="E52" s="156">
        <v>-1268</v>
      </c>
      <c r="F52" s="156">
        <v>-1707</v>
      </c>
      <c r="G52" s="156">
        <v>-1076</v>
      </c>
      <c r="H52" s="156">
        <v>-1530</v>
      </c>
      <c r="I52" s="156">
        <v>-907</v>
      </c>
      <c r="J52" s="156">
        <v>-1369</v>
      </c>
      <c r="K52" s="156">
        <v>-1766</v>
      </c>
      <c r="L52" s="156">
        <v>-1413</v>
      </c>
      <c r="M52" s="156">
        <v>-1680</v>
      </c>
      <c r="N52" s="156">
        <v>-1326</v>
      </c>
      <c r="O52" s="156"/>
      <c r="P52" s="156"/>
      <c r="Q52" s="156">
        <v>-6488</v>
      </c>
      <c r="R52" s="157"/>
    </row>
    <row r="53" spans="2:18" ht="15" x14ac:dyDescent="0.4">
      <c r="B53" s="369"/>
      <c r="C53" s="370"/>
      <c r="D53" s="144" t="s">
        <v>115</v>
      </c>
      <c r="E53" s="156">
        <v>-2148</v>
      </c>
      <c r="F53" s="156">
        <v>-2309</v>
      </c>
      <c r="G53" s="156">
        <v>-2296</v>
      </c>
      <c r="H53" s="156">
        <v>-2233</v>
      </c>
      <c r="I53" s="156">
        <v>-2079</v>
      </c>
      <c r="J53" s="156">
        <v>-2083</v>
      </c>
      <c r="K53" s="156">
        <v>-2246</v>
      </c>
      <c r="L53" s="156">
        <v>-2137</v>
      </c>
      <c r="M53" s="156">
        <v>-1801</v>
      </c>
      <c r="N53" s="156">
        <v>-1959</v>
      </c>
      <c r="O53" s="156"/>
      <c r="P53" s="156"/>
      <c r="Q53" s="156">
        <v>-10683</v>
      </c>
      <c r="R53" s="157"/>
    </row>
    <row r="54" spans="2:18" ht="15" x14ac:dyDescent="0.4">
      <c r="B54" s="369"/>
      <c r="C54" s="370"/>
      <c r="D54" s="144" t="s">
        <v>114</v>
      </c>
      <c r="E54" s="156">
        <v>-1481</v>
      </c>
      <c r="F54" s="156">
        <v>-1183</v>
      </c>
      <c r="G54" s="156">
        <v>-2108</v>
      </c>
      <c r="H54" s="156">
        <v>-2057</v>
      </c>
      <c r="I54" s="156">
        <v>-2196</v>
      </c>
      <c r="J54" s="156">
        <v>-2369</v>
      </c>
      <c r="K54" s="156">
        <v>-2272</v>
      </c>
      <c r="L54" s="156">
        <v>-2009</v>
      </c>
      <c r="M54" s="156">
        <v>-1603</v>
      </c>
      <c r="N54" s="156">
        <v>-1706</v>
      </c>
      <c r="O54" s="156"/>
      <c r="P54" s="156"/>
      <c r="Q54" s="156">
        <v>-9025</v>
      </c>
      <c r="R54" s="157"/>
    </row>
    <row r="55" spans="2:18" ht="15" x14ac:dyDescent="0.4">
      <c r="B55" s="371"/>
      <c r="C55" s="372"/>
      <c r="D55" s="144" t="s">
        <v>105</v>
      </c>
      <c r="E55" s="156">
        <v>-15903</v>
      </c>
      <c r="F55" s="156">
        <v>-23249</v>
      </c>
      <c r="G55" s="156">
        <v>-17929</v>
      </c>
      <c r="H55" s="156">
        <v>-17900</v>
      </c>
      <c r="I55" s="156">
        <v>-18110</v>
      </c>
      <c r="J55" s="156">
        <v>-18981</v>
      </c>
      <c r="K55" s="156">
        <v>-24895</v>
      </c>
      <c r="L55" s="156">
        <v>-20895</v>
      </c>
      <c r="M55" s="156">
        <v>-20483</v>
      </c>
      <c r="N55" s="156">
        <v>-18621</v>
      </c>
      <c r="O55" s="156"/>
      <c r="P55" s="156"/>
      <c r="Q55" s="221">
        <v>-93091</v>
      </c>
      <c r="R55" s="157"/>
    </row>
    <row r="56" spans="2:18" ht="15" x14ac:dyDescent="0.4">
      <c r="B56" s="367" t="s">
        <v>209</v>
      </c>
      <c r="C56" s="368"/>
      <c r="D56" s="142" t="s">
        <v>109</v>
      </c>
      <c r="E56" s="154">
        <v>0</v>
      </c>
      <c r="F56" s="154">
        <v>0</v>
      </c>
      <c r="G56" s="154">
        <v>0</v>
      </c>
      <c r="H56" s="154">
        <v>0</v>
      </c>
      <c r="I56" s="154">
        <v>0</v>
      </c>
      <c r="J56" s="154"/>
      <c r="K56" s="154"/>
      <c r="L56" s="154"/>
      <c r="M56" s="154"/>
      <c r="N56" s="154"/>
      <c r="O56" s="154"/>
      <c r="P56" s="154"/>
      <c r="Q56" s="154">
        <v>0</v>
      </c>
      <c r="R56" s="155"/>
    </row>
    <row r="57" spans="2:18" ht="15" x14ac:dyDescent="0.4">
      <c r="B57" s="369"/>
      <c r="C57" s="370"/>
      <c r="D57" s="144" t="s">
        <v>70</v>
      </c>
      <c r="E57" s="156">
        <v>70247.456313459537</v>
      </c>
      <c r="F57" s="156">
        <v>74027.25532867515</v>
      </c>
      <c r="G57" s="156">
        <v>73429.65250270754</v>
      </c>
      <c r="H57" s="156">
        <v>72599.897711573212</v>
      </c>
      <c r="I57" s="156">
        <v>68871.077795097866</v>
      </c>
      <c r="J57" s="156">
        <v>66653.97732862948</v>
      </c>
      <c r="K57" s="156">
        <v>61458.373407016814</v>
      </c>
      <c r="L57" s="156">
        <v>64705.321101613459</v>
      </c>
      <c r="M57" s="156">
        <v>65039.173472683477</v>
      </c>
      <c r="N57" s="156">
        <v>64879.445470831561</v>
      </c>
      <c r="O57" s="156"/>
      <c r="P57" s="156"/>
      <c r="Q57" s="156">
        <v>0</v>
      </c>
      <c r="R57" s="157"/>
    </row>
    <row r="58" spans="2:18" ht="15" x14ac:dyDescent="0.4">
      <c r="B58" s="367" t="s">
        <v>251</v>
      </c>
      <c r="C58" s="368"/>
      <c r="D58" s="142" t="s">
        <v>109</v>
      </c>
      <c r="E58" s="154">
        <v>0</v>
      </c>
      <c r="F58" s="154">
        <v>0</v>
      </c>
      <c r="G58" s="154">
        <v>0</v>
      </c>
      <c r="H58" s="154">
        <v>0</v>
      </c>
      <c r="I58" s="154">
        <v>0</v>
      </c>
      <c r="J58" s="154"/>
      <c r="K58" s="154"/>
      <c r="L58" s="154"/>
      <c r="M58" s="154"/>
      <c r="N58" s="154"/>
      <c r="O58" s="154"/>
      <c r="P58" s="154"/>
      <c r="Q58" s="154">
        <v>0</v>
      </c>
      <c r="R58" s="155"/>
    </row>
    <row r="59" spans="2:18" ht="15" x14ac:dyDescent="0.4">
      <c r="B59" s="369"/>
      <c r="C59" s="370"/>
      <c r="D59" s="144" t="s">
        <v>70</v>
      </c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>
        <v>0</v>
      </c>
      <c r="R59" s="157"/>
    </row>
    <row r="60" spans="2:18" ht="15" x14ac:dyDescent="0.4">
      <c r="B60" s="367" t="s">
        <v>252</v>
      </c>
      <c r="C60" s="368"/>
      <c r="D60" s="142" t="s">
        <v>109</v>
      </c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>
        <v>0</v>
      </c>
      <c r="R60" s="155"/>
    </row>
    <row r="61" spans="2:18" ht="15" x14ac:dyDescent="0.4">
      <c r="B61" s="369"/>
      <c r="C61" s="370"/>
      <c r="D61" s="144" t="s">
        <v>70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>
        <v>0</v>
      </c>
      <c r="R61" s="157"/>
    </row>
  </sheetData>
  <mergeCells count="9">
    <mergeCell ref="B58:C59"/>
    <mergeCell ref="B60:C61"/>
    <mergeCell ref="B28:D28"/>
    <mergeCell ref="B56:C57"/>
    <mergeCell ref="B47:C51"/>
    <mergeCell ref="B52:C55"/>
    <mergeCell ref="B36:C41"/>
    <mergeCell ref="B42:C46"/>
    <mergeCell ref="B29:C35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2572-B826-4A20-894A-C2AAC8DDD77C}">
  <sheetPr>
    <tabColor theme="1"/>
  </sheetPr>
  <dimension ref="A2:BC57"/>
  <sheetViews>
    <sheetView showGridLines="0" zoomScale="85" zoomScaleNormal="85" zoomScaleSheetLayoutView="100" workbookViewId="0">
      <selection activeCell="E8" sqref="E8:G8"/>
    </sheetView>
  </sheetViews>
  <sheetFormatPr defaultRowHeight="14.5" outlineLevelCol="1" x14ac:dyDescent="0.35"/>
  <cols>
    <col min="2" max="3" width="13.81640625" customWidth="1"/>
    <col min="4" max="4" width="17.36328125" bestFit="1" customWidth="1"/>
    <col min="5" max="17" width="17.36328125" hidden="1" customWidth="1" outlineLevel="1"/>
    <col min="18" max="18" width="15.7265625" bestFit="1" customWidth="1" collapsed="1"/>
    <col min="19" max="42" width="13.81640625" customWidth="1"/>
    <col min="43" max="43" width="8.7265625" style="168"/>
    <col min="44" max="55" width="13.81640625" customWidth="1"/>
    <col min="56" max="16384" width="8.7265625" style="168"/>
  </cols>
  <sheetData>
    <row r="2" spans="2:55" ht="15" thickBot="1" x14ac:dyDescent="0.4"/>
    <row r="3" spans="2:55" ht="21.5" x14ac:dyDescent="0.55000000000000004">
      <c r="B3" s="254" t="s">
        <v>10</v>
      </c>
      <c r="C3" s="261" t="s">
        <v>25</v>
      </c>
      <c r="D3" s="254" t="s">
        <v>70</v>
      </c>
      <c r="E3" s="240" t="s">
        <v>214</v>
      </c>
      <c r="F3" s="240" t="s">
        <v>71</v>
      </c>
      <c r="G3" s="240" t="s">
        <v>253</v>
      </c>
      <c r="H3" s="240" t="s">
        <v>257</v>
      </c>
    </row>
    <row r="4" spans="2:55" ht="21.5" x14ac:dyDescent="0.55000000000000004">
      <c r="B4" s="255" t="s">
        <v>213</v>
      </c>
      <c r="C4" s="259">
        <f>SUM(E12:P12)</f>
        <v>141.31445681860001</v>
      </c>
      <c r="D4" s="257">
        <f>SUM(E14:P14)</f>
        <v>21.774057980185237</v>
      </c>
      <c r="E4" s="241">
        <f>SUM(E15:P15)</f>
        <v>22.473963247087504</v>
      </c>
      <c r="F4" s="241">
        <f>SUM(E16:P16)</f>
        <v>30.207116272727269</v>
      </c>
      <c r="G4" s="241">
        <f>SUM(E17:P17)</f>
        <v>61.044862499999994</v>
      </c>
      <c r="H4" s="241">
        <f>SUM(E18:P18)</f>
        <v>5.8144568186000001</v>
      </c>
    </row>
    <row r="5" spans="2:55" ht="21.5" x14ac:dyDescent="0.55000000000000004">
      <c r="B5" s="256" t="s">
        <v>248</v>
      </c>
      <c r="C5" s="260">
        <f>SUM(R12:AC12)</f>
        <v>136.4348501375147</v>
      </c>
      <c r="D5" s="258">
        <f>SUM(R14:AC14)</f>
        <v>17.767805969753908</v>
      </c>
      <c r="E5" s="246">
        <f>SUM(R15:AC15)</f>
        <v>8.9822563913649986</v>
      </c>
      <c r="F5" s="246">
        <f>SUM(R16:AC16)</f>
        <v>19.032816739090897</v>
      </c>
      <c r="G5" s="246">
        <f>SUM(R17:AC17)</f>
        <v>39.413326754545459</v>
      </c>
      <c r="H5" s="246">
        <f>SUM(R18:AC18)</f>
        <v>28.731601061345451</v>
      </c>
    </row>
    <row r="6" spans="2:55" ht="21.5" x14ac:dyDescent="0.55000000000000004">
      <c r="B6" s="256" t="s">
        <v>249</v>
      </c>
      <c r="C6" s="260">
        <f>D6+E6+F6+G6+H6</f>
        <v>109.63096927083342</v>
      </c>
      <c r="D6" s="258">
        <f>SUM(AE14:AP14)</f>
        <v>13.994498739819438</v>
      </c>
      <c r="E6" s="246">
        <f>SUM(AE15:AP15)</f>
        <v>2.4104168709731302</v>
      </c>
      <c r="F6" s="246">
        <f>SUM(AE16:AP16)</f>
        <v>9.320167747911551</v>
      </c>
      <c r="G6" s="246">
        <f>SUM(AE17:AP17)</f>
        <v>21.087356622596992</v>
      </c>
      <c r="H6" s="246">
        <f>SUM(AE18:AP18)</f>
        <v>62.818529289532307</v>
      </c>
    </row>
    <row r="7" spans="2:55" ht="22" thickBot="1" x14ac:dyDescent="0.6">
      <c r="B7" s="256" t="s">
        <v>250</v>
      </c>
      <c r="C7" s="265">
        <f>SUM(AR12:BC12)</f>
        <v>122.52638889316474</v>
      </c>
      <c r="D7" s="256"/>
      <c r="E7" s="247"/>
      <c r="F7" s="247"/>
      <c r="G7" s="247"/>
      <c r="H7" s="247"/>
    </row>
    <row r="8" spans="2:55" x14ac:dyDescent="0.35">
      <c r="E8" s="252"/>
    </row>
    <row r="9" spans="2:55" x14ac:dyDescent="0.35">
      <c r="E9" s="216">
        <f>E20*E39*0.085</f>
        <v>523244683.00000006</v>
      </c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</row>
    <row r="10" spans="2:55" x14ac:dyDescent="0.35">
      <c r="F10" s="16">
        <f>F18/E18-1</f>
        <v>3.1834322234796133</v>
      </c>
      <c r="G10" s="16">
        <f t="shared" ref="G10:P10" si="0">G18/F18-1</f>
        <v>2.0301344349689638</v>
      </c>
      <c r="H10" s="16">
        <f t="shared" si="0"/>
        <v>0.72776157299850741</v>
      </c>
      <c r="I10" s="16">
        <f t="shared" si="0"/>
        <v>0.4434003431084439</v>
      </c>
      <c r="J10" s="16">
        <f t="shared" si="0"/>
        <v>0.29951584555585509</v>
      </c>
      <c r="K10" s="16">
        <f t="shared" si="0"/>
        <v>0.27233930544370977</v>
      </c>
      <c r="L10" s="16">
        <f t="shared" si="0"/>
        <v>0.23096310877902071</v>
      </c>
      <c r="M10" s="16">
        <f t="shared" si="0"/>
        <v>0.26412864902777211</v>
      </c>
      <c r="N10" s="16">
        <f t="shared" si="0"/>
        <v>0.21853398926728462</v>
      </c>
      <c r="O10" s="16">
        <f t="shared" si="0"/>
        <v>0.19706580109844651</v>
      </c>
      <c r="P10" s="16">
        <f t="shared" si="0"/>
        <v>0.11962691154995397</v>
      </c>
      <c r="Q10" s="16"/>
      <c r="R10" s="16">
        <f>R18/P18-1</f>
        <v>0</v>
      </c>
      <c r="S10" s="16">
        <f>S18/R18-1</f>
        <v>0.1695522540907668</v>
      </c>
      <c r="T10" s="16">
        <f t="shared" ref="T10:V10" si="1">T18/S18-1</f>
        <v>0.14857368239197166</v>
      </c>
      <c r="U10" s="16">
        <f t="shared" si="1"/>
        <v>9.6622192551668817E-2</v>
      </c>
      <c r="V10" s="16">
        <f t="shared" si="1"/>
        <v>9.8807509041614505E-2</v>
      </c>
    </row>
    <row r="11" spans="2:55" ht="15" x14ac:dyDescent="0.4">
      <c r="B11" s="365" t="s">
        <v>10</v>
      </c>
      <c r="C11" s="365"/>
      <c r="D11" s="366"/>
      <c r="E11" s="231">
        <v>2401</v>
      </c>
      <c r="F11" s="231">
        <v>2402</v>
      </c>
      <c r="G11" s="231">
        <v>2403</v>
      </c>
      <c r="H11" s="231">
        <v>2404</v>
      </c>
      <c r="I11" s="231">
        <v>2405</v>
      </c>
      <c r="J11" s="231">
        <v>2406</v>
      </c>
      <c r="K11" s="231">
        <v>2407</v>
      </c>
      <c r="L11" s="231">
        <v>2408</v>
      </c>
      <c r="M11" s="231">
        <v>2409</v>
      </c>
      <c r="N11" s="231">
        <v>2410</v>
      </c>
      <c r="O11" s="231">
        <v>2411</v>
      </c>
      <c r="P11" s="231">
        <v>2412</v>
      </c>
      <c r="R11" s="236">
        <v>2501</v>
      </c>
      <c r="S11" s="236">
        <v>2502</v>
      </c>
      <c r="T11" s="236">
        <v>2503</v>
      </c>
      <c r="U11" s="236">
        <v>2504</v>
      </c>
      <c r="V11" s="236">
        <v>2505</v>
      </c>
      <c r="W11" s="236">
        <v>2506</v>
      </c>
      <c r="X11" s="236">
        <v>2507</v>
      </c>
      <c r="Y11" s="236">
        <v>2508</v>
      </c>
      <c r="Z11" s="236">
        <v>2509</v>
      </c>
      <c r="AA11" s="236">
        <v>2510</v>
      </c>
      <c r="AB11" s="236">
        <v>2511</v>
      </c>
      <c r="AC11" s="236">
        <v>2512</v>
      </c>
      <c r="AE11" s="141">
        <v>2601</v>
      </c>
      <c r="AF11" s="141">
        <v>2602</v>
      </c>
      <c r="AG11" s="141">
        <v>2603</v>
      </c>
      <c r="AH11" s="141">
        <v>2604</v>
      </c>
      <c r="AI11" s="141">
        <v>2605</v>
      </c>
      <c r="AJ11" s="141">
        <v>2606</v>
      </c>
      <c r="AK11" s="141">
        <v>2607</v>
      </c>
      <c r="AL11" s="141">
        <v>2608</v>
      </c>
      <c r="AM11" s="141">
        <v>2609</v>
      </c>
      <c r="AN11" s="141">
        <v>2610</v>
      </c>
      <c r="AO11" s="141">
        <v>2611</v>
      </c>
      <c r="AP11" s="141">
        <v>2612</v>
      </c>
      <c r="AR11" s="141">
        <v>2701</v>
      </c>
      <c r="AS11" s="141">
        <v>2702</v>
      </c>
      <c r="AT11" s="141">
        <v>2703</v>
      </c>
      <c r="AU11" s="141">
        <v>2704</v>
      </c>
      <c r="AV11" s="141">
        <v>2705</v>
      </c>
      <c r="AW11" s="141">
        <v>2706</v>
      </c>
      <c r="AX11" s="141">
        <v>2707</v>
      </c>
      <c r="AY11" s="141">
        <v>2708</v>
      </c>
      <c r="AZ11" s="141">
        <v>2709</v>
      </c>
      <c r="BA11" s="141">
        <v>2710</v>
      </c>
      <c r="BB11" s="141">
        <v>2711</v>
      </c>
      <c r="BC11" s="141">
        <v>2712</v>
      </c>
    </row>
    <row r="12" spans="2:55" ht="15" x14ac:dyDescent="0.4">
      <c r="B12" s="367" t="s">
        <v>220</v>
      </c>
      <c r="C12" s="368"/>
      <c r="D12" s="224" t="s">
        <v>216</v>
      </c>
      <c r="E12" s="227">
        <f t="shared" ref="E12:P12" si="2">E13+E18</f>
        <v>13.108796528599999</v>
      </c>
      <c r="F12" s="227">
        <f t="shared" si="2"/>
        <v>12.636799681199999</v>
      </c>
      <c r="G12" s="227">
        <f t="shared" si="2"/>
        <v>12.511507981200001</v>
      </c>
      <c r="H12" s="227">
        <f t="shared" si="2"/>
        <v>12.292659205</v>
      </c>
      <c r="I12" s="227">
        <f t="shared" si="2"/>
        <v>11.878084362599999</v>
      </c>
      <c r="J12" s="227">
        <f t="shared" si="2"/>
        <v>11.661375035600001</v>
      </c>
      <c r="K12" s="227">
        <f t="shared" si="2"/>
        <v>11.5597916618</v>
      </c>
      <c r="L12" s="227">
        <f t="shared" si="2"/>
        <v>11.365986573400001</v>
      </c>
      <c r="M12" s="227">
        <f t="shared" si="2"/>
        <v>11.3154798424</v>
      </c>
      <c r="N12" s="227">
        <f t="shared" si="2"/>
        <v>11.2718365066</v>
      </c>
      <c r="O12" s="227">
        <f t="shared" si="2"/>
        <v>10.9436456662</v>
      </c>
      <c r="P12" s="227">
        <f t="shared" si="2"/>
        <v>10.768493774</v>
      </c>
      <c r="R12" s="317">
        <f>R13+R18</f>
        <v>10.268493774</v>
      </c>
      <c r="S12" s="317">
        <f t="shared" ref="S12:V12" si="3">S13+S18</f>
        <v>10.449707470467247</v>
      </c>
      <c r="T12" s="317">
        <f t="shared" si="3"/>
        <v>10.122570055192176</v>
      </c>
      <c r="U12" s="317">
        <f t="shared" si="3"/>
        <v>9.7292867327476582</v>
      </c>
      <c r="V12" s="317">
        <f t="shared" si="3"/>
        <v>9.4927223309978057</v>
      </c>
      <c r="W12" s="317">
        <f>W13+W18</f>
        <v>13.460570154366104</v>
      </c>
      <c r="X12" s="317">
        <f t="shared" ref="X12:AC12" si="4">X13+X18</f>
        <v>11.96892078919403</v>
      </c>
      <c r="Y12" s="317">
        <f t="shared" si="4"/>
        <v>11.911516201981575</v>
      </c>
      <c r="Z12" s="317">
        <f t="shared" si="4"/>
        <v>12.073547050567461</v>
      </c>
      <c r="AA12" s="317">
        <f t="shared" si="4"/>
        <v>12.155072121781522</v>
      </c>
      <c r="AB12" s="317">
        <f t="shared" si="4"/>
        <v>12.329070547778009</v>
      </c>
      <c r="AC12" s="317">
        <f t="shared" si="4"/>
        <v>12.473372908441132</v>
      </c>
      <c r="AE12" s="227">
        <f>AE13+AE18</f>
        <v>8.9732997780533665</v>
      </c>
      <c r="AF12" s="227">
        <f t="shared" ref="AF12" si="5">AF13+AF18</f>
        <v>8.9672177235349082</v>
      </c>
      <c r="AG12" s="227">
        <f t="shared" ref="AG12" si="6">AG13+AG18</f>
        <v>8.973371628887314</v>
      </c>
      <c r="AH12" s="227">
        <f t="shared" ref="AH12" si="7">AH13+AH18</f>
        <v>8.9909970325114639</v>
      </c>
      <c r="AI12" s="227">
        <f t="shared" ref="AI12" si="8">AI13+AI18</f>
        <v>9.0193837551004208</v>
      </c>
      <c r="AJ12" s="227">
        <f t="shared" ref="AJ12" si="9">AJ13+AJ18</f>
        <v>9.0578715850934088</v>
      </c>
      <c r="AK12" s="227">
        <f t="shared" ref="AK12" si="10">AK13+AK18</f>
        <v>9.1058463381526202</v>
      </c>
      <c r="AL12" s="227">
        <f t="shared" ref="AL12" si="11">AL13+AL18</f>
        <v>9.1627362563054753</v>
      </c>
      <c r="AM12" s="227">
        <f t="shared" ref="AM12" si="12">AM13+AM18</f>
        <v>9.2280087156624973</v>
      </c>
      <c r="AN12" s="227">
        <f t="shared" ref="AN12" si="13">AN13+AN18</f>
        <v>9.3011672145717945</v>
      </c>
      <c r="AO12" s="227">
        <f t="shared" ref="AO12" si="14">AO13+AO18</f>
        <v>9.3817486167359334</v>
      </c>
      <c r="AP12" s="227">
        <f t="shared" ref="AP12" si="15">AP13+AP18</f>
        <v>9.4693206262242153</v>
      </c>
      <c r="AR12" s="227">
        <f>AR13+AR18</f>
        <v>9.5634794734876962</v>
      </c>
      <c r="AS12" s="227">
        <f t="shared" ref="AS12:BC12" si="16">AS13+AS18</f>
        <v>9.6638477934490563</v>
      </c>
      <c r="AT12" s="227">
        <f t="shared" si="16"/>
        <v>9.7700726785146461</v>
      </c>
      <c r="AU12" s="227">
        <f t="shared" si="16"/>
        <v>9.8818238909605292</v>
      </c>
      <c r="AV12" s="227">
        <f t="shared" si="16"/>
        <v>9.9987922205946411</v>
      </c>
      <c r="AW12" s="227">
        <f t="shared" si="16"/>
        <v>10.120687974908325</v>
      </c>
      <c r="AX12" s="227">
        <f t="shared" si="16"/>
        <v>10.24723959011606</v>
      </c>
      <c r="AY12" s="227">
        <f t="shared" si="16"/>
        <v>10.378192352554477</v>
      </c>
      <c r="AZ12" s="227">
        <f t="shared" si="16"/>
        <v>10.513307220881604</v>
      </c>
      <c r="BA12" s="227">
        <f t="shared" si="16"/>
        <v>10.652359740394798</v>
      </c>
      <c r="BB12" s="227">
        <f t="shared" si="16"/>
        <v>10.795139041579914</v>
      </c>
      <c r="BC12" s="227">
        <f t="shared" si="16"/>
        <v>10.941446915722992</v>
      </c>
    </row>
    <row r="13" spans="2:55" ht="15" x14ac:dyDescent="0.4">
      <c r="B13" s="369"/>
      <c r="C13" s="370"/>
      <c r="D13" s="142" t="s">
        <v>109</v>
      </c>
      <c r="E13" s="143">
        <v>13.1</v>
      </c>
      <c r="F13" s="143">
        <v>12.6</v>
      </c>
      <c r="G13" s="143">
        <v>12.4</v>
      </c>
      <c r="H13" s="143">
        <v>12.1</v>
      </c>
      <c r="I13" s="143">
        <v>11.6</v>
      </c>
      <c r="J13" s="143">
        <v>11.3</v>
      </c>
      <c r="K13" s="143">
        <v>11.1</v>
      </c>
      <c r="L13" s="143">
        <v>10.8</v>
      </c>
      <c r="M13" s="143">
        <v>10.6</v>
      </c>
      <c r="N13" s="143">
        <v>10.4</v>
      </c>
      <c r="O13" s="143">
        <v>9.9</v>
      </c>
      <c r="P13" s="143">
        <v>9.6</v>
      </c>
      <c r="R13" s="143">
        <v>9.1</v>
      </c>
      <c r="S13" s="143">
        <v>9.0830929431945204</v>
      </c>
      <c r="T13" s="143">
        <v>8.5529125751921757</v>
      </c>
      <c r="U13" s="143">
        <v>8.0079655054749317</v>
      </c>
      <c r="V13" s="143">
        <v>7.6013216409978055</v>
      </c>
      <c r="W13" s="143">
        <v>11.278029041566105</v>
      </c>
      <c r="X13" s="143">
        <v>9.4702209891940292</v>
      </c>
      <c r="Y13" s="143">
        <v>9.1583624919815758</v>
      </c>
      <c r="Z13" s="143">
        <v>9.0471217205674606</v>
      </c>
      <c r="AA13" s="143">
        <v>8.8861888617815215</v>
      </c>
      <c r="AB13" s="143">
        <v>8.8098991677780099</v>
      </c>
      <c r="AC13" s="143">
        <v>8.7081341384411317</v>
      </c>
      <c r="AE13" s="143">
        <f>AE14+AE15+AE16+AE17</f>
        <v>4.9447128775982243</v>
      </c>
      <c r="AF13" s="143">
        <f t="shared" ref="AF13" si="17">AF14+AF15+AF16+AF17</f>
        <v>4.7193052702908158</v>
      </c>
      <c r="AG13" s="143">
        <f t="shared" ref="AG13" si="18">AG14+AG15+AG16+AG17</f>
        <v>4.506133622854275</v>
      </c>
      <c r="AH13" s="143">
        <f t="shared" ref="AH13" si="19">AH14+AH15+AH16+AH17</f>
        <v>4.3044334736894756</v>
      </c>
      <c r="AI13" s="143">
        <f t="shared" ref="AI13" si="20">AI14+AI15+AI16+AI17</f>
        <v>4.1134946434894832</v>
      </c>
      <c r="AJ13" s="143">
        <f t="shared" ref="AJ13" si="21">AJ14+AJ15+AJ16+AJ17</f>
        <v>3.932656920693522</v>
      </c>
      <c r="AK13" s="143">
        <f t="shared" ref="AK13" si="22">AK14+AK15+AK16+AK17</f>
        <v>3.7613061209637859</v>
      </c>
      <c r="AL13" s="143">
        <f t="shared" ref="AL13" si="23">AL14+AL15+AL16+AL17</f>
        <v>3.5988704863276926</v>
      </c>
      <c r="AM13" s="143">
        <f t="shared" ref="AM13" si="24">AM14+AM15+AM16+AM17</f>
        <v>3.4448173928957688</v>
      </c>
      <c r="AN13" s="143">
        <f t="shared" ref="AN13" si="25">AN14+AN15+AN16+AN17</f>
        <v>3.2986503390161168</v>
      </c>
      <c r="AO13" s="143">
        <f t="shared" ref="AO13" si="26">AO14+AO15+AO16+AO17</f>
        <v>3.1599061883913073</v>
      </c>
      <c r="AP13" s="143">
        <f t="shared" ref="AP13" si="27">AP14+AP15+AP16+AP17</f>
        <v>3.0281526450906409</v>
      </c>
      <c r="AR13" s="143">
        <f>AR14+AR15+AR16+AR17</f>
        <v>2.9029859395651743</v>
      </c>
      <c r="AS13" s="143">
        <f t="shared" ref="AS13:BC13" si="28">AS14+AS15+AS16+AS17</f>
        <v>2.7840287067375868</v>
      </c>
      <c r="AT13" s="143">
        <f t="shared" si="28"/>
        <v>2.6709280390142278</v>
      </c>
      <c r="AU13" s="143">
        <f t="shared" si="28"/>
        <v>2.5633536986711616</v>
      </c>
      <c r="AV13" s="143">
        <f t="shared" si="28"/>
        <v>2.4609964755163265</v>
      </c>
      <c r="AW13" s="143">
        <f t="shared" si="28"/>
        <v>2.3635666770410624</v>
      </c>
      <c r="AX13" s="143">
        <f t="shared" si="28"/>
        <v>2.2707927394598486</v>
      </c>
      <c r="AY13" s="143">
        <f t="shared" si="28"/>
        <v>2.1824199491093168</v>
      </c>
      <c r="AZ13" s="143">
        <f t="shared" si="28"/>
        <v>2.0982092646474966</v>
      </c>
      <c r="BA13" s="143">
        <f t="shared" si="28"/>
        <v>2.0179362313717433</v>
      </c>
      <c r="BB13" s="143">
        <f t="shared" si="28"/>
        <v>1.9413899797679099</v>
      </c>
      <c r="BC13" s="143">
        <f t="shared" si="28"/>
        <v>1.8683723011220399</v>
      </c>
    </row>
    <row r="14" spans="2:55" ht="15" x14ac:dyDescent="0.4">
      <c r="B14" s="369"/>
      <c r="C14" s="370"/>
      <c r="D14" s="144" t="s">
        <v>70</v>
      </c>
      <c r="E14" s="145">
        <v>2.0940600894895454</v>
      </c>
      <c r="F14" s="145">
        <v>1.8819668320252285</v>
      </c>
      <c r="G14" s="145">
        <v>1.9234486281886376</v>
      </c>
      <c r="H14" s="145">
        <v>1.924682561818182</v>
      </c>
      <c r="I14" s="145">
        <v>1.713376738181819</v>
      </c>
      <c r="J14" s="145">
        <v>1.7550198990909101</v>
      </c>
      <c r="K14" s="145">
        <v>1.6882306163636347</v>
      </c>
      <c r="L14" s="145">
        <v>1.7061712445454553</v>
      </c>
      <c r="M14" s="145">
        <v>1.8324907187627275</v>
      </c>
      <c r="N14" s="145">
        <v>1.8238246173256831</v>
      </c>
      <c r="O14" s="145">
        <v>1.722481544545456</v>
      </c>
      <c r="P14" s="145">
        <v>1.7083044898479542</v>
      </c>
      <c r="R14" s="145">
        <f>2.96246609090909-R15</f>
        <v>1.6986729109090901</v>
      </c>
      <c r="S14" s="145">
        <v>1.7475366086490698</v>
      </c>
      <c r="T14" s="145">
        <v>1.4124375792244486</v>
      </c>
      <c r="U14" s="145">
        <v>1.5719564927476597</v>
      </c>
      <c r="V14" s="145">
        <v>1.5193556683278062</v>
      </c>
      <c r="W14" s="145">
        <f>V14*0.98</f>
        <v>1.4889685549612501</v>
      </c>
      <c r="X14" s="145">
        <f t="shared" ref="X14:AC14" si="29">W14*0.98</f>
        <v>1.459189183862025</v>
      </c>
      <c r="Y14" s="145">
        <f t="shared" si="29"/>
        <v>1.4300054001847844</v>
      </c>
      <c r="Z14" s="145">
        <f t="shared" si="29"/>
        <v>1.4014052921810887</v>
      </c>
      <c r="AA14" s="145">
        <f t="shared" si="29"/>
        <v>1.3733771863374669</v>
      </c>
      <c r="AB14" s="145">
        <f t="shared" si="29"/>
        <v>1.3459096426107175</v>
      </c>
      <c r="AC14" s="145">
        <f t="shared" si="29"/>
        <v>1.3189914497585031</v>
      </c>
      <c r="AE14" s="145">
        <f>AC14*(1+AVERAGE($R$47:$AC$47))</f>
        <v>1.2938041380041012</v>
      </c>
      <c r="AF14" s="145">
        <f>AE14*(1+AVERAGE($R$47:$AC$47))</f>
        <v>1.2690978003102436</v>
      </c>
      <c r="AG14" s="145">
        <f t="shared" ref="AG14:AP14" si="30">AF14*(1+AVERAGE($R$47:$AC$47))</f>
        <v>1.2448632520505925</v>
      </c>
      <c r="AH14" s="145">
        <f t="shared" si="30"/>
        <v>1.2210914839873972</v>
      </c>
      <c r="AI14" s="145">
        <f t="shared" si="30"/>
        <v>1.197773658922294</v>
      </c>
      <c r="AJ14" s="145">
        <f t="shared" si="30"/>
        <v>1.1749011084110605</v>
      </c>
      <c r="AK14" s="145">
        <f t="shared" si="30"/>
        <v>1.1524653295411067</v>
      </c>
      <c r="AL14" s="145">
        <f t="shared" si="30"/>
        <v>1.1304579817705007</v>
      </c>
      <c r="AM14" s="145">
        <f t="shared" si="30"/>
        <v>1.1088708838273573</v>
      </c>
      <c r="AN14" s="145">
        <f t="shared" si="30"/>
        <v>1.0876960106684355</v>
      </c>
      <c r="AO14" s="145">
        <f t="shared" si="30"/>
        <v>1.0669254904958134</v>
      </c>
      <c r="AP14" s="145">
        <f t="shared" si="30"/>
        <v>1.0465516018305334</v>
      </c>
      <c r="AR14" s="145">
        <f>AP14*(1+AVERAGE($R$47:$AC$47))</f>
        <v>1.0265667706421278</v>
      </c>
      <c r="AS14" s="145">
        <f>AR14*(1+AVERAGE($R$47:$AC$47))</f>
        <v>1.0069635675329591</v>
      </c>
      <c r="AT14" s="145">
        <f t="shared" ref="AT14:BC14" si="31">AS14*(1+AVERAGE($R$47:$AC$47))</f>
        <v>0.98773470497632843</v>
      </c>
      <c r="AU14" s="145">
        <f t="shared" si="31"/>
        <v>0.96887303460732344</v>
      </c>
      <c r="AV14" s="145">
        <f t="shared" si="31"/>
        <v>0.95037154456540085</v>
      </c>
      <c r="AW14" s="145">
        <f t="shared" si="31"/>
        <v>0.93222335688771429</v>
      </c>
      <c r="AX14" s="145">
        <f t="shared" si="31"/>
        <v>0.91442172495221929</v>
      </c>
      <c r="AY14" s="145">
        <f t="shared" si="31"/>
        <v>0.89696003096960375</v>
      </c>
      <c r="AZ14" s="145">
        <f t="shared" si="31"/>
        <v>0.87983178352311298</v>
      </c>
      <c r="BA14" s="145">
        <f t="shared" si="31"/>
        <v>0.86303061515535329</v>
      </c>
      <c r="BB14" s="145">
        <f t="shared" si="31"/>
        <v>0.84655028000117849</v>
      </c>
      <c r="BC14" s="145">
        <f t="shared" si="31"/>
        <v>0.83038465146577767</v>
      </c>
    </row>
    <row r="15" spans="2:55" ht="15" x14ac:dyDescent="0.4">
      <c r="B15" s="369"/>
      <c r="C15" s="370"/>
      <c r="D15" s="224" t="s">
        <v>214</v>
      </c>
      <c r="E15" s="225">
        <v>2.6627097559649999</v>
      </c>
      <c r="F15" s="225">
        <v>2.4621799952474999</v>
      </c>
      <c r="G15" s="225">
        <v>2.2811031081749999</v>
      </c>
      <c r="H15" s="225">
        <v>2.1103124200000001</v>
      </c>
      <c r="I15" s="225">
        <v>1.96308788</v>
      </c>
      <c r="J15" s="225">
        <v>1.8179401100000001</v>
      </c>
      <c r="K15" s="225">
        <v>1.7667849200000001</v>
      </c>
      <c r="L15" s="225">
        <v>1.64892101</v>
      </c>
      <c r="M15" s="225">
        <v>1.5260275085100001</v>
      </c>
      <c r="N15" s="225">
        <v>1.5054936644925001</v>
      </c>
      <c r="O15" s="225">
        <v>1.4127659100000001</v>
      </c>
      <c r="P15" s="225">
        <v>1.3166369646975002</v>
      </c>
      <c r="R15" s="225">
        <v>1.26379318</v>
      </c>
      <c r="S15" s="225">
        <v>1.16579338</v>
      </c>
      <c r="T15" s="225">
        <v>1.0448888386949999</v>
      </c>
      <c r="U15" s="225">
        <v>0.95432053999999999</v>
      </c>
      <c r="V15" s="225">
        <v>0.86088327266999998</v>
      </c>
      <c r="W15" s="225">
        <v>0.76625679999999996</v>
      </c>
      <c r="X15" s="225">
        <v>0.66542557999999996</v>
      </c>
      <c r="Y15" s="225">
        <v>0.58167732000000005</v>
      </c>
      <c r="Z15" s="225">
        <v>0.50999541999999998</v>
      </c>
      <c r="AA15" s="225">
        <v>0.42652901999999998</v>
      </c>
      <c r="AB15" s="225">
        <v>0.37134652000000001</v>
      </c>
      <c r="AC15" s="225">
        <v>0.37134652000000001</v>
      </c>
      <c r="AE15" s="225">
        <f>AC15*(1+AVERAGE($R$48:$AC$48))</f>
        <v>0.33453337098610575</v>
      </c>
      <c r="AF15" s="225">
        <f>AE15*(1+AVERAGE($R$48:$AD$48))</f>
        <v>0.30136966492463013</v>
      </c>
      <c r="AG15" s="225">
        <f t="shared" ref="AG15:AP15" si="32">AF15*(1+AVERAGE($R$48:$AD$48))</f>
        <v>0.27149361712125286</v>
      </c>
      <c r="AH15" s="225">
        <f t="shared" si="32"/>
        <v>0.24457930812650092</v>
      </c>
      <c r="AI15" s="225">
        <f t="shared" si="32"/>
        <v>0.22033312826253978</v>
      </c>
      <c r="AJ15" s="225">
        <f t="shared" si="32"/>
        <v>0.19849057461904165</v>
      </c>
      <c r="AK15" s="225">
        <f t="shared" si="32"/>
        <v>0.17881336557638178</v>
      </c>
      <c r="AL15" s="225">
        <f t="shared" si="32"/>
        <v>0.16108684137833815</v>
      </c>
      <c r="AM15" s="225">
        <f t="shared" si="32"/>
        <v>0.1451176223969988</v>
      </c>
      <c r="AN15" s="225">
        <f t="shared" si="32"/>
        <v>0.13073149954375984</v>
      </c>
      <c r="AO15" s="225">
        <f t="shared" si="32"/>
        <v>0.11777153381279169</v>
      </c>
      <c r="AP15" s="225">
        <f t="shared" si="32"/>
        <v>0.10609634422478859</v>
      </c>
      <c r="AR15" s="225">
        <f>AP15*(1+AVERAGE($R$48:$AC$48))</f>
        <v>9.5578565494085624E-2</v>
      </c>
      <c r="AS15" s="225">
        <f>AR15*(1+AVERAGE($R$48:$AD$48))</f>
        <v>8.6103458593748905E-2</v>
      </c>
      <c r="AT15" s="225">
        <f t="shared" ref="AT15:BC15" si="33">AS15*(1+AVERAGE($R$48:$AD$48))</f>
        <v>7.7567659061216987E-2</v>
      </c>
      <c r="AU15" s="225">
        <f t="shared" si="33"/>
        <v>6.9878049389690985E-2</v>
      </c>
      <c r="AV15" s="225">
        <f t="shared" si="33"/>
        <v>6.2950743204128898E-2</v>
      </c>
      <c r="AW15" s="225">
        <f t="shared" si="33"/>
        <v>5.6710170140164308E-2</v>
      </c>
      <c r="AX15" s="225">
        <f t="shared" si="33"/>
        <v>5.1088251442843097E-2</v>
      </c>
      <c r="AY15" s="225">
        <f t="shared" si="33"/>
        <v>4.6023657291739482E-2</v>
      </c>
      <c r="AZ15" s="225">
        <f t="shared" si="33"/>
        <v>4.1461137750570212E-2</v>
      </c>
      <c r="BA15" s="225">
        <f t="shared" si="33"/>
        <v>3.7350920042599399E-2</v>
      </c>
      <c r="BB15" s="225">
        <f t="shared" si="33"/>
        <v>3.3648165576678296E-2</v>
      </c>
      <c r="BC15" s="225">
        <f t="shared" si="33"/>
        <v>3.0312480800587099E-2</v>
      </c>
    </row>
    <row r="16" spans="2:55" ht="15" x14ac:dyDescent="0.4">
      <c r="B16" s="369"/>
      <c r="C16" s="370"/>
      <c r="D16" s="144" t="s">
        <v>71</v>
      </c>
      <c r="E16" s="145">
        <v>2.7756569999999998</v>
      </c>
      <c r="F16" s="145">
        <v>2.7472658181818179</v>
      </c>
      <c r="G16" s="145">
        <v>2.7423490909090908</v>
      </c>
      <c r="H16" s="145">
        <v>2.6971310000000002</v>
      </c>
      <c r="I16" s="145">
        <v>2.6393608181818178</v>
      </c>
      <c r="J16" s="145">
        <v>2.5545064545454546</v>
      </c>
      <c r="K16" s="145">
        <v>2.5248520909090906</v>
      </c>
      <c r="L16" s="145">
        <v>2.4420310909090905</v>
      </c>
      <c r="M16" s="145">
        <v>2.3737327272727273</v>
      </c>
      <c r="N16" s="145">
        <v>2.3304190909090905</v>
      </c>
      <c r="O16" s="145">
        <v>2.2147525454545454</v>
      </c>
      <c r="P16" s="145">
        <v>2.1650585454545452</v>
      </c>
      <c r="R16" s="145">
        <v>1.997533909090909</v>
      </c>
      <c r="S16" s="145">
        <v>2.0294241181818182</v>
      </c>
      <c r="T16" s="145">
        <v>2.2323665300000002</v>
      </c>
      <c r="U16" s="145">
        <v>1.8044475454545452</v>
      </c>
      <c r="V16" s="145">
        <v>1.7026086363636364</v>
      </c>
      <c r="W16" s="145">
        <v>1.5949691818181799</v>
      </c>
      <c r="X16" s="145">
        <v>1.49219945454545</v>
      </c>
      <c r="Y16" s="145">
        <v>1.4055082727272701</v>
      </c>
      <c r="Z16" s="145">
        <v>1.3104794545454546</v>
      </c>
      <c r="AA16" s="145">
        <v>1.2273192727272726</v>
      </c>
      <c r="AB16" s="145">
        <v>1.1457579090909089</v>
      </c>
      <c r="AC16" s="145">
        <v>1.0902024545454543</v>
      </c>
      <c r="AE16" s="145">
        <f>AC16*(1+AVERAGE($R$49:$AC$49))</f>
        <v>1.031940169826884</v>
      </c>
      <c r="AF16" s="145">
        <f>AE16*(1+AVERAGE($R$49:$AC$49))</f>
        <v>0.97679152130173341</v>
      </c>
      <c r="AG16" s="145">
        <f t="shared" ref="AG16:AP16" si="34">AF16*(1+AVERAGE($R$49:$AC$49))</f>
        <v>0.9245901109237914</v>
      </c>
      <c r="AH16" s="145">
        <f t="shared" si="34"/>
        <v>0.87517843324317546</v>
      </c>
      <c r="AI16" s="145">
        <f t="shared" si="34"/>
        <v>0.82840740017076719</v>
      </c>
      <c r="AJ16" s="145">
        <f t="shared" si="34"/>
        <v>0.78413589114004945</v>
      </c>
      <c r="AK16" s="145">
        <f t="shared" si="34"/>
        <v>0.74223032730906413</v>
      </c>
      <c r="AL16" s="145">
        <f t="shared" si="34"/>
        <v>0.702564268517747</v>
      </c>
      <c r="AM16" s="145">
        <f t="shared" si="34"/>
        <v>0.66501803178455099</v>
      </c>
      <c r="AN16" s="145">
        <f t="shared" si="34"/>
        <v>0.62947833019126376</v>
      </c>
      <c r="AO16" s="145">
        <f t="shared" si="34"/>
        <v>0.59583793106643823</v>
      </c>
      <c r="AP16" s="145">
        <f t="shared" si="34"/>
        <v>0.56399533243608513</v>
      </c>
      <c r="AR16" s="145">
        <f>AP16*(1+AVERAGE($R$49:$AC$49))</f>
        <v>0.53385445676539489</v>
      </c>
      <c r="AS16" s="145">
        <f>AR16*(1+AVERAGE($R$49:$AC$49))</f>
        <v>0.5053243610674254</v>
      </c>
      <c r="AT16" s="145">
        <f t="shared" ref="AT16:BC16" si="35">AS16*(1+AVERAGE($R$49:$AC$49))</f>
        <v>0.47831896250407774</v>
      </c>
      <c r="AU16" s="145">
        <f t="shared" si="35"/>
        <v>0.45275677865142544</v>
      </c>
      <c r="AV16" s="145">
        <f t="shared" si="35"/>
        <v>0.42856068164570893</v>
      </c>
      <c r="AW16" s="145">
        <f t="shared" si="35"/>
        <v>0.40565766546818866</v>
      </c>
      <c r="AX16" s="145">
        <f t="shared" si="35"/>
        <v>0.38397862566669394</v>
      </c>
      <c r="AY16" s="145">
        <f t="shared" si="35"/>
        <v>0.36345815084922922</v>
      </c>
      <c r="AZ16" s="145">
        <f t="shared" si="35"/>
        <v>0.34403432532051875</v>
      </c>
      <c r="BA16" s="145">
        <f t="shared" si="35"/>
        <v>0.32564854226599199</v>
      </c>
      <c r="BB16" s="145">
        <f t="shared" si="35"/>
        <v>0.30824532691953677</v>
      </c>
      <c r="BC16" s="145">
        <f t="shared" si="35"/>
        <v>0.29177216918147003</v>
      </c>
    </row>
    <row r="17" spans="2:55" ht="16.5" customHeight="1" x14ac:dyDescent="0.4">
      <c r="B17" s="369"/>
      <c r="C17" s="370"/>
      <c r="D17" s="144" t="s">
        <v>105</v>
      </c>
      <c r="E17" s="145">
        <v>5.5675731545454541</v>
      </c>
      <c r="F17" s="145">
        <v>5.5085873545454538</v>
      </c>
      <c r="G17" s="145">
        <v>5.4530991727272724</v>
      </c>
      <c r="H17" s="145">
        <v>5.3678740181818174</v>
      </c>
      <c r="I17" s="145">
        <v>5.2841745636363635</v>
      </c>
      <c r="J17" s="145">
        <v>5.1725335363636358</v>
      </c>
      <c r="K17" s="145">
        <v>5.120132372727273</v>
      </c>
      <c r="L17" s="145">
        <v>5.0028766545454548</v>
      </c>
      <c r="M17" s="145">
        <v>4.8677490454545449</v>
      </c>
      <c r="N17" s="145">
        <v>4.7402626272727266</v>
      </c>
      <c r="O17" s="145">
        <v>4.55</v>
      </c>
      <c r="P17" s="145">
        <v>4.41</v>
      </c>
      <c r="R17" s="145">
        <v>4.1399999999999997</v>
      </c>
      <c r="S17" s="145">
        <v>4.140338836363636</v>
      </c>
      <c r="T17" s="145">
        <v>3.8632196272727271</v>
      </c>
      <c r="U17" s="145">
        <v>3.6772409272727269</v>
      </c>
      <c r="V17" s="145">
        <v>3.5184740636363632</v>
      </c>
      <c r="W17" s="145">
        <v>3.3729351545454542</v>
      </c>
      <c r="X17" s="145">
        <v>3.217503527272727</v>
      </c>
      <c r="Y17" s="145">
        <v>3.0304161545454544</v>
      </c>
      <c r="Z17" s="145">
        <v>2.8506905727272724</v>
      </c>
      <c r="AA17" s="145">
        <v>2.6879537090909089</v>
      </c>
      <c r="AB17" s="145">
        <v>2.5119146909090908</v>
      </c>
      <c r="AC17" s="145">
        <v>2.4026394909090905</v>
      </c>
      <c r="AE17" s="145">
        <f>AC17*(1+AVERAGE($R$50:$AC$50))</f>
        <v>2.2844351987811331</v>
      </c>
      <c r="AF17" s="145">
        <f>AE17*(1+AVERAGE($R$50:$AC$50))</f>
        <v>2.1720462837542094</v>
      </c>
      <c r="AG17" s="145">
        <f t="shared" ref="AG17:AP17" si="36">AF17*(1+AVERAGE($R$50:$AC$50))</f>
        <v>2.0651866427586385</v>
      </c>
      <c r="AH17" s="145">
        <f t="shared" si="36"/>
        <v>1.963584248332402</v>
      </c>
      <c r="AI17" s="145">
        <f t="shared" si="36"/>
        <v>1.8669804561338823</v>
      </c>
      <c r="AJ17" s="145">
        <f t="shared" si="36"/>
        <v>1.77512934652337</v>
      </c>
      <c r="AK17" s="145">
        <f t="shared" si="36"/>
        <v>1.687797098537233</v>
      </c>
      <c r="AL17" s="145">
        <f t="shared" si="36"/>
        <v>1.6047613946611068</v>
      </c>
      <c r="AM17" s="145">
        <f t="shared" si="36"/>
        <v>1.5258108548868619</v>
      </c>
      <c r="AN17" s="145">
        <f t="shared" si="36"/>
        <v>1.4507444986126574</v>
      </c>
      <c r="AO17" s="145">
        <f t="shared" si="36"/>
        <v>1.3793712330162642</v>
      </c>
      <c r="AP17" s="145">
        <f t="shared" si="36"/>
        <v>1.3115093665992335</v>
      </c>
      <c r="AR17" s="145">
        <f>AP17*(1+AVERAGE($R$50:$AC$50))</f>
        <v>1.2469861466635657</v>
      </c>
      <c r="AS17" s="145">
        <f>AR17*(1+AVERAGE($R$50:$AC$50))</f>
        <v>1.1856373195434535</v>
      </c>
      <c r="AT17" s="145">
        <f t="shared" ref="AT17:BC17" si="37">AS17*(1+AVERAGE($R$50:$AC$50))</f>
        <v>1.1273067124726046</v>
      </c>
      <c r="AU17" s="145">
        <f t="shared" si="37"/>
        <v>1.0718458360227217</v>
      </c>
      <c r="AV17" s="145">
        <f t="shared" si="37"/>
        <v>1.0191135061010879</v>
      </c>
      <c r="AW17" s="145">
        <f t="shared" si="37"/>
        <v>0.96897548454499505</v>
      </c>
      <c r="AX17" s="145">
        <f t="shared" si="37"/>
        <v>0.92130413739809203</v>
      </c>
      <c r="AY17" s="145">
        <f t="shared" si="37"/>
        <v>0.87597810999874448</v>
      </c>
      <c r="AZ17" s="145">
        <f t="shared" si="37"/>
        <v>0.83288201805329443</v>
      </c>
      <c r="BA17" s="145">
        <f t="shared" si="37"/>
        <v>0.7919061539077985</v>
      </c>
      <c r="BB17" s="145">
        <f t="shared" si="37"/>
        <v>0.75294620727051653</v>
      </c>
      <c r="BC17" s="145">
        <f t="shared" si="37"/>
        <v>0.71590299967420501</v>
      </c>
    </row>
    <row r="18" spans="2:55" ht="16.5" customHeight="1" x14ac:dyDescent="0.4">
      <c r="B18" s="371"/>
      <c r="C18" s="372"/>
      <c r="D18" s="224" t="s">
        <v>215</v>
      </c>
      <c r="E18" s="225">
        <v>8.796528599999999E-3</v>
      </c>
      <c r="F18" s="225">
        <v>3.6799681200000003E-2</v>
      </c>
      <c r="G18" s="225">
        <v>0.11150798120000001</v>
      </c>
      <c r="H18" s="225">
        <v>0.192659205</v>
      </c>
      <c r="I18" s="225">
        <v>0.27808436260000002</v>
      </c>
      <c r="J18" s="225">
        <v>0.36137503560000006</v>
      </c>
      <c r="K18" s="225">
        <v>0.45979166179999997</v>
      </c>
      <c r="L18" s="225">
        <v>0.56598657340000003</v>
      </c>
      <c r="M18" s="225">
        <v>0.71547984239999995</v>
      </c>
      <c r="N18" s="225">
        <v>0.87183650660000001</v>
      </c>
      <c r="O18" s="225">
        <v>1.0436456662</v>
      </c>
      <c r="P18" s="225">
        <v>1.1684937740000001</v>
      </c>
      <c r="R18" s="225">
        <v>1.1684937740000001</v>
      </c>
      <c r="S18" s="225">
        <v>1.3666145272727273</v>
      </c>
      <c r="T18" s="225">
        <v>1.56965748</v>
      </c>
      <c r="U18" s="225">
        <v>1.7213212272727272</v>
      </c>
      <c r="V18" s="225">
        <v>1.89140069</v>
      </c>
      <c r="W18" s="225">
        <v>2.1825411127999996</v>
      </c>
      <c r="X18" s="225">
        <v>2.4986997999999998</v>
      </c>
      <c r="Y18" s="225">
        <v>2.7531537099999999</v>
      </c>
      <c r="Z18" s="225">
        <v>3.0264253299999999</v>
      </c>
      <c r="AA18" s="225">
        <v>3.26888326</v>
      </c>
      <c r="AB18" s="225">
        <v>3.51917138</v>
      </c>
      <c r="AC18" s="225">
        <v>3.7652387699999998</v>
      </c>
      <c r="AE18" s="225">
        <f>AE23*$AE$41*0.022/1.1/100000000</f>
        <v>4.0285869004551431</v>
      </c>
      <c r="AF18" s="225">
        <f>AF23*$AE$41*0.022/1.1/100000000</f>
        <v>4.2479124532440915</v>
      </c>
      <c r="AG18" s="225">
        <f t="shared" ref="AG18:AP18" si="38">AG23*$AE$41*0.022/1.1/100000000</f>
        <v>4.4672380060330399</v>
      </c>
      <c r="AH18" s="225">
        <f t="shared" si="38"/>
        <v>4.6865635588219883</v>
      </c>
      <c r="AI18" s="225">
        <f t="shared" si="38"/>
        <v>4.9058891116109375</v>
      </c>
      <c r="AJ18" s="225">
        <f t="shared" si="38"/>
        <v>5.1252146643998859</v>
      </c>
      <c r="AK18" s="225">
        <f t="shared" si="38"/>
        <v>5.3445402171888334</v>
      </c>
      <c r="AL18" s="225">
        <f t="shared" si="38"/>
        <v>5.5638657699777818</v>
      </c>
      <c r="AM18" s="225">
        <f t="shared" si="38"/>
        <v>5.7831913227667293</v>
      </c>
      <c r="AN18" s="225">
        <f t="shared" si="38"/>
        <v>6.0025168755556786</v>
      </c>
      <c r="AO18" s="225">
        <f t="shared" si="38"/>
        <v>6.2218424283446261</v>
      </c>
      <c r="AP18" s="225">
        <f t="shared" si="38"/>
        <v>6.4411679811335745</v>
      </c>
      <c r="AR18" s="225">
        <f>AR23*$AE$41*0.022/1.1/100000000</f>
        <v>6.660493533922522</v>
      </c>
      <c r="AS18" s="225">
        <f>AS23*$AE$41*0.022/1.1/100000000</f>
        <v>6.8798190867114695</v>
      </c>
      <c r="AT18" s="225">
        <f t="shared" ref="AT18:BC18" si="39">AT23*$AE$41*0.022/1.1/100000000</f>
        <v>7.0991446395004187</v>
      </c>
      <c r="AU18" s="225">
        <f t="shared" si="39"/>
        <v>7.3184701922893671</v>
      </c>
      <c r="AV18" s="225">
        <f t="shared" si="39"/>
        <v>7.5377957450783146</v>
      </c>
      <c r="AW18" s="225">
        <f t="shared" si="39"/>
        <v>7.7571212978672621</v>
      </c>
      <c r="AX18" s="225">
        <f t="shared" si="39"/>
        <v>7.9764468506562105</v>
      </c>
      <c r="AY18" s="225">
        <f t="shared" si="39"/>
        <v>8.1957724034451598</v>
      </c>
      <c r="AZ18" s="225">
        <f t="shared" si="39"/>
        <v>8.4150979562341064</v>
      </c>
      <c r="BA18" s="225">
        <f t="shared" si="39"/>
        <v>8.6344235090230548</v>
      </c>
      <c r="BB18" s="225">
        <f t="shared" si="39"/>
        <v>8.8537490618120032</v>
      </c>
      <c r="BC18" s="225">
        <f t="shared" si="39"/>
        <v>9.0730746146009515</v>
      </c>
    </row>
    <row r="19" spans="2:55" ht="15" x14ac:dyDescent="0.4">
      <c r="B19" s="367" t="s">
        <v>207</v>
      </c>
      <c r="C19" s="368"/>
      <c r="D19" s="142" t="s">
        <v>109</v>
      </c>
      <c r="E19" s="148">
        <f>E20+E21+E22</f>
        <v>941537</v>
      </c>
      <c r="F19" s="148">
        <f t="shared" ref="F19:P19" si="40">F20+F21+F22</f>
        <v>932437</v>
      </c>
      <c r="G19" s="148">
        <f t="shared" si="40"/>
        <v>919405</v>
      </c>
      <c r="H19" s="148">
        <f t="shared" si="40"/>
        <v>907038</v>
      </c>
      <c r="I19" s="148">
        <f t="shared" si="40"/>
        <v>892635</v>
      </c>
      <c r="J19" s="148">
        <f t="shared" si="40"/>
        <v>880576</v>
      </c>
      <c r="K19" s="148">
        <f t="shared" si="40"/>
        <v>866079</v>
      </c>
      <c r="L19" s="148">
        <f t="shared" si="40"/>
        <v>851129</v>
      </c>
      <c r="M19" s="148">
        <f t="shared" si="40"/>
        <v>828432</v>
      </c>
      <c r="N19" s="148">
        <f t="shared" si="40"/>
        <v>804297</v>
      </c>
      <c r="O19" s="148">
        <f t="shared" si="40"/>
        <v>781694</v>
      </c>
      <c r="P19" s="148">
        <f t="shared" si="40"/>
        <v>759264</v>
      </c>
      <c r="R19" s="148">
        <v>738464</v>
      </c>
      <c r="S19" s="148">
        <v>709587</v>
      </c>
      <c r="T19" s="148">
        <v>686178</v>
      </c>
      <c r="U19" s="148">
        <v>662458</v>
      </c>
      <c r="V19" s="148">
        <v>639166</v>
      </c>
      <c r="W19" s="148"/>
      <c r="X19" s="148"/>
      <c r="Y19" s="148"/>
      <c r="Z19" s="148"/>
      <c r="AA19" s="148"/>
      <c r="AB19" s="148"/>
      <c r="AC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</row>
    <row r="20" spans="2:55" ht="15" x14ac:dyDescent="0.4">
      <c r="B20" s="369"/>
      <c r="C20" s="370"/>
      <c r="D20" s="144" t="s">
        <v>70</v>
      </c>
      <c r="E20" s="150">
        <v>73167</v>
      </c>
      <c r="F20" s="150">
        <v>71769</v>
      </c>
      <c r="G20" s="150">
        <v>70348</v>
      </c>
      <c r="H20" s="150">
        <v>68999</v>
      </c>
      <c r="I20" s="150">
        <v>67723</v>
      </c>
      <c r="J20" s="150">
        <v>66586</v>
      </c>
      <c r="K20" s="150">
        <v>67323</v>
      </c>
      <c r="L20" s="150">
        <v>71398</v>
      </c>
      <c r="M20" s="150">
        <v>70622</v>
      </c>
      <c r="N20" s="150">
        <v>69381</v>
      </c>
      <c r="O20" s="150">
        <v>68650</v>
      </c>
      <c r="P20" s="150">
        <v>67590</v>
      </c>
      <c r="R20" s="150">
        <v>66322</v>
      </c>
      <c r="S20" s="150">
        <v>64615</v>
      </c>
      <c r="T20" s="150">
        <v>63539</v>
      </c>
      <c r="U20" s="150">
        <v>62009</v>
      </c>
      <c r="V20" s="150">
        <v>61102</v>
      </c>
      <c r="W20" s="150">
        <v>59733</v>
      </c>
      <c r="X20" s="150">
        <v>57967</v>
      </c>
      <c r="Y20" s="150">
        <v>56554</v>
      </c>
      <c r="Z20" s="150">
        <v>54874</v>
      </c>
      <c r="AA20" s="150">
        <v>53548</v>
      </c>
      <c r="AB20" s="150">
        <v>52451</v>
      </c>
      <c r="AC20" s="150">
        <v>51216</v>
      </c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</row>
    <row r="21" spans="2:55" ht="15" x14ac:dyDescent="0.4">
      <c r="B21" s="369"/>
      <c r="C21" s="370"/>
      <c r="D21" s="144" t="s">
        <v>71</v>
      </c>
      <c r="E21" s="150">
        <v>130242</v>
      </c>
      <c r="F21" s="150">
        <v>128269</v>
      </c>
      <c r="G21" s="150">
        <v>125226</v>
      </c>
      <c r="H21" s="150">
        <v>122835</v>
      </c>
      <c r="I21" s="150">
        <v>119093</v>
      </c>
      <c r="J21" s="150">
        <v>115752</v>
      </c>
      <c r="K21" s="150">
        <v>112606</v>
      </c>
      <c r="L21" s="150">
        <v>108866</v>
      </c>
      <c r="M21" s="150">
        <v>105202</v>
      </c>
      <c r="N21" s="150">
        <v>100900</v>
      </c>
      <c r="O21" s="150">
        <v>97160</v>
      </c>
      <c r="P21" s="150">
        <v>93115</v>
      </c>
      <c r="R21" s="150">
        <v>89486</v>
      </c>
      <c r="S21" s="150">
        <v>85565</v>
      </c>
      <c r="T21" s="150">
        <v>81161</v>
      </c>
      <c r="U21" s="150">
        <v>76871</v>
      </c>
      <c r="V21" s="150">
        <v>72596</v>
      </c>
      <c r="W21" s="248">
        <f t="shared" ref="W21:AC21" si="41">V21*(1-C54/2)</f>
        <v>68620.772748519317</v>
      </c>
      <c r="X21" s="248">
        <f t="shared" si="41"/>
        <v>68620.772748519317</v>
      </c>
      <c r="Y21" s="248">
        <f t="shared" si="41"/>
        <v>68620.772748519317</v>
      </c>
      <c r="Z21" s="248">
        <f t="shared" si="41"/>
        <v>68620.772748519317</v>
      </c>
      <c r="AA21" s="248">
        <f t="shared" si="41"/>
        <v>68620.772748519317</v>
      </c>
      <c r="AB21" s="248">
        <f t="shared" si="41"/>
        <v>68620.772748519317</v>
      </c>
      <c r="AC21" s="248">
        <f t="shared" si="41"/>
        <v>68620.772748519317</v>
      </c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</row>
    <row r="22" spans="2:55" ht="15" x14ac:dyDescent="0.4">
      <c r="B22" s="369"/>
      <c r="C22" s="370"/>
      <c r="D22" s="144" t="s">
        <v>105</v>
      </c>
      <c r="E22" s="150">
        <v>738128</v>
      </c>
      <c r="F22" s="150">
        <v>732399</v>
      </c>
      <c r="G22" s="150">
        <v>723831</v>
      </c>
      <c r="H22" s="150">
        <v>715204</v>
      </c>
      <c r="I22" s="150">
        <v>705819</v>
      </c>
      <c r="J22" s="150">
        <v>698238</v>
      </c>
      <c r="K22" s="150">
        <v>686150</v>
      </c>
      <c r="L22" s="150">
        <v>670865</v>
      </c>
      <c r="M22" s="150">
        <v>652608</v>
      </c>
      <c r="N22" s="150">
        <v>634016</v>
      </c>
      <c r="O22" s="150">
        <v>615884</v>
      </c>
      <c r="P22" s="150">
        <v>598559</v>
      </c>
      <c r="R22" s="150">
        <v>582656</v>
      </c>
      <c r="S22" s="150">
        <v>559407</v>
      </c>
      <c r="T22" s="150">
        <v>541478</v>
      </c>
      <c r="U22" s="150">
        <v>523578</v>
      </c>
      <c r="V22" s="150">
        <v>505468</v>
      </c>
      <c r="W22" s="150">
        <v>486487</v>
      </c>
      <c r="X22" s="150">
        <v>461592</v>
      </c>
      <c r="Y22" s="150">
        <v>440697</v>
      </c>
      <c r="Z22" s="150">
        <v>420214</v>
      </c>
      <c r="AA22" s="150">
        <v>401593</v>
      </c>
      <c r="AB22" s="150">
        <v>384875</v>
      </c>
      <c r="AC22" s="150">
        <v>367479</v>
      </c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</row>
    <row r="23" spans="2:55" ht="15" x14ac:dyDescent="0.4">
      <c r="B23" s="371"/>
      <c r="C23" s="372"/>
      <c r="D23" s="224" t="s">
        <v>215</v>
      </c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R23" s="150">
        <v>148541</v>
      </c>
      <c r="S23" s="150">
        <v>171504</v>
      </c>
      <c r="T23" s="150">
        <v>190502</v>
      </c>
      <c r="U23" s="150">
        <v>212440</v>
      </c>
      <c r="V23" s="150">
        <v>246436</v>
      </c>
      <c r="W23" s="150">
        <v>226882</v>
      </c>
      <c r="X23" s="150">
        <v>298790</v>
      </c>
      <c r="Y23" s="150">
        <v>319841</v>
      </c>
      <c r="Z23" s="150">
        <v>342620</v>
      </c>
      <c r="AA23" s="150">
        <v>367510</v>
      </c>
      <c r="AB23" s="150">
        <v>386291</v>
      </c>
      <c r="AC23" s="150">
        <v>405126</v>
      </c>
      <c r="AE23" s="248">
        <f>AC23+AVERAGE($S$52:$AC$52)</f>
        <v>428451.90909090912</v>
      </c>
      <c r="AF23" s="248">
        <f>AE23+AVERAGE($S$52:$AC$52)</f>
        <v>451777.81818181823</v>
      </c>
      <c r="AG23" s="248">
        <f t="shared" ref="AG23:AP23" si="42">AF23+AVERAGE($S$52:$AC$52)</f>
        <v>475103.72727272735</v>
      </c>
      <c r="AH23" s="248">
        <f t="shared" si="42"/>
        <v>498429.63636363647</v>
      </c>
      <c r="AI23" s="248">
        <f t="shared" si="42"/>
        <v>521755.54545454559</v>
      </c>
      <c r="AJ23" s="248">
        <f t="shared" si="42"/>
        <v>545081.4545454547</v>
      </c>
      <c r="AK23" s="248">
        <f t="shared" si="42"/>
        <v>568407.36363636376</v>
      </c>
      <c r="AL23" s="248">
        <f t="shared" si="42"/>
        <v>591733.27272727282</v>
      </c>
      <c r="AM23" s="248">
        <f t="shared" si="42"/>
        <v>615059.18181818188</v>
      </c>
      <c r="AN23" s="248">
        <f t="shared" si="42"/>
        <v>638385.09090909094</v>
      </c>
      <c r="AO23" s="248">
        <f t="shared" si="42"/>
        <v>661711</v>
      </c>
      <c r="AP23" s="248">
        <f t="shared" si="42"/>
        <v>685036.90909090906</v>
      </c>
      <c r="AR23" s="248">
        <f>AP23+AVERAGE($S$52:$AC$52)</f>
        <v>708362.81818181812</v>
      </c>
      <c r="AS23" s="248">
        <f>AR23+AVERAGE($S$52:$AC$52)</f>
        <v>731688.72727272718</v>
      </c>
      <c r="AT23" s="248">
        <f t="shared" ref="AT23:BC23" si="43">AS23+AVERAGE($S$52:$AC$52)</f>
        <v>755014.63636363624</v>
      </c>
      <c r="AU23" s="248">
        <f t="shared" si="43"/>
        <v>778340.5454545453</v>
      </c>
      <c r="AV23" s="248">
        <f t="shared" si="43"/>
        <v>801666.45454545435</v>
      </c>
      <c r="AW23" s="248">
        <f t="shared" si="43"/>
        <v>824992.36363636341</v>
      </c>
      <c r="AX23" s="248">
        <f t="shared" si="43"/>
        <v>848318.27272727247</v>
      </c>
      <c r="AY23" s="248">
        <f t="shared" si="43"/>
        <v>871644.18181818153</v>
      </c>
      <c r="AZ23" s="248">
        <f t="shared" si="43"/>
        <v>894970.09090909059</v>
      </c>
      <c r="BA23" s="248">
        <f t="shared" si="43"/>
        <v>918295.99999999965</v>
      </c>
      <c r="BB23" s="248">
        <f t="shared" si="43"/>
        <v>941621.90909090871</v>
      </c>
      <c r="BC23" s="248">
        <f t="shared" si="43"/>
        <v>964947.81818181777</v>
      </c>
    </row>
    <row r="24" spans="2:55" ht="15" x14ac:dyDescent="0.4">
      <c r="B24" s="367" t="s">
        <v>208</v>
      </c>
      <c r="C24" s="368"/>
      <c r="D24" s="142" t="s">
        <v>109</v>
      </c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R24" s="154">
        <v>20704</v>
      </c>
      <c r="S24" s="154">
        <v>30404</v>
      </c>
      <c r="T24" s="154">
        <v>23182</v>
      </c>
      <c r="U24" s="154">
        <v>28296</v>
      </c>
      <c r="V24" s="154">
        <v>44209</v>
      </c>
      <c r="W24" s="154"/>
      <c r="X24" s="154"/>
      <c r="Y24" s="154"/>
      <c r="Z24" s="154"/>
      <c r="AA24" s="154"/>
      <c r="AB24" s="154"/>
      <c r="AC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</row>
    <row r="25" spans="2:55" ht="15" x14ac:dyDescent="0.4">
      <c r="B25" s="369"/>
      <c r="C25" s="370"/>
      <c r="D25" s="144" t="s">
        <v>70</v>
      </c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</row>
    <row r="26" spans="2:55" ht="15" x14ac:dyDescent="0.4">
      <c r="B26" s="369"/>
      <c r="C26" s="370"/>
      <c r="D26" s="144" t="s">
        <v>115</v>
      </c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R26" s="156">
        <v>1637</v>
      </c>
      <c r="S26" s="156">
        <v>2086</v>
      </c>
      <c r="T26" s="156">
        <v>1810</v>
      </c>
      <c r="U26" s="156">
        <v>1896</v>
      </c>
      <c r="V26" s="156">
        <v>3639</v>
      </c>
      <c r="W26" s="156">
        <v>2896</v>
      </c>
      <c r="X26" s="156">
        <v>2548</v>
      </c>
      <c r="Y26" s="156">
        <v>2549</v>
      </c>
      <c r="Z26" s="156">
        <v>2550</v>
      </c>
      <c r="AA26" s="156">
        <v>1819.0000000000002</v>
      </c>
      <c r="AB26" s="156">
        <v>1780.9999999999998</v>
      </c>
      <c r="AC26" s="156">
        <v>1776.9999999999998</v>
      </c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</row>
    <row r="27" spans="2:55" ht="15" x14ac:dyDescent="0.4">
      <c r="B27" s="369"/>
      <c r="C27" s="370"/>
      <c r="D27" s="144" t="s">
        <v>114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R27" s="156">
        <v>1828</v>
      </c>
      <c r="S27" s="156">
        <v>2334</v>
      </c>
      <c r="T27" s="156">
        <v>2074</v>
      </c>
      <c r="U27" s="156">
        <v>2120</v>
      </c>
      <c r="V27" s="156">
        <v>4113</v>
      </c>
      <c r="W27" s="156">
        <v>3180</v>
      </c>
      <c r="X27" s="156">
        <v>2864</v>
      </c>
      <c r="Y27" s="156">
        <v>2865</v>
      </c>
      <c r="Z27" s="156">
        <v>2866</v>
      </c>
      <c r="AA27" s="156">
        <v>1989</v>
      </c>
      <c r="AB27" s="156">
        <v>1932.9999999999998</v>
      </c>
      <c r="AC27" s="156">
        <v>1917</v>
      </c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</row>
    <row r="28" spans="2:55" ht="15" x14ac:dyDescent="0.4">
      <c r="B28" s="371"/>
      <c r="C28" s="372"/>
      <c r="D28" s="144" t="s">
        <v>105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R28" s="156">
        <v>17239</v>
      </c>
      <c r="S28" s="156">
        <v>25984</v>
      </c>
      <c r="T28" s="156">
        <v>19298</v>
      </c>
      <c r="U28" s="156">
        <v>24280</v>
      </c>
      <c r="V28" s="156">
        <v>36457</v>
      </c>
      <c r="W28" s="156">
        <v>28356</v>
      </c>
      <c r="X28" s="156">
        <v>32840</v>
      </c>
      <c r="Y28" s="156">
        <v>24783</v>
      </c>
      <c r="Z28" s="156">
        <v>27158</v>
      </c>
      <c r="AA28" s="156">
        <v>26854</v>
      </c>
      <c r="AB28" s="156">
        <v>22592</v>
      </c>
      <c r="AC28" s="156">
        <v>24140</v>
      </c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</row>
    <row r="29" spans="2:55" ht="15" x14ac:dyDescent="0.4">
      <c r="B29" s="367" t="s">
        <v>218</v>
      </c>
      <c r="C29" s="368"/>
      <c r="D29" s="142" t="s">
        <v>109</v>
      </c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R29" s="154">
        <v>31918</v>
      </c>
      <c r="S29" s="154">
        <v>48864</v>
      </c>
      <c r="T29" s="154">
        <v>36511</v>
      </c>
      <c r="U29" s="154">
        <v>41775</v>
      </c>
      <c r="V29" s="154">
        <v>53023</v>
      </c>
      <c r="W29" s="154"/>
      <c r="X29" s="154"/>
      <c r="Y29" s="154"/>
      <c r="Z29" s="154"/>
      <c r="AA29" s="154"/>
      <c r="AB29" s="154"/>
      <c r="AC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</row>
    <row r="30" spans="2:55" ht="15" x14ac:dyDescent="0.4">
      <c r="B30" s="369"/>
      <c r="C30" s="370"/>
      <c r="D30" s="144" t="s">
        <v>70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R30" s="156">
        <v>1268</v>
      </c>
      <c r="S30" s="156">
        <v>1707</v>
      </c>
      <c r="T30" s="156">
        <v>1076</v>
      </c>
      <c r="U30" s="156">
        <v>1530</v>
      </c>
      <c r="V30" s="156">
        <v>907</v>
      </c>
      <c r="W30" s="156">
        <v>1369</v>
      </c>
      <c r="X30" s="156">
        <v>1766</v>
      </c>
      <c r="Y30" s="156">
        <v>1413</v>
      </c>
      <c r="Z30" s="156">
        <v>1680</v>
      </c>
      <c r="AA30" s="156">
        <v>1326</v>
      </c>
      <c r="AB30" s="156">
        <v>1097</v>
      </c>
      <c r="AC30" s="156">
        <v>1235</v>
      </c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</row>
    <row r="31" spans="2:55" ht="15" x14ac:dyDescent="0.4">
      <c r="B31" s="369"/>
      <c r="C31" s="370"/>
      <c r="D31" s="144" t="s">
        <v>115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R31" s="156">
        <v>3785</v>
      </c>
      <c r="S31" s="156">
        <v>4395</v>
      </c>
      <c r="T31" s="156">
        <v>4106</v>
      </c>
      <c r="U31" s="156">
        <v>4129</v>
      </c>
      <c r="V31" s="156">
        <v>5718</v>
      </c>
      <c r="W31" s="156">
        <v>4979</v>
      </c>
      <c r="X31" s="156">
        <v>4794</v>
      </c>
      <c r="Y31" s="156">
        <v>4686</v>
      </c>
      <c r="Z31" s="156">
        <v>4351</v>
      </c>
      <c r="AA31" s="156">
        <v>3778</v>
      </c>
      <c r="AB31" s="156">
        <v>3490</v>
      </c>
      <c r="AC31" s="156">
        <v>3418</v>
      </c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</row>
    <row r="32" spans="2:55" ht="15" x14ac:dyDescent="0.4">
      <c r="B32" s="369"/>
      <c r="C32" s="370"/>
      <c r="D32" s="144" t="s">
        <v>114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R32" s="156">
        <v>3309</v>
      </c>
      <c r="S32" s="156">
        <v>3517</v>
      </c>
      <c r="T32" s="156">
        <v>4182</v>
      </c>
      <c r="U32" s="156">
        <v>4177</v>
      </c>
      <c r="V32" s="156">
        <v>6309</v>
      </c>
      <c r="W32" s="156">
        <v>5549</v>
      </c>
      <c r="X32" s="156">
        <v>5136</v>
      </c>
      <c r="Y32" s="156">
        <v>4874</v>
      </c>
      <c r="Z32" s="156">
        <v>4469</v>
      </c>
      <c r="AA32" s="156">
        <v>3695</v>
      </c>
      <c r="AB32" s="156">
        <v>3398</v>
      </c>
      <c r="AC32" s="156">
        <v>3343</v>
      </c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</row>
    <row r="33" spans="2:55" ht="15" x14ac:dyDescent="0.4">
      <c r="B33" s="371"/>
      <c r="C33" s="372"/>
      <c r="D33" s="144" t="s">
        <v>105</v>
      </c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R33" s="156">
        <v>33142</v>
      </c>
      <c r="S33" s="156">
        <v>49233</v>
      </c>
      <c r="T33" s="156">
        <v>37227</v>
      </c>
      <c r="U33" s="156">
        <v>42180</v>
      </c>
      <c r="V33" s="156">
        <v>54567</v>
      </c>
      <c r="W33" s="156">
        <v>47337</v>
      </c>
      <c r="X33" s="156">
        <v>57735</v>
      </c>
      <c r="Y33" s="156">
        <v>45678</v>
      </c>
      <c r="Z33" s="156">
        <v>47641</v>
      </c>
      <c r="AA33" s="156">
        <v>45475</v>
      </c>
      <c r="AB33" s="156">
        <v>39310</v>
      </c>
      <c r="AC33" s="156">
        <v>41536</v>
      </c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</row>
    <row r="34" spans="2:55" ht="15" x14ac:dyDescent="0.4">
      <c r="B34" s="367" t="s">
        <v>217</v>
      </c>
      <c r="C34" s="368"/>
      <c r="D34" s="144" t="s">
        <v>70</v>
      </c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R34" s="156">
        <v>-1268</v>
      </c>
      <c r="S34" s="156">
        <v>-1707</v>
      </c>
      <c r="T34" s="156">
        <v>-1076</v>
      </c>
      <c r="U34" s="156">
        <v>-1530</v>
      </c>
      <c r="V34" s="156">
        <v>-907</v>
      </c>
      <c r="W34" s="156">
        <v>-1369</v>
      </c>
      <c r="X34" s="156">
        <v>-1766</v>
      </c>
      <c r="Y34" s="156">
        <v>-1413</v>
      </c>
      <c r="Z34" s="156">
        <v>-1680</v>
      </c>
      <c r="AA34" s="156">
        <v>-1326</v>
      </c>
      <c r="AB34" s="156">
        <v>-1097</v>
      </c>
      <c r="AC34" s="156">
        <v>-1235</v>
      </c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</row>
    <row r="35" spans="2:55" ht="15" x14ac:dyDescent="0.4">
      <c r="B35" s="369"/>
      <c r="C35" s="370"/>
      <c r="D35" s="144" t="s">
        <v>115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R35" s="156">
        <v>-2148</v>
      </c>
      <c r="S35" s="156">
        <v>-2309</v>
      </c>
      <c r="T35" s="156">
        <v>-2296</v>
      </c>
      <c r="U35" s="156">
        <v>-2233</v>
      </c>
      <c r="V35" s="156">
        <v>-2079</v>
      </c>
      <c r="W35" s="156">
        <v>-2083</v>
      </c>
      <c r="X35" s="156">
        <v>-2246</v>
      </c>
      <c r="Y35" s="156">
        <v>-2137</v>
      </c>
      <c r="Z35" s="156">
        <v>-1801</v>
      </c>
      <c r="AA35" s="156">
        <v>-1959</v>
      </c>
      <c r="AB35" s="156">
        <v>-1709</v>
      </c>
      <c r="AC35" s="156">
        <v>-1641</v>
      </c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</row>
    <row r="36" spans="2:55" ht="15" x14ac:dyDescent="0.4">
      <c r="B36" s="369"/>
      <c r="C36" s="370"/>
      <c r="D36" s="144" t="s">
        <v>114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R36" s="156">
        <v>-1481</v>
      </c>
      <c r="S36" s="156">
        <v>-1612</v>
      </c>
      <c r="T36" s="156">
        <v>-2108</v>
      </c>
      <c r="U36" s="156">
        <v>-2057</v>
      </c>
      <c r="V36" s="156">
        <v>-2196</v>
      </c>
      <c r="W36" s="156">
        <v>-2369</v>
      </c>
      <c r="X36" s="156">
        <v>-2272</v>
      </c>
      <c r="Y36" s="156">
        <v>-2009</v>
      </c>
      <c r="Z36" s="156">
        <v>-1603</v>
      </c>
      <c r="AA36" s="156">
        <v>-1706</v>
      </c>
      <c r="AB36" s="156">
        <v>-1465</v>
      </c>
      <c r="AC36" s="156">
        <v>-1426</v>
      </c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</row>
    <row r="37" spans="2:55" ht="15" x14ac:dyDescent="0.4">
      <c r="B37" s="371"/>
      <c r="C37" s="372"/>
      <c r="D37" s="144" t="s">
        <v>105</v>
      </c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R37" s="156">
        <v>-15903</v>
      </c>
      <c r="S37" s="156">
        <v>-23249</v>
      </c>
      <c r="T37" s="156">
        <v>-17929</v>
      </c>
      <c r="U37" s="156">
        <v>-17900</v>
      </c>
      <c r="V37" s="156">
        <v>-18110</v>
      </c>
      <c r="W37" s="156">
        <v>-18981</v>
      </c>
      <c r="X37" s="156">
        <v>-24895</v>
      </c>
      <c r="Y37" s="156">
        <v>-20895</v>
      </c>
      <c r="Z37" s="156">
        <v>-20483</v>
      </c>
      <c r="AA37" s="156">
        <v>-18621</v>
      </c>
      <c r="AB37" s="156">
        <v>-16718</v>
      </c>
      <c r="AC37" s="156">
        <v>-17396</v>
      </c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</row>
    <row r="38" spans="2:55" ht="15" x14ac:dyDescent="0.4">
      <c r="B38" s="367" t="s">
        <v>209</v>
      </c>
      <c r="C38" s="368"/>
      <c r="D38" s="142" t="s">
        <v>109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R38" s="154">
        <v>0</v>
      </c>
      <c r="S38" s="154">
        <v>0</v>
      </c>
      <c r="T38" s="154">
        <v>0</v>
      </c>
      <c r="U38" s="154">
        <v>0</v>
      </c>
      <c r="V38" s="154">
        <v>0</v>
      </c>
      <c r="W38" s="154"/>
      <c r="X38" s="154"/>
      <c r="Y38" s="154"/>
      <c r="Z38" s="154"/>
      <c r="AA38" s="154"/>
      <c r="AB38" s="154"/>
      <c r="AC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</row>
    <row r="39" spans="2:55" ht="15" x14ac:dyDescent="0.4">
      <c r="B39" s="369"/>
      <c r="C39" s="370"/>
      <c r="D39" s="144" t="s">
        <v>70</v>
      </c>
      <c r="E39" s="251">
        <f>(E15+E14)*100000000/E20/0.085*1.1</f>
        <v>84133.828091899355</v>
      </c>
      <c r="F39" s="251">
        <f t="shared" ref="F39:P39" si="44">(F15+F14)*100000000/F20/0.085*1.1</f>
        <v>78332.38683259119</v>
      </c>
      <c r="G39" s="251">
        <f t="shared" si="44"/>
        <v>77346.685051458466</v>
      </c>
      <c r="H39" s="251">
        <f t="shared" si="44"/>
        <v>75678.752036474529</v>
      </c>
      <c r="I39" s="251">
        <f t="shared" si="44"/>
        <v>70253.499419347514</v>
      </c>
      <c r="J39" s="251">
        <f t="shared" si="44"/>
        <v>69441.483194665576</v>
      </c>
      <c r="K39" s="251">
        <f t="shared" si="44"/>
        <v>66414.101814693146</v>
      </c>
      <c r="L39" s="251">
        <f t="shared" si="44"/>
        <v>60812.405026998633</v>
      </c>
      <c r="M39" s="251">
        <f t="shared" si="44"/>
        <v>61543.395908956896</v>
      </c>
      <c r="N39" s="251">
        <f t="shared" si="44"/>
        <v>62099.559550546575</v>
      </c>
      <c r="O39" s="251">
        <f t="shared" si="44"/>
        <v>59102.389786213142</v>
      </c>
      <c r="P39" s="251">
        <f t="shared" si="44"/>
        <v>57917.297198506574</v>
      </c>
      <c r="R39" s="251">
        <f>(R15+R14)*100000000/R20/0.085*1.1</f>
        <v>57805.549396261005</v>
      </c>
      <c r="S39" s="251">
        <f t="shared" ref="S39:AC39" si="45">(S15+S14)*100000000/S20/0.085*1.1</f>
        <v>58348.552967831667</v>
      </c>
      <c r="T39" s="251">
        <f t="shared" si="45"/>
        <v>50049.09554782739</v>
      </c>
      <c r="U39" s="251">
        <f t="shared" si="45"/>
        <v>52722.986815432407</v>
      </c>
      <c r="V39" s="251">
        <f t="shared" si="45"/>
        <v>50412.575983795403</v>
      </c>
      <c r="W39" s="251">
        <f>(W15+W14)*100000000/W20/0.085*1.1</f>
        <v>48859.540454185342</v>
      </c>
      <c r="X39" s="251">
        <f t="shared" si="45"/>
        <v>47432.184848544202</v>
      </c>
      <c r="Y39" s="251">
        <f t="shared" si="45"/>
        <v>46033.067660544373</v>
      </c>
      <c r="Z39" s="251">
        <f t="shared" si="45"/>
        <v>45077.402635753722</v>
      </c>
      <c r="AA39" s="251">
        <f t="shared" si="45"/>
        <v>43499.11079166385</v>
      </c>
      <c r="AB39" s="251">
        <f t="shared" si="45"/>
        <v>42369.668920612508</v>
      </c>
      <c r="AC39" s="251">
        <f t="shared" si="45"/>
        <v>42711.187835013727</v>
      </c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</row>
    <row r="40" spans="2:55" ht="15" x14ac:dyDescent="0.4">
      <c r="B40" s="371"/>
      <c r="C40" s="372"/>
      <c r="D40" s="144" t="s">
        <v>105</v>
      </c>
      <c r="E40" s="251">
        <f>E17*100000000/E22/0.02*1.1</f>
        <v>41485.558534563104</v>
      </c>
      <c r="F40" s="251">
        <f t="shared" ref="F40:AC40" si="46">F17*100000000/F22/0.02*1.1</f>
        <v>41367.110618665502</v>
      </c>
      <c r="G40" s="251">
        <f t="shared" si="46"/>
        <v>41435.149157745385</v>
      </c>
      <c r="H40" s="251">
        <f t="shared" si="46"/>
        <v>41279.560936460082</v>
      </c>
      <c r="I40" s="251">
        <f t="shared" si="46"/>
        <v>41176.222374291428</v>
      </c>
      <c r="J40" s="251">
        <f t="shared" si="46"/>
        <v>40743.893128131094</v>
      </c>
      <c r="K40" s="251">
        <f t="shared" si="46"/>
        <v>41041.649857902798</v>
      </c>
      <c r="L40" s="251">
        <f t="shared" si="46"/>
        <v>41015.437681202631</v>
      </c>
      <c r="M40" s="251">
        <f t="shared" si="46"/>
        <v>41024.044679194863</v>
      </c>
      <c r="N40" s="251">
        <f t="shared" si="46"/>
        <v>41121.114372507946</v>
      </c>
      <c r="O40" s="251">
        <f t="shared" si="46"/>
        <v>40632.651603223989</v>
      </c>
      <c r="P40" s="251">
        <f t="shared" si="46"/>
        <v>40522.321107860713</v>
      </c>
      <c r="R40" s="251">
        <f>R17*100000000/R22/0.02*1.1</f>
        <v>39079.662785588742</v>
      </c>
      <c r="S40" s="251">
        <f t="shared" si="46"/>
        <v>40707.148105046959</v>
      </c>
      <c r="T40" s="251">
        <f t="shared" si="46"/>
        <v>39240.205419241414</v>
      </c>
      <c r="U40" s="251">
        <f t="shared" si="46"/>
        <v>38628.103358047891</v>
      </c>
      <c r="V40" s="251">
        <f t="shared" si="46"/>
        <v>38284.535024966957</v>
      </c>
      <c r="W40" s="251">
        <f t="shared" si="46"/>
        <v>38132.865523641951</v>
      </c>
      <c r="X40" s="251">
        <f t="shared" si="46"/>
        <v>38337.46988682646</v>
      </c>
      <c r="Y40" s="251">
        <f t="shared" si="46"/>
        <v>37820.291152424456</v>
      </c>
      <c r="Z40" s="251">
        <f t="shared" si="46"/>
        <v>37311.460708115395</v>
      </c>
      <c r="AA40" s="251">
        <f t="shared" si="46"/>
        <v>36812.756696456359</v>
      </c>
      <c r="AB40" s="251">
        <f t="shared" si="46"/>
        <v>35896.150178629425</v>
      </c>
      <c r="AC40" s="251">
        <f t="shared" si="46"/>
        <v>35959.924784817631</v>
      </c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</row>
    <row r="41" spans="2:55" ht="15" x14ac:dyDescent="0.4">
      <c r="B41" s="307"/>
      <c r="C41" s="308"/>
      <c r="D41" s="224" t="s">
        <v>215</v>
      </c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R41" s="251">
        <f>R18*100000000/R23/0.02*1.1</f>
        <v>43265.60180017638</v>
      </c>
      <c r="S41" s="251">
        <f t="shared" ref="S41:AC41" si="47">S18*100000000/S23/0.02*1.1</f>
        <v>43826.265859688399</v>
      </c>
      <c r="T41" s="251">
        <f t="shared" si="47"/>
        <v>45317.719184050562</v>
      </c>
      <c r="U41" s="251">
        <f t="shared" si="47"/>
        <v>44564.426426285063</v>
      </c>
      <c r="V41" s="251">
        <f t="shared" si="47"/>
        <v>42212.597976756646</v>
      </c>
      <c r="W41" s="251">
        <f t="shared" si="47"/>
        <v>52908.455145846739</v>
      </c>
      <c r="X41" s="251">
        <f t="shared" si="47"/>
        <v>45995.00953847183</v>
      </c>
      <c r="Y41" s="251">
        <f t="shared" si="47"/>
        <v>47343.353119206105</v>
      </c>
      <c r="Z41" s="251">
        <f t="shared" si="47"/>
        <v>48582.509237639373</v>
      </c>
      <c r="AA41" s="251">
        <f t="shared" si="47"/>
        <v>48920.731218198147</v>
      </c>
      <c r="AB41" s="251">
        <f t="shared" si="47"/>
        <v>50105.859546300584</v>
      </c>
      <c r="AC41" s="251">
        <f t="shared" si="47"/>
        <v>51116.969128123099</v>
      </c>
      <c r="AE41" s="251">
        <v>47013.291515061916</v>
      </c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</row>
    <row r="42" spans="2:55" ht="15" x14ac:dyDescent="0.4">
      <c r="B42" s="367" t="s">
        <v>103</v>
      </c>
      <c r="C42" s="368"/>
      <c r="D42" s="142" t="s">
        <v>109</v>
      </c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R42" s="154">
        <f>R12</f>
        <v>10.268493774</v>
      </c>
      <c r="S42" s="154">
        <v>0</v>
      </c>
      <c r="T42" s="154">
        <v>0</v>
      </c>
      <c r="U42" s="154">
        <v>0</v>
      </c>
      <c r="V42" s="154">
        <v>0</v>
      </c>
      <c r="W42" s="154"/>
      <c r="X42" s="154"/>
      <c r="Y42" s="154"/>
      <c r="Z42" s="154"/>
      <c r="AA42" s="154"/>
      <c r="AB42" s="154"/>
      <c r="AC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</row>
    <row r="43" spans="2:55" ht="15" x14ac:dyDescent="0.4">
      <c r="B43" s="369"/>
      <c r="C43" s="370"/>
      <c r="D43" s="144" t="s">
        <v>70</v>
      </c>
      <c r="E43" s="144"/>
      <c r="F43" s="250">
        <f>1-F20/E20</f>
        <v>1.9106974455697201E-2</v>
      </c>
      <c r="G43" s="250">
        <f t="shared" ref="G43:P43" si="48">1-G20/F20</f>
        <v>1.9799634939876576E-2</v>
      </c>
      <c r="H43" s="250">
        <f t="shared" si="48"/>
        <v>1.9176095979985264E-2</v>
      </c>
      <c r="I43" s="250">
        <f t="shared" si="48"/>
        <v>1.8493021637994711E-2</v>
      </c>
      <c r="J43" s="250">
        <f t="shared" si="48"/>
        <v>1.6788978633551332E-2</v>
      </c>
      <c r="K43" s="250">
        <f t="shared" si="48"/>
        <v>-1.1068392755233747E-2</v>
      </c>
      <c r="L43" s="250">
        <f t="shared" si="48"/>
        <v>-6.0529091098138865E-2</v>
      </c>
      <c r="M43" s="250">
        <f t="shared" si="48"/>
        <v>1.0868651782963146E-2</v>
      </c>
      <c r="N43" s="250">
        <f t="shared" si="48"/>
        <v>1.7572427855342521E-2</v>
      </c>
      <c r="O43" s="250">
        <f t="shared" si="48"/>
        <v>1.0536025713091535E-2</v>
      </c>
      <c r="P43" s="250">
        <f t="shared" si="48"/>
        <v>1.5440640932265159E-2</v>
      </c>
      <c r="R43" s="160">
        <f>R30/R20</f>
        <v>1.9118844425680771E-2</v>
      </c>
      <c r="S43" s="160">
        <f>S30/S20</f>
        <v>2.6418014392942814E-2</v>
      </c>
      <c r="T43" s="160">
        <f>T30/T20</f>
        <v>1.6934481184784148E-2</v>
      </c>
      <c r="U43" s="160">
        <f>U30/U20</f>
        <v>2.4673837668725506E-2</v>
      </c>
      <c r="V43" s="160">
        <f>V30/V20</f>
        <v>1.4844031291938072E-2</v>
      </c>
      <c r="W43" s="160">
        <f t="shared" ref="W43:AC43" si="49">W30/W20</f>
        <v>2.2918654679992635E-2</v>
      </c>
      <c r="X43" s="160">
        <f t="shared" si="49"/>
        <v>3.0465609743474734E-2</v>
      </c>
      <c r="Y43" s="160">
        <f t="shared" si="49"/>
        <v>2.4984970117056266E-2</v>
      </c>
      <c r="Z43" s="160">
        <f t="shared" si="49"/>
        <v>3.0615592083682617E-2</v>
      </c>
      <c r="AA43" s="160">
        <f t="shared" si="49"/>
        <v>2.4762829610816463E-2</v>
      </c>
      <c r="AB43" s="160">
        <f t="shared" si="49"/>
        <v>2.0914758536538864E-2</v>
      </c>
      <c r="AC43" s="160">
        <f t="shared" si="49"/>
        <v>2.41135582630428E-2</v>
      </c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</row>
    <row r="44" spans="2:55" ht="15" x14ac:dyDescent="0.4">
      <c r="B44" s="369"/>
      <c r="C44" s="370"/>
      <c r="D44" s="144" t="s">
        <v>71</v>
      </c>
      <c r="E44" s="144"/>
      <c r="F44" s="250">
        <f t="shared" ref="F44:P44" si="50">1-F21/E21</f>
        <v>1.514872314614335E-2</v>
      </c>
      <c r="G44" s="250">
        <f t="shared" si="50"/>
        <v>2.3723580911989672E-2</v>
      </c>
      <c r="H44" s="250">
        <f t="shared" si="50"/>
        <v>1.9093478989986146E-2</v>
      </c>
      <c r="I44" s="250">
        <f t="shared" si="50"/>
        <v>3.0463630072862014E-2</v>
      </c>
      <c r="J44" s="250">
        <f t="shared" si="50"/>
        <v>2.8053705927300499E-2</v>
      </c>
      <c r="K44" s="250">
        <f t="shared" si="50"/>
        <v>2.7178796046720577E-2</v>
      </c>
      <c r="L44" s="250">
        <f t="shared" si="50"/>
        <v>3.3213150276184211E-2</v>
      </c>
      <c r="M44" s="250">
        <f t="shared" si="50"/>
        <v>3.3656054231807953E-2</v>
      </c>
      <c r="N44" s="250">
        <f t="shared" si="50"/>
        <v>4.0892758692800513E-2</v>
      </c>
      <c r="O44" s="250">
        <f t="shared" si="50"/>
        <v>3.7066402378592711E-2</v>
      </c>
      <c r="P44" s="250">
        <f t="shared" si="50"/>
        <v>4.1632358995471352E-2</v>
      </c>
      <c r="R44" s="160">
        <f>(R31+R32)/R21</f>
        <v>7.9274970386429167E-2</v>
      </c>
      <c r="S44" s="160">
        <f>(S31+S32)/S21</f>
        <v>9.2467714602933446E-2</v>
      </c>
      <c r="T44" s="160">
        <f>(T31+T32)/T21</f>
        <v>0.10211801234583112</v>
      </c>
      <c r="U44" s="160">
        <f>(U31+U32)/U21</f>
        <v>0.10805115062897581</v>
      </c>
      <c r="V44" s="160">
        <f>(V31+V32)/V21</f>
        <v>0.16567028486417984</v>
      </c>
      <c r="W44" s="160">
        <f t="shared" ref="W44:AC44" si="51">(W31+W32)/W21</f>
        <v>0.15342292979682556</v>
      </c>
      <c r="X44" s="160">
        <f t="shared" si="51"/>
        <v>0.14470836748503779</v>
      </c>
      <c r="Y44" s="160">
        <f t="shared" si="51"/>
        <v>0.13931641421520255</v>
      </c>
      <c r="Z44" s="160">
        <f t="shared" si="51"/>
        <v>0.12853250767553207</v>
      </c>
      <c r="AA44" s="160">
        <f t="shared" si="51"/>
        <v>0.10890288320399671</v>
      </c>
      <c r="AB44" s="160">
        <f t="shared" si="51"/>
        <v>0.10037776789898693</v>
      </c>
      <c r="AC44" s="160">
        <f t="shared" si="51"/>
        <v>9.8527016371232679E-2</v>
      </c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</row>
    <row r="45" spans="2:55" ht="15" x14ac:dyDescent="0.4">
      <c r="B45" s="369"/>
      <c r="C45" s="370"/>
      <c r="D45" s="144" t="s">
        <v>253</v>
      </c>
      <c r="E45" s="144"/>
      <c r="F45" s="250">
        <f t="shared" ref="F45:P45" si="52">1-F22/E22</f>
        <v>7.7615264561160524E-3</v>
      </c>
      <c r="G45" s="250">
        <f t="shared" si="52"/>
        <v>1.1698541368844073E-2</v>
      </c>
      <c r="H45" s="250">
        <f t="shared" si="52"/>
        <v>1.1918527943677426E-2</v>
      </c>
      <c r="I45" s="250">
        <f t="shared" si="52"/>
        <v>1.3122130189428427E-2</v>
      </c>
      <c r="J45" s="250">
        <f t="shared" si="52"/>
        <v>1.0740713979079608E-2</v>
      </c>
      <c r="K45" s="250">
        <f t="shared" si="52"/>
        <v>1.731214857971064E-2</v>
      </c>
      <c r="L45" s="250">
        <f t="shared" si="52"/>
        <v>2.2276470159586115E-2</v>
      </c>
      <c r="M45" s="250">
        <f t="shared" si="52"/>
        <v>2.7214119085061772E-2</v>
      </c>
      <c r="N45" s="250">
        <f t="shared" si="52"/>
        <v>2.8488771207217822E-2</v>
      </c>
      <c r="O45" s="250">
        <f t="shared" si="52"/>
        <v>2.8598647352748197E-2</v>
      </c>
      <c r="P45" s="250">
        <f t="shared" si="52"/>
        <v>2.8130297263770476E-2</v>
      </c>
      <c r="R45" s="160">
        <f>R33/R22</f>
        <v>5.6880903998242534E-2</v>
      </c>
      <c r="S45" s="160">
        <f t="shared" ref="S45:V45" si="53">S33/S22</f>
        <v>8.8009266955901513E-2</v>
      </c>
      <c r="T45" s="160">
        <f t="shared" si="53"/>
        <v>6.8750715633876164E-2</v>
      </c>
      <c r="U45" s="160">
        <f t="shared" si="53"/>
        <v>8.0561062535095054E-2</v>
      </c>
      <c r="V45" s="160">
        <f t="shared" si="53"/>
        <v>0.10795342138374733</v>
      </c>
      <c r="W45" s="160">
        <f t="shared" ref="W45:AC45" si="54">W33/W22</f>
        <v>9.7303730623839901E-2</v>
      </c>
      <c r="X45" s="160">
        <f t="shared" si="54"/>
        <v>0.12507799095304944</v>
      </c>
      <c r="Y45" s="160">
        <f t="shared" si="54"/>
        <v>0.10364944621814988</v>
      </c>
      <c r="Z45" s="160">
        <f t="shared" si="54"/>
        <v>0.11337318604330175</v>
      </c>
      <c r="AA45" s="160">
        <f t="shared" si="54"/>
        <v>0.11323653549738168</v>
      </c>
      <c r="AB45" s="160">
        <f t="shared" si="54"/>
        <v>0.10213705748619682</v>
      </c>
      <c r="AC45" s="160">
        <f t="shared" si="54"/>
        <v>0.11302958808530555</v>
      </c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</row>
    <row r="46" spans="2:55" ht="15" x14ac:dyDescent="0.4">
      <c r="B46" s="382" t="s">
        <v>254</v>
      </c>
      <c r="C46" s="383"/>
      <c r="D46" s="142" t="s">
        <v>109</v>
      </c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R46" s="154">
        <v>0</v>
      </c>
      <c r="S46" s="154">
        <v>0</v>
      </c>
      <c r="T46" s="154">
        <v>0</v>
      </c>
      <c r="U46" s="154">
        <v>0</v>
      </c>
      <c r="V46" s="154">
        <v>0</v>
      </c>
      <c r="W46" s="154"/>
      <c r="X46" s="154"/>
      <c r="Y46" s="154"/>
      <c r="Z46" s="154"/>
      <c r="AA46" s="154"/>
      <c r="AB46" s="154"/>
      <c r="AC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</row>
    <row r="47" spans="2:55" ht="15" x14ac:dyDescent="0.4">
      <c r="B47" s="384"/>
      <c r="C47" s="385"/>
      <c r="D47" s="144" t="s">
        <v>70</v>
      </c>
      <c r="E47" s="144"/>
      <c r="F47" s="250">
        <f t="shared" ref="F47:P47" si="55">1-F14/E14</f>
        <v>0.1012832719217801</v>
      </c>
      <c r="G47" s="250">
        <f t="shared" si="55"/>
        <v>-2.2041725421254821E-2</v>
      </c>
      <c r="H47" s="250">
        <f t="shared" si="55"/>
        <v>-6.4152148981810875E-4</v>
      </c>
      <c r="I47" s="250">
        <f t="shared" si="55"/>
        <v>0.10978736329213146</v>
      </c>
      <c r="J47" s="250">
        <f t="shared" si="55"/>
        <v>-2.4304731108513389E-2</v>
      </c>
      <c r="K47" s="250">
        <f t="shared" si="55"/>
        <v>3.8056139854523496E-2</v>
      </c>
      <c r="L47" s="250">
        <f t="shared" si="55"/>
        <v>-1.0626882374911384E-2</v>
      </c>
      <c r="M47" s="250">
        <f t="shared" si="55"/>
        <v>-7.4036808802814713E-2</v>
      </c>
      <c r="N47" s="250">
        <f t="shared" si="55"/>
        <v>4.7291379696021707E-3</v>
      </c>
      <c r="O47" s="250">
        <f t="shared" si="55"/>
        <v>5.5566238012966895E-2</v>
      </c>
      <c r="P47" s="250">
        <f t="shared" si="55"/>
        <v>8.2305988951788533E-3</v>
      </c>
      <c r="R47" s="253">
        <f>R14/P14-1</f>
        <v>-5.6380926211353488E-3</v>
      </c>
      <c r="S47" s="253">
        <f>S14/R14-1</f>
        <v>2.876580737007739E-2</v>
      </c>
      <c r="T47" s="253">
        <f>T14/S14-1</f>
        <v>-0.1917550841373612</v>
      </c>
      <c r="U47" s="253">
        <f t="shared" ref="U47:AC47" si="56">U14/T14-1</f>
        <v>0.11293873504187069</v>
      </c>
      <c r="V47" s="253">
        <f t="shared" si="56"/>
        <v>-3.3462010343499604E-2</v>
      </c>
      <c r="W47" s="253">
        <f t="shared" si="56"/>
        <v>-2.0000000000000018E-2</v>
      </c>
      <c r="X47" s="253">
        <f t="shared" si="56"/>
        <v>-2.0000000000000129E-2</v>
      </c>
      <c r="Y47" s="253">
        <f t="shared" si="56"/>
        <v>-2.0000000000000129E-2</v>
      </c>
      <c r="Z47" s="253">
        <f t="shared" si="56"/>
        <v>-2.0000000000000018E-2</v>
      </c>
      <c r="AA47" s="253">
        <f t="shared" si="56"/>
        <v>-2.0000000000000018E-2</v>
      </c>
      <c r="AB47" s="253">
        <f t="shared" si="56"/>
        <v>-2.0000000000000018E-2</v>
      </c>
      <c r="AC47" s="253">
        <f t="shared" si="56"/>
        <v>-2.0000000000000018E-2</v>
      </c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</row>
    <row r="48" spans="2:55" ht="15" x14ac:dyDescent="0.4">
      <c r="B48" s="384"/>
      <c r="C48" s="385"/>
      <c r="D48" s="144" t="s">
        <v>214</v>
      </c>
      <c r="E48" s="144"/>
      <c r="F48" s="250">
        <f t="shared" ref="F48:P48" si="57">1-F15/E15</f>
        <v>7.5310408980277854E-2</v>
      </c>
      <c r="G48" s="250">
        <f t="shared" si="57"/>
        <v>7.3543318287864645E-2</v>
      </c>
      <c r="H48" s="250">
        <f t="shared" si="57"/>
        <v>7.4871972057256597E-2</v>
      </c>
      <c r="I48" s="250">
        <f t="shared" si="57"/>
        <v>6.9764333756799912E-2</v>
      </c>
      <c r="J48" s="250">
        <f t="shared" si="57"/>
        <v>7.393849836208044E-2</v>
      </c>
      <c r="K48" s="250">
        <f t="shared" si="57"/>
        <v>2.8139095297259331E-2</v>
      </c>
      <c r="L48" s="250">
        <f t="shared" si="57"/>
        <v>6.671095540027594E-2</v>
      </c>
      <c r="M48" s="250">
        <f t="shared" si="57"/>
        <v>7.4529647414705358E-2</v>
      </c>
      <c r="N48" s="250">
        <f t="shared" si="57"/>
        <v>1.345574958707596E-2</v>
      </c>
      <c r="O48" s="250">
        <f t="shared" si="57"/>
        <v>6.1592922427713082E-2</v>
      </c>
      <c r="P48" s="250">
        <f t="shared" si="57"/>
        <v>6.8043081038457243E-2</v>
      </c>
      <c r="R48" s="253">
        <f>R15/P15-1</f>
        <v>-4.0135425416710224E-2</v>
      </c>
      <c r="S48" s="253">
        <f>S15/R15-1</f>
        <v>-7.7544175384772984E-2</v>
      </c>
      <c r="T48" s="253">
        <f t="shared" ref="T48:AB48" si="58">T15/S15-1</f>
        <v>-0.10371009424071365</v>
      </c>
      <c r="U48" s="253">
        <f t="shared" si="58"/>
        <v>-8.6677448682592861E-2</v>
      </c>
      <c r="V48" s="253">
        <f t="shared" si="58"/>
        <v>-9.7909730969428788E-2</v>
      </c>
      <c r="W48" s="253">
        <f t="shared" si="58"/>
        <v>-0.10991788976979333</v>
      </c>
      <c r="X48" s="253">
        <f t="shared" si="58"/>
        <v>-0.13158933140952223</v>
      </c>
      <c r="Y48" s="253">
        <f t="shared" si="58"/>
        <v>-0.12585668858717436</v>
      </c>
      <c r="Z48" s="253">
        <f t="shared" si="58"/>
        <v>-0.12323310112899033</v>
      </c>
      <c r="AA48" s="253">
        <f t="shared" si="58"/>
        <v>-0.16366107758379478</v>
      </c>
      <c r="AB48" s="253">
        <f t="shared" si="58"/>
        <v>-0.12937572219587767</v>
      </c>
      <c r="AC48" s="253">
        <f>AC15/AB15-1</f>
        <v>0</v>
      </c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</row>
    <row r="49" spans="2:55" ht="15" x14ac:dyDescent="0.4">
      <c r="B49" s="384"/>
      <c r="C49" s="385"/>
      <c r="D49" s="144" t="s">
        <v>71</v>
      </c>
      <c r="E49" s="144"/>
      <c r="F49" s="250">
        <f t="shared" ref="F49:P49" si="59">1-F16/E16</f>
        <v>1.0228634812652238E-2</v>
      </c>
      <c r="G49" s="250">
        <f t="shared" si="59"/>
        <v>1.789680212299638E-3</v>
      </c>
      <c r="H49" s="250">
        <f t="shared" si="59"/>
        <v>1.648881648911471E-2</v>
      </c>
      <c r="I49" s="250">
        <f t="shared" si="59"/>
        <v>2.1419123438269128E-2</v>
      </c>
      <c r="J49" s="250">
        <f t="shared" si="59"/>
        <v>3.2149588283581831E-2</v>
      </c>
      <c r="K49" s="250">
        <f t="shared" si="59"/>
        <v>1.160864697898778E-2</v>
      </c>
      <c r="L49" s="250">
        <f t="shared" si="59"/>
        <v>3.2802317529095237E-2</v>
      </c>
      <c r="M49" s="250">
        <f t="shared" si="59"/>
        <v>2.7967851797881083E-2</v>
      </c>
      <c r="N49" s="250">
        <f t="shared" si="59"/>
        <v>1.8247056994239452E-2</v>
      </c>
      <c r="O49" s="250">
        <f t="shared" si="59"/>
        <v>4.9633366764698095E-2</v>
      </c>
      <c r="P49" s="250">
        <f t="shared" si="59"/>
        <v>2.2437721135930011E-2</v>
      </c>
      <c r="R49" s="253">
        <f>R16/P16-1</f>
        <v>-7.7376492527348795E-2</v>
      </c>
      <c r="S49" s="253">
        <f>S16/R16-1</f>
        <v>1.5964789857020545E-2</v>
      </c>
      <c r="T49" s="253">
        <f t="shared" ref="T49:AC49" si="60">T16/S16-1</f>
        <v>0.10000000000000009</v>
      </c>
      <c r="U49" s="253">
        <f t="shared" si="60"/>
        <v>-0.19168849684619438</v>
      </c>
      <c r="V49" s="253">
        <f t="shared" si="60"/>
        <v>-5.6437722086986719E-2</v>
      </c>
      <c r="W49" s="253">
        <f t="shared" si="60"/>
        <v>-6.3220315136747196E-2</v>
      </c>
      <c r="X49" s="253">
        <f t="shared" si="60"/>
        <v>-6.4433675862989315E-2</v>
      </c>
      <c r="Y49" s="253">
        <f t="shared" si="60"/>
        <v>-5.809624280058967E-2</v>
      </c>
      <c r="Z49" s="253">
        <f t="shared" si="60"/>
        <v>-6.7611710315599982E-2</v>
      </c>
      <c r="AA49" s="253">
        <f t="shared" si="60"/>
        <v>-6.3457829521658904E-2</v>
      </c>
      <c r="AB49" s="253">
        <f t="shared" si="60"/>
        <v>-6.6454887044284039E-2</v>
      </c>
      <c r="AC49" s="253">
        <f t="shared" si="60"/>
        <v>-4.8487952040003446E-2</v>
      </c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</row>
    <row r="50" spans="2:55" ht="15" x14ac:dyDescent="0.4">
      <c r="B50" s="384"/>
      <c r="C50" s="385"/>
      <c r="D50" s="144" t="s">
        <v>253</v>
      </c>
      <c r="E50" s="144"/>
      <c r="F50" s="250">
        <f t="shared" ref="F50:P50" si="61">1-F17/E17</f>
        <v>1.0594526261741732E-2</v>
      </c>
      <c r="G50" s="250">
        <f t="shared" si="61"/>
        <v>1.0073032929648451E-2</v>
      </c>
      <c r="H50" s="250">
        <f t="shared" si="61"/>
        <v>1.5628755657277171E-2</v>
      </c>
      <c r="I50" s="250">
        <f t="shared" si="61"/>
        <v>1.5592663736509249E-2</v>
      </c>
      <c r="J50" s="250">
        <f t="shared" si="61"/>
        <v>2.1127429824328248E-2</v>
      </c>
      <c r="K50" s="250">
        <f t="shared" si="61"/>
        <v>1.0130657107967567E-2</v>
      </c>
      <c r="L50" s="250">
        <f t="shared" si="61"/>
        <v>2.2900915376014241E-2</v>
      </c>
      <c r="M50" s="250">
        <f t="shared" si="61"/>
        <v>2.7009982140602462E-2</v>
      </c>
      <c r="N50" s="250">
        <f t="shared" si="61"/>
        <v>2.6190014520338423E-2</v>
      </c>
      <c r="O50" s="250">
        <f t="shared" si="61"/>
        <v>4.0137570897035513E-2</v>
      </c>
      <c r="P50" s="250">
        <f t="shared" si="61"/>
        <v>3.076923076923066E-2</v>
      </c>
      <c r="R50" s="253">
        <f>R17/P17-1</f>
        <v>-6.1224489795918435E-2</v>
      </c>
      <c r="S50" s="253">
        <f>S17/R17-1</f>
        <v>8.1844532279218285E-5</v>
      </c>
      <c r="T50" s="253">
        <f t="shared" ref="T50:AC51" si="62">T17/S17-1</f>
        <v>-6.693152904709998E-2</v>
      </c>
      <c r="U50" s="253">
        <f t="shared" si="62"/>
        <v>-4.81408560587826E-2</v>
      </c>
      <c r="V50" s="253">
        <f t="shared" si="62"/>
        <v>-4.3175540242372801E-2</v>
      </c>
      <c r="W50" s="253">
        <f t="shared" si="62"/>
        <v>-4.1364212570176973E-2</v>
      </c>
      <c r="X50" s="253">
        <f t="shared" si="62"/>
        <v>-4.6082008740447766E-2</v>
      </c>
      <c r="Y50" s="253">
        <f t="shared" si="62"/>
        <v>-5.814674984547874E-2</v>
      </c>
      <c r="Z50" s="253">
        <f t="shared" si="62"/>
        <v>-5.9307228001871493E-2</v>
      </c>
      <c r="AA50" s="253">
        <f t="shared" si="62"/>
        <v>-5.7086821415581523E-2</v>
      </c>
      <c r="AB50" s="253">
        <f t="shared" si="62"/>
        <v>-6.5491834024684947E-2</v>
      </c>
      <c r="AC50" s="253">
        <f t="shared" si="62"/>
        <v>-4.350275126598846E-2</v>
      </c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</row>
    <row r="51" spans="2:55" ht="15" x14ac:dyDescent="0.4">
      <c r="D51" s="144" t="s">
        <v>215</v>
      </c>
      <c r="R51" s="253">
        <f>R18/P18-1</f>
        <v>0</v>
      </c>
      <c r="S51" s="253">
        <f>S18/R18-1</f>
        <v>0.1695522540907668</v>
      </c>
      <c r="T51" s="253">
        <f t="shared" si="62"/>
        <v>0.14857368239197166</v>
      </c>
      <c r="U51" s="253">
        <f t="shared" si="62"/>
        <v>9.6622192551668817E-2</v>
      </c>
      <c r="V51" s="253">
        <f t="shared" si="62"/>
        <v>9.8807509041614505E-2</v>
      </c>
      <c r="W51" s="253">
        <f t="shared" si="62"/>
        <v>0.15392847445773095</v>
      </c>
      <c r="X51" s="253">
        <f t="shared" si="62"/>
        <v>0.14485806720698968</v>
      </c>
      <c r="Y51" s="253">
        <f t="shared" si="62"/>
        <v>0.10183452610033439</v>
      </c>
      <c r="Z51" s="253">
        <f t="shared" si="62"/>
        <v>9.9257669125927706E-2</v>
      </c>
      <c r="AA51" s="253">
        <f t="shared" si="62"/>
        <v>8.0113633598222656E-2</v>
      </c>
      <c r="AB51" s="253">
        <f t="shared" si="62"/>
        <v>7.6566857881611883E-2</v>
      </c>
      <c r="AC51" s="253">
        <f t="shared" si="62"/>
        <v>6.9921968392457234E-2</v>
      </c>
    </row>
    <row r="52" spans="2:55" x14ac:dyDescent="0.35">
      <c r="S52" s="324">
        <f>S23-R23</f>
        <v>22963</v>
      </c>
      <c r="T52" s="324">
        <f t="shared" ref="T52:AC52" si="63">T23-S23</f>
        <v>18998</v>
      </c>
      <c r="U52" s="324">
        <f t="shared" si="63"/>
        <v>21938</v>
      </c>
      <c r="V52" s="324">
        <f t="shared" si="63"/>
        <v>33996</v>
      </c>
      <c r="W52" s="324">
        <f t="shared" si="63"/>
        <v>-19554</v>
      </c>
      <c r="X52" s="324">
        <f t="shared" si="63"/>
        <v>71908</v>
      </c>
      <c r="Y52" s="324">
        <f t="shared" si="63"/>
        <v>21051</v>
      </c>
      <c r="Z52" s="324">
        <f t="shared" si="63"/>
        <v>22779</v>
      </c>
      <c r="AA52" s="324">
        <f t="shared" si="63"/>
        <v>24890</v>
      </c>
      <c r="AB52" s="324">
        <f t="shared" si="63"/>
        <v>18781</v>
      </c>
      <c r="AC52" s="324">
        <f t="shared" si="63"/>
        <v>18835</v>
      </c>
    </row>
    <row r="53" spans="2:55" ht="16.5" x14ac:dyDescent="0.45">
      <c r="B53" s="237" t="s">
        <v>255</v>
      </c>
      <c r="C53" s="11">
        <f>AVERAGE(R43:V43)</f>
        <v>2.0397841792814266E-2</v>
      </c>
    </row>
    <row r="54" spans="2:55" x14ac:dyDescent="0.35">
      <c r="C54" s="11">
        <f>AVERAGE(R44:V44)</f>
        <v>0.10951642656566989</v>
      </c>
    </row>
    <row r="55" spans="2:55" x14ac:dyDescent="0.35">
      <c r="C55" s="11">
        <f>AVERAGE(R45:V45)</f>
        <v>8.0431074101372513E-2</v>
      </c>
    </row>
    <row r="57" spans="2:55" ht="16.5" x14ac:dyDescent="0.45">
      <c r="B57" s="237" t="s">
        <v>256</v>
      </c>
      <c r="C57" s="249">
        <f>AVERAGE(R37:V37)</f>
        <v>-18618.2</v>
      </c>
    </row>
  </sheetData>
  <mergeCells count="9">
    <mergeCell ref="B42:C45"/>
    <mergeCell ref="B46:C50"/>
    <mergeCell ref="B11:D11"/>
    <mergeCell ref="B12:C18"/>
    <mergeCell ref="B24:C28"/>
    <mergeCell ref="B29:C33"/>
    <mergeCell ref="B34:C37"/>
    <mergeCell ref="B38:C40"/>
    <mergeCell ref="B19:C23"/>
  </mergeCells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BE4E-CC68-4CA8-BE18-D5B3B9EBC0B2}">
  <sheetPr>
    <tabColor rgb="FFFF0000"/>
  </sheetPr>
  <dimension ref="A3:R34"/>
  <sheetViews>
    <sheetView showGridLines="0" zoomScaleNormal="100" zoomScaleSheetLayoutView="100" workbookViewId="0">
      <selection activeCell="E34" sqref="E34"/>
    </sheetView>
  </sheetViews>
  <sheetFormatPr defaultRowHeight="14.5" x14ac:dyDescent="0.35"/>
  <cols>
    <col min="2" max="18" width="13.81640625" customWidth="1"/>
    <col min="19" max="16384" width="8.7265625" style="168"/>
  </cols>
  <sheetData>
    <row r="3" spans="2:18" ht="15" x14ac:dyDescent="0.4">
      <c r="B3" s="365" t="s">
        <v>10</v>
      </c>
      <c r="C3" s="365"/>
      <c r="D3" s="366"/>
      <c r="E3" s="140">
        <v>2501</v>
      </c>
      <c r="F3" s="140">
        <v>2502</v>
      </c>
      <c r="G3" s="140">
        <v>2503</v>
      </c>
      <c r="H3" s="140">
        <v>2504</v>
      </c>
      <c r="I3" s="140">
        <v>2505</v>
      </c>
      <c r="J3" s="140">
        <v>2506</v>
      </c>
      <c r="K3" s="140">
        <v>2507</v>
      </c>
      <c r="L3" s="140">
        <v>2508</v>
      </c>
      <c r="M3" s="140">
        <v>2509</v>
      </c>
      <c r="N3" s="140">
        <v>2510</v>
      </c>
      <c r="O3" s="140">
        <v>2511</v>
      </c>
      <c r="P3" s="140">
        <v>2512</v>
      </c>
      <c r="Q3" s="141" t="s">
        <v>112</v>
      </c>
      <c r="R3" s="141" t="s">
        <v>113</v>
      </c>
    </row>
    <row r="4" spans="2:18" ht="15" x14ac:dyDescent="0.4">
      <c r="B4" s="367" t="s">
        <v>219</v>
      </c>
      <c r="C4" s="368"/>
      <c r="D4" s="142" t="s">
        <v>109</v>
      </c>
      <c r="E4" s="143">
        <v>5.2000000000000011</v>
      </c>
      <c r="F4" s="143">
        <v>5.3671953700000001</v>
      </c>
      <c r="G4" s="143">
        <v>5.1954725700000006</v>
      </c>
      <c r="H4" s="143">
        <v>5.0662480399999996</v>
      </c>
      <c r="I4" s="143">
        <v>4.9718197100000001</v>
      </c>
      <c r="J4" s="143">
        <v>5.0249524000000001</v>
      </c>
      <c r="K4" s="143">
        <v>5.0028643500000003</v>
      </c>
      <c r="L4" s="143">
        <v>5.0574361099999994</v>
      </c>
      <c r="M4" s="143">
        <v>4.9543201099999994</v>
      </c>
      <c r="N4" s="143"/>
      <c r="O4" s="143"/>
      <c r="P4" s="143"/>
      <c r="Q4" s="143">
        <v>20.828915979999998</v>
      </c>
      <c r="R4" s="146">
        <v>5.1601471379999992</v>
      </c>
    </row>
    <row r="5" spans="2:18" ht="15" x14ac:dyDescent="0.4">
      <c r="B5" s="369"/>
      <c r="C5" s="370"/>
      <c r="D5" s="144" t="s">
        <v>70</v>
      </c>
      <c r="E5" s="145">
        <v>3.8250436363636369</v>
      </c>
      <c r="F5" s="145">
        <v>3.8708856699999998</v>
      </c>
      <c r="G5" s="145">
        <v>3.6310316200000008</v>
      </c>
      <c r="H5" s="145">
        <v>3.4754358490909087</v>
      </c>
      <c r="I5" s="145">
        <v>3.3329248009090913</v>
      </c>
      <c r="J5" s="145">
        <v>3.226107400000001</v>
      </c>
      <c r="K5" s="145">
        <f>K4-K6-K7</f>
        <v>3.0953714136363644</v>
      </c>
      <c r="L5" s="145">
        <f t="shared" ref="L5:M5" si="0">L4-L6-L7</f>
        <v>2.9918249463636357</v>
      </c>
      <c r="M5" s="145">
        <f t="shared" si="0"/>
        <v>2.7994639281818174</v>
      </c>
      <c r="N5" s="145"/>
      <c r="O5" s="145"/>
      <c r="P5" s="145"/>
      <c r="Q5" s="145">
        <v>14.802396775454545</v>
      </c>
      <c r="R5" s="147">
        <v>3.6270643152727273</v>
      </c>
    </row>
    <row r="6" spans="2:18" ht="15" x14ac:dyDescent="0.4">
      <c r="B6" s="369"/>
      <c r="C6" s="370"/>
      <c r="D6" s="144" t="s">
        <v>71</v>
      </c>
      <c r="E6" s="145">
        <v>0.35495636363636357</v>
      </c>
      <c r="F6" s="145">
        <v>0.38630969999999998</v>
      </c>
      <c r="G6" s="145">
        <v>0.36444094999999999</v>
      </c>
      <c r="H6" s="145">
        <v>0.33411220000000003</v>
      </c>
      <c r="I6" s="145">
        <v>0.31442530000000002</v>
      </c>
      <c r="J6" s="145">
        <v>0.27255490909090907</v>
      </c>
      <c r="K6" s="145">
        <v>0.25416227272727299</v>
      </c>
      <c r="L6" s="145">
        <v>0.23730499999999999</v>
      </c>
      <c r="M6" s="145">
        <v>0.22229145454545454</v>
      </c>
      <c r="N6" s="145"/>
      <c r="O6" s="145"/>
      <c r="P6" s="145"/>
      <c r="Q6" s="145">
        <v>1.4398192136363634</v>
      </c>
      <c r="R6" s="147">
        <v>0.3508489027272727</v>
      </c>
    </row>
    <row r="7" spans="2:18" ht="16.5" customHeight="1" x14ac:dyDescent="0.4">
      <c r="B7" s="371"/>
      <c r="C7" s="372"/>
      <c r="D7" s="144" t="s">
        <v>105</v>
      </c>
      <c r="E7" s="145">
        <v>1.02</v>
      </c>
      <c r="F7" s="145">
        <v>1.1100000000000001</v>
      </c>
      <c r="G7" s="145">
        <v>1.2</v>
      </c>
      <c r="H7" s="145">
        <v>1.2566999909090908</v>
      </c>
      <c r="I7" s="145">
        <v>1.3244696090909089</v>
      </c>
      <c r="J7" s="145">
        <v>1.5262900909090906</v>
      </c>
      <c r="K7" s="145">
        <v>1.6533306636363634</v>
      </c>
      <c r="L7" s="145">
        <v>1.8283061636363636</v>
      </c>
      <c r="M7" s="145">
        <v>1.9325647272727271</v>
      </c>
      <c r="N7" s="145"/>
      <c r="O7" s="145"/>
      <c r="P7" s="145"/>
      <c r="Q7" s="145">
        <v>4.5866999909090911</v>
      </c>
      <c r="R7" s="147">
        <v>1.18223392</v>
      </c>
    </row>
    <row r="8" spans="2:18" ht="15" x14ac:dyDescent="0.4">
      <c r="B8" s="367" t="s">
        <v>221</v>
      </c>
      <c r="C8" s="368"/>
      <c r="D8" s="142" t="s">
        <v>109</v>
      </c>
      <c r="E8" s="148">
        <v>267542</v>
      </c>
      <c r="F8" s="148">
        <v>278856</v>
      </c>
      <c r="G8" s="148">
        <v>283053</v>
      </c>
      <c r="H8" s="148">
        <v>291541</v>
      </c>
      <c r="I8" s="148">
        <v>315316</v>
      </c>
      <c r="J8" s="148"/>
      <c r="K8" s="148"/>
      <c r="L8" s="148"/>
      <c r="M8" s="148"/>
      <c r="N8" s="148"/>
      <c r="O8" s="148"/>
      <c r="P8" s="148"/>
      <c r="Q8" s="148">
        <v>1120992</v>
      </c>
      <c r="R8" s="149"/>
    </row>
    <row r="9" spans="2:18" ht="15" x14ac:dyDescent="0.4">
      <c r="B9" s="369"/>
      <c r="C9" s="370"/>
      <c r="D9" s="144" t="s">
        <v>70</v>
      </c>
      <c r="E9" s="150">
        <v>107127</v>
      </c>
      <c r="F9" s="150">
        <v>102207</v>
      </c>
      <c r="G9" s="150">
        <v>99447</v>
      </c>
      <c r="H9" s="150">
        <v>96649</v>
      </c>
      <c r="I9" s="150">
        <v>93912</v>
      </c>
      <c r="J9" s="150">
        <v>91452</v>
      </c>
      <c r="K9" s="150">
        <v>87993</v>
      </c>
      <c r="L9" s="150">
        <v>84372</v>
      </c>
      <c r="M9" s="150">
        <v>79564</v>
      </c>
      <c r="N9" s="150">
        <v>75358</v>
      </c>
      <c r="O9" s="150"/>
      <c r="P9" s="150"/>
      <c r="Q9" s="150">
        <v>405430</v>
      </c>
      <c r="R9" s="151"/>
    </row>
    <row r="10" spans="2:18" ht="15" x14ac:dyDescent="0.4">
      <c r="B10" s="369"/>
      <c r="C10" s="370"/>
      <c r="D10" s="144" t="s">
        <v>115</v>
      </c>
      <c r="E10" s="150">
        <v>13244</v>
      </c>
      <c r="F10" s="150">
        <v>12547</v>
      </c>
      <c r="G10" s="150">
        <v>11891</v>
      </c>
      <c r="H10" s="150">
        <v>11321</v>
      </c>
      <c r="I10" s="150">
        <v>10724</v>
      </c>
      <c r="J10" s="150">
        <v>10289</v>
      </c>
      <c r="K10" s="150">
        <v>10026</v>
      </c>
      <c r="L10" s="150">
        <v>9479</v>
      </c>
      <c r="M10" s="150">
        <v>8937</v>
      </c>
      <c r="N10" s="150"/>
      <c r="O10" s="150"/>
      <c r="P10" s="150"/>
      <c r="Q10" s="150">
        <v>49003</v>
      </c>
      <c r="R10" s="151"/>
    </row>
    <row r="11" spans="2:18" ht="15" x14ac:dyDescent="0.4">
      <c r="B11" s="369"/>
      <c r="C11" s="370"/>
      <c r="D11" s="144" t="s">
        <v>114</v>
      </c>
      <c r="E11" s="150">
        <v>7709</v>
      </c>
      <c r="F11" s="150">
        <v>7346</v>
      </c>
      <c r="G11" s="150">
        <v>7020</v>
      </c>
      <c r="H11" s="150">
        <v>6762</v>
      </c>
      <c r="I11" s="150">
        <v>6636</v>
      </c>
      <c r="J11" s="150">
        <v>6497</v>
      </c>
      <c r="K11" s="150">
        <v>6442</v>
      </c>
      <c r="L11" s="150">
        <v>6286</v>
      </c>
      <c r="M11" s="150">
        <v>6142</v>
      </c>
      <c r="N11" s="150"/>
      <c r="O11" s="150"/>
      <c r="P11" s="150"/>
      <c r="Q11" s="150">
        <v>28837</v>
      </c>
      <c r="R11" s="151"/>
    </row>
    <row r="12" spans="2:18" ht="15" x14ac:dyDescent="0.4">
      <c r="B12" s="371"/>
      <c r="C12" s="372"/>
      <c r="D12" s="144" t="s">
        <v>105</v>
      </c>
      <c r="E12" s="150">
        <v>139462</v>
      </c>
      <c r="F12" s="150">
        <v>156756</v>
      </c>
      <c r="G12" s="150">
        <v>164695</v>
      </c>
      <c r="H12" s="150">
        <v>176809</v>
      </c>
      <c r="I12" s="150">
        <v>204044</v>
      </c>
      <c r="J12" s="150">
        <v>216044</v>
      </c>
      <c r="K12" s="150">
        <v>239096</v>
      </c>
      <c r="L12" s="150">
        <v>247338</v>
      </c>
      <c r="M12" s="150">
        <v>262998</v>
      </c>
      <c r="N12" s="150">
        <v>272105</v>
      </c>
      <c r="O12" s="150"/>
      <c r="P12" s="150"/>
      <c r="Q12" s="150">
        <v>637722</v>
      </c>
      <c r="R12" s="151"/>
    </row>
    <row r="13" spans="2:18" ht="15" x14ac:dyDescent="0.4">
      <c r="B13" s="367" t="s">
        <v>222</v>
      </c>
      <c r="C13" s="368"/>
      <c r="D13" s="142" t="s">
        <v>109</v>
      </c>
      <c r="E13" s="154">
        <f>E15+E16+E17</f>
        <v>7635</v>
      </c>
      <c r="F13" s="154">
        <f t="shared" ref="F13:N13" si="1">F15+F16+F17</f>
        <v>20716</v>
      </c>
      <c r="G13" s="154">
        <f t="shared" si="1"/>
        <v>10715</v>
      </c>
      <c r="H13" s="154">
        <f t="shared" si="1"/>
        <v>14873</v>
      </c>
      <c r="I13" s="154">
        <f t="shared" si="1"/>
        <v>30759</v>
      </c>
      <c r="J13" s="154">
        <f t="shared" si="1"/>
        <v>15342</v>
      </c>
      <c r="K13" s="154">
        <f t="shared" si="1"/>
        <v>29017</v>
      </c>
      <c r="L13" s="154">
        <f t="shared" si="1"/>
        <v>13774</v>
      </c>
      <c r="M13" s="154">
        <f t="shared" si="1"/>
        <v>23659</v>
      </c>
      <c r="N13" s="154">
        <f t="shared" si="1"/>
        <v>14766</v>
      </c>
      <c r="O13" s="154"/>
      <c r="P13" s="154"/>
      <c r="Q13" s="154">
        <v>53939</v>
      </c>
      <c r="R13" s="155"/>
    </row>
    <row r="14" spans="2:18" ht="15" x14ac:dyDescent="0.4">
      <c r="B14" s="369"/>
      <c r="C14" s="370"/>
      <c r="D14" s="144" t="s">
        <v>70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6"/>
      <c r="O14" s="156"/>
      <c r="P14" s="156"/>
      <c r="Q14" s="156">
        <v>0</v>
      </c>
      <c r="R14" s="157"/>
    </row>
    <row r="15" spans="2:18" ht="15" x14ac:dyDescent="0.4">
      <c r="B15" s="369"/>
      <c r="C15" s="370"/>
      <c r="D15" s="144" t="s">
        <v>115</v>
      </c>
      <c r="E15" s="156">
        <v>27</v>
      </c>
      <c r="F15" s="156">
        <v>19</v>
      </c>
      <c r="G15" s="156">
        <v>81</v>
      </c>
      <c r="H15" s="156">
        <v>124</v>
      </c>
      <c r="I15" s="156">
        <v>311</v>
      </c>
      <c r="J15" s="156">
        <v>197</v>
      </c>
      <c r="K15" s="156">
        <v>293</v>
      </c>
      <c r="L15" s="156">
        <v>294</v>
      </c>
      <c r="M15" s="156">
        <v>295</v>
      </c>
      <c r="N15" s="156"/>
      <c r="O15" s="156"/>
      <c r="P15" s="156"/>
      <c r="Q15" s="156">
        <v>251</v>
      </c>
      <c r="R15" s="157"/>
    </row>
    <row r="16" spans="2:18" ht="15" x14ac:dyDescent="0.4">
      <c r="B16" s="369"/>
      <c r="C16" s="370"/>
      <c r="D16" s="144" t="s">
        <v>114</v>
      </c>
      <c r="E16" s="156">
        <v>20</v>
      </c>
      <c r="F16" s="156">
        <v>15</v>
      </c>
      <c r="G16" s="156">
        <v>43</v>
      </c>
      <c r="H16" s="156">
        <v>62</v>
      </c>
      <c r="I16" s="156">
        <v>213</v>
      </c>
      <c r="J16" s="156">
        <v>119</v>
      </c>
      <c r="K16" s="156">
        <v>223</v>
      </c>
      <c r="L16" s="156">
        <v>224</v>
      </c>
      <c r="M16" s="156">
        <v>225</v>
      </c>
      <c r="N16" s="156"/>
      <c r="O16" s="156"/>
      <c r="P16" s="156"/>
      <c r="Q16" s="156">
        <v>140</v>
      </c>
      <c r="R16" s="157"/>
    </row>
    <row r="17" spans="2:18" ht="15" x14ac:dyDescent="0.4">
      <c r="B17" s="371"/>
      <c r="C17" s="372"/>
      <c r="D17" s="144" t="s">
        <v>105</v>
      </c>
      <c r="E17" s="156">
        <v>7588</v>
      </c>
      <c r="F17" s="156">
        <v>20682</v>
      </c>
      <c r="G17" s="156">
        <v>10591</v>
      </c>
      <c r="H17" s="156">
        <v>14687</v>
      </c>
      <c r="I17" s="156">
        <v>30235</v>
      </c>
      <c r="J17" s="156">
        <v>15026</v>
      </c>
      <c r="K17" s="156">
        <v>28501</v>
      </c>
      <c r="L17" s="156">
        <v>13256</v>
      </c>
      <c r="M17" s="156">
        <v>23139</v>
      </c>
      <c r="N17" s="156">
        <v>14766</v>
      </c>
      <c r="O17" s="156"/>
      <c r="P17" s="156"/>
      <c r="Q17" s="156">
        <v>53548</v>
      </c>
      <c r="R17" s="157"/>
    </row>
    <row r="18" spans="2:18" ht="15" hidden="1" x14ac:dyDescent="0.4">
      <c r="B18" s="367" t="s">
        <v>223</v>
      </c>
      <c r="C18" s="368"/>
      <c r="D18" s="142" t="s">
        <v>109</v>
      </c>
      <c r="E18" s="154">
        <v>4194</v>
      </c>
      <c r="F18" s="154">
        <v>7523</v>
      </c>
      <c r="G18" s="154">
        <v>5167</v>
      </c>
      <c r="H18" s="154">
        <v>5266</v>
      </c>
      <c r="I18" s="154">
        <v>5414</v>
      </c>
      <c r="J18" s="154"/>
      <c r="K18" s="154"/>
      <c r="L18" s="154"/>
      <c r="M18" s="154"/>
      <c r="N18" s="154"/>
      <c r="O18" s="154"/>
      <c r="P18" s="154"/>
      <c r="Q18" s="154">
        <v>22150</v>
      </c>
      <c r="R18" s="155"/>
    </row>
    <row r="19" spans="2:18" ht="15" hidden="1" x14ac:dyDescent="0.4">
      <c r="B19" s="369"/>
      <c r="C19" s="370"/>
      <c r="D19" s="144" t="s">
        <v>70</v>
      </c>
      <c r="E19" s="156">
        <v>2159</v>
      </c>
      <c r="F19" s="156">
        <v>4920</v>
      </c>
      <c r="G19" s="156">
        <v>2760</v>
      </c>
      <c r="H19" s="156">
        <v>2798</v>
      </c>
      <c r="I19" s="156">
        <v>2737</v>
      </c>
      <c r="J19" s="156"/>
      <c r="K19" s="156"/>
      <c r="L19" s="156"/>
      <c r="M19" s="156"/>
      <c r="N19" s="156"/>
      <c r="O19" s="156"/>
      <c r="P19" s="156"/>
      <c r="Q19" s="156">
        <v>12637</v>
      </c>
      <c r="R19" s="157"/>
    </row>
    <row r="20" spans="2:18" ht="15" hidden="1" x14ac:dyDescent="0.4">
      <c r="B20" s="369"/>
      <c r="C20" s="370"/>
      <c r="D20" s="144" t="s">
        <v>115</v>
      </c>
      <c r="E20" s="156">
        <v>694</v>
      </c>
      <c r="F20" s="156">
        <v>731</v>
      </c>
      <c r="G20" s="156">
        <v>737</v>
      </c>
      <c r="H20" s="156">
        <v>694</v>
      </c>
      <c r="I20" s="156">
        <v>908</v>
      </c>
      <c r="J20" s="156"/>
      <c r="K20" s="156"/>
      <c r="L20" s="156"/>
      <c r="M20" s="156"/>
      <c r="N20" s="156"/>
      <c r="O20" s="156"/>
      <c r="P20" s="156"/>
      <c r="Q20" s="156">
        <v>2856</v>
      </c>
      <c r="R20" s="157"/>
    </row>
    <row r="21" spans="2:18" ht="15" hidden="1" x14ac:dyDescent="0.4">
      <c r="B21" s="369"/>
      <c r="C21" s="370"/>
      <c r="D21" s="144" t="s">
        <v>114</v>
      </c>
      <c r="E21" s="156">
        <v>505</v>
      </c>
      <c r="F21" s="156">
        <v>492</v>
      </c>
      <c r="G21" s="156">
        <v>369</v>
      </c>
      <c r="H21" s="156">
        <v>320</v>
      </c>
      <c r="I21" s="156">
        <v>339</v>
      </c>
      <c r="J21" s="156"/>
      <c r="K21" s="156"/>
      <c r="L21" s="156"/>
      <c r="M21" s="156"/>
      <c r="N21" s="156"/>
      <c r="O21" s="156"/>
      <c r="P21" s="156"/>
      <c r="Q21" s="156">
        <v>1686</v>
      </c>
      <c r="R21" s="157"/>
    </row>
    <row r="22" spans="2:18" ht="15" hidden="1" x14ac:dyDescent="0.4">
      <c r="B22" s="371"/>
      <c r="C22" s="372"/>
      <c r="D22" s="144" t="s">
        <v>105</v>
      </c>
      <c r="E22" s="156">
        <v>2056</v>
      </c>
      <c r="F22" s="166">
        <v>3388</v>
      </c>
      <c r="G22" s="166">
        <v>2652</v>
      </c>
      <c r="H22" s="166">
        <v>2573</v>
      </c>
      <c r="I22" s="166">
        <v>3000</v>
      </c>
      <c r="J22" s="156"/>
      <c r="K22" s="156"/>
      <c r="L22" s="156"/>
      <c r="M22" s="156"/>
      <c r="N22" s="156"/>
      <c r="O22" s="156"/>
      <c r="P22" s="156"/>
      <c r="Q22" s="156">
        <v>10669</v>
      </c>
      <c r="R22" s="157"/>
    </row>
    <row r="23" spans="2:18" ht="15" x14ac:dyDescent="0.4">
      <c r="B23" s="367" t="s">
        <v>224</v>
      </c>
      <c r="C23" s="368"/>
      <c r="D23" s="142" t="s">
        <v>109</v>
      </c>
      <c r="E23" s="154">
        <v>2221</v>
      </c>
      <c r="F23" s="154">
        <v>11185</v>
      </c>
      <c r="G23" s="154">
        <v>4197</v>
      </c>
      <c r="H23" s="154">
        <v>8488</v>
      </c>
      <c r="I23" s="154">
        <v>23775</v>
      </c>
      <c r="J23" s="154"/>
      <c r="K23" s="154"/>
      <c r="L23" s="154"/>
      <c r="M23" s="154"/>
      <c r="N23" s="154"/>
      <c r="O23" s="154"/>
      <c r="P23" s="154"/>
      <c r="Q23" s="154">
        <v>49866</v>
      </c>
      <c r="R23" s="155"/>
    </row>
    <row r="24" spans="2:18" ht="15" x14ac:dyDescent="0.4">
      <c r="B24" s="369"/>
      <c r="C24" s="370"/>
      <c r="D24" s="144" t="s">
        <v>70</v>
      </c>
      <c r="E24" s="156">
        <v>-2159</v>
      </c>
      <c r="F24" s="156">
        <v>-4920</v>
      </c>
      <c r="G24" s="156">
        <v>-2760</v>
      </c>
      <c r="H24" s="156">
        <v>-2798</v>
      </c>
      <c r="I24" s="156">
        <v>-2737</v>
      </c>
      <c r="J24" s="156">
        <v>-2460</v>
      </c>
      <c r="K24" s="156">
        <v>-3459</v>
      </c>
      <c r="L24" s="156">
        <v>-3621</v>
      </c>
      <c r="M24" s="156">
        <v>-4808</v>
      </c>
      <c r="N24" s="156">
        <v>-4206</v>
      </c>
      <c r="O24" s="156"/>
      <c r="P24" s="156"/>
      <c r="Q24" s="165">
        <v>-15374</v>
      </c>
      <c r="R24" s="157"/>
    </row>
    <row r="25" spans="2:18" ht="15" x14ac:dyDescent="0.4">
      <c r="B25" s="369"/>
      <c r="C25" s="370"/>
      <c r="D25" s="144" t="s">
        <v>115</v>
      </c>
      <c r="E25" s="156">
        <v>-667</v>
      </c>
      <c r="F25" s="156">
        <v>-712</v>
      </c>
      <c r="G25" s="156">
        <v>-656</v>
      </c>
      <c r="H25" s="156">
        <v>-570</v>
      </c>
      <c r="I25" s="156">
        <v>-597</v>
      </c>
      <c r="J25" s="156">
        <v>-435</v>
      </c>
      <c r="K25" s="156">
        <v>-263</v>
      </c>
      <c r="L25" s="156">
        <v>-547</v>
      </c>
      <c r="M25" s="156">
        <v>-542</v>
      </c>
      <c r="N25" s="156"/>
      <c r="O25" s="156"/>
      <c r="P25" s="156"/>
      <c r="Q25" s="165">
        <v>-3202</v>
      </c>
      <c r="R25" s="157"/>
    </row>
    <row r="26" spans="2:18" ht="15" x14ac:dyDescent="0.4">
      <c r="B26" s="369"/>
      <c r="C26" s="370"/>
      <c r="D26" s="144" t="s">
        <v>114</v>
      </c>
      <c r="E26" s="156">
        <v>-485</v>
      </c>
      <c r="F26" s="156">
        <v>-477</v>
      </c>
      <c r="G26" s="156">
        <v>-326</v>
      </c>
      <c r="H26" s="156">
        <v>-258</v>
      </c>
      <c r="I26" s="156">
        <v>-126</v>
      </c>
      <c r="J26" s="156">
        <v>-139</v>
      </c>
      <c r="K26" s="156">
        <v>-55</v>
      </c>
      <c r="L26" s="156">
        <v>-156</v>
      </c>
      <c r="M26" s="156">
        <v>-144</v>
      </c>
      <c r="N26" s="156"/>
      <c r="O26" s="156"/>
      <c r="P26" s="156"/>
      <c r="Q26" s="165">
        <v>-1672</v>
      </c>
      <c r="R26" s="157"/>
    </row>
    <row r="27" spans="2:18" ht="15" x14ac:dyDescent="0.4">
      <c r="B27" s="371"/>
      <c r="C27" s="372"/>
      <c r="D27" s="144" t="s">
        <v>105</v>
      </c>
      <c r="E27" s="156">
        <v>5532</v>
      </c>
      <c r="F27" s="156">
        <v>17294</v>
      </c>
      <c r="G27" s="156">
        <v>7939</v>
      </c>
      <c r="H27" s="156">
        <v>12114</v>
      </c>
      <c r="I27" s="156">
        <v>27235</v>
      </c>
      <c r="J27" s="156">
        <v>12000</v>
      </c>
      <c r="K27" s="156">
        <v>23052</v>
      </c>
      <c r="L27" s="156">
        <v>8242</v>
      </c>
      <c r="M27" s="156">
        <v>15660</v>
      </c>
      <c r="N27" s="156">
        <v>9107</v>
      </c>
      <c r="O27" s="156"/>
      <c r="P27" s="156"/>
      <c r="Q27" s="165">
        <v>70114</v>
      </c>
      <c r="R27" s="157"/>
    </row>
    <row r="28" spans="2:18" ht="15" x14ac:dyDescent="0.4">
      <c r="B28" s="367" t="s">
        <v>225</v>
      </c>
      <c r="C28" s="368"/>
      <c r="D28" s="142" t="s">
        <v>109</v>
      </c>
      <c r="E28" s="161">
        <v>2.0236075083538287E-2</v>
      </c>
      <c r="F28" s="161">
        <v>3.4178931061192873E-2</v>
      </c>
      <c r="G28" s="161">
        <v>2.3027489551426764E-2</v>
      </c>
      <c r="H28" s="161">
        <v>2.1900864715425961E-2</v>
      </c>
      <c r="I28" s="161">
        <v>2.2149209047431784E-2</v>
      </c>
      <c r="J28" s="154"/>
      <c r="K28" s="154"/>
      <c r="L28" s="154"/>
      <c r="M28" s="154"/>
      <c r="N28" s="154"/>
      <c r="O28" s="154"/>
      <c r="P28" s="154"/>
      <c r="Q28" s="154">
        <v>9.9343360411583884E-2</v>
      </c>
      <c r="R28" s="155"/>
    </row>
    <row r="29" spans="2:18" ht="15" x14ac:dyDescent="0.4">
      <c r="B29" s="369"/>
      <c r="C29" s="370"/>
      <c r="D29" s="144" t="s">
        <v>70</v>
      </c>
      <c r="E29" s="160">
        <v>2.015364940677887E-2</v>
      </c>
      <c r="F29" s="160">
        <v>4.8137603099592002E-2</v>
      </c>
      <c r="G29" s="160">
        <v>2.7753476726296418E-2</v>
      </c>
      <c r="H29" s="160">
        <v>2.8950118469927264E-2</v>
      </c>
      <c r="I29" s="160">
        <v>2.9144305307096004E-2</v>
      </c>
      <c r="J29" s="156"/>
      <c r="K29" s="156"/>
      <c r="L29" s="156"/>
      <c r="M29" s="156"/>
      <c r="N29" s="156"/>
      <c r="O29" s="156"/>
      <c r="P29" s="156"/>
      <c r="Q29" s="156">
        <v>0.12499484770259456</v>
      </c>
      <c r="R29" s="157"/>
    </row>
    <row r="30" spans="2:18" ht="15" x14ac:dyDescent="0.4">
      <c r="B30" s="369"/>
      <c r="C30" s="370"/>
      <c r="D30" s="144" t="s">
        <v>115</v>
      </c>
      <c r="E30" s="160">
        <v>5.2401087284808218E-2</v>
      </c>
      <c r="F30" s="160">
        <v>5.8260938869849364E-2</v>
      </c>
      <c r="G30" s="160">
        <v>6.1979648473635525E-2</v>
      </c>
      <c r="H30" s="160">
        <v>6.1302005123222328E-2</v>
      </c>
      <c r="I30" s="160">
        <v>8.466989929130922E-2</v>
      </c>
      <c r="J30" s="156"/>
      <c r="K30" s="156"/>
      <c r="L30" s="156"/>
      <c r="M30" s="156"/>
      <c r="N30" s="156"/>
      <c r="O30" s="156"/>
      <c r="P30" s="156"/>
      <c r="Q30" s="156">
        <v>0.23394367975151542</v>
      </c>
      <c r="R30" s="157"/>
    </row>
    <row r="31" spans="2:18" ht="15" x14ac:dyDescent="0.4">
      <c r="B31" s="369"/>
      <c r="C31" s="370"/>
      <c r="D31" s="144" t="s">
        <v>114</v>
      </c>
      <c r="E31" s="160">
        <v>6.5507847969905303E-2</v>
      </c>
      <c r="F31" s="160">
        <v>6.6975224612033757E-2</v>
      </c>
      <c r="G31" s="160">
        <v>5.2564102564102565E-2</v>
      </c>
      <c r="H31" s="160">
        <v>4.7323277136941733E-2</v>
      </c>
      <c r="I31" s="160">
        <v>5.1084990958408683E-2</v>
      </c>
      <c r="J31" s="156"/>
      <c r="K31" s="156"/>
      <c r="L31" s="156"/>
      <c r="M31" s="156"/>
      <c r="N31" s="156"/>
      <c r="O31" s="156"/>
      <c r="P31" s="156"/>
      <c r="Q31" s="156">
        <v>0.23237045228298336</v>
      </c>
      <c r="R31" s="157"/>
    </row>
    <row r="32" spans="2:18" ht="15" x14ac:dyDescent="0.4">
      <c r="B32" s="371"/>
      <c r="C32" s="372"/>
      <c r="D32" s="144" t="s">
        <v>105</v>
      </c>
      <c r="E32" s="160">
        <v>1.4742367096413359E-2</v>
      </c>
      <c r="F32" s="160">
        <v>2.1613207787899665E-2</v>
      </c>
      <c r="G32" s="160">
        <v>1.6102492486110689E-2</v>
      </c>
      <c r="H32" s="160">
        <v>1.4552426629866127E-2</v>
      </c>
      <c r="I32" s="160">
        <v>1.4702711179941581E-2</v>
      </c>
      <c r="J32" s="156"/>
      <c r="K32" s="156"/>
      <c r="L32" s="156"/>
      <c r="M32" s="156"/>
      <c r="N32" s="156"/>
      <c r="O32" s="156"/>
      <c r="P32" s="156"/>
      <c r="Q32" s="156">
        <v>6.7010494000289841E-2</v>
      </c>
      <c r="R32" s="157"/>
    </row>
    <row r="33" spans="2:18" ht="15" x14ac:dyDescent="0.4">
      <c r="B33" s="367" t="s">
        <v>27</v>
      </c>
      <c r="C33" s="368"/>
      <c r="D33" s="142" t="s">
        <v>109</v>
      </c>
      <c r="E33" s="154">
        <v>0</v>
      </c>
      <c r="F33" s="154">
        <v>0</v>
      </c>
      <c r="G33" s="154">
        <v>0</v>
      </c>
      <c r="H33" s="154">
        <v>0</v>
      </c>
      <c r="I33" s="154">
        <v>0</v>
      </c>
      <c r="J33" s="154"/>
      <c r="K33" s="154"/>
      <c r="L33" s="154"/>
      <c r="M33" s="154"/>
      <c r="N33" s="154"/>
      <c r="O33" s="154"/>
      <c r="P33" s="154"/>
      <c r="Q33" s="154">
        <v>0</v>
      </c>
      <c r="R33" s="155"/>
    </row>
    <row r="34" spans="2:18" ht="15" x14ac:dyDescent="0.4">
      <c r="B34" s="369"/>
      <c r="C34" s="370"/>
      <c r="D34" s="144" t="s">
        <v>70</v>
      </c>
      <c r="E34" s="156">
        <v>42583.29692505917</v>
      </c>
      <c r="F34" s="156">
        <v>44826.152964857378</v>
      </c>
      <c r="G34" s="156">
        <v>45465.626314318521</v>
      </c>
      <c r="H34" s="156">
        <v>45360.802672466678</v>
      </c>
      <c r="I34" s="156">
        <v>44327.920031069298</v>
      </c>
      <c r="J34" s="156">
        <v>44310.632893106987</v>
      </c>
      <c r="K34" s="156">
        <v>43294.755026469327</v>
      </c>
      <c r="L34" s="156">
        <v>44922.838132835765</v>
      </c>
      <c r="M34" s="156">
        <v>45487.467479966144</v>
      </c>
      <c r="N34" s="156"/>
      <c r="O34" s="156"/>
      <c r="P34" s="156"/>
      <c r="Q34" s="156">
        <v>0</v>
      </c>
      <c r="R34" s="157"/>
    </row>
  </sheetData>
  <mergeCells count="8">
    <mergeCell ref="B28:C32"/>
    <mergeCell ref="B33:C34"/>
    <mergeCell ref="B23:C27"/>
    <mergeCell ref="B8:C12"/>
    <mergeCell ref="B3:D3"/>
    <mergeCell ref="B4:C7"/>
    <mergeCell ref="B13:C17"/>
    <mergeCell ref="B18:C22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FB21-7A7E-4805-AF74-5461C1BDF99A}">
  <sheetPr>
    <tabColor theme="1"/>
  </sheetPr>
  <dimension ref="A1:BC41"/>
  <sheetViews>
    <sheetView showGridLines="0" zoomScale="85" zoomScaleNormal="85" zoomScaleSheetLayoutView="100" workbookViewId="0">
      <selection activeCell="E9" sqref="E9:P9"/>
    </sheetView>
  </sheetViews>
  <sheetFormatPr defaultRowHeight="14.5" outlineLevelCol="1" x14ac:dyDescent="0.35"/>
  <cols>
    <col min="2" max="4" width="13.81640625" customWidth="1"/>
    <col min="5" max="6" width="13.81640625" customWidth="1" outlineLevel="1"/>
    <col min="7" max="7" width="22.90625" customWidth="1" outlineLevel="1"/>
    <col min="8" max="17" width="13.81640625" customWidth="1" outlineLevel="1"/>
    <col min="18" max="30" width="13.81640625" customWidth="1"/>
    <col min="31" max="42" width="10.7265625" customWidth="1"/>
    <col min="43" max="43" width="13.81640625" customWidth="1"/>
    <col min="44" max="48" width="10.6328125" bestFit="1" customWidth="1"/>
    <col min="49" max="55" width="10.6328125" style="168" bestFit="1" customWidth="1"/>
    <col min="56" max="16384" width="8.7265625" style="168"/>
  </cols>
  <sheetData>
    <row r="1" spans="2:55" ht="15.5" thickBot="1" x14ac:dyDescent="0.45">
      <c r="H1" s="262"/>
      <c r="AJ1" s="168"/>
      <c r="AK1" s="168"/>
      <c r="AL1" s="168"/>
      <c r="AM1" s="168"/>
      <c r="AN1" s="168"/>
      <c r="AO1" s="168"/>
      <c r="AP1" s="168"/>
    </row>
    <row r="2" spans="2:55" ht="21.5" x14ac:dyDescent="0.55000000000000004">
      <c r="B2" s="254" t="s">
        <v>10</v>
      </c>
      <c r="C2" s="261" t="s">
        <v>27</v>
      </c>
      <c r="D2" s="254" t="s">
        <v>70</v>
      </c>
      <c r="E2" s="240" t="s">
        <v>71</v>
      </c>
      <c r="F2" s="240" t="s">
        <v>253</v>
      </c>
      <c r="G2" s="240" t="s">
        <v>258</v>
      </c>
      <c r="AK2" s="168"/>
      <c r="AL2" s="168"/>
      <c r="AM2" s="168"/>
      <c r="AN2" s="168"/>
      <c r="AO2" s="168"/>
      <c r="AP2" s="168"/>
      <c r="AW2"/>
    </row>
    <row r="3" spans="2:55" ht="21.5" x14ac:dyDescent="0.55000000000000004">
      <c r="B3" s="255" t="s">
        <v>213</v>
      </c>
      <c r="C3" s="358">
        <f>SUM(E9:P9)</f>
        <v>68.900000000000006</v>
      </c>
      <c r="D3" s="359">
        <f>SUM(E10:P10)</f>
        <v>56.751069727272736</v>
      </c>
      <c r="E3" s="360">
        <f>SUM(E11:P11)</f>
        <v>5.7589302727272722</v>
      </c>
      <c r="F3" s="360">
        <f>SUM(G12:P12)</f>
        <v>6.3900000000000006</v>
      </c>
      <c r="G3" s="241"/>
      <c r="R3" s="16">
        <f>1-R10/P10</f>
        <v>7.0741033333016623E-2</v>
      </c>
      <c r="S3" s="16">
        <f t="shared" ref="S3:V3" si="0">1-S10/R10</f>
        <v>-1.1984708671178401E-2</v>
      </c>
      <c r="T3" s="16">
        <f t="shared" si="0"/>
        <v>6.1963609997295332E-2</v>
      </c>
      <c r="U3" s="16">
        <f t="shared" si="0"/>
        <v>4.2851670597429781E-2</v>
      </c>
      <c r="V3" s="16">
        <f t="shared" si="0"/>
        <v>4.1005230529314707E-2</v>
      </c>
      <c r="AK3" s="168"/>
      <c r="AL3" s="168"/>
      <c r="AM3" s="168"/>
      <c r="AN3" s="168"/>
      <c r="AO3" s="168"/>
      <c r="AP3" s="168"/>
      <c r="AW3"/>
    </row>
    <row r="4" spans="2:55" ht="21.5" x14ac:dyDescent="0.55000000000000004">
      <c r="B4" s="256" t="s">
        <v>248</v>
      </c>
      <c r="C4" s="361">
        <f>SUM(R9:AC9)</f>
        <v>60.040496189999992</v>
      </c>
      <c r="D4" s="362">
        <f>SUM(R10:AC10)</f>
        <v>37.497676949090916</v>
      </c>
      <c r="E4" s="363">
        <f>SUM(R11:AC11)</f>
        <v>3.2788238772727274</v>
      </c>
      <c r="F4" s="363">
        <f>SUM(R12:AC12)</f>
        <v>19.263995363636361</v>
      </c>
      <c r="G4" s="266"/>
      <c r="R4" s="16">
        <f>1-R11/P11</f>
        <v>7.5080481443667857E-2</v>
      </c>
      <c r="S4" s="16">
        <f t="shared" ref="S4:V4" si="1">1-S11/R11</f>
        <v>-8.8330114841260965E-2</v>
      </c>
      <c r="T4" s="16">
        <f t="shared" si="1"/>
        <v>5.6609373256741868E-2</v>
      </c>
      <c r="U4" s="16">
        <f t="shared" si="1"/>
        <v>8.3219929044746399E-2</v>
      </c>
      <c r="V4" s="16">
        <f t="shared" si="1"/>
        <v>5.8923020470368903E-2</v>
      </c>
      <c r="AE4" s="325">
        <f>AE14*$AC$39*0.085/1.1/100000000</f>
        <v>1.6457570059500202</v>
      </c>
      <c r="AF4" s="325">
        <f>AF14*$AC$39*0.085/1.1/100000000</f>
        <v>1.3275464337269705</v>
      </c>
      <c r="AG4" s="325">
        <f>AG14*$AC$39*0.085/1.1/100000000</f>
        <v>1.0708625436984587</v>
      </c>
      <c r="AK4" s="168"/>
      <c r="AL4" s="168"/>
      <c r="AM4" s="168"/>
      <c r="AN4" s="168"/>
      <c r="AO4" s="168"/>
      <c r="AP4" s="168"/>
      <c r="AW4"/>
    </row>
    <row r="5" spans="2:55" ht="21.5" x14ac:dyDescent="0.55000000000000004">
      <c r="B5" s="256" t="s">
        <v>249</v>
      </c>
      <c r="C5" s="361">
        <f>SUM(AE9:AP9)</f>
        <v>52.915118788751485</v>
      </c>
      <c r="D5" s="362">
        <f>SUM(AE10:AP10)</f>
        <v>16.214830005642234</v>
      </c>
      <c r="E5" s="363">
        <f>SUM(AE11:AP11)</f>
        <v>1.2251900136103044</v>
      </c>
      <c r="F5" s="363">
        <f>SUM(AE12:AP12)</f>
        <v>35.475098769498935</v>
      </c>
      <c r="G5" s="266"/>
      <c r="R5" s="16">
        <f>1-R12/P12</f>
        <v>-2.0000000000000018E-2</v>
      </c>
      <c r="S5" s="16">
        <f t="shared" ref="S5:V5" si="2">1-S12/R12</f>
        <v>-8.8235294117647189E-2</v>
      </c>
      <c r="T5" s="16">
        <f t="shared" si="2"/>
        <v>-8.1081081081080919E-2</v>
      </c>
      <c r="U5" s="16">
        <f t="shared" si="2"/>
        <v>-4.7249992424242437E-2</v>
      </c>
      <c r="V5" s="16">
        <f t="shared" si="2"/>
        <v>-5.3926648103811869E-2</v>
      </c>
      <c r="AK5" s="168"/>
      <c r="AL5" s="168"/>
      <c r="AM5" s="168"/>
      <c r="AN5" s="168"/>
      <c r="AO5" s="168"/>
      <c r="AP5" s="168"/>
      <c r="AW5"/>
    </row>
    <row r="6" spans="2:55" ht="22" thickBot="1" x14ac:dyDescent="0.6">
      <c r="B6" s="256" t="s">
        <v>250</v>
      </c>
      <c r="C6" s="364">
        <f>SUM(AR9:BC9)</f>
        <v>55.381674495145148</v>
      </c>
      <c r="D6" s="362">
        <f>SUM(AR10:BC10)</f>
        <v>5.7061472835550076</v>
      </c>
      <c r="E6" s="363">
        <f>SUM(AR11:BC11)</f>
        <v>0.48491770967905856</v>
      </c>
      <c r="F6" s="363">
        <f>SUM(AR12:BC12)</f>
        <v>49.190609501911084</v>
      </c>
      <c r="G6" s="266"/>
      <c r="H6" s="16"/>
      <c r="I6" s="16"/>
      <c r="J6" s="16"/>
      <c r="K6" s="16">
        <f t="shared" ref="K6:P6" si="3">K17/J17-1</f>
        <v>0.13092837610142816</v>
      </c>
      <c r="L6" s="16">
        <f t="shared" si="3"/>
        <v>8.0660918838385109E-2</v>
      </c>
      <c r="M6" s="16">
        <f t="shared" si="3"/>
        <v>0.21567165022431656</v>
      </c>
      <c r="N6" s="16">
        <f t="shared" si="3"/>
        <v>0.13650814308024084</v>
      </c>
      <c r="O6" s="16">
        <f t="shared" si="3"/>
        <v>4.908351804745581E-2</v>
      </c>
      <c r="P6" s="16">
        <f t="shared" si="3"/>
        <v>4.4183000421013308E-2</v>
      </c>
      <c r="Q6" s="16"/>
      <c r="R6" s="16">
        <f>R17/P17-1</f>
        <v>4.1312934465276285E-2</v>
      </c>
      <c r="S6" s="16">
        <f>S17/R17-1</f>
        <v>0.12400510533335241</v>
      </c>
      <c r="T6" s="16">
        <f t="shared" ref="T6:V6" si="4">T17/S17-1</f>
        <v>5.064558932353469E-2</v>
      </c>
      <c r="U6" s="16">
        <f t="shared" si="4"/>
        <v>7.3554145541758986E-2</v>
      </c>
      <c r="V6" s="16">
        <f t="shared" si="4"/>
        <v>0.15403627643389184</v>
      </c>
      <c r="AC6" s="324">
        <f>AC17-AB17</f>
        <v>6052</v>
      </c>
      <c r="AE6" s="324">
        <f>AE17-AC17</f>
        <v>15000</v>
      </c>
      <c r="AF6" s="324">
        <f>AF17-AE17</f>
        <v>15000</v>
      </c>
      <c r="AG6" s="324">
        <f t="shared" ref="AG6:AP6" si="5">AG17-AF17</f>
        <v>15000</v>
      </c>
      <c r="AH6" s="324">
        <f t="shared" si="5"/>
        <v>15000</v>
      </c>
      <c r="AI6" s="324">
        <f t="shared" si="5"/>
        <v>15000</v>
      </c>
      <c r="AJ6" s="324">
        <f t="shared" si="5"/>
        <v>15000</v>
      </c>
      <c r="AK6" s="324">
        <f t="shared" si="5"/>
        <v>15000</v>
      </c>
      <c r="AL6" s="324">
        <f t="shared" si="5"/>
        <v>15000</v>
      </c>
      <c r="AM6" s="324">
        <f t="shared" si="5"/>
        <v>15000</v>
      </c>
      <c r="AN6" s="324">
        <f t="shared" si="5"/>
        <v>15000</v>
      </c>
      <c r="AO6" s="324">
        <f t="shared" si="5"/>
        <v>15000</v>
      </c>
      <c r="AP6" s="324">
        <f t="shared" si="5"/>
        <v>15000</v>
      </c>
      <c r="AS6" s="324"/>
      <c r="AW6"/>
    </row>
    <row r="7" spans="2:55" x14ac:dyDescent="0.35">
      <c r="S7" s="324">
        <f>S17-R17</f>
        <v>17294</v>
      </c>
      <c r="T7" s="324">
        <f>T17-S17</f>
        <v>7939</v>
      </c>
      <c r="U7" s="324">
        <f>U17-T17</f>
        <v>12114</v>
      </c>
      <c r="V7" s="324">
        <f t="shared" ref="V7:AC7" si="6">V17-U17</f>
        <v>27235</v>
      </c>
      <c r="W7" s="324">
        <f t="shared" si="6"/>
        <v>12000</v>
      </c>
      <c r="X7" s="324">
        <f t="shared" si="6"/>
        <v>23052</v>
      </c>
      <c r="Y7" s="324">
        <f t="shared" si="6"/>
        <v>8242</v>
      </c>
      <c r="Z7" s="324">
        <f t="shared" si="6"/>
        <v>15660</v>
      </c>
      <c r="AA7" s="324">
        <f t="shared" si="6"/>
        <v>9107</v>
      </c>
      <c r="AB7" s="324">
        <f t="shared" si="6"/>
        <v>5851</v>
      </c>
      <c r="AC7" s="324">
        <f t="shared" si="6"/>
        <v>6052</v>
      </c>
      <c r="AE7" s="325">
        <f>AE17*$AC$39*0.022/1.1/100000000</f>
        <v>2.3169759508910115</v>
      </c>
      <c r="AF7" s="325">
        <f t="shared" ref="AF7:AP7" si="7">AF17*$AC$39*0.022/1.1/100000000</f>
        <v>2.433209092691115</v>
      </c>
      <c r="AG7" s="325">
        <f t="shared" si="7"/>
        <v>2.549442234491218</v>
      </c>
      <c r="AH7" s="325">
        <f t="shared" si="7"/>
        <v>2.665675376291321</v>
      </c>
      <c r="AI7" s="325">
        <f t="shared" si="7"/>
        <v>2.7819085180914236</v>
      </c>
      <c r="AJ7" s="325">
        <f t="shared" si="7"/>
        <v>2.8981416598915266</v>
      </c>
      <c r="AK7" s="325">
        <f t="shared" si="7"/>
        <v>3.0143748016916292</v>
      </c>
      <c r="AL7" s="325">
        <f t="shared" si="7"/>
        <v>3.1306079434917327</v>
      </c>
      <c r="AM7" s="325">
        <f t="shared" si="7"/>
        <v>3.2468410852918352</v>
      </c>
      <c r="AN7" s="325">
        <f t="shared" si="7"/>
        <v>3.3630742270919383</v>
      </c>
      <c r="AO7" s="325">
        <f t="shared" si="7"/>
        <v>3.4793073688920413</v>
      </c>
      <c r="AP7" s="325">
        <f t="shared" si="7"/>
        <v>3.5955405106921439</v>
      </c>
      <c r="AR7" s="325">
        <f>AR17*$AC$39*0.022/1.1/100000000</f>
        <v>3.6730292718922133</v>
      </c>
      <c r="AS7" s="325">
        <f t="shared" ref="AS7:BC7" si="8">AS17*$AC$39*0.022/1.1/100000000</f>
        <v>3.7505180330922818</v>
      </c>
      <c r="AT7" s="325">
        <f t="shared" si="8"/>
        <v>3.8280067942923504</v>
      </c>
      <c r="AU7" s="325">
        <f t="shared" si="8"/>
        <v>3.9054955554924184</v>
      </c>
      <c r="AV7" s="325">
        <f t="shared" si="8"/>
        <v>3.9829843166924874</v>
      </c>
      <c r="AW7" s="325">
        <f t="shared" si="8"/>
        <v>4.0604730778925564</v>
      </c>
      <c r="AX7" s="325">
        <f t="shared" si="8"/>
        <v>4.1379618390926245</v>
      </c>
      <c r="AY7" s="325">
        <f t="shared" si="8"/>
        <v>4.2154506002926944</v>
      </c>
      <c r="AZ7" s="325">
        <f t="shared" si="8"/>
        <v>4.2929393614927616</v>
      </c>
      <c r="BA7" s="325">
        <f t="shared" si="8"/>
        <v>4.3704281226928305</v>
      </c>
      <c r="BB7" s="325">
        <f t="shared" si="8"/>
        <v>4.4479168838928986</v>
      </c>
      <c r="BC7" s="325">
        <f t="shared" si="8"/>
        <v>4.5254056450929676</v>
      </c>
    </row>
    <row r="8" spans="2:55" ht="15" x14ac:dyDescent="0.4">
      <c r="B8" s="365" t="s">
        <v>10</v>
      </c>
      <c r="C8" s="365"/>
      <c r="D8" s="366"/>
      <c r="E8" s="232">
        <v>2401</v>
      </c>
      <c r="F8" s="232">
        <v>2402</v>
      </c>
      <c r="G8" s="232">
        <v>2403</v>
      </c>
      <c r="H8" s="232">
        <v>2404</v>
      </c>
      <c r="I8" s="232">
        <v>2405</v>
      </c>
      <c r="J8" s="232">
        <v>2406</v>
      </c>
      <c r="K8" s="232">
        <v>2407</v>
      </c>
      <c r="L8" s="232">
        <v>2408</v>
      </c>
      <c r="M8" s="232">
        <v>2409</v>
      </c>
      <c r="N8" s="232">
        <v>2410</v>
      </c>
      <c r="O8" s="232">
        <v>2411</v>
      </c>
      <c r="P8" s="232">
        <v>2412</v>
      </c>
      <c r="R8" s="264">
        <v>2501</v>
      </c>
      <c r="S8" s="264">
        <v>2502</v>
      </c>
      <c r="T8" s="264">
        <v>2503</v>
      </c>
      <c r="U8" s="264">
        <v>2504</v>
      </c>
      <c r="V8" s="264">
        <v>2505</v>
      </c>
      <c r="W8" s="264">
        <v>2506</v>
      </c>
      <c r="X8" s="264">
        <v>2507</v>
      </c>
      <c r="Y8" s="264">
        <v>2508</v>
      </c>
      <c r="Z8" s="264">
        <v>2509</v>
      </c>
      <c r="AA8" s="264">
        <v>2510</v>
      </c>
      <c r="AB8" s="264">
        <v>2511</v>
      </c>
      <c r="AC8" s="264">
        <v>2512</v>
      </c>
      <c r="AE8" s="140">
        <v>2601</v>
      </c>
      <c r="AF8" s="140">
        <v>2602</v>
      </c>
      <c r="AG8" s="140">
        <v>2603</v>
      </c>
      <c r="AH8" s="140">
        <v>2604</v>
      </c>
      <c r="AI8" s="140">
        <v>2605</v>
      </c>
      <c r="AJ8" s="140">
        <v>2606</v>
      </c>
      <c r="AK8" s="140">
        <v>2607</v>
      </c>
      <c r="AL8" s="140">
        <v>2608</v>
      </c>
      <c r="AM8" s="140">
        <v>2609</v>
      </c>
      <c r="AN8" s="140">
        <v>2610</v>
      </c>
      <c r="AO8" s="140">
        <v>2611</v>
      </c>
      <c r="AP8" s="140">
        <v>2612</v>
      </c>
      <c r="AR8" s="264">
        <v>2701</v>
      </c>
      <c r="AS8" s="264">
        <v>2702</v>
      </c>
      <c r="AT8" s="264">
        <v>2703</v>
      </c>
      <c r="AU8" s="264">
        <v>2704</v>
      </c>
      <c r="AV8" s="264">
        <v>2705</v>
      </c>
      <c r="AW8" s="264">
        <v>2706</v>
      </c>
      <c r="AX8" s="264">
        <v>2707</v>
      </c>
      <c r="AY8" s="264">
        <v>2708</v>
      </c>
      <c r="AZ8" s="264">
        <v>2709</v>
      </c>
      <c r="BA8" s="264">
        <v>2710</v>
      </c>
      <c r="BB8" s="264">
        <v>2711</v>
      </c>
      <c r="BC8" s="264">
        <v>2712</v>
      </c>
    </row>
    <row r="9" spans="2:55" ht="15" x14ac:dyDescent="0.4">
      <c r="B9" s="367" t="s">
        <v>219</v>
      </c>
      <c r="C9" s="368"/>
      <c r="D9" s="142" t="s">
        <v>109</v>
      </c>
      <c r="E9" s="143">
        <v>6</v>
      </c>
      <c r="F9" s="143">
        <v>5.7</v>
      </c>
      <c r="G9" s="143">
        <v>5.9</v>
      </c>
      <c r="H9" s="143">
        <v>5.8</v>
      </c>
      <c r="I9" s="143">
        <v>5.8</v>
      </c>
      <c r="J9" s="143">
        <v>5.7</v>
      </c>
      <c r="K9" s="143">
        <v>5.8</v>
      </c>
      <c r="L9" s="143">
        <v>5.7</v>
      </c>
      <c r="M9" s="143">
        <v>5.7</v>
      </c>
      <c r="N9" s="143">
        <v>5.7</v>
      </c>
      <c r="O9" s="143">
        <v>5.6</v>
      </c>
      <c r="P9" s="143">
        <v>5.5</v>
      </c>
      <c r="R9" s="143">
        <v>5.2</v>
      </c>
      <c r="S9" s="143">
        <v>5.3671953700000001</v>
      </c>
      <c r="T9" s="143">
        <v>5.1954725700000006</v>
      </c>
      <c r="U9" s="143">
        <v>5.0662480399999996</v>
      </c>
      <c r="V9" s="143">
        <v>4.9718197100000001</v>
      </c>
      <c r="W9" s="143">
        <v>5.0249524000000001</v>
      </c>
      <c r="X9" s="143">
        <v>5.0028643500000003</v>
      </c>
      <c r="Y9" s="143">
        <v>5.0574361099999994</v>
      </c>
      <c r="Z9" s="143">
        <v>4.9543201099999994</v>
      </c>
      <c r="AA9" s="143">
        <v>4.8782752499999997</v>
      </c>
      <c r="AB9" s="143">
        <v>4.68329182</v>
      </c>
      <c r="AC9" s="143">
        <v>4.6386204600000003</v>
      </c>
      <c r="AE9" s="143">
        <f t="shared" ref="AE9" si="9">AE10+AE11+AE12</f>
        <v>4.5531201694373955</v>
      </c>
      <c r="AF9" s="143">
        <f t="shared" ref="AF9" si="10">AF10+AF11+AF12</f>
        <v>4.484325606452698</v>
      </c>
      <c r="AG9" s="143">
        <f t="shared" ref="AG9" si="11">AG10+AG11+AG12</f>
        <v>4.4308524289334947</v>
      </c>
      <c r="AH9" s="143">
        <f t="shared" ref="AH9" si="12">AH10+AH11+AH12</f>
        <v>4.3914310793605882</v>
      </c>
      <c r="AI9" s="143">
        <f t="shared" ref="AI9" si="13">AI10+AI11+AI12</f>
        <v>4.3648972621101576</v>
      </c>
      <c r="AJ9" s="143">
        <f t="shared" ref="AJ9" si="14">AJ10+AJ11+AJ12</f>
        <v>4.350183211159818</v>
      </c>
      <c r="AK9" s="143">
        <f t="shared" ref="AK9" si="15">AK10+AK11+AK12</f>
        <v>4.3463096825644953</v>
      </c>
      <c r="AL9" s="143">
        <f t="shared" ref="AL9" si="16">AL10+AL11+AL12</f>
        <v>4.3523786115203684</v>
      </c>
      <c r="AM9" s="143">
        <f t="shared" ref="AM9" si="17">AM10+AM11+AM12</f>
        <v>4.3675663788343382</v>
      </c>
      <c r="AN9" s="143">
        <f t="shared" ref="AN9" si="18">AN10+AN11+AN12</f>
        <v>4.3911176362003124</v>
      </c>
      <c r="AO9" s="143">
        <f t="shared" ref="AO9" si="19">AO10+AO11+AO12</f>
        <v>4.4223396438864668</v>
      </c>
      <c r="AP9" s="143">
        <f t="shared" ref="AP9" si="20">AP10+AP11+AP12</f>
        <v>4.4605970782913404</v>
      </c>
      <c r="AR9" s="356">
        <f t="shared" ref="AR9" si="21">AR10+AR11+AR12</f>
        <v>4.466562889760028</v>
      </c>
      <c r="AS9" s="356">
        <f t="shared" ref="AS9" si="22">AS10+AS11+AS12</f>
        <v>4.4784470778918264</v>
      </c>
      <c r="AT9" s="356">
        <f t="shared" ref="AT9" si="23">AT10+AT11+AT12</f>
        <v>4.495759545540853</v>
      </c>
      <c r="AU9" s="356">
        <f t="shared" ref="AU9" si="24">AU10+AU11+AU12</f>
        <v>4.5180508074356984</v>
      </c>
      <c r="AV9" s="356">
        <f t="shared" ref="AV9" si="25">AV10+AV11+AV12</f>
        <v>4.5449086228412421</v>
      </c>
      <c r="AW9" s="356">
        <f t="shared" ref="AW9" si="26">AW10+AW11+AW12</f>
        <v>4.57595490757602</v>
      </c>
      <c r="AX9" s="356">
        <f t="shared" ref="AX9" si="27">AX10+AX11+AX12</f>
        <v>4.6108429021983373</v>
      </c>
      <c r="AY9" s="356">
        <f t="shared" ref="AY9" si="28">AY10+AY11+AY12</f>
        <v>4.6492545750996817</v>
      </c>
      <c r="AZ9" s="356">
        <f t="shared" ref="AZ9" si="29">AZ10+AZ11+AZ12</f>
        <v>4.6908982410094318</v>
      </c>
      <c r="BA9" s="356">
        <f t="shared" ref="BA9" si="30">BA10+BA11+BA12</f>
        <v>4.735506377033686</v>
      </c>
      <c r="BB9" s="356">
        <f t="shared" ref="BB9" si="31">BB10+BB11+BB12</f>
        <v>4.7828336198352632</v>
      </c>
      <c r="BC9" s="356">
        <f t="shared" ref="BC9" si="32">BC10+BC11+BC12</f>
        <v>4.8326549289230822</v>
      </c>
    </row>
    <row r="10" spans="2:55" ht="15" x14ac:dyDescent="0.4">
      <c r="B10" s="369"/>
      <c r="C10" s="370"/>
      <c r="D10" s="144" t="s">
        <v>70</v>
      </c>
      <c r="E10" s="145">
        <v>5.4332440000000002</v>
      </c>
      <c r="F10" s="145">
        <v>5.1382723636363643</v>
      </c>
      <c r="G10" s="145">
        <v>4.9912975454545458</v>
      </c>
      <c r="H10" s="145">
        <v>4.8656638181818179</v>
      </c>
      <c r="I10" s="145">
        <v>4.8242471818181816</v>
      </c>
      <c r="J10" s="145">
        <v>4.7041880000000003</v>
      </c>
      <c r="K10" s="145">
        <v>4.7789876363636363</v>
      </c>
      <c r="L10" s="145">
        <v>4.6154407272727278</v>
      </c>
      <c r="M10" s="145">
        <v>4.5852237272727274</v>
      </c>
      <c r="N10" s="145">
        <v>4.4370475454545462</v>
      </c>
      <c r="O10" s="145">
        <v>4.2612271818181817</v>
      </c>
      <c r="P10" s="145">
        <v>4.1162299999999998</v>
      </c>
      <c r="R10" s="145">
        <v>3.8250436363636369</v>
      </c>
      <c r="S10" s="145">
        <f>S9-S11-S12</f>
        <v>3.8708856699999998</v>
      </c>
      <c r="T10" s="145">
        <f t="shared" ref="T10:AB10" si="33">T9-T11-T12</f>
        <v>3.6310316200000008</v>
      </c>
      <c r="U10" s="145">
        <f t="shared" si="33"/>
        <v>3.4754358490909087</v>
      </c>
      <c r="V10" s="145">
        <f t="shared" si="33"/>
        <v>3.3329248009090913</v>
      </c>
      <c r="W10" s="145">
        <f t="shared" si="33"/>
        <v>3.226107400000001</v>
      </c>
      <c r="X10" s="145">
        <f t="shared" si="33"/>
        <v>3.0953714136363644</v>
      </c>
      <c r="Y10" s="145">
        <f t="shared" si="33"/>
        <v>2.9918249463636357</v>
      </c>
      <c r="Z10" s="145">
        <f t="shared" si="33"/>
        <v>2.7994639281818174</v>
      </c>
      <c r="AA10" s="145">
        <f t="shared" si="33"/>
        <v>2.6004978409090915</v>
      </c>
      <c r="AB10" s="145">
        <f t="shared" si="33"/>
        <v>2.3740421018181816</v>
      </c>
      <c r="AC10" s="145">
        <f>AC9-AC11-AC12</f>
        <v>2.2750477418181827</v>
      </c>
      <c r="AE10" s="145">
        <f>AC10*(1-AVERAGE($R34:$AC34)+0.11)</f>
        <v>2.0854177362742701</v>
      </c>
      <c r="AF10" s="145">
        <f>AE10*(1-AVERAGE($R34:$AC34)+0.11)</f>
        <v>1.9115937898040214</v>
      </c>
      <c r="AG10" s="145">
        <f t="shared" ref="AG10:AP10" si="34">AF10*(1-AVERAGE($R34:$AC34)+0.11)</f>
        <v>1.7522584342002112</v>
      </c>
      <c r="AH10" s="145">
        <f t="shared" si="34"/>
        <v>1.6062040149965948</v>
      </c>
      <c r="AI10" s="145">
        <f t="shared" si="34"/>
        <v>1.4723235382620539</v>
      </c>
      <c r="AJ10" s="145">
        <f t="shared" si="34"/>
        <v>1.3496022803336656</v>
      </c>
      <c r="AK10" s="145">
        <f t="shared" si="34"/>
        <v>1.2371100968961353</v>
      </c>
      <c r="AL10" s="145">
        <f t="shared" si="34"/>
        <v>1.1339943731156044</v>
      </c>
      <c r="AM10" s="145">
        <f t="shared" si="34"/>
        <v>1.0394735613946064</v>
      </c>
      <c r="AN10" s="145">
        <f t="shared" si="34"/>
        <v>0.95283125776871491</v>
      </c>
      <c r="AO10" s="145">
        <f t="shared" si="34"/>
        <v>0.87341077204796524</v>
      </c>
      <c r="AP10" s="145">
        <f t="shared" si="34"/>
        <v>0.80061015054839002</v>
      </c>
      <c r="AR10" s="357">
        <f>AP10*(1-AVERAGE($R34:$AC34)+0.11)</f>
        <v>0.73387761368932958</v>
      </c>
      <c r="AS10" s="357">
        <f>AR10*(1-AVERAGE($R34:$AC34)+0.11)</f>
        <v>0.67270737387658508</v>
      </c>
      <c r="AT10" s="357">
        <f t="shared" ref="AT10:BC10" si="35">AS10*(1-AVERAGE($R34:$AC34)+0.11)</f>
        <v>0.61663580197379086</v>
      </c>
      <c r="AU10" s="357">
        <f t="shared" si="35"/>
        <v>0.56523791330644613</v>
      </c>
      <c r="AV10" s="357">
        <f t="shared" si="35"/>
        <v>0.5181241465648877</v>
      </c>
      <c r="AW10" s="357">
        <f t="shared" si="35"/>
        <v>0.4749374111924628</v>
      </c>
      <c r="AX10" s="357">
        <f t="shared" si="35"/>
        <v>0.43535038088009592</v>
      </c>
      <c r="AY10" s="357">
        <f t="shared" si="35"/>
        <v>0.39906301265376587</v>
      </c>
      <c r="AZ10" s="357">
        <f t="shared" si="35"/>
        <v>0.36580027275125004</v>
      </c>
      <c r="BA10" s="357">
        <f t="shared" si="35"/>
        <v>0.33531005205181647</v>
      </c>
      <c r="BB10" s="357">
        <f t="shared" si="35"/>
        <v>0.30736125525922714</v>
      </c>
      <c r="BC10" s="357">
        <f t="shared" si="35"/>
        <v>0.2817420493553498</v>
      </c>
    </row>
    <row r="11" spans="2:55" ht="15" x14ac:dyDescent="0.4">
      <c r="B11" s="369"/>
      <c r="C11" s="370"/>
      <c r="D11" s="144" t="s">
        <v>71</v>
      </c>
      <c r="E11" s="145">
        <v>0.56675599999999993</v>
      </c>
      <c r="F11" s="145">
        <v>0.56172763636363632</v>
      </c>
      <c r="G11" s="145">
        <v>0.54870245454545452</v>
      </c>
      <c r="H11" s="145">
        <v>0.52433618181818176</v>
      </c>
      <c r="I11" s="145">
        <v>0.50575281818181816</v>
      </c>
      <c r="J11" s="145">
        <v>0.48581199999999991</v>
      </c>
      <c r="K11" s="145">
        <v>0.47101236363636362</v>
      </c>
      <c r="L11" s="145">
        <v>0.45455927272727265</v>
      </c>
      <c r="M11" s="145">
        <v>0.43477627272727265</v>
      </c>
      <c r="N11" s="145">
        <v>0.42295245454545455</v>
      </c>
      <c r="O11" s="145">
        <v>0.39877281818181814</v>
      </c>
      <c r="P11" s="145">
        <v>0.38377</v>
      </c>
      <c r="R11" s="145">
        <v>0.35495636363636357</v>
      </c>
      <c r="S11" s="145">
        <v>0.38630969999999998</v>
      </c>
      <c r="T11" s="145">
        <v>0.36444094999999999</v>
      </c>
      <c r="U11" s="145">
        <v>0.33411220000000003</v>
      </c>
      <c r="V11" s="145">
        <v>0.31442530000000002</v>
      </c>
      <c r="W11" s="145">
        <v>0.27255490909090907</v>
      </c>
      <c r="X11" s="145">
        <v>0.25416227272727299</v>
      </c>
      <c r="Y11" s="145">
        <v>0.23730499999999999</v>
      </c>
      <c r="Z11" s="145">
        <v>0.22229145454545454</v>
      </c>
      <c r="AA11" s="145">
        <v>0.19918072727272701</v>
      </c>
      <c r="AB11" s="145">
        <v>0.17625509090909089</v>
      </c>
      <c r="AC11" s="145">
        <v>0.16282990909090908</v>
      </c>
      <c r="AE11" s="145">
        <f>AC11*(1-AVERAGE($R35:$AC35))</f>
        <v>0.15072648227211374</v>
      </c>
      <c r="AF11" s="145">
        <f>AE11*(1-AVERAGE($R35:$AC35))</f>
        <v>0.13952272395756199</v>
      </c>
      <c r="AG11" s="145">
        <f t="shared" ref="AG11:AP11" si="36">AF11*(1-AVERAGE($R35:$AC35))</f>
        <v>0.12915176024206598</v>
      </c>
      <c r="AH11" s="145">
        <f t="shared" si="36"/>
        <v>0.11955168807267288</v>
      </c>
      <c r="AI11" s="145">
        <f t="shared" si="36"/>
        <v>0.1106652057566803</v>
      </c>
      <c r="AJ11" s="145">
        <f t="shared" si="36"/>
        <v>0.10243927093462563</v>
      </c>
      <c r="AK11" s="145">
        <f t="shared" si="36"/>
        <v>9.4824783976730428E-2</v>
      </c>
      <c r="AL11" s="145">
        <f t="shared" si="36"/>
        <v>8.7776294913031072E-2</v>
      </c>
      <c r="AM11" s="145">
        <f t="shared" si="36"/>
        <v>8.1251732147896036E-2</v>
      </c>
      <c r="AN11" s="145">
        <f t="shared" si="36"/>
        <v>7.5212151339659097E-2</v>
      </c>
      <c r="AO11" s="145">
        <f t="shared" si="36"/>
        <v>6.9621502946460759E-2</v>
      </c>
      <c r="AP11" s="145">
        <f t="shared" si="36"/>
        <v>6.444641705080649E-2</v>
      </c>
      <c r="AR11" s="357">
        <f>AP11*(1-AVERAGE($R35:$AC35))</f>
        <v>5.9656004178485177E-2</v>
      </c>
      <c r="AS11" s="357">
        <f>AR11*(1-AVERAGE($R35:$AC35))</f>
        <v>5.522167092295948E-2</v>
      </c>
      <c r="AT11" s="357">
        <f t="shared" ref="AT11:BC11" si="37">AS11*(1-AVERAGE($R35:$AC35))</f>
        <v>5.1116949274711915E-2</v>
      </c>
      <c r="AU11" s="357">
        <f t="shared" si="37"/>
        <v>4.7317338636833774E-2</v>
      </c>
      <c r="AV11" s="357">
        <f t="shared" si="37"/>
        <v>4.3800159583866724E-2</v>
      </c>
      <c r="AW11" s="357">
        <f t="shared" si="37"/>
        <v>4.054441849100085E-2</v>
      </c>
      <c r="AX11" s="357">
        <f t="shared" si="37"/>
        <v>3.7530682225616924E-2</v>
      </c>
      <c r="AY11" s="357">
        <f t="shared" si="37"/>
        <v>3.4740962153221588E-2</v>
      </c>
      <c r="AZ11" s="357">
        <f t="shared" si="37"/>
        <v>3.2158606765420594E-2</v>
      </c>
      <c r="BA11" s="357">
        <f t="shared" si="37"/>
        <v>2.9768202289039199E-2</v>
      </c>
      <c r="BB11" s="357">
        <f t="shared" si="37"/>
        <v>2.7555480683137394E-2</v>
      </c>
      <c r="BC11" s="357">
        <f t="shared" si="37"/>
        <v>2.5507234474764967E-2</v>
      </c>
    </row>
    <row r="12" spans="2:55" ht="16.5" customHeight="1" x14ac:dyDescent="0.4">
      <c r="B12" s="371"/>
      <c r="C12" s="372"/>
      <c r="D12" s="144" t="s">
        <v>105</v>
      </c>
      <c r="E12" s="263"/>
      <c r="F12" s="263"/>
      <c r="G12" s="145">
        <v>0.36</v>
      </c>
      <c r="H12" s="145">
        <v>0.41</v>
      </c>
      <c r="I12" s="145">
        <v>0.47</v>
      </c>
      <c r="J12" s="145">
        <v>0.51</v>
      </c>
      <c r="K12" s="145">
        <v>0.55000000000000004</v>
      </c>
      <c r="L12" s="145">
        <v>0.63</v>
      </c>
      <c r="M12" s="145">
        <v>0.68</v>
      </c>
      <c r="N12" s="145">
        <v>0.84</v>
      </c>
      <c r="O12" s="145">
        <v>0.94</v>
      </c>
      <c r="P12" s="145">
        <v>1</v>
      </c>
      <c r="R12" s="145">
        <v>1.02</v>
      </c>
      <c r="S12" s="145">
        <v>1.1100000000000001</v>
      </c>
      <c r="T12" s="145">
        <v>1.2</v>
      </c>
      <c r="U12" s="145">
        <v>1.2566999909090908</v>
      </c>
      <c r="V12" s="145">
        <v>1.3244696090909089</v>
      </c>
      <c r="W12" s="145">
        <v>1.5262900909090906</v>
      </c>
      <c r="X12" s="145">
        <v>1.6533306636363634</v>
      </c>
      <c r="Y12" s="145">
        <v>1.8283061636363636</v>
      </c>
      <c r="Z12" s="145">
        <v>1.9325647272727271</v>
      </c>
      <c r="AA12" s="145">
        <v>2.0785966818181816</v>
      </c>
      <c r="AB12" s="145">
        <v>2.1329946272727272</v>
      </c>
      <c r="AC12" s="145">
        <v>2.2007428090909089</v>
      </c>
      <c r="AE12" s="145">
        <v>2.3169759508910115</v>
      </c>
      <c r="AF12" s="145">
        <v>2.433209092691115</v>
      </c>
      <c r="AG12" s="145">
        <v>2.549442234491218</v>
      </c>
      <c r="AH12" s="145">
        <v>2.665675376291321</v>
      </c>
      <c r="AI12" s="145">
        <v>2.7819085180914236</v>
      </c>
      <c r="AJ12" s="145">
        <v>2.8981416598915266</v>
      </c>
      <c r="AK12" s="145">
        <v>3.0143748016916292</v>
      </c>
      <c r="AL12" s="145">
        <v>3.1306079434917327</v>
      </c>
      <c r="AM12" s="145">
        <v>3.2468410852918352</v>
      </c>
      <c r="AN12" s="145">
        <v>3.3630742270919383</v>
      </c>
      <c r="AO12" s="145">
        <v>3.4793073688920413</v>
      </c>
      <c r="AP12" s="145">
        <v>3.5955405106921439</v>
      </c>
      <c r="AR12" s="357">
        <v>3.6730292718922133</v>
      </c>
      <c r="AS12" s="357">
        <v>3.7505180330922818</v>
      </c>
      <c r="AT12" s="357">
        <v>3.8280067942923504</v>
      </c>
      <c r="AU12" s="357">
        <v>3.9054955554924184</v>
      </c>
      <c r="AV12" s="357">
        <v>3.9829843166924874</v>
      </c>
      <c r="AW12" s="357">
        <v>4.0604730778925564</v>
      </c>
      <c r="AX12" s="357">
        <v>4.1379618390926245</v>
      </c>
      <c r="AY12" s="357">
        <v>4.2154506002926944</v>
      </c>
      <c r="AZ12" s="357">
        <v>4.2929393614927616</v>
      </c>
      <c r="BA12" s="357">
        <v>4.3704281226928305</v>
      </c>
      <c r="BB12" s="357">
        <v>4.4479168838928986</v>
      </c>
      <c r="BC12" s="357">
        <v>4.5254056450929676</v>
      </c>
    </row>
    <row r="13" spans="2:55" ht="15" x14ac:dyDescent="0.4">
      <c r="B13" s="367" t="s">
        <v>221</v>
      </c>
      <c r="C13" s="368"/>
      <c r="D13" s="142" t="s">
        <v>109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R13" s="148">
        <f>R14+R15+R16+R17</f>
        <v>267542</v>
      </c>
      <c r="S13" s="148">
        <f t="shared" ref="S13:AC13" si="38">S14+S15+S16+S17</f>
        <v>278856</v>
      </c>
      <c r="T13" s="148">
        <f t="shared" si="38"/>
        <v>283053</v>
      </c>
      <c r="U13" s="148">
        <f t="shared" si="38"/>
        <v>291541</v>
      </c>
      <c r="V13" s="148">
        <f t="shared" si="38"/>
        <v>315316</v>
      </c>
      <c r="W13" s="148">
        <f t="shared" si="38"/>
        <v>324282</v>
      </c>
      <c r="X13" s="148">
        <f t="shared" si="38"/>
        <v>343557</v>
      </c>
      <c r="Y13" s="148">
        <f t="shared" si="38"/>
        <v>347475</v>
      </c>
      <c r="Z13" s="148">
        <f t="shared" si="38"/>
        <v>357641</v>
      </c>
      <c r="AA13" s="148">
        <f t="shared" si="38"/>
        <v>361750</v>
      </c>
      <c r="AB13" s="148">
        <f t="shared" si="38"/>
        <v>362832</v>
      </c>
      <c r="AC13" s="148">
        <f t="shared" si="38"/>
        <v>364758</v>
      </c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R13" s="148"/>
      <c r="AS13" s="148"/>
      <c r="AT13" s="148"/>
      <c r="AU13" s="148"/>
      <c r="AV13" s="148"/>
    </row>
    <row r="14" spans="2:55" ht="15" x14ac:dyDescent="0.4">
      <c r="B14" s="369"/>
      <c r="C14" s="370"/>
      <c r="D14" s="144" t="s">
        <v>70</v>
      </c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R14" s="150">
        <v>107127</v>
      </c>
      <c r="S14" s="150">
        <v>102207</v>
      </c>
      <c r="T14" s="150">
        <v>99447</v>
      </c>
      <c r="U14" s="150">
        <v>96649</v>
      </c>
      <c r="V14" s="150">
        <v>93912</v>
      </c>
      <c r="W14" s="150">
        <v>91452</v>
      </c>
      <c r="X14" s="150">
        <v>87993</v>
      </c>
      <c r="Y14" s="150">
        <v>84372</v>
      </c>
      <c r="Z14" s="150">
        <v>79564</v>
      </c>
      <c r="AA14" s="150">
        <v>75358</v>
      </c>
      <c r="AB14" s="150">
        <v>71471</v>
      </c>
      <c r="AC14" s="150">
        <v>68147</v>
      </c>
      <c r="AE14" s="150">
        <f>AC14*(1-AVERAGE($R34:$AC34))</f>
        <v>54970.634481345354</v>
      </c>
      <c r="AF14" s="150">
        <f>AE14*(1-AVERAGE($R34:$AC34))</f>
        <v>44341.94689834732</v>
      </c>
      <c r="AG14" s="150">
        <f t="shared" ref="AG14:AP14" si="39">AF14*(1-AVERAGE($R34:$AC34))</f>
        <v>35768.338373520121</v>
      </c>
      <c r="AH14" s="150">
        <f t="shared" si="39"/>
        <v>28852.455056508039</v>
      </c>
      <c r="AI14" s="150">
        <f t="shared" si="39"/>
        <v>23273.772298131214</v>
      </c>
      <c r="AJ14" s="150">
        <f t="shared" si="39"/>
        <v>18773.739563042131</v>
      </c>
      <c r="AK14" s="150">
        <f t="shared" si="39"/>
        <v>15143.797604706901</v>
      </c>
      <c r="AL14" s="150">
        <f t="shared" si="39"/>
        <v>12215.71254476083</v>
      </c>
      <c r="AM14" s="150">
        <f t="shared" si="39"/>
        <v>9853.7788784133227</v>
      </c>
      <c r="AN14" s="150">
        <f t="shared" si="39"/>
        <v>7948.5300451268567</v>
      </c>
      <c r="AO14" s="150">
        <f t="shared" si="39"/>
        <v>6411.6650736592937</v>
      </c>
      <c r="AP14" s="150">
        <f t="shared" si="39"/>
        <v>5171.9561709383133</v>
      </c>
      <c r="AR14" s="150">
        <f>AP14*(1-AVERAGE($R34:$AC34))</f>
        <v>4171.9475872186376</v>
      </c>
      <c r="AS14" s="150">
        <f>AR14*(1-AVERAGE($R34:$AC34))</f>
        <v>3365.2927625915504</v>
      </c>
      <c r="AT14" s="150">
        <f t="shared" ref="AT14:AT16" si="40">AR14*(1-AVERAGE($R34:$AC34))</f>
        <v>3365.2927625915504</v>
      </c>
      <c r="AU14" s="150">
        <f t="shared" ref="AU14" si="41">AT14*(1-AVERAGE($R34:$AC34))</f>
        <v>2714.6063418072263</v>
      </c>
      <c r="AV14" s="150">
        <f t="shared" ref="AV14:AV16" si="42">AT14*(1-AVERAGE($R34:$AC34))</f>
        <v>2714.6063418072263</v>
      </c>
      <c r="AW14" s="150">
        <f t="shared" ref="AW14" si="43">AV14*(1-AVERAGE($R34:$AC34))</f>
        <v>2189.7315065406706</v>
      </c>
      <c r="AX14" s="150">
        <f t="shared" ref="AX14:AX16" si="44">AV14*(1-AVERAGE($R34:$AC34))</f>
        <v>2189.7315065406706</v>
      </c>
      <c r="AY14" s="150">
        <f t="shared" ref="AY14" si="45">AX14*(1-AVERAGE($R34:$AC34))</f>
        <v>1766.3423226016243</v>
      </c>
      <c r="AZ14" s="150">
        <f t="shared" ref="AZ14:AZ16" si="46">AX14*(1-AVERAGE($R34:$AC34))</f>
        <v>1766.3423226016243</v>
      </c>
      <c r="BA14" s="150">
        <f t="shared" ref="BA14" si="47">AZ14*(1-AVERAGE($R34:$AC34))</f>
        <v>1424.8163262456819</v>
      </c>
      <c r="BB14" s="150">
        <f t="shared" ref="BB14:BB16" si="48">AZ14*(1-AVERAGE($R34:$AC34))</f>
        <v>1424.8163262456819</v>
      </c>
      <c r="BC14" s="150">
        <f t="shared" ref="BC14:BC15" si="49">BB14*(1-AVERAGE($R34:$AC34))</f>
        <v>1149.3250982890618</v>
      </c>
    </row>
    <row r="15" spans="2:55" ht="15" x14ac:dyDescent="0.4">
      <c r="B15" s="369"/>
      <c r="C15" s="370"/>
      <c r="D15" s="144" t="s">
        <v>115</v>
      </c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R15" s="150">
        <v>13244</v>
      </c>
      <c r="S15" s="150">
        <v>12547</v>
      </c>
      <c r="T15" s="150">
        <v>11891</v>
      </c>
      <c r="U15" s="150">
        <v>11321</v>
      </c>
      <c r="V15" s="150">
        <v>10724</v>
      </c>
      <c r="W15" s="150">
        <v>10289</v>
      </c>
      <c r="X15" s="150">
        <v>10026</v>
      </c>
      <c r="Y15" s="150">
        <v>9479</v>
      </c>
      <c r="Z15" s="150">
        <v>8937</v>
      </c>
      <c r="AA15" s="150">
        <v>8398</v>
      </c>
      <c r="AB15" s="150">
        <v>7766</v>
      </c>
      <c r="AC15" s="150">
        <v>7193</v>
      </c>
      <c r="AE15" s="150">
        <f>AC15*(1-AVERAGE($R35:$AC35))</f>
        <v>6658.3319553289894</v>
      </c>
      <c r="AF15" s="150">
        <f>AE15*(1-AVERAGE($R35:$AC35))</f>
        <v>6163.4067047622912</v>
      </c>
      <c r="AG15" s="150">
        <f t="shared" ref="AG15:AP15" si="50">AF15*(1-AVERAGE($R35:$AC35))</f>
        <v>5705.270098152052</v>
      </c>
      <c r="AH15" s="150">
        <f t="shared" si="50"/>
        <v>5281.1875724049451</v>
      </c>
      <c r="AI15" s="150">
        <f t="shared" si="50"/>
        <v>4888.6278291992458</v>
      </c>
      <c r="AJ15" s="150">
        <f t="shared" si="50"/>
        <v>4525.2477259652342</v>
      </c>
      <c r="AK15" s="150">
        <f t="shared" si="50"/>
        <v>4188.8782899449689</v>
      </c>
      <c r="AL15" s="150">
        <f t="shared" si="50"/>
        <v>3877.5117718510269</v>
      </c>
      <c r="AM15" s="150">
        <f t="shared" si="50"/>
        <v>3589.2896618490231</v>
      </c>
      <c r="AN15" s="150">
        <f t="shared" si="50"/>
        <v>3322.4915963327308</v>
      </c>
      <c r="AO15" s="150">
        <f t="shared" si="50"/>
        <v>3075.5250892776653</v>
      </c>
      <c r="AP15" s="150">
        <f t="shared" si="50"/>
        <v>2846.91602688079</v>
      </c>
      <c r="AR15" s="150">
        <f>AP15*(1-AVERAGE($R35:$AC35))</f>
        <v>2635.2998687499803</v>
      </c>
      <c r="AS15" s="150">
        <f>AR15*(1-AVERAGE($R35:$AC35))</f>
        <v>2439.4135031241881</v>
      </c>
      <c r="AT15" s="150">
        <f t="shared" si="40"/>
        <v>2439.4135031241881</v>
      </c>
      <c r="AU15" s="150">
        <f t="shared" ref="AU15" si="51">AT15*(1-AVERAGE($R35:$AC35))</f>
        <v>2258.0877075090802</v>
      </c>
      <c r="AV15" s="150">
        <f t="shared" si="42"/>
        <v>2258.0877075090802</v>
      </c>
      <c r="AW15" s="150">
        <f t="shared" ref="AW15" si="52">AV15*(1-AVERAGE($R35:$AC35))</f>
        <v>2090.24016972658</v>
      </c>
      <c r="AX15" s="150">
        <f t="shared" si="44"/>
        <v>2090.24016972658</v>
      </c>
      <c r="AY15" s="150">
        <f t="shared" ref="AY15" si="53">AX15*(1-AVERAGE($R35:$AC35))</f>
        <v>1934.869027721782</v>
      </c>
      <c r="AZ15" s="150">
        <f t="shared" si="46"/>
        <v>1934.869027721782</v>
      </c>
      <c r="BA15" s="150">
        <f t="shared" ref="BA15" si="54">AZ15*(1-AVERAGE($R35:$AC35))</f>
        <v>1791.0468895671172</v>
      </c>
      <c r="BB15" s="150">
        <f t="shared" si="48"/>
        <v>1791.0468895671172</v>
      </c>
      <c r="BC15" s="150">
        <f t="shared" si="49"/>
        <v>1657.9152979698774</v>
      </c>
    </row>
    <row r="16" spans="2:55" ht="15" x14ac:dyDescent="0.4">
      <c r="B16" s="369"/>
      <c r="C16" s="370"/>
      <c r="D16" s="144" t="s">
        <v>114</v>
      </c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R16" s="150">
        <v>7709</v>
      </c>
      <c r="S16" s="150">
        <v>7346</v>
      </c>
      <c r="T16" s="150">
        <v>7020</v>
      </c>
      <c r="U16" s="150">
        <v>6762</v>
      </c>
      <c r="V16" s="150">
        <v>6636</v>
      </c>
      <c r="W16" s="150">
        <v>6497</v>
      </c>
      <c r="X16" s="150">
        <v>6442</v>
      </c>
      <c r="Y16" s="150">
        <v>6286</v>
      </c>
      <c r="Z16" s="150">
        <v>6142</v>
      </c>
      <c r="AA16" s="150">
        <v>5889</v>
      </c>
      <c r="AB16" s="150">
        <v>5639</v>
      </c>
      <c r="AC16" s="150">
        <v>5410</v>
      </c>
      <c r="AE16" s="150">
        <f t="shared" ref="AE16" si="55">AC16*(1-AVERAGE($R36:$AC36))</f>
        <v>5106.7742835407871</v>
      </c>
      <c r="AF16" s="150">
        <f t="shared" ref="AF16:AP16" si="56">AE16*(1-AVERAGE($R36:$AC36))</f>
        <v>4820.5441003758815</v>
      </c>
      <c r="AG16" s="150">
        <f t="shared" si="56"/>
        <v>4550.3568658916465</v>
      </c>
      <c r="AH16" s="150">
        <f t="shared" si="56"/>
        <v>4295.3133869997619</v>
      </c>
      <c r="AI16" s="150">
        <f t="shared" si="56"/>
        <v>4054.5648695894379</v>
      </c>
      <c r="AJ16" s="150">
        <f t="shared" si="56"/>
        <v>3827.3100937092877</v>
      </c>
      <c r="AK16" s="150">
        <f t="shared" si="56"/>
        <v>3612.7927470777577</v>
      </c>
      <c r="AL16" s="150">
        <f t="shared" si="56"/>
        <v>3410.2989080479419</v>
      </c>
      <c r="AM16" s="150">
        <f t="shared" si="56"/>
        <v>3219.1546696499918</v>
      </c>
      <c r="AN16" s="150">
        <f t="shared" si="56"/>
        <v>3038.7238968038473</v>
      </c>
      <c r="AO16" s="150">
        <f t="shared" si="56"/>
        <v>2868.4061092382135</v>
      </c>
      <c r="AP16" s="150">
        <f t="shared" si="56"/>
        <v>2707.6344830700541</v>
      </c>
      <c r="AR16" s="150">
        <f t="shared" ref="AR16" si="57">AP16*(1-AVERAGE($R36:$AC36))</f>
        <v>2555.8739643937902</v>
      </c>
      <c r="AS16" s="150">
        <f t="shared" ref="AS16:BC16" si="58">AR16*(1-AVERAGE($R36:$AC36))</f>
        <v>2412.6194886021531</v>
      </c>
      <c r="AT16" s="150">
        <f t="shared" si="40"/>
        <v>2412.6194886021531</v>
      </c>
      <c r="AU16" s="150">
        <f t="shared" si="58"/>
        <v>2277.3942995125321</v>
      </c>
      <c r="AV16" s="150">
        <f t="shared" si="42"/>
        <v>2277.3942995125321</v>
      </c>
      <c r="AW16" s="150">
        <f t="shared" si="58"/>
        <v>2149.7483627048027</v>
      </c>
      <c r="AX16" s="150">
        <f t="shared" si="44"/>
        <v>2149.7483627048027</v>
      </c>
      <c r="AY16" s="150">
        <f t="shared" si="58"/>
        <v>2029.2568677901661</v>
      </c>
      <c r="AZ16" s="150">
        <f t="shared" si="46"/>
        <v>2029.2568677901661</v>
      </c>
      <c r="BA16" s="150">
        <f t="shared" si="58"/>
        <v>1915.5188146264966</v>
      </c>
      <c r="BB16" s="150">
        <f t="shared" si="48"/>
        <v>1915.5188146264966</v>
      </c>
      <c r="BC16" s="150">
        <f t="shared" si="58"/>
        <v>1808.1556787750692</v>
      </c>
    </row>
    <row r="17" spans="2:55" ht="15" x14ac:dyDescent="0.4">
      <c r="B17" s="371"/>
      <c r="C17" s="372"/>
      <c r="D17" s="144" t="s">
        <v>105</v>
      </c>
      <c r="E17" s="251">
        <v>39059</v>
      </c>
      <c r="F17" s="251">
        <v>47012</v>
      </c>
      <c r="G17" s="251">
        <v>54324</v>
      </c>
      <c r="H17" s="251">
        <v>60817</v>
      </c>
      <c r="I17" s="251">
        <v>67721</v>
      </c>
      <c r="J17" s="251">
        <v>72406</v>
      </c>
      <c r="K17" s="251">
        <v>81886</v>
      </c>
      <c r="L17" s="251">
        <v>88491</v>
      </c>
      <c r="M17" s="251">
        <v>107576</v>
      </c>
      <c r="N17" s="251">
        <v>122261</v>
      </c>
      <c r="O17" s="251">
        <v>128262</v>
      </c>
      <c r="P17" s="251">
        <v>133929</v>
      </c>
      <c r="R17" s="150">
        <v>139462</v>
      </c>
      <c r="S17" s="150">
        <v>156756</v>
      </c>
      <c r="T17" s="150">
        <v>164695</v>
      </c>
      <c r="U17" s="150">
        <v>176809</v>
      </c>
      <c r="V17" s="150">
        <v>204044</v>
      </c>
      <c r="W17" s="150">
        <v>216044</v>
      </c>
      <c r="X17" s="150">
        <v>239096</v>
      </c>
      <c r="Y17" s="150">
        <v>247338</v>
      </c>
      <c r="Z17" s="150">
        <v>262998</v>
      </c>
      <c r="AA17" s="150">
        <v>272105</v>
      </c>
      <c r="AB17" s="150">
        <v>277956</v>
      </c>
      <c r="AC17" s="150">
        <v>284008</v>
      </c>
      <c r="AE17" s="150">
        <f>AC17+15000</f>
        <v>299008</v>
      </c>
      <c r="AF17" s="150">
        <f>AE17+15000</f>
        <v>314008</v>
      </c>
      <c r="AG17" s="150">
        <f t="shared" ref="AG17:AP17" si="59">AF17+15000</f>
        <v>329008</v>
      </c>
      <c r="AH17" s="150">
        <f t="shared" si="59"/>
        <v>344008</v>
      </c>
      <c r="AI17" s="150">
        <f t="shared" si="59"/>
        <v>359008</v>
      </c>
      <c r="AJ17" s="150">
        <f t="shared" si="59"/>
        <v>374008</v>
      </c>
      <c r="AK17" s="150">
        <f t="shared" si="59"/>
        <v>389008</v>
      </c>
      <c r="AL17" s="150">
        <f t="shared" si="59"/>
        <v>404008</v>
      </c>
      <c r="AM17" s="150">
        <f t="shared" si="59"/>
        <v>419008</v>
      </c>
      <c r="AN17" s="150">
        <f t="shared" si="59"/>
        <v>434008</v>
      </c>
      <c r="AO17" s="150">
        <f t="shared" si="59"/>
        <v>449008</v>
      </c>
      <c r="AP17" s="150">
        <f t="shared" si="59"/>
        <v>464008</v>
      </c>
      <c r="AR17" s="150">
        <f>AP17+10000</f>
        <v>474008</v>
      </c>
      <c r="AS17" s="150">
        <f>AR17+10000</f>
        <v>484008</v>
      </c>
      <c r="AT17" s="150">
        <f t="shared" ref="AT17:BC17" si="60">AS17+10000</f>
        <v>494008</v>
      </c>
      <c r="AU17" s="150">
        <f t="shared" si="60"/>
        <v>504008</v>
      </c>
      <c r="AV17" s="150">
        <f t="shared" si="60"/>
        <v>514008</v>
      </c>
      <c r="AW17" s="150">
        <f t="shared" si="60"/>
        <v>524008</v>
      </c>
      <c r="AX17" s="150">
        <f t="shared" si="60"/>
        <v>534008</v>
      </c>
      <c r="AY17" s="150">
        <f t="shared" si="60"/>
        <v>544008</v>
      </c>
      <c r="AZ17" s="150">
        <f t="shared" si="60"/>
        <v>554008</v>
      </c>
      <c r="BA17" s="150">
        <f t="shared" si="60"/>
        <v>564008</v>
      </c>
      <c r="BB17" s="150">
        <f t="shared" si="60"/>
        <v>574008</v>
      </c>
      <c r="BC17" s="150">
        <f t="shared" si="60"/>
        <v>584008</v>
      </c>
    </row>
    <row r="18" spans="2:55" ht="15" x14ac:dyDescent="0.4">
      <c r="B18" s="367" t="s">
        <v>222</v>
      </c>
      <c r="C18" s="368"/>
      <c r="D18" s="142" t="s">
        <v>109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R18" s="154">
        <f>R20+R21+R22</f>
        <v>7635</v>
      </c>
      <c r="S18" s="154">
        <f t="shared" ref="S18:AC18" si="61">S20+S21+S22</f>
        <v>20716</v>
      </c>
      <c r="T18" s="154">
        <f t="shared" si="61"/>
        <v>10715</v>
      </c>
      <c r="U18" s="154">
        <f t="shared" si="61"/>
        <v>14873</v>
      </c>
      <c r="V18" s="154">
        <f t="shared" si="61"/>
        <v>30759</v>
      </c>
      <c r="W18" s="154">
        <f t="shared" si="61"/>
        <v>15342</v>
      </c>
      <c r="X18" s="154">
        <f t="shared" si="61"/>
        <v>29017</v>
      </c>
      <c r="Y18" s="154">
        <f t="shared" si="61"/>
        <v>13774</v>
      </c>
      <c r="Z18" s="154">
        <f t="shared" si="61"/>
        <v>23659</v>
      </c>
      <c r="AA18" s="154">
        <f t="shared" si="61"/>
        <v>14956</v>
      </c>
      <c r="AB18" s="154">
        <f t="shared" si="61"/>
        <v>11408</v>
      </c>
      <c r="AC18" s="154">
        <f t="shared" si="61"/>
        <v>12420</v>
      </c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R18" s="154"/>
      <c r="AS18" s="154"/>
      <c r="AT18" s="154"/>
      <c r="AU18" s="154"/>
      <c r="AV18" s="154"/>
    </row>
    <row r="19" spans="2:55" ht="15" x14ac:dyDescent="0.4">
      <c r="B19" s="369"/>
      <c r="C19" s="370"/>
      <c r="D19" s="144" t="s">
        <v>70</v>
      </c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R19" s="156"/>
      <c r="AS19" s="156"/>
      <c r="AT19" s="156"/>
      <c r="AU19" s="156"/>
      <c r="AV19" s="156"/>
    </row>
    <row r="20" spans="2:55" ht="15" x14ac:dyDescent="0.4">
      <c r="B20" s="369"/>
      <c r="C20" s="370"/>
      <c r="D20" s="144" t="s">
        <v>115</v>
      </c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R20" s="156">
        <v>27</v>
      </c>
      <c r="S20" s="156">
        <v>19</v>
      </c>
      <c r="T20" s="156">
        <v>81</v>
      </c>
      <c r="U20" s="156">
        <v>124</v>
      </c>
      <c r="V20" s="156">
        <v>311</v>
      </c>
      <c r="W20" s="156">
        <v>197</v>
      </c>
      <c r="X20" s="156">
        <v>293</v>
      </c>
      <c r="Y20" s="156">
        <v>294</v>
      </c>
      <c r="Z20" s="156">
        <v>295</v>
      </c>
      <c r="AA20" s="156">
        <v>112.00000000000001</v>
      </c>
      <c r="AB20" s="156">
        <v>145</v>
      </c>
      <c r="AC20" s="156">
        <v>130</v>
      </c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R20" s="156"/>
      <c r="AS20" s="156"/>
      <c r="AT20" s="156"/>
      <c r="AU20" s="156"/>
      <c r="AV20" s="156"/>
    </row>
    <row r="21" spans="2:55" ht="15" x14ac:dyDescent="0.4">
      <c r="B21" s="369"/>
      <c r="C21" s="370"/>
      <c r="D21" s="144" t="s">
        <v>114</v>
      </c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R21" s="156">
        <v>20</v>
      </c>
      <c r="S21" s="156">
        <v>15</v>
      </c>
      <c r="T21" s="156">
        <v>43</v>
      </c>
      <c r="U21" s="156">
        <v>62</v>
      </c>
      <c r="V21" s="156">
        <v>213</v>
      </c>
      <c r="W21" s="156">
        <v>119</v>
      </c>
      <c r="X21" s="156">
        <v>223</v>
      </c>
      <c r="Y21" s="156">
        <v>224</v>
      </c>
      <c r="Z21" s="156">
        <v>225</v>
      </c>
      <c r="AA21" s="156">
        <v>78</v>
      </c>
      <c r="AB21" s="156">
        <v>125</v>
      </c>
      <c r="AC21" s="156">
        <v>112</v>
      </c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R21" s="156"/>
      <c r="AS21" s="156"/>
      <c r="AT21" s="156"/>
      <c r="AU21" s="156"/>
      <c r="AV21" s="156"/>
    </row>
    <row r="22" spans="2:55" ht="15" x14ac:dyDescent="0.4">
      <c r="B22" s="371"/>
      <c r="C22" s="372"/>
      <c r="D22" s="144" t="s">
        <v>105</v>
      </c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R22" s="156">
        <v>7588</v>
      </c>
      <c r="S22" s="156">
        <v>20682</v>
      </c>
      <c r="T22" s="156">
        <v>10591</v>
      </c>
      <c r="U22" s="156">
        <v>14687</v>
      </c>
      <c r="V22" s="156">
        <v>30235</v>
      </c>
      <c r="W22" s="156">
        <v>15026</v>
      </c>
      <c r="X22" s="156">
        <v>28501</v>
      </c>
      <c r="Y22" s="156">
        <v>13256</v>
      </c>
      <c r="Z22" s="156">
        <v>23139</v>
      </c>
      <c r="AA22" s="156">
        <v>14766</v>
      </c>
      <c r="AB22" s="156">
        <v>11138</v>
      </c>
      <c r="AC22" s="156">
        <v>12178</v>
      </c>
      <c r="AE22" s="156">
        <v>20000</v>
      </c>
      <c r="AF22" s="156">
        <v>20000</v>
      </c>
      <c r="AG22" s="156">
        <v>20000</v>
      </c>
      <c r="AH22" s="156">
        <v>20000</v>
      </c>
      <c r="AI22" s="156">
        <v>20000</v>
      </c>
      <c r="AJ22" s="156">
        <v>20000</v>
      </c>
      <c r="AK22" s="156">
        <v>20000</v>
      </c>
      <c r="AL22" s="156">
        <v>20000</v>
      </c>
      <c r="AM22" s="156">
        <v>20000</v>
      </c>
      <c r="AN22" s="156">
        <v>20000</v>
      </c>
      <c r="AO22" s="156">
        <v>20000</v>
      </c>
      <c r="AP22" s="156">
        <v>20000</v>
      </c>
      <c r="AR22" s="156">
        <v>20000</v>
      </c>
      <c r="AS22" s="156">
        <v>20000</v>
      </c>
      <c r="AT22" s="156">
        <v>20000</v>
      </c>
      <c r="AU22" s="156">
        <v>20000</v>
      </c>
      <c r="AV22" s="156">
        <v>20000</v>
      </c>
      <c r="AW22" s="156">
        <v>20000</v>
      </c>
      <c r="AX22" s="156">
        <v>20000</v>
      </c>
      <c r="AY22" s="156">
        <v>20000</v>
      </c>
      <c r="AZ22" s="156">
        <v>20000</v>
      </c>
      <c r="BA22" s="156">
        <v>20000</v>
      </c>
      <c r="BB22" s="156">
        <v>20000</v>
      </c>
      <c r="BC22" s="156">
        <v>20000</v>
      </c>
    </row>
    <row r="23" spans="2:55" ht="15" x14ac:dyDescent="0.4">
      <c r="B23" s="367" t="s">
        <v>223</v>
      </c>
      <c r="C23" s="368"/>
      <c r="D23" s="142" t="s">
        <v>109</v>
      </c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R23" s="154">
        <f>R24+R25+R26+R27</f>
        <v>10842</v>
      </c>
      <c r="S23" s="154">
        <f t="shared" ref="S23:AC23" si="62">S24+S25+S26+S27</f>
        <v>25288</v>
      </c>
      <c r="T23" s="154">
        <f t="shared" si="62"/>
        <v>14356</v>
      </c>
      <c r="U23" s="154">
        <f t="shared" si="62"/>
        <v>18275</v>
      </c>
      <c r="V23" s="154">
        <f t="shared" si="62"/>
        <v>34486</v>
      </c>
      <c r="W23" s="154">
        <f t="shared" si="62"/>
        <v>18945</v>
      </c>
      <c r="X23" s="154">
        <f t="shared" si="62"/>
        <v>34784</v>
      </c>
      <c r="Y23" s="154">
        <f t="shared" si="62"/>
        <v>19491</v>
      </c>
      <c r="Z23" s="154">
        <f t="shared" si="62"/>
        <v>31824</v>
      </c>
      <c r="AA23" s="154">
        <f t="shared" si="62"/>
        <v>21407</v>
      </c>
      <c r="AB23" s="154">
        <f t="shared" si="62"/>
        <v>17577</v>
      </c>
      <c r="AC23" s="154">
        <f t="shared" si="62"/>
        <v>19348</v>
      </c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R23" s="154"/>
      <c r="AS23" s="154"/>
      <c r="AT23" s="154"/>
      <c r="AU23" s="154"/>
      <c r="AV23" s="154"/>
    </row>
    <row r="24" spans="2:55" ht="15" x14ac:dyDescent="0.4">
      <c r="B24" s="369"/>
      <c r="C24" s="370"/>
      <c r="D24" s="144" t="s">
        <v>70</v>
      </c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R24" s="156">
        <v>7588</v>
      </c>
      <c r="S24" s="156">
        <v>20682</v>
      </c>
      <c r="T24" s="156">
        <v>10591</v>
      </c>
      <c r="U24" s="156">
        <v>14687</v>
      </c>
      <c r="V24" s="156">
        <v>30235</v>
      </c>
      <c r="W24" s="156">
        <v>15026</v>
      </c>
      <c r="X24" s="156">
        <v>28501</v>
      </c>
      <c r="Y24" s="156">
        <v>13256</v>
      </c>
      <c r="Z24" s="156">
        <v>23139</v>
      </c>
      <c r="AA24" s="156">
        <v>14766</v>
      </c>
      <c r="AB24" s="156">
        <v>11138</v>
      </c>
      <c r="AC24" s="156">
        <v>12178</v>
      </c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R24" s="156"/>
      <c r="AS24" s="156"/>
      <c r="AT24" s="156"/>
      <c r="AU24" s="156"/>
      <c r="AV24" s="156"/>
    </row>
    <row r="25" spans="2:55" ht="15" x14ac:dyDescent="0.4">
      <c r="B25" s="369"/>
      <c r="C25" s="370"/>
      <c r="D25" s="144" t="s">
        <v>115</v>
      </c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R25" s="156">
        <v>694</v>
      </c>
      <c r="S25" s="156">
        <v>716</v>
      </c>
      <c r="T25" s="156">
        <v>737</v>
      </c>
      <c r="U25" s="156">
        <v>694</v>
      </c>
      <c r="V25" s="156">
        <v>908</v>
      </c>
      <c r="W25" s="156">
        <v>632</v>
      </c>
      <c r="X25" s="156">
        <v>556</v>
      </c>
      <c r="Y25" s="156">
        <v>841</v>
      </c>
      <c r="Z25" s="156">
        <v>837</v>
      </c>
      <c r="AA25" s="156">
        <v>651</v>
      </c>
      <c r="AB25" s="156">
        <v>777</v>
      </c>
      <c r="AC25" s="156">
        <v>703</v>
      </c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R25" s="156"/>
      <c r="AS25" s="156"/>
      <c r="AT25" s="156"/>
      <c r="AU25" s="156"/>
      <c r="AV25" s="156"/>
    </row>
    <row r="26" spans="2:55" ht="15" x14ac:dyDescent="0.4">
      <c r="B26" s="369"/>
      <c r="C26" s="370"/>
      <c r="D26" s="144" t="s">
        <v>114</v>
      </c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R26" s="156">
        <v>505</v>
      </c>
      <c r="S26" s="156">
        <v>492</v>
      </c>
      <c r="T26" s="156">
        <v>369</v>
      </c>
      <c r="U26" s="156">
        <v>320</v>
      </c>
      <c r="V26" s="156">
        <v>339</v>
      </c>
      <c r="W26" s="156">
        <v>258</v>
      </c>
      <c r="X26" s="156">
        <v>278</v>
      </c>
      <c r="Y26" s="156">
        <v>380</v>
      </c>
      <c r="Z26" s="156">
        <v>369</v>
      </c>
      <c r="AA26" s="156">
        <v>331</v>
      </c>
      <c r="AB26" s="156">
        <v>375</v>
      </c>
      <c r="AC26" s="156">
        <v>341</v>
      </c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R26" s="156"/>
      <c r="AS26" s="156"/>
      <c r="AT26" s="156"/>
      <c r="AU26" s="156"/>
      <c r="AV26" s="156"/>
    </row>
    <row r="27" spans="2:55" ht="15" x14ac:dyDescent="0.4">
      <c r="B27" s="371"/>
      <c r="C27" s="372"/>
      <c r="D27" s="144" t="s">
        <v>105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R27" s="156">
        <v>2055</v>
      </c>
      <c r="S27" s="156">
        <v>3398</v>
      </c>
      <c r="T27" s="156">
        <v>2659</v>
      </c>
      <c r="U27" s="156">
        <v>2574</v>
      </c>
      <c r="V27" s="156">
        <v>3004</v>
      </c>
      <c r="W27" s="156">
        <v>3029</v>
      </c>
      <c r="X27" s="156">
        <v>5449</v>
      </c>
      <c r="Y27" s="156">
        <v>5014</v>
      </c>
      <c r="Z27" s="156">
        <v>7479</v>
      </c>
      <c r="AA27" s="156">
        <v>5659</v>
      </c>
      <c r="AB27" s="156">
        <v>5287</v>
      </c>
      <c r="AC27" s="156">
        <v>6126</v>
      </c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R27" s="156"/>
      <c r="AS27" s="156"/>
      <c r="AT27" s="156"/>
      <c r="AU27" s="156"/>
      <c r="AV27" s="156"/>
    </row>
    <row r="28" spans="2:55" ht="15" x14ac:dyDescent="0.4">
      <c r="B28" s="367" t="s">
        <v>224</v>
      </c>
      <c r="C28" s="368"/>
      <c r="D28" s="142" t="s">
        <v>109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R28" s="154">
        <f>R29+R30+R31+R32</f>
        <v>2019</v>
      </c>
      <c r="S28" s="154">
        <f t="shared" ref="S28:AC28" si="63">S29+S30+S31+S32</f>
        <v>11192</v>
      </c>
      <c r="T28" s="154">
        <f t="shared" si="63"/>
        <v>4197</v>
      </c>
      <c r="U28" s="154">
        <f t="shared" si="63"/>
        <v>8488</v>
      </c>
      <c r="V28" s="154">
        <f t="shared" si="63"/>
        <v>23775</v>
      </c>
      <c r="W28" s="154">
        <f t="shared" si="63"/>
        <v>8966</v>
      </c>
      <c r="X28" s="154">
        <f t="shared" si="63"/>
        <v>19275</v>
      </c>
      <c r="Y28" s="154">
        <f t="shared" si="63"/>
        <v>3918</v>
      </c>
      <c r="Z28" s="154">
        <f t="shared" si="63"/>
        <v>10166</v>
      </c>
      <c r="AA28" s="154">
        <f t="shared" si="63"/>
        <v>4109</v>
      </c>
      <c r="AB28" s="154">
        <f t="shared" si="63"/>
        <v>1082</v>
      </c>
      <c r="AC28" s="154">
        <f t="shared" si="63"/>
        <v>1926</v>
      </c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R28" s="154"/>
      <c r="AS28" s="154"/>
      <c r="AT28" s="154"/>
      <c r="AU28" s="154"/>
      <c r="AV28" s="154"/>
    </row>
    <row r="29" spans="2:55" ht="15" x14ac:dyDescent="0.4">
      <c r="B29" s="369"/>
      <c r="C29" s="370"/>
      <c r="D29" s="144" t="s">
        <v>70</v>
      </c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R29" s="156">
        <v>-2362</v>
      </c>
      <c r="S29" s="156">
        <v>-4920</v>
      </c>
      <c r="T29" s="156">
        <v>-2760</v>
      </c>
      <c r="U29" s="156">
        <v>-2798</v>
      </c>
      <c r="V29" s="156">
        <v>-2737</v>
      </c>
      <c r="W29" s="156">
        <v>-2460</v>
      </c>
      <c r="X29" s="156">
        <v>-3459</v>
      </c>
      <c r="Y29" s="156">
        <v>-3621</v>
      </c>
      <c r="Z29" s="156">
        <v>-4808</v>
      </c>
      <c r="AA29" s="156">
        <v>-4206</v>
      </c>
      <c r="AB29" s="156">
        <v>-3887</v>
      </c>
      <c r="AC29" s="156">
        <v>-3324</v>
      </c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R29" s="156"/>
      <c r="AS29" s="156"/>
      <c r="AT29" s="156"/>
      <c r="AU29" s="156"/>
      <c r="AV29" s="156"/>
    </row>
    <row r="30" spans="2:55" ht="15" x14ac:dyDescent="0.4">
      <c r="B30" s="369"/>
      <c r="C30" s="370"/>
      <c r="D30" s="144" t="s">
        <v>115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R30" s="156">
        <v>-667</v>
      </c>
      <c r="S30" s="156">
        <v>-697</v>
      </c>
      <c r="T30" s="156">
        <v>-656</v>
      </c>
      <c r="U30" s="156">
        <v>-570</v>
      </c>
      <c r="V30" s="156">
        <v>-597</v>
      </c>
      <c r="W30" s="156">
        <v>-435</v>
      </c>
      <c r="X30" s="156">
        <v>-263</v>
      </c>
      <c r="Y30" s="156">
        <v>-547</v>
      </c>
      <c r="Z30" s="156">
        <v>-542</v>
      </c>
      <c r="AA30" s="156">
        <v>-539</v>
      </c>
      <c r="AB30" s="156">
        <v>-632</v>
      </c>
      <c r="AC30" s="156">
        <v>-573</v>
      </c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R30" s="156"/>
      <c r="AS30" s="156"/>
      <c r="AT30" s="156"/>
      <c r="AU30" s="156"/>
      <c r="AV30" s="156"/>
    </row>
    <row r="31" spans="2:55" ht="15" x14ac:dyDescent="0.4">
      <c r="B31" s="369"/>
      <c r="C31" s="370"/>
      <c r="D31" s="144" t="s">
        <v>114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R31" s="156">
        <v>-485</v>
      </c>
      <c r="S31" s="156">
        <v>-485</v>
      </c>
      <c r="T31" s="156">
        <v>-326</v>
      </c>
      <c r="U31" s="156">
        <v>-258</v>
      </c>
      <c r="V31" s="156">
        <v>-126</v>
      </c>
      <c r="W31" s="156">
        <v>-139</v>
      </c>
      <c r="X31" s="156">
        <v>-55</v>
      </c>
      <c r="Y31" s="156">
        <v>-156</v>
      </c>
      <c r="Z31" s="156">
        <v>-144</v>
      </c>
      <c r="AA31" s="156">
        <v>-253</v>
      </c>
      <c r="AB31" s="156">
        <v>-250</v>
      </c>
      <c r="AC31" s="156">
        <v>-229</v>
      </c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R31" s="156"/>
      <c r="AS31" s="156"/>
      <c r="AT31" s="156"/>
      <c r="AU31" s="156"/>
      <c r="AV31" s="156"/>
    </row>
    <row r="32" spans="2:55" ht="15" x14ac:dyDescent="0.4">
      <c r="B32" s="371"/>
      <c r="C32" s="372"/>
      <c r="D32" s="144" t="s">
        <v>105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R32" s="156">
        <v>5533</v>
      </c>
      <c r="S32" s="156">
        <v>17294</v>
      </c>
      <c r="T32" s="156">
        <v>7939</v>
      </c>
      <c r="U32" s="156">
        <v>12114</v>
      </c>
      <c r="V32" s="156">
        <v>27235</v>
      </c>
      <c r="W32" s="156">
        <v>12000</v>
      </c>
      <c r="X32" s="156">
        <v>23052</v>
      </c>
      <c r="Y32" s="156">
        <v>8242</v>
      </c>
      <c r="Z32" s="156">
        <v>15660</v>
      </c>
      <c r="AA32" s="156">
        <v>9107</v>
      </c>
      <c r="AB32" s="156">
        <v>5851</v>
      </c>
      <c r="AC32" s="156">
        <v>6052</v>
      </c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R32" s="156"/>
      <c r="AS32" s="156"/>
      <c r="AT32" s="156"/>
      <c r="AU32" s="156"/>
      <c r="AV32" s="156"/>
    </row>
    <row r="33" spans="2:48" ht="15" x14ac:dyDescent="0.4">
      <c r="B33" s="367" t="s">
        <v>225</v>
      </c>
      <c r="C33" s="368"/>
      <c r="D33" s="142" t="s">
        <v>109</v>
      </c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R33" s="161">
        <f>AVERAGE(R34:R37)</f>
        <v>5.0868987095320443E-2</v>
      </c>
      <c r="S33" s="161">
        <f t="shared" ref="S33:AC33" si="64">AVERAGE(S34:S37)</f>
        <v>8.7017926494996817E-2</v>
      </c>
      <c r="T33" s="161">
        <f t="shared" si="64"/>
        <v>5.9296921366369444E-2</v>
      </c>
      <c r="U33" s="161">
        <f t="shared" si="64"/>
        <v>6.8786404970372667E-2</v>
      </c>
      <c r="V33" s="161">
        <f t="shared" si="64"/>
        <v>0.11810688538244656</v>
      </c>
      <c r="W33" s="161">
        <f t="shared" si="64"/>
        <v>6.9865130592254618E-2</v>
      </c>
      <c r="X33" s="161">
        <f t="shared" si="64"/>
        <v>0.11132522216394106</v>
      </c>
      <c r="Y33" s="161">
        <f t="shared" si="64"/>
        <v>8.163995646115374E-2</v>
      </c>
      <c r="Z33" s="161">
        <f t="shared" si="64"/>
        <v>0.11824842517631381</v>
      </c>
      <c r="AA33" s="161">
        <f t="shared" si="64"/>
        <v>8.761668822032305E-2</v>
      </c>
      <c r="AB33" s="161">
        <f t="shared" si="64"/>
        <v>8.5353271690094795E-2</v>
      </c>
      <c r="AC33" s="161">
        <f t="shared" si="64"/>
        <v>9.0259267493370904E-2</v>
      </c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R33" s="154"/>
      <c r="AS33" s="154"/>
      <c r="AT33" s="154"/>
      <c r="AU33" s="154"/>
      <c r="AV33" s="154"/>
    </row>
    <row r="34" spans="2:48" ht="15" x14ac:dyDescent="0.4">
      <c r="B34" s="369"/>
      <c r="C34" s="370"/>
      <c r="D34" s="144" t="s">
        <v>70</v>
      </c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R34" s="160">
        <f>R24/R14</f>
        <v>7.0831816442166767E-2</v>
      </c>
      <c r="S34" s="160">
        <f t="shared" ref="S34:AC34" si="65">S24/S14</f>
        <v>0.2023540462003581</v>
      </c>
      <c r="T34" s="160">
        <f t="shared" si="65"/>
        <v>0.10649893913340774</v>
      </c>
      <c r="U34" s="160">
        <f t="shared" si="65"/>
        <v>0.15196225517077258</v>
      </c>
      <c r="V34" s="160">
        <f t="shared" si="65"/>
        <v>0.3219503364852202</v>
      </c>
      <c r="W34" s="160">
        <f t="shared" si="65"/>
        <v>0.16430477190220005</v>
      </c>
      <c r="X34" s="160">
        <f>X24/X14</f>
        <v>0.32390076483356628</v>
      </c>
      <c r="Y34" s="160">
        <f t="shared" si="65"/>
        <v>0.15711373441426066</v>
      </c>
      <c r="Z34" s="160">
        <f t="shared" si="65"/>
        <v>0.29082248252978732</v>
      </c>
      <c r="AA34" s="160">
        <f t="shared" si="65"/>
        <v>0.19594469067650416</v>
      </c>
      <c r="AB34" s="160">
        <f t="shared" si="65"/>
        <v>0.1558394313777616</v>
      </c>
      <c r="AC34" s="160">
        <f t="shared" si="65"/>
        <v>0.17870192378241156</v>
      </c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R34" s="156"/>
      <c r="AS34" s="156"/>
      <c r="AT34" s="156"/>
      <c r="AU34" s="156"/>
      <c r="AV34" s="156"/>
    </row>
    <row r="35" spans="2:48" ht="15" x14ac:dyDescent="0.4">
      <c r="B35" s="369"/>
      <c r="C35" s="370"/>
      <c r="D35" s="144" t="s">
        <v>115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R35" s="160">
        <f t="shared" ref="R35:AC37" si="66">R25/R15</f>
        <v>5.2401087284808218E-2</v>
      </c>
      <c r="S35" s="160">
        <f t="shared" si="66"/>
        <v>5.7065433968279268E-2</v>
      </c>
      <c r="T35" s="160">
        <f t="shared" si="66"/>
        <v>6.1979648473635525E-2</v>
      </c>
      <c r="U35" s="160">
        <f t="shared" si="66"/>
        <v>6.1302005123222328E-2</v>
      </c>
      <c r="V35" s="160">
        <f t="shared" si="66"/>
        <v>8.466989929130922E-2</v>
      </c>
      <c r="W35" s="160">
        <f t="shared" si="66"/>
        <v>6.1424822626105546E-2</v>
      </c>
      <c r="X35" s="160">
        <f t="shared" si="66"/>
        <v>5.5455814881308595E-2</v>
      </c>
      <c r="Y35" s="160">
        <f t="shared" si="66"/>
        <v>8.872243907585188E-2</v>
      </c>
      <c r="Z35" s="160">
        <f t="shared" si="66"/>
        <v>9.3655589123867067E-2</v>
      </c>
      <c r="AA35" s="160">
        <f t="shared" si="66"/>
        <v>7.7518456775422726E-2</v>
      </c>
      <c r="AB35" s="160">
        <f t="shared" si="66"/>
        <v>0.10005150656708731</v>
      </c>
      <c r="AC35" s="160">
        <f t="shared" si="66"/>
        <v>9.7733907966078129E-2</v>
      </c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R35" s="156"/>
      <c r="AS35" s="156"/>
      <c r="AT35" s="156"/>
      <c r="AU35" s="156"/>
      <c r="AV35" s="156"/>
    </row>
    <row r="36" spans="2:48" ht="15" x14ac:dyDescent="0.4">
      <c r="B36" s="369"/>
      <c r="C36" s="370"/>
      <c r="D36" s="144" t="s">
        <v>114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R36" s="160">
        <f t="shared" si="66"/>
        <v>6.5507847969905303E-2</v>
      </c>
      <c r="S36" s="160">
        <f t="shared" si="66"/>
        <v>6.6975224612033757E-2</v>
      </c>
      <c r="T36" s="160">
        <f t="shared" si="66"/>
        <v>5.2564102564102565E-2</v>
      </c>
      <c r="U36" s="160">
        <f t="shared" si="66"/>
        <v>4.7323277136941733E-2</v>
      </c>
      <c r="V36" s="160">
        <f t="shared" si="66"/>
        <v>5.1084990958408683E-2</v>
      </c>
      <c r="W36" s="160">
        <f t="shared" si="66"/>
        <v>3.9710635678005236E-2</v>
      </c>
      <c r="X36" s="160">
        <f t="shared" si="66"/>
        <v>4.3154299906861225E-2</v>
      </c>
      <c r="Y36" s="160">
        <f t="shared" si="66"/>
        <v>6.0451797645561564E-2</v>
      </c>
      <c r="Z36" s="160">
        <f t="shared" si="66"/>
        <v>6.0078150439596224E-2</v>
      </c>
      <c r="AA36" s="160">
        <f t="shared" si="66"/>
        <v>5.6206486670062832E-2</v>
      </c>
      <c r="AB36" s="160">
        <f t="shared" si="66"/>
        <v>6.6501152686646567E-2</v>
      </c>
      <c r="AC36" s="160">
        <f t="shared" si="66"/>
        <v>6.3031423290203323E-2</v>
      </c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R36" s="156"/>
      <c r="AS36" s="156"/>
      <c r="AT36" s="156"/>
      <c r="AU36" s="156"/>
      <c r="AV36" s="156"/>
    </row>
    <row r="37" spans="2:48" ht="15" x14ac:dyDescent="0.4">
      <c r="B37" s="371"/>
      <c r="C37" s="372"/>
      <c r="D37" s="144" t="s">
        <v>105</v>
      </c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R37" s="160">
        <f>R27/R17</f>
        <v>1.4735196684401486E-2</v>
      </c>
      <c r="S37" s="160">
        <f t="shared" si="66"/>
        <v>2.1677001199316134E-2</v>
      </c>
      <c r="T37" s="160">
        <f t="shared" si="66"/>
        <v>1.6144995294331946E-2</v>
      </c>
      <c r="U37" s="160">
        <f t="shared" si="66"/>
        <v>1.4558082450553988E-2</v>
      </c>
      <c r="V37" s="160">
        <f t="shared" si="66"/>
        <v>1.472231479484817E-2</v>
      </c>
      <c r="W37" s="160">
        <f t="shared" si="66"/>
        <v>1.4020292162707596E-2</v>
      </c>
      <c r="X37" s="160">
        <f t="shared" si="66"/>
        <v>2.2790009034028173E-2</v>
      </c>
      <c r="Y37" s="160">
        <f t="shared" si="66"/>
        <v>2.0271854708940801E-2</v>
      </c>
      <c r="Z37" s="160">
        <f t="shared" si="66"/>
        <v>2.8437478612004654E-2</v>
      </c>
      <c r="AA37" s="160">
        <f t="shared" si="66"/>
        <v>2.0797118759302475E-2</v>
      </c>
      <c r="AB37" s="160">
        <f t="shared" si="66"/>
        <v>1.9020996128883708E-2</v>
      </c>
      <c r="AC37" s="160">
        <f t="shared" si="66"/>
        <v>2.1569814934790571E-2</v>
      </c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R37" s="156"/>
      <c r="AS37" s="156"/>
      <c r="AT37" s="156"/>
      <c r="AU37" s="156"/>
      <c r="AV37" s="156"/>
    </row>
    <row r="38" spans="2:48" ht="15" x14ac:dyDescent="0.4">
      <c r="B38" s="367" t="s">
        <v>283</v>
      </c>
      <c r="C38" s="368"/>
      <c r="D38" s="142" t="s">
        <v>109</v>
      </c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R38" s="154">
        <v>0</v>
      </c>
      <c r="S38" s="154">
        <v>0</v>
      </c>
      <c r="T38" s="154">
        <v>0</v>
      </c>
      <c r="U38" s="154">
        <v>0</v>
      </c>
      <c r="V38" s="154">
        <v>0</v>
      </c>
      <c r="W38" s="154"/>
      <c r="X38" s="154"/>
      <c r="Y38" s="154"/>
      <c r="Z38" s="154"/>
      <c r="AA38" s="154"/>
      <c r="AB38" s="154"/>
      <c r="AC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R38" s="154"/>
      <c r="AS38" s="154"/>
      <c r="AT38" s="154"/>
      <c r="AU38" s="154"/>
      <c r="AV38" s="154"/>
    </row>
    <row r="39" spans="2:48" ht="15" x14ac:dyDescent="0.4">
      <c r="B39" s="369"/>
      <c r="C39" s="370"/>
      <c r="D39" s="144" t="s">
        <v>70</v>
      </c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R39" s="323">
        <f>R12*100000000/R17/0.022*1.1</f>
        <v>36569.10126055844</v>
      </c>
      <c r="S39" s="323">
        <f t="shared" ref="S39:AC39" si="67">S12*100000000/S17/0.022*1.1</f>
        <v>35405.343336140257</v>
      </c>
      <c r="T39" s="323">
        <f t="shared" si="67"/>
        <v>36430.978475363554</v>
      </c>
      <c r="U39" s="323">
        <f t="shared" si="67"/>
        <v>35538.349035091283</v>
      </c>
      <c r="V39" s="323">
        <f t="shared" si="67"/>
        <v>32455.490215122943</v>
      </c>
      <c r="W39" s="323">
        <f t="shared" si="67"/>
        <v>35323.593594570804</v>
      </c>
      <c r="X39" s="323">
        <f t="shared" si="67"/>
        <v>34574.619894025076</v>
      </c>
      <c r="Y39" s="323">
        <f t="shared" si="67"/>
        <v>36959.669837153284</v>
      </c>
      <c r="Z39" s="323">
        <f t="shared" si="67"/>
        <v>36741.053682399244</v>
      </c>
      <c r="AA39" s="323">
        <f t="shared" si="67"/>
        <v>38194.753529302696</v>
      </c>
      <c r="AB39" s="323">
        <f t="shared" si="67"/>
        <v>38369.28555729553</v>
      </c>
      <c r="AC39" s="323">
        <f t="shared" si="67"/>
        <v>38744.380600034317</v>
      </c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R39" s="156"/>
      <c r="AS39" s="156"/>
      <c r="AT39" s="156"/>
      <c r="AU39" s="156"/>
      <c r="AV39" s="156"/>
    </row>
    <row r="41" spans="2:48" x14ac:dyDescent="0.35"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</row>
  </sheetData>
  <mergeCells count="8">
    <mergeCell ref="B33:C37"/>
    <mergeCell ref="B38:C39"/>
    <mergeCell ref="B8:D8"/>
    <mergeCell ref="B9:C12"/>
    <mergeCell ref="B13:C17"/>
    <mergeCell ref="B18:C22"/>
    <mergeCell ref="B23:C27"/>
    <mergeCell ref="B28:C32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1B2C-6DF6-48DC-A3FC-2CEF4A39863D}">
  <sheetPr>
    <tabColor theme="1"/>
    <pageSetUpPr fitToPage="1"/>
  </sheetPr>
  <dimension ref="B2:J11"/>
  <sheetViews>
    <sheetView showGridLines="0" topLeftCell="A4" zoomScale="85" zoomScaleNormal="85" workbookViewId="0">
      <selection activeCell="J15" sqref="J15"/>
    </sheetView>
  </sheetViews>
  <sheetFormatPr defaultRowHeight="14.5" x14ac:dyDescent="0.35"/>
  <cols>
    <col min="2" max="2" width="18.08984375" customWidth="1"/>
    <col min="3" max="3" width="20.08984375" customWidth="1"/>
    <col min="4" max="4" width="21" customWidth="1"/>
    <col min="5" max="7" width="18.08984375" customWidth="1"/>
    <col min="8" max="8" width="23.81640625" bestFit="1" customWidth="1"/>
    <col min="9" max="9" width="18.08984375" customWidth="1"/>
    <col min="10" max="10" width="28.81640625" customWidth="1"/>
  </cols>
  <sheetData>
    <row r="2" spans="2:10" ht="41" customHeight="1" x14ac:dyDescent="0.95">
      <c r="B2" s="348" t="s">
        <v>293</v>
      </c>
    </row>
    <row r="3" spans="2:10" ht="15" thickBot="1" x14ac:dyDescent="0.4"/>
    <row r="4" spans="2:10" ht="66" customHeight="1" thickTop="1" thickBot="1" x14ac:dyDescent="0.4">
      <c r="B4" s="338" t="s">
        <v>284</v>
      </c>
      <c r="C4" s="339" t="s">
        <v>292</v>
      </c>
      <c r="D4" s="340" t="s">
        <v>285</v>
      </c>
      <c r="E4" s="342" t="s">
        <v>287</v>
      </c>
      <c r="F4" s="342" t="s">
        <v>288</v>
      </c>
      <c r="G4" s="343" t="s">
        <v>289</v>
      </c>
      <c r="H4" s="350" t="s">
        <v>291</v>
      </c>
      <c r="I4" s="349" t="s">
        <v>290</v>
      </c>
    </row>
    <row r="5" spans="2:10" ht="39.5" customHeight="1" x14ac:dyDescent="0.35">
      <c r="B5" s="344" t="s">
        <v>294</v>
      </c>
      <c r="C5" s="326">
        <v>6809.75</v>
      </c>
      <c r="D5" s="328">
        <v>12.935201875459292</v>
      </c>
      <c r="E5" s="328">
        <f>H5-F5</f>
        <v>53.610862586363645</v>
      </c>
      <c r="F5" s="328">
        <v>5.7225390636363596</v>
      </c>
      <c r="G5" s="329"/>
      <c r="H5" s="351">
        <f>SUM('관리수수료 트렌드 정리'!E51:E62)</f>
        <v>59.333401650000006</v>
      </c>
      <c r="I5" s="330"/>
    </row>
    <row r="6" spans="2:10" ht="39.5" customHeight="1" x14ac:dyDescent="0.35">
      <c r="B6" s="344" t="s">
        <v>295</v>
      </c>
      <c r="C6" s="326">
        <v>6941.833333333333</v>
      </c>
      <c r="D6" s="328">
        <v>11.982974152891559</v>
      </c>
      <c r="E6" s="328">
        <f>H6-F6</f>
        <v>63.488063774545452</v>
      </c>
      <c r="F6" s="328">
        <v>6.4427523454545499</v>
      </c>
      <c r="G6" s="329"/>
      <c r="H6" s="352">
        <f>SUM('관리수수료 트렌드 정리'!E63:E74)</f>
        <v>69.930816120000003</v>
      </c>
      <c r="I6" s="337">
        <v>10.59741447</v>
      </c>
    </row>
    <row r="7" spans="2:10" ht="39.5" customHeight="1" x14ac:dyDescent="0.35">
      <c r="B7" s="345" t="s">
        <v>296</v>
      </c>
      <c r="C7" s="326">
        <v>11501.833333333334</v>
      </c>
      <c r="D7" s="328">
        <v>29.884391067522927</v>
      </c>
      <c r="E7" s="331">
        <v>56.751069727272736</v>
      </c>
      <c r="F7" s="331">
        <v>5.7589302727272722</v>
      </c>
      <c r="G7" s="332">
        <v>6.3900000000000006</v>
      </c>
      <c r="H7" s="353">
        <v>68.900000000000006</v>
      </c>
      <c r="I7" s="335">
        <f t="shared" ref="I7:I10" si="0">H7-H6</f>
        <v>-1.0308161199999972</v>
      </c>
      <c r="J7" s="347" t="s">
        <v>300</v>
      </c>
    </row>
    <row r="8" spans="2:10" ht="39.5" customHeight="1" x14ac:dyDescent="0.35">
      <c r="B8" s="346" t="s">
        <v>297</v>
      </c>
      <c r="C8" s="327">
        <v>16814.09882509791</v>
      </c>
      <c r="D8" s="333">
        <v>67.527420144131597</v>
      </c>
      <c r="E8" s="333">
        <v>37.497676949090916</v>
      </c>
      <c r="F8" s="333">
        <v>3.2788238772727274</v>
      </c>
      <c r="G8" s="334">
        <v>19.263995363636361</v>
      </c>
      <c r="H8" s="354">
        <v>60.040496189999992</v>
      </c>
      <c r="I8" s="336">
        <f t="shared" si="0"/>
        <v>-8.8595038100000139</v>
      </c>
      <c r="J8" s="341"/>
    </row>
    <row r="9" spans="2:10" ht="39.5" customHeight="1" x14ac:dyDescent="0.35">
      <c r="B9" s="346" t="s">
        <v>298</v>
      </c>
      <c r="C9" s="327" t="s">
        <v>286</v>
      </c>
      <c r="D9" s="333" t="s">
        <v>286</v>
      </c>
      <c r="E9" s="333">
        <v>16.214830005642234</v>
      </c>
      <c r="F9" s="333">
        <v>1.2251900136103044</v>
      </c>
      <c r="G9" s="334">
        <v>35.475098769498935</v>
      </c>
      <c r="H9" s="354">
        <f>G9+E9+F9</f>
        <v>52.915118788751471</v>
      </c>
      <c r="I9" s="336">
        <f t="shared" si="0"/>
        <v>-7.1253774012485209</v>
      </c>
      <c r="J9" s="386" t="s">
        <v>301</v>
      </c>
    </row>
    <row r="10" spans="2:10" ht="39.5" customHeight="1" thickBot="1" x14ac:dyDescent="0.4">
      <c r="B10" s="346" t="s">
        <v>299</v>
      </c>
      <c r="C10" s="327" t="s">
        <v>286</v>
      </c>
      <c r="D10" s="333" t="s">
        <v>286</v>
      </c>
      <c r="E10" s="333">
        <v>5.7061472835550076</v>
      </c>
      <c r="F10" s="333">
        <v>0.48491770967905856</v>
      </c>
      <c r="G10" s="334">
        <v>40.344924792992998</v>
      </c>
      <c r="H10" s="355">
        <f>G10+E10+F10</f>
        <v>46.535989786227063</v>
      </c>
      <c r="I10" s="336">
        <f t="shared" si="0"/>
        <v>-6.3791290025244081</v>
      </c>
      <c r="J10" s="387"/>
    </row>
    <row r="11" spans="2:10" ht="15" thickTop="1" x14ac:dyDescent="0.35"/>
  </sheetData>
  <mergeCells count="1">
    <mergeCell ref="J9:J10"/>
  </mergeCells>
  <phoneticPr fontId="2" type="noConversion"/>
  <pageMargins left="0.7" right="0.7" top="0.75" bottom="0.75" header="0.3" footer="0.3"/>
  <pageSetup paperSize="9" scale="6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39EF-AFAD-4F5A-91FC-AAE8895F01C7}">
  <sheetPr>
    <tabColor rgb="FFFF0000"/>
  </sheetPr>
  <dimension ref="A28:R47"/>
  <sheetViews>
    <sheetView showGridLines="0" topLeftCell="A17" zoomScaleNormal="100" zoomScaleSheetLayoutView="100" workbookViewId="0">
      <selection activeCell="O35" sqref="O35"/>
    </sheetView>
  </sheetViews>
  <sheetFormatPr defaultRowHeight="14.5" x14ac:dyDescent="0.35"/>
  <cols>
    <col min="2" max="18" width="13.81640625" customWidth="1"/>
    <col min="19" max="16384" width="8.7265625" style="168"/>
  </cols>
  <sheetData>
    <row r="28" spans="2:18" ht="15" x14ac:dyDescent="0.4">
      <c r="B28" s="365" t="s">
        <v>10</v>
      </c>
      <c r="C28" s="365"/>
      <c r="D28" s="366"/>
      <c r="E28" s="140">
        <v>2501</v>
      </c>
      <c r="F28" s="140">
        <v>2502</v>
      </c>
      <c r="G28" s="140">
        <v>2503</v>
      </c>
      <c r="H28" s="140">
        <v>2504</v>
      </c>
      <c r="I28" s="140">
        <v>2505</v>
      </c>
      <c r="J28" s="140">
        <v>2506</v>
      </c>
      <c r="K28" s="140">
        <v>2507</v>
      </c>
      <c r="L28" s="140">
        <v>2508</v>
      </c>
      <c r="M28" s="140">
        <v>2509</v>
      </c>
      <c r="N28" s="140">
        <v>2510</v>
      </c>
      <c r="O28" s="140">
        <v>2511</v>
      </c>
      <c r="P28" s="140">
        <v>2512</v>
      </c>
      <c r="Q28" s="141" t="s">
        <v>112</v>
      </c>
      <c r="R28" s="141" t="s">
        <v>113</v>
      </c>
    </row>
    <row r="29" spans="2:18" ht="15" x14ac:dyDescent="0.4">
      <c r="B29" s="367" t="s">
        <v>229</v>
      </c>
      <c r="C29" s="368"/>
      <c r="D29" s="142" t="s">
        <v>226</v>
      </c>
      <c r="E29" s="143">
        <v>4.45</v>
      </c>
      <c r="F29" s="143">
        <v>4.735094675</v>
      </c>
      <c r="G29" s="143">
        <v>4.4937317199999995</v>
      </c>
      <c r="H29" s="143">
        <v>4.5459999999999994</v>
      </c>
      <c r="I29" s="143">
        <v>4.5119709600000002</v>
      </c>
      <c r="J29" s="143">
        <f>J30+J31+J32</f>
        <v>4.5228445700000002</v>
      </c>
      <c r="K29" s="143">
        <f t="shared" ref="K29:N29" si="0">K30+K31+K32</f>
        <v>4.5591552999999996</v>
      </c>
      <c r="L29" s="143">
        <f t="shared" si="0"/>
        <v>4.5047221500000001</v>
      </c>
      <c r="M29" s="143">
        <f t="shared" si="0"/>
        <v>4.4754844299999998</v>
      </c>
      <c r="N29" s="143">
        <f t="shared" si="0"/>
        <v>4.4497157999999999</v>
      </c>
      <c r="O29" s="143"/>
      <c r="P29" s="143"/>
      <c r="Q29" s="143">
        <v>18.224826395000001</v>
      </c>
      <c r="R29" s="146">
        <v>4.547359471</v>
      </c>
    </row>
    <row r="30" spans="2:18" ht="15" x14ac:dyDescent="0.4">
      <c r="B30" s="369"/>
      <c r="C30" s="370"/>
      <c r="D30" s="144" t="s">
        <v>227</v>
      </c>
      <c r="E30" s="145">
        <v>0.73734385999999996</v>
      </c>
      <c r="F30" s="145">
        <v>0.76166844499999997</v>
      </c>
      <c r="G30" s="145">
        <v>0.78473400999999998</v>
      </c>
      <c r="H30" s="145">
        <v>0.7596135799999999</v>
      </c>
      <c r="I30" s="145">
        <v>0.77787610000000007</v>
      </c>
      <c r="J30" s="145">
        <f>'관리수수료 트렌드 정리'!K92</f>
        <v>0.78612915999999999</v>
      </c>
      <c r="K30" s="145">
        <v>0.79226198999999997</v>
      </c>
      <c r="L30" s="145">
        <v>0.75600208000000002</v>
      </c>
      <c r="M30" s="145">
        <v>0.82172073000000001</v>
      </c>
      <c r="N30" s="145">
        <v>0.79567098999999997</v>
      </c>
      <c r="O30" s="145"/>
      <c r="P30" s="145"/>
      <c r="Q30" s="145">
        <v>7.9797515350000001</v>
      </c>
      <c r="R30" s="147">
        <v>2.0236441090000001</v>
      </c>
    </row>
    <row r="31" spans="2:18" ht="15" x14ac:dyDescent="0.4">
      <c r="B31" s="369"/>
      <c r="C31" s="370"/>
      <c r="D31" s="144" t="s">
        <v>235</v>
      </c>
      <c r="E31" s="145">
        <v>1.23265614</v>
      </c>
      <c r="F31" s="145">
        <v>1.2538873699999999</v>
      </c>
      <c r="G31" s="145">
        <v>1.17946171</v>
      </c>
      <c r="H31" s="145">
        <v>1.2703864199999999</v>
      </c>
      <c r="I31" s="145">
        <v>1.36059291</v>
      </c>
      <c r="J31" s="145">
        <v>1.2250515</v>
      </c>
      <c r="K31" s="145">
        <v>1.3466218299999999</v>
      </c>
      <c r="L31" s="145">
        <v>1.3913801800000001</v>
      </c>
      <c r="M31" s="145">
        <v>1.23331181</v>
      </c>
      <c r="N31" s="145">
        <v>1.4005094499999999</v>
      </c>
      <c r="O31" s="145"/>
      <c r="P31" s="145"/>
      <c r="Q31" s="145"/>
      <c r="R31" s="147"/>
    </row>
    <row r="32" spans="2:18" ht="15" x14ac:dyDescent="0.4">
      <c r="B32" s="369"/>
      <c r="C32" s="370"/>
      <c r="D32" s="144" t="s">
        <v>228</v>
      </c>
      <c r="E32" s="145">
        <v>2.48</v>
      </c>
      <c r="F32" s="145">
        <v>2.7195388600000001</v>
      </c>
      <c r="G32" s="145">
        <v>2.5295359999999998</v>
      </c>
      <c r="H32" s="145">
        <v>2.516</v>
      </c>
      <c r="I32" s="145">
        <v>2.3735019500000001</v>
      </c>
      <c r="J32" s="145">
        <f>'관리수수료 트렌드 정리'!M92</f>
        <v>2.5116639100000002</v>
      </c>
      <c r="K32" s="145">
        <v>2.4202714799999998</v>
      </c>
      <c r="L32" s="145">
        <v>2.35733989</v>
      </c>
      <c r="M32" s="145">
        <v>2.4204518899999998</v>
      </c>
      <c r="N32" s="145">
        <v>2.2535353599999999</v>
      </c>
      <c r="O32" s="145"/>
      <c r="P32" s="145"/>
      <c r="Q32" s="145">
        <v>10.245074860000001</v>
      </c>
      <c r="R32" s="147">
        <v>2.5237153619999999</v>
      </c>
    </row>
    <row r="33" spans="2:18" ht="15" x14ac:dyDescent="0.4">
      <c r="B33" s="367" t="s">
        <v>230</v>
      </c>
      <c r="C33" s="368"/>
      <c r="D33" s="142" t="s">
        <v>226</v>
      </c>
      <c r="E33" s="148">
        <v>486653</v>
      </c>
      <c r="F33" s="148">
        <v>482010</v>
      </c>
      <c r="G33" s="148">
        <v>477062</v>
      </c>
      <c r="H33" s="148">
        <v>481234</v>
      </c>
      <c r="I33" s="148">
        <v>482509</v>
      </c>
      <c r="J33" s="148">
        <f>J34+J35</f>
        <v>476942</v>
      </c>
      <c r="K33" s="148">
        <f t="shared" ref="K33:N33" si="1">K34+K35</f>
        <v>478557</v>
      </c>
      <c r="L33" s="148">
        <f t="shared" si="1"/>
        <v>474878</v>
      </c>
      <c r="M33" s="148">
        <f t="shared" si="1"/>
        <v>478399</v>
      </c>
      <c r="N33" s="148">
        <f t="shared" si="1"/>
        <v>473394</v>
      </c>
      <c r="O33" s="148"/>
      <c r="P33" s="148"/>
      <c r="Q33" s="148">
        <v>1926959</v>
      </c>
      <c r="R33" s="149"/>
    </row>
    <row r="34" spans="2:18" ht="15" x14ac:dyDescent="0.4">
      <c r="B34" s="369"/>
      <c r="C34" s="370"/>
      <c r="D34" s="144" t="s">
        <v>235</v>
      </c>
      <c r="E34" s="150">
        <v>357535</v>
      </c>
      <c r="F34" s="150">
        <v>354197</v>
      </c>
      <c r="G34" s="150">
        <v>348912</v>
      </c>
      <c r="H34" s="150">
        <v>353944</v>
      </c>
      <c r="I34" s="150">
        <v>355534</v>
      </c>
      <c r="J34" s="150">
        <v>351173</v>
      </c>
      <c r="K34" s="150">
        <v>351748</v>
      </c>
      <c r="L34" s="150">
        <v>350150</v>
      </c>
      <c r="M34" s="150">
        <v>354955</v>
      </c>
      <c r="N34" s="150">
        <v>352521</v>
      </c>
      <c r="O34" s="150"/>
      <c r="P34" s="150"/>
      <c r="Q34" s="150">
        <v>1414588</v>
      </c>
      <c r="R34" s="151"/>
    </row>
    <row r="35" spans="2:18" ht="15" x14ac:dyDescent="0.4">
      <c r="B35" s="369"/>
      <c r="C35" s="370"/>
      <c r="D35" s="144" t="s">
        <v>108</v>
      </c>
      <c r="E35" s="150">
        <v>129118</v>
      </c>
      <c r="F35" s="150">
        <v>127813</v>
      </c>
      <c r="G35" s="150">
        <v>128150</v>
      </c>
      <c r="H35" s="150">
        <v>127290</v>
      </c>
      <c r="I35" s="150">
        <v>126975</v>
      </c>
      <c r="J35" s="150">
        <v>125769</v>
      </c>
      <c r="K35" s="150">
        <v>126809</v>
      </c>
      <c r="L35" s="150">
        <v>124728</v>
      </c>
      <c r="M35" s="150">
        <v>123444</v>
      </c>
      <c r="N35" s="150">
        <v>120873</v>
      </c>
      <c r="O35" s="150"/>
      <c r="P35" s="150"/>
      <c r="Q35" s="150">
        <v>512371</v>
      </c>
      <c r="R35" s="151"/>
    </row>
    <row r="36" spans="2:18" ht="15" x14ac:dyDescent="0.4">
      <c r="B36" s="367" t="s">
        <v>232</v>
      </c>
      <c r="C36" s="368"/>
      <c r="D36" s="142" t="s">
        <v>109</v>
      </c>
      <c r="E36" s="154">
        <f>E37+E38</f>
        <v>7461</v>
      </c>
      <c r="F36" s="154">
        <f t="shared" ref="F36:N36" si="2">F37+F38</f>
        <v>5864</v>
      </c>
      <c r="G36" s="154">
        <f t="shared" si="2"/>
        <v>6401</v>
      </c>
      <c r="H36" s="154">
        <f t="shared" si="2"/>
        <v>13910</v>
      </c>
      <c r="I36" s="154">
        <f t="shared" si="2"/>
        <v>10271</v>
      </c>
      <c r="J36" s="154">
        <f t="shared" si="2"/>
        <v>9666</v>
      </c>
      <c r="K36" s="154">
        <f t="shared" si="2"/>
        <v>11848</v>
      </c>
      <c r="L36" s="154">
        <f t="shared" si="2"/>
        <v>7080</v>
      </c>
      <c r="M36" s="154">
        <f t="shared" si="2"/>
        <v>11365</v>
      </c>
      <c r="N36" s="154">
        <f t="shared" si="2"/>
        <v>8388</v>
      </c>
      <c r="O36" s="154"/>
      <c r="P36" s="154"/>
      <c r="Q36" s="154">
        <f t="shared" ref="Q36:Q38" si="3">SUM(D36:H36)</f>
        <v>33636</v>
      </c>
      <c r="R36" s="155"/>
    </row>
    <row r="37" spans="2:18" ht="15" x14ac:dyDescent="0.4">
      <c r="B37" s="369"/>
      <c r="C37" s="370"/>
      <c r="D37" s="144" t="s">
        <v>235</v>
      </c>
      <c r="E37" s="156">
        <v>5549</v>
      </c>
      <c r="F37" s="156">
        <v>3086</v>
      </c>
      <c r="G37" s="156">
        <v>2916</v>
      </c>
      <c r="H37" s="156">
        <v>11432</v>
      </c>
      <c r="I37" s="156">
        <v>7680</v>
      </c>
      <c r="J37" s="156">
        <v>7724</v>
      </c>
      <c r="K37" s="156">
        <v>6988</v>
      </c>
      <c r="L37" s="156">
        <v>5537</v>
      </c>
      <c r="M37" s="156">
        <v>8871</v>
      </c>
      <c r="N37" s="156">
        <v>3123</v>
      </c>
      <c r="O37" s="156"/>
      <c r="P37" s="156"/>
      <c r="Q37" s="156">
        <f t="shared" si="3"/>
        <v>22983</v>
      </c>
      <c r="R37" s="157"/>
    </row>
    <row r="38" spans="2:18" ht="15" x14ac:dyDescent="0.4">
      <c r="B38" s="369"/>
      <c r="C38" s="370"/>
      <c r="D38" s="144" t="s">
        <v>228</v>
      </c>
      <c r="E38" s="156">
        <v>1912</v>
      </c>
      <c r="F38" s="156">
        <v>2778</v>
      </c>
      <c r="G38" s="156">
        <v>3485</v>
      </c>
      <c r="H38" s="156">
        <v>2478</v>
      </c>
      <c r="I38" s="156">
        <v>2591</v>
      </c>
      <c r="J38" s="156">
        <v>1942</v>
      </c>
      <c r="K38" s="156">
        <v>4860</v>
      </c>
      <c r="L38" s="156">
        <v>1543</v>
      </c>
      <c r="M38" s="156">
        <v>2494</v>
      </c>
      <c r="N38" s="156">
        <v>5265</v>
      </c>
      <c r="O38" s="156"/>
      <c r="P38" s="156"/>
      <c r="Q38" s="156">
        <f t="shared" si="3"/>
        <v>10653</v>
      </c>
      <c r="R38" s="157"/>
    </row>
    <row r="39" spans="2:18" ht="15" hidden="1" x14ac:dyDescent="0.4">
      <c r="B39" s="367" t="s">
        <v>231</v>
      </c>
      <c r="C39" s="368"/>
      <c r="D39" s="142" t="s">
        <v>109</v>
      </c>
      <c r="E39" s="154">
        <f>(E40+E41)+699</f>
        <v>3156</v>
      </c>
      <c r="F39" s="154">
        <f>(F40+F41)+829</f>
        <v>4152</v>
      </c>
      <c r="G39" s="154">
        <f>(G40+G41)+626</f>
        <v>3774</v>
      </c>
      <c r="H39" s="154">
        <f>(H40+H41)+609</f>
        <v>3947</v>
      </c>
      <c r="I39" s="154">
        <f>(I40+I41)+631</f>
        <v>3537</v>
      </c>
      <c r="J39" s="154"/>
      <c r="K39" s="154"/>
      <c r="L39" s="154"/>
      <c r="M39" s="154"/>
      <c r="N39" s="154"/>
      <c r="O39" s="154"/>
      <c r="P39" s="154"/>
      <c r="Q39" s="154">
        <f>(SUM(D39:H39))+2763</f>
        <v>17792</v>
      </c>
      <c r="R39" s="155"/>
    </row>
    <row r="40" spans="2:18" ht="15" hidden="1" x14ac:dyDescent="0.4">
      <c r="B40" s="369"/>
      <c r="C40" s="370"/>
      <c r="D40" s="144" t="s">
        <v>70</v>
      </c>
      <c r="E40" s="156">
        <v>2457</v>
      </c>
      <c r="F40" s="156">
        <v>3323</v>
      </c>
      <c r="G40" s="156">
        <v>3148</v>
      </c>
      <c r="H40" s="156">
        <v>3338</v>
      </c>
      <c r="I40" s="156">
        <v>2906</v>
      </c>
      <c r="J40" s="156">
        <v>-1206</v>
      </c>
      <c r="K40" s="156"/>
      <c r="L40" s="156"/>
      <c r="M40" s="156"/>
      <c r="N40" s="156"/>
      <c r="O40" s="156"/>
      <c r="P40" s="156"/>
      <c r="Q40" s="156">
        <f>(SUM(D40:H40))+2763</f>
        <v>15029</v>
      </c>
      <c r="R40" s="157"/>
    </row>
    <row r="41" spans="2:18" ht="15" hidden="1" x14ac:dyDescent="0.4">
      <c r="B41" s="369"/>
      <c r="C41" s="370"/>
      <c r="D41" s="144" t="s">
        <v>71</v>
      </c>
      <c r="E41" s="158"/>
      <c r="F41" s="158"/>
      <c r="G41" s="158"/>
      <c r="H41" s="158"/>
      <c r="I41" s="158"/>
      <c r="J41" s="158"/>
      <c r="K41" s="156"/>
      <c r="L41" s="156"/>
      <c r="M41" s="156"/>
      <c r="N41" s="156"/>
      <c r="O41" s="156"/>
      <c r="P41" s="156"/>
      <c r="Q41" s="156">
        <f>(SUM(D41:H41))+0</f>
        <v>0</v>
      </c>
      <c r="R41" s="157"/>
    </row>
    <row r="42" spans="2:18" ht="15" x14ac:dyDescent="0.4">
      <c r="B42" s="367" t="s">
        <v>233</v>
      </c>
      <c r="C42" s="368"/>
      <c r="D42" s="142" t="s">
        <v>109</v>
      </c>
      <c r="E42" s="154">
        <f>E43+E44</f>
        <v>-1724</v>
      </c>
      <c r="F42" s="154">
        <f t="shared" ref="F42:N42" si="4">F43+F44</f>
        <v>-3883</v>
      </c>
      <c r="G42" s="154">
        <f t="shared" si="4"/>
        <v>-4948</v>
      </c>
      <c r="H42" s="154">
        <f t="shared" si="4"/>
        <v>4172</v>
      </c>
      <c r="I42" s="154">
        <f t="shared" si="4"/>
        <v>1275</v>
      </c>
      <c r="J42" s="154">
        <f t="shared" si="4"/>
        <v>-5567</v>
      </c>
      <c r="K42" s="154">
        <f t="shared" si="4"/>
        <v>1656</v>
      </c>
      <c r="L42" s="154">
        <f t="shared" si="4"/>
        <v>-3679</v>
      </c>
      <c r="M42" s="154">
        <f t="shared" si="4"/>
        <v>3521</v>
      </c>
      <c r="N42" s="154">
        <f t="shared" si="4"/>
        <v>-5005</v>
      </c>
      <c r="O42" s="154"/>
      <c r="P42" s="154"/>
      <c r="Q42" s="154">
        <f>(SUM(D42:H42))+2763</f>
        <v>-3620</v>
      </c>
      <c r="R42" s="155"/>
    </row>
    <row r="43" spans="2:18" ht="15" x14ac:dyDescent="0.4">
      <c r="B43" s="369"/>
      <c r="C43" s="370"/>
      <c r="D43" s="144" t="s">
        <v>235</v>
      </c>
      <c r="E43" s="156">
        <v>-1179</v>
      </c>
      <c r="F43" s="156">
        <v>-3338</v>
      </c>
      <c r="G43" s="156">
        <v>-5285</v>
      </c>
      <c r="H43" s="156">
        <v>5032</v>
      </c>
      <c r="I43" s="156">
        <v>1590</v>
      </c>
      <c r="J43" s="156">
        <v>-4361</v>
      </c>
      <c r="K43" s="156">
        <v>616</v>
      </c>
      <c r="L43" s="156">
        <v>-1598</v>
      </c>
      <c r="M43" s="156">
        <v>4805</v>
      </c>
      <c r="N43" s="156">
        <v>-2434</v>
      </c>
      <c r="O43" s="156"/>
      <c r="P43" s="156"/>
      <c r="Q43" s="156">
        <f>(SUM(D43:H43))+2763</f>
        <v>-2007</v>
      </c>
      <c r="R43" s="157"/>
    </row>
    <row r="44" spans="2:18" ht="15" x14ac:dyDescent="0.4">
      <c r="B44" s="369"/>
      <c r="C44" s="370"/>
      <c r="D44" s="144" t="s">
        <v>228</v>
      </c>
      <c r="E44" s="156">
        <v>-545</v>
      </c>
      <c r="F44" s="156">
        <v>-545</v>
      </c>
      <c r="G44" s="156">
        <v>337</v>
      </c>
      <c r="H44" s="156">
        <v>-860</v>
      </c>
      <c r="I44" s="156">
        <v>-315</v>
      </c>
      <c r="J44" s="156">
        <v>-1206</v>
      </c>
      <c r="K44" s="156">
        <v>1040</v>
      </c>
      <c r="L44" s="156">
        <v>-2081</v>
      </c>
      <c r="M44" s="156">
        <v>-1284</v>
      </c>
      <c r="N44" s="156">
        <v>-2571</v>
      </c>
      <c r="O44" s="156"/>
      <c r="P44" s="156"/>
      <c r="Q44" s="156">
        <f>(SUM(D44:H44))+0</f>
        <v>-1613</v>
      </c>
      <c r="R44" s="157"/>
    </row>
    <row r="45" spans="2:18" ht="15" x14ac:dyDescent="0.4">
      <c r="B45" s="367" t="s">
        <v>234</v>
      </c>
      <c r="C45" s="368"/>
      <c r="D45" s="142" t="s">
        <v>109</v>
      </c>
      <c r="E45" s="154">
        <f>(E46+E47)+699</f>
        <v>699</v>
      </c>
      <c r="F45" s="154">
        <f>(F46+F47)+829</f>
        <v>829</v>
      </c>
      <c r="G45" s="154">
        <f>(G46+G47)+626</f>
        <v>626</v>
      </c>
      <c r="H45" s="154">
        <f>(H46+H47)+609</f>
        <v>609</v>
      </c>
      <c r="I45" s="154">
        <f>(I46+I47)+631</f>
        <v>631</v>
      </c>
      <c r="J45" s="154"/>
      <c r="K45" s="154"/>
      <c r="L45" s="154"/>
      <c r="M45" s="154"/>
      <c r="N45" s="154"/>
      <c r="O45" s="154"/>
      <c r="P45" s="154"/>
      <c r="Q45" s="154">
        <f>(SUM(D45:H45))+2763</f>
        <v>5526</v>
      </c>
      <c r="R45" s="155"/>
    </row>
    <row r="46" spans="2:18" ht="15" x14ac:dyDescent="0.4">
      <c r="B46" s="369"/>
      <c r="C46" s="370"/>
      <c r="D46" s="144" t="s">
        <v>235</v>
      </c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>
        <f>(SUM(D46:H46))+2763</f>
        <v>2763</v>
      </c>
      <c r="R46" s="157"/>
    </row>
    <row r="47" spans="2:18" ht="15" x14ac:dyDescent="0.4">
      <c r="B47" s="369"/>
      <c r="C47" s="370"/>
      <c r="D47" s="144" t="s">
        <v>228</v>
      </c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>
        <f>(SUM(D47:H47))+0</f>
        <v>0</v>
      </c>
      <c r="R47" s="157"/>
    </row>
  </sheetData>
  <mergeCells count="7">
    <mergeCell ref="B42:C44"/>
    <mergeCell ref="B45:C47"/>
    <mergeCell ref="B28:D28"/>
    <mergeCell ref="B29:C32"/>
    <mergeCell ref="B33:C35"/>
    <mergeCell ref="B36:C38"/>
    <mergeCell ref="B39:C41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94FC-40C2-45E0-93C3-5F6E0CD0EF3B}">
  <sheetPr>
    <tabColor theme="1"/>
  </sheetPr>
  <dimension ref="A1:AR55"/>
  <sheetViews>
    <sheetView showGridLines="0" topLeftCell="M1" zoomScaleNormal="100" zoomScaleSheetLayoutView="100" workbookViewId="0">
      <selection activeCell="T14" sqref="T14:AB22"/>
    </sheetView>
  </sheetViews>
  <sheetFormatPr defaultRowHeight="14.5" outlineLevelCol="1" x14ac:dyDescent="0.35"/>
  <cols>
    <col min="2" max="4" width="13.81640625" customWidth="1"/>
    <col min="5" max="17" width="13.81640625" customWidth="1" outlineLevel="1"/>
    <col min="18" max="44" width="13.81640625" customWidth="1"/>
    <col min="45" max="16384" width="8.7265625" style="168"/>
  </cols>
  <sheetData>
    <row r="1" spans="2:44" x14ac:dyDescent="0.35">
      <c r="AJ1" s="275"/>
      <c r="AK1" s="275"/>
      <c r="AL1" s="275"/>
      <c r="AM1" s="275"/>
      <c r="AN1" s="275"/>
      <c r="AO1" s="275"/>
    </row>
    <row r="2" spans="2:44" x14ac:dyDescent="0.35">
      <c r="S2" s="278">
        <f>S11/R11-1</f>
        <v>-9.337219645644379E-3</v>
      </c>
      <c r="T2" s="278">
        <f t="shared" ref="T2:W2" si="0">T11/S11-1</f>
        <v>-1.4922802380871736E-2</v>
      </c>
      <c r="U2" s="278">
        <f t="shared" si="0"/>
        <v>1.4420803104872482E-2</v>
      </c>
      <c r="V2" s="278">
        <f t="shared" si="0"/>
        <v>4.492769184689438E-3</v>
      </c>
      <c r="W2" s="278">
        <f t="shared" si="0"/>
        <v>-1.2264692313751047E-2</v>
      </c>
      <c r="AJ2" s="275"/>
      <c r="AK2" s="275"/>
      <c r="AL2" s="275"/>
      <c r="AM2" s="275"/>
      <c r="AN2" s="275"/>
      <c r="AO2" s="275"/>
    </row>
    <row r="3" spans="2:44" x14ac:dyDescent="0.35">
      <c r="S3" s="278">
        <f>S12/R12-1</f>
        <v>-5.3256129816283693E-3</v>
      </c>
      <c r="T3" s="278">
        <f t="shared" ref="T3:W3" si="1">T12/S12-1</f>
        <v>4.9085486363147357E-3</v>
      </c>
      <c r="U3" s="278">
        <f t="shared" si="1"/>
        <v>-3.3255142031638485E-3</v>
      </c>
      <c r="V3" s="278">
        <f t="shared" si="1"/>
        <v>-3.3653121703751676E-3</v>
      </c>
      <c r="W3" s="278">
        <f t="shared" si="1"/>
        <v>-5.0974124152231015E-3</v>
      </c>
    </row>
    <row r="4" spans="2:44" ht="15" x14ac:dyDescent="0.4">
      <c r="B4" s="365" t="s">
        <v>10</v>
      </c>
      <c r="C4" s="365"/>
      <c r="D4" s="366"/>
      <c r="E4" s="232">
        <v>2401</v>
      </c>
      <c r="F4" s="232">
        <v>2402</v>
      </c>
      <c r="G4" s="232">
        <v>2403</v>
      </c>
      <c r="H4" s="232">
        <v>2404</v>
      </c>
      <c r="I4" s="232">
        <v>2405</v>
      </c>
      <c r="J4" s="232">
        <v>2406</v>
      </c>
      <c r="K4" s="232">
        <v>2407</v>
      </c>
      <c r="L4" s="232">
        <v>2408</v>
      </c>
      <c r="M4" s="232">
        <v>2409</v>
      </c>
      <c r="N4" s="232">
        <v>2410</v>
      </c>
      <c r="O4" s="232">
        <v>2411</v>
      </c>
      <c r="P4" s="232">
        <v>2412</v>
      </c>
      <c r="R4" s="264">
        <v>2501</v>
      </c>
      <c r="S4" s="264">
        <v>2502</v>
      </c>
      <c r="T4" s="264">
        <v>2503</v>
      </c>
      <c r="U4" s="264">
        <v>2504</v>
      </c>
      <c r="V4" s="264">
        <v>2505</v>
      </c>
      <c r="W4" s="264">
        <v>2506</v>
      </c>
      <c r="X4" s="264">
        <v>2507</v>
      </c>
      <c r="Y4" s="264">
        <v>2508</v>
      </c>
      <c r="Z4" s="264">
        <v>2509</v>
      </c>
      <c r="AA4" s="264">
        <v>2510</v>
      </c>
      <c r="AB4" s="264">
        <v>2511</v>
      </c>
      <c r="AC4" s="264">
        <v>2512</v>
      </c>
      <c r="AE4" s="141">
        <v>2601</v>
      </c>
      <c r="AF4" s="141">
        <v>2602</v>
      </c>
      <c r="AG4" s="141">
        <v>2603</v>
      </c>
      <c r="AH4" s="141">
        <v>2604</v>
      </c>
      <c r="AI4" s="141">
        <v>2605</v>
      </c>
      <c r="AJ4" s="141">
        <v>2606</v>
      </c>
      <c r="AK4" s="141">
        <v>2607</v>
      </c>
      <c r="AL4" s="141">
        <v>2608</v>
      </c>
      <c r="AM4" s="141">
        <v>2609</v>
      </c>
      <c r="AN4" s="141">
        <v>2610</v>
      </c>
      <c r="AO4" s="141">
        <v>2611</v>
      </c>
      <c r="AP4" s="141">
        <v>2612</v>
      </c>
      <c r="AQ4" s="141" t="s">
        <v>112</v>
      </c>
      <c r="AR4" s="141" t="s">
        <v>113</v>
      </c>
    </row>
    <row r="5" spans="2:44" ht="15" x14ac:dyDescent="0.4">
      <c r="B5" s="367" t="s">
        <v>229</v>
      </c>
      <c r="C5" s="368"/>
      <c r="D5" s="142" t="s">
        <v>226</v>
      </c>
      <c r="E5" s="414">
        <f>E6+E7+E8</f>
        <v>5.3595322999999997</v>
      </c>
      <c r="F5" s="414">
        <f t="shared" ref="F5:P5" si="2">F6+F7+F8</f>
        <v>5.0397463199999999</v>
      </c>
      <c r="G5" s="414">
        <f t="shared" si="2"/>
        <v>4.9948352299999996</v>
      </c>
      <c r="H5" s="414">
        <f t="shared" si="2"/>
        <v>5.5564696099999997</v>
      </c>
      <c r="I5" s="414">
        <f t="shared" si="2"/>
        <v>5.0182843200000002</v>
      </c>
      <c r="J5" s="414">
        <f t="shared" si="2"/>
        <v>4.6939010000000003</v>
      </c>
      <c r="K5" s="414">
        <f t="shared" si="2"/>
        <v>5.1975374199999997</v>
      </c>
      <c r="L5" s="414">
        <f t="shared" si="2"/>
        <v>4.70809006</v>
      </c>
      <c r="M5" s="414">
        <f t="shared" si="2"/>
        <v>5.05063072</v>
      </c>
      <c r="N5" s="414">
        <f t="shared" si="2"/>
        <v>5.01521097</v>
      </c>
      <c r="O5" s="414">
        <f t="shared" si="2"/>
        <v>4.4369989399999996</v>
      </c>
      <c r="P5" s="414">
        <f t="shared" si="2"/>
        <v>4.9328842999999996</v>
      </c>
      <c r="R5" s="414">
        <f>R6+R7+R8</f>
        <v>4.4528654100000002</v>
      </c>
      <c r="S5" s="414">
        <f t="shared" ref="S5:AC5" si="3">S6+S7+S8</f>
        <v>4.7350970100000005</v>
      </c>
      <c r="T5" s="414">
        <f t="shared" si="3"/>
        <v>4.4937317199999995</v>
      </c>
      <c r="U5" s="414">
        <f t="shared" si="3"/>
        <v>4.5521414199999999</v>
      </c>
      <c r="V5" s="414">
        <f t="shared" si="3"/>
        <v>4.5119709600000002</v>
      </c>
      <c r="W5" s="414">
        <f t="shared" si="3"/>
        <v>4.5228445700000002</v>
      </c>
      <c r="X5" s="414">
        <f t="shared" si="3"/>
        <v>4.5591552999999996</v>
      </c>
      <c r="Y5" s="414">
        <f t="shared" si="3"/>
        <v>4.5047221500000001</v>
      </c>
      <c r="Z5" s="414">
        <f t="shared" si="3"/>
        <v>4.4754844299999998</v>
      </c>
      <c r="AA5" s="414">
        <f t="shared" si="3"/>
        <v>4.4497157999999999</v>
      </c>
      <c r="AB5" s="414">
        <f t="shared" si="3"/>
        <v>4.3161547799999997</v>
      </c>
      <c r="AC5" s="414">
        <f t="shared" si="3"/>
        <v>4.5471745500000003</v>
      </c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>
        <f>SUM(R5:AC5)</f>
        <v>54.121058100000006</v>
      </c>
      <c r="AR5" s="146">
        <v>4.547359471</v>
      </c>
    </row>
    <row r="6" spans="2:44" ht="15" x14ac:dyDescent="0.4">
      <c r="B6" s="369"/>
      <c r="C6" s="370"/>
      <c r="D6" s="144" t="s">
        <v>227</v>
      </c>
      <c r="E6" s="417">
        <v>0.84672804999999995</v>
      </c>
      <c r="F6" s="417">
        <v>0.86403094000000003</v>
      </c>
      <c r="G6" s="417">
        <v>0.86587024000000001</v>
      </c>
      <c r="H6" s="417">
        <v>0.87979507999999995</v>
      </c>
      <c r="I6" s="417">
        <v>0.83742289000000003</v>
      </c>
      <c r="J6" s="417">
        <v>0.80450580000000005</v>
      </c>
      <c r="K6" s="417">
        <v>0.87871838999999996</v>
      </c>
      <c r="L6" s="417">
        <v>0.81494535000000001</v>
      </c>
      <c r="M6" s="417">
        <v>0.86559211000000003</v>
      </c>
      <c r="N6" s="417">
        <v>0.77988013</v>
      </c>
      <c r="O6" s="417">
        <v>0.72571922</v>
      </c>
      <c r="P6" s="417">
        <v>0.87964140000000002</v>
      </c>
      <c r="R6" s="415">
        <v>0.74020927000000003</v>
      </c>
      <c r="S6" s="415">
        <v>0.76167077999999999</v>
      </c>
      <c r="T6" s="415">
        <v>0.78473400999999998</v>
      </c>
      <c r="U6" s="415">
        <v>0.76575499999999996</v>
      </c>
      <c r="V6" s="415">
        <v>0.77787609999999996</v>
      </c>
      <c r="W6" s="415">
        <v>0.78612915999999999</v>
      </c>
      <c r="X6" s="415">
        <v>0.79226198999999997</v>
      </c>
      <c r="Y6" s="415">
        <v>0.75600208000000002</v>
      </c>
      <c r="Z6" s="415">
        <v>0.82172073000000001</v>
      </c>
      <c r="AA6" s="415">
        <v>0.79567098999999997</v>
      </c>
      <c r="AB6" s="415">
        <v>0.74581198999999998</v>
      </c>
      <c r="AC6" s="415">
        <v>0.83801901000000001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>
        <v>7.9797515350000001</v>
      </c>
      <c r="AR6" s="147">
        <v>2.0236441090000001</v>
      </c>
    </row>
    <row r="7" spans="2:44" ht="15" x14ac:dyDescent="0.4">
      <c r="B7" s="369"/>
      <c r="C7" s="370"/>
      <c r="D7" s="144" t="s">
        <v>272</v>
      </c>
      <c r="E7" s="415">
        <v>1.38540329</v>
      </c>
      <c r="F7" s="415">
        <v>1.3506255199999999</v>
      </c>
      <c r="G7" s="415">
        <v>1.2836511900000001</v>
      </c>
      <c r="H7" s="415">
        <v>1.6030569100000001</v>
      </c>
      <c r="I7" s="415">
        <v>1.3821499900000001</v>
      </c>
      <c r="J7" s="415">
        <v>1.24791973</v>
      </c>
      <c r="K7" s="415">
        <v>1.4467060700000001</v>
      </c>
      <c r="L7" s="415">
        <v>1.26663992</v>
      </c>
      <c r="M7" s="415">
        <v>1.4003467199999999</v>
      </c>
      <c r="N7" s="415">
        <v>1.53169724</v>
      </c>
      <c r="O7" s="415">
        <v>1.10489974</v>
      </c>
      <c r="P7" s="415">
        <v>1.3993428999999999</v>
      </c>
      <c r="R7" s="415">
        <v>1.23265614</v>
      </c>
      <c r="S7" s="415">
        <v>1.2538873699999999</v>
      </c>
      <c r="T7" s="415">
        <v>1.17946171</v>
      </c>
      <c r="U7" s="415">
        <v>1.2703864199999999</v>
      </c>
      <c r="V7" s="415">
        <v>1.36059291</v>
      </c>
      <c r="W7" s="415">
        <v>1.2250515</v>
      </c>
      <c r="X7" s="415">
        <v>1.3466218299999999</v>
      </c>
      <c r="Y7" s="415">
        <v>1.3913801800000001</v>
      </c>
      <c r="Z7" s="415">
        <v>1.23331181</v>
      </c>
      <c r="AA7" s="415">
        <v>1.4005094499999999</v>
      </c>
      <c r="AB7" s="415">
        <v>1.3080167199999999</v>
      </c>
      <c r="AC7" s="415">
        <v>1.3864106300000001</v>
      </c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7"/>
    </row>
    <row r="8" spans="2:44" ht="15" x14ac:dyDescent="0.4">
      <c r="B8" s="369"/>
      <c r="C8" s="370"/>
      <c r="D8" s="144" t="s">
        <v>228</v>
      </c>
      <c r="E8" s="415">
        <v>3.1274009600000001</v>
      </c>
      <c r="F8" s="415">
        <v>2.8250898599999998</v>
      </c>
      <c r="G8" s="415">
        <v>2.8453138</v>
      </c>
      <c r="H8" s="415">
        <v>3.0736176199999998</v>
      </c>
      <c r="I8" s="415">
        <v>2.7987114399999999</v>
      </c>
      <c r="J8" s="415">
        <v>2.64147547</v>
      </c>
      <c r="K8" s="415">
        <v>2.8721129599999999</v>
      </c>
      <c r="L8" s="415">
        <v>2.6265047899999998</v>
      </c>
      <c r="M8" s="415">
        <v>2.7846918899999999</v>
      </c>
      <c r="N8" s="415">
        <v>2.7036335999999999</v>
      </c>
      <c r="O8" s="415">
        <v>2.6063799799999998</v>
      </c>
      <c r="P8" s="415">
        <v>2.6539000000000001</v>
      </c>
      <c r="R8" s="415">
        <v>2.48</v>
      </c>
      <c r="S8" s="415">
        <v>2.7195388600000001</v>
      </c>
      <c r="T8" s="415">
        <v>2.5295359999999998</v>
      </c>
      <c r="U8" s="415">
        <v>2.516</v>
      </c>
      <c r="V8" s="415">
        <v>2.3735019500000001</v>
      </c>
      <c r="W8" s="415">
        <v>2.5116639100000002</v>
      </c>
      <c r="X8" s="415">
        <v>2.4202714799999998</v>
      </c>
      <c r="Y8" s="415">
        <v>2.35733989</v>
      </c>
      <c r="Z8" s="415">
        <v>2.4204518899999998</v>
      </c>
      <c r="AA8" s="415">
        <v>2.2535353599999999</v>
      </c>
      <c r="AB8" s="415">
        <v>2.2623260699999999</v>
      </c>
      <c r="AC8" s="415">
        <v>2.3227449099999999</v>
      </c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>
        <v>10.245074860000001</v>
      </c>
      <c r="AR8" s="147">
        <v>2.5237153619999999</v>
      </c>
    </row>
    <row r="9" spans="2:44" ht="15" x14ac:dyDescent="0.4">
      <c r="B9" s="367" t="s">
        <v>230</v>
      </c>
      <c r="C9" s="368"/>
      <c r="D9" s="142" t="s">
        <v>226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R9" s="148">
        <f>R11+R12</f>
        <v>497384</v>
      </c>
      <c r="S9" s="148">
        <f t="shared" ref="S9:AC9" si="4">S11+S12</f>
        <v>493301</v>
      </c>
      <c r="T9" s="148">
        <f t="shared" si="4"/>
        <v>488699</v>
      </c>
      <c r="U9" s="148">
        <f t="shared" si="4"/>
        <v>493265</v>
      </c>
      <c r="V9" s="148">
        <f t="shared" si="4"/>
        <v>494386</v>
      </c>
      <c r="W9" s="148">
        <f t="shared" si="4"/>
        <v>489318</v>
      </c>
      <c r="X9" s="148">
        <f t="shared" si="4"/>
        <v>491342</v>
      </c>
      <c r="Y9" s="148">
        <f t="shared" si="4"/>
        <v>487495</v>
      </c>
      <c r="Z9" s="148">
        <f t="shared" si="4"/>
        <v>491407</v>
      </c>
      <c r="AA9" s="148">
        <f t="shared" si="4"/>
        <v>488152</v>
      </c>
      <c r="AB9" s="148">
        <f t="shared" si="4"/>
        <v>486712</v>
      </c>
      <c r="AC9" s="148">
        <f t="shared" si="4"/>
        <v>487383</v>
      </c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>
        <v>1926959</v>
      </c>
      <c r="AR9" s="149"/>
    </row>
    <row r="10" spans="2:44" ht="15" x14ac:dyDescent="0.4">
      <c r="B10" s="369"/>
      <c r="C10" s="370"/>
      <c r="D10" s="144" t="s">
        <v>227</v>
      </c>
      <c r="E10" s="418">
        <v>69819</v>
      </c>
      <c r="F10" s="418">
        <v>70497</v>
      </c>
      <c r="G10" s="418">
        <v>69604</v>
      </c>
      <c r="H10" s="418">
        <v>70496</v>
      </c>
      <c r="I10" s="418">
        <v>70512</v>
      </c>
      <c r="J10" s="418">
        <v>71019</v>
      </c>
      <c r="K10" s="418">
        <v>71931</v>
      </c>
      <c r="L10" s="418">
        <v>73614</v>
      </c>
      <c r="M10" s="418">
        <v>73927</v>
      </c>
      <c r="N10" s="418">
        <v>72831</v>
      </c>
      <c r="O10" s="418">
        <v>69375</v>
      </c>
      <c r="P10" s="418">
        <v>69557</v>
      </c>
      <c r="R10" s="418">
        <v>69440</v>
      </c>
      <c r="S10" s="418">
        <v>71785</v>
      </c>
      <c r="T10" s="418">
        <v>72489</v>
      </c>
      <c r="U10" s="418">
        <v>72901</v>
      </c>
      <c r="V10" s="418">
        <v>73636</v>
      </c>
      <c r="W10" s="418">
        <v>74477</v>
      </c>
      <c r="X10" s="418">
        <v>74324</v>
      </c>
      <c r="Y10" s="418">
        <v>73533</v>
      </c>
      <c r="Z10" s="418">
        <v>73726</v>
      </c>
      <c r="AA10" s="418">
        <v>71553</v>
      </c>
      <c r="AB10" s="418">
        <v>73743</v>
      </c>
      <c r="AC10" s="418">
        <v>72195</v>
      </c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9"/>
    </row>
    <row r="11" spans="2:44" ht="15" x14ac:dyDescent="0.4">
      <c r="B11" s="369"/>
      <c r="C11" s="370"/>
      <c r="D11" s="144" t="s">
        <v>272</v>
      </c>
      <c r="E11" s="150">
        <v>423833</v>
      </c>
      <c r="F11" s="150">
        <v>407264</v>
      </c>
      <c r="G11" s="150">
        <v>406670</v>
      </c>
      <c r="H11" s="150">
        <v>387181</v>
      </c>
      <c r="I11" s="150">
        <v>374888</v>
      </c>
      <c r="J11" s="150">
        <v>374994</v>
      </c>
      <c r="K11" s="150">
        <v>370613</v>
      </c>
      <c r="L11" s="150">
        <v>362922</v>
      </c>
      <c r="M11" s="150">
        <v>360866</v>
      </c>
      <c r="N11" s="150">
        <v>360052</v>
      </c>
      <c r="O11" s="150">
        <v>354868</v>
      </c>
      <c r="P11" s="150">
        <v>356356</v>
      </c>
      <c r="R11" s="150">
        <v>357494</v>
      </c>
      <c r="S11" s="150">
        <v>354156</v>
      </c>
      <c r="T11" s="150">
        <v>348871</v>
      </c>
      <c r="U11" s="150">
        <v>353902</v>
      </c>
      <c r="V11" s="150">
        <v>355492</v>
      </c>
      <c r="W11" s="150">
        <v>351132</v>
      </c>
      <c r="X11" s="150">
        <v>351748</v>
      </c>
      <c r="Y11" s="150">
        <v>350150</v>
      </c>
      <c r="Z11" s="150">
        <v>354955</v>
      </c>
      <c r="AA11" s="150">
        <v>352521</v>
      </c>
      <c r="AB11" s="150">
        <v>351881</v>
      </c>
      <c r="AC11" s="150">
        <v>352210</v>
      </c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>
        <v>1414588</v>
      </c>
      <c r="AR11" s="151"/>
    </row>
    <row r="12" spans="2:44" ht="15" x14ac:dyDescent="0.4">
      <c r="B12" s="369"/>
      <c r="C12" s="370"/>
      <c r="D12" s="144" t="s">
        <v>228</v>
      </c>
      <c r="E12" s="150">
        <v>142699</v>
      </c>
      <c r="F12" s="150">
        <v>142186</v>
      </c>
      <c r="G12" s="150">
        <v>141903</v>
      </c>
      <c r="H12" s="150">
        <v>142212</v>
      </c>
      <c r="I12" s="150">
        <v>141078</v>
      </c>
      <c r="J12" s="150">
        <v>141383</v>
      </c>
      <c r="K12" s="150">
        <v>141716</v>
      </c>
      <c r="L12" s="150">
        <v>141717</v>
      </c>
      <c r="M12" s="150">
        <v>141678</v>
      </c>
      <c r="N12" s="150">
        <v>141024</v>
      </c>
      <c r="O12" s="150">
        <v>140800</v>
      </c>
      <c r="P12" s="150">
        <v>140257</v>
      </c>
      <c r="R12" s="150">
        <v>139890</v>
      </c>
      <c r="S12" s="150">
        <v>139145</v>
      </c>
      <c r="T12" s="150">
        <v>139828</v>
      </c>
      <c r="U12" s="150">
        <v>139363</v>
      </c>
      <c r="V12" s="150">
        <v>138894</v>
      </c>
      <c r="W12" s="150">
        <v>138186</v>
      </c>
      <c r="X12" s="150">
        <v>139594</v>
      </c>
      <c r="Y12" s="150">
        <v>137345</v>
      </c>
      <c r="Z12" s="150">
        <v>136452</v>
      </c>
      <c r="AA12" s="150">
        <v>135631</v>
      </c>
      <c r="AB12" s="150">
        <v>134831</v>
      </c>
      <c r="AC12" s="150">
        <v>135173</v>
      </c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>
        <v>512371</v>
      </c>
      <c r="AR12" s="151"/>
    </row>
    <row r="13" spans="2:44" ht="15" x14ac:dyDescent="0.4">
      <c r="B13" s="367" t="s">
        <v>232</v>
      </c>
      <c r="C13" s="368"/>
      <c r="D13" s="142" t="s">
        <v>226</v>
      </c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R13" s="154">
        <f>R15+R16</f>
        <v>7269</v>
      </c>
      <c r="S13" s="154">
        <f t="shared" ref="S13:AC13" si="5">S15+S16</f>
        <v>4773</v>
      </c>
      <c r="T13" s="154">
        <f t="shared" si="5"/>
        <v>5397</v>
      </c>
      <c r="U13" s="154">
        <f t="shared" si="5"/>
        <v>13975</v>
      </c>
      <c r="V13" s="154">
        <f t="shared" si="5"/>
        <v>10079</v>
      </c>
      <c r="W13" s="154">
        <f t="shared" si="5"/>
        <v>9931</v>
      </c>
      <c r="X13" s="154">
        <f t="shared" si="5"/>
        <v>11731</v>
      </c>
      <c r="Y13" s="154">
        <f t="shared" si="5"/>
        <v>7708</v>
      </c>
      <c r="Z13" s="154">
        <f t="shared" si="5"/>
        <v>11100</v>
      </c>
      <c r="AA13" s="154">
        <f t="shared" si="5"/>
        <v>4953</v>
      </c>
      <c r="AB13" s="154">
        <f t="shared" si="5"/>
        <v>6563</v>
      </c>
      <c r="AC13" s="154">
        <f t="shared" si="5"/>
        <v>8470</v>
      </c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>
        <f t="shared" ref="AQ13:AQ16" si="6">SUM(D13:U13)</f>
        <v>31414</v>
      </c>
      <c r="AR13" s="155"/>
    </row>
    <row r="14" spans="2:44" ht="15" x14ac:dyDescent="0.4">
      <c r="B14" s="369"/>
      <c r="C14" s="370"/>
      <c r="D14" s="144" t="s">
        <v>227</v>
      </c>
      <c r="E14" s="276">
        <v>1302</v>
      </c>
      <c r="F14" s="276">
        <v>1187</v>
      </c>
      <c r="G14" s="276">
        <v>1136</v>
      </c>
      <c r="H14" s="276">
        <v>907</v>
      </c>
      <c r="I14" s="276">
        <v>373</v>
      </c>
      <c r="J14" s="276">
        <v>911</v>
      </c>
      <c r="K14" s="276">
        <v>1337</v>
      </c>
      <c r="L14" s="276">
        <v>2104</v>
      </c>
      <c r="M14" s="276">
        <v>736</v>
      </c>
      <c r="N14" s="276">
        <v>998</v>
      </c>
      <c r="O14" s="276">
        <v>954</v>
      </c>
      <c r="P14" s="276">
        <v>905</v>
      </c>
      <c r="R14" s="276">
        <v>1063</v>
      </c>
      <c r="S14" s="276">
        <v>2930</v>
      </c>
      <c r="T14" s="276">
        <v>2445</v>
      </c>
      <c r="U14" s="276">
        <v>1082</v>
      </c>
      <c r="V14" s="276">
        <v>1587</v>
      </c>
      <c r="W14" s="276">
        <v>1327</v>
      </c>
      <c r="X14" s="276">
        <v>1343</v>
      </c>
      <c r="Y14" s="276">
        <v>1008</v>
      </c>
      <c r="Z14" s="276">
        <v>1327</v>
      </c>
      <c r="AA14" s="276">
        <v>733</v>
      </c>
      <c r="AB14" s="276">
        <v>4076</v>
      </c>
      <c r="AC14" s="276">
        <v>1621</v>
      </c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5"/>
    </row>
    <row r="15" spans="2:44" ht="15" x14ac:dyDescent="0.4">
      <c r="B15" s="369"/>
      <c r="C15" s="370"/>
      <c r="D15" s="144" t="s">
        <v>272</v>
      </c>
      <c r="E15" s="156">
        <v>10975</v>
      </c>
      <c r="F15" s="156">
        <v>3910</v>
      </c>
      <c r="G15" s="156">
        <v>5347</v>
      </c>
      <c r="H15" s="156">
        <v>2829</v>
      </c>
      <c r="I15" s="156">
        <v>5359</v>
      </c>
      <c r="J15" s="156">
        <v>4278</v>
      </c>
      <c r="K15" s="156">
        <v>5171</v>
      </c>
      <c r="L15" s="156">
        <v>5224</v>
      </c>
      <c r="M15" s="156">
        <v>3683</v>
      </c>
      <c r="N15" s="156">
        <v>4845</v>
      </c>
      <c r="O15" s="156">
        <v>5666</v>
      </c>
      <c r="P15" s="156">
        <v>6485</v>
      </c>
      <c r="R15" s="156">
        <v>5549</v>
      </c>
      <c r="S15" s="156">
        <v>3086</v>
      </c>
      <c r="T15" s="156">
        <v>2916</v>
      </c>
      <c r="U15" s="156">
        <v>11432</v>
      </c>
      <c r="V15" s="156">
        <v>7680</v>
      </c>
      <c r="W15" s="156">
        <v>7724</v>
      </c>
      <c r="X15" s="156">
        <v>6988</v>
      </c>
      <c r="Y15" s="156">
        <v>5537</v>
      </c>
      <c r="Z15" s="156">
        <v>8871</v>
      </c>
      <c r="AA15" s="156">
        <v>3123</v>
      </c>
      <c r="AB15" s="156">
        <v>4673</v>
      </c>
      <c r="AC15" s="156">
        <v>4972</v>
      </c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>
        <f t="shared" si="6"/>
        <v>86755</v>
      </c>
      <c r="AR15" s="157"/>
    </row>
    <row r="16" spans="2:44" ht="15" x14ac:dyDescent="0.4">
      <c r="B16" s="369"/>
      <c r="C16" s="370"/>
      <c r="D16" s="144" t="s">
        <v>228</v>
      </c>
      <c r="E16" s="156">
        <v>1414</v>
      </c>
      <c r="F16" s="156">
        <v>2049</v>
      </c>
      <c r="G16" s="156">
        <v>1651</v>
      </c>
      <c r="H16" s="156">
        <v>2327</v>
      </c>
      <c r="I16" s="156">
        <v>1669</v>
      </c>
      <c r="J16" s="156">
        <v>2010</v>
      </c>
      <c r="K16" s="156">
        <v>1965</v>
      </c>
      <c r="L16" s="156">
        <v>1339</v>
      </c>
      <c r="M16" s="156">
        <v>1920</v>
      </c>
      <c r="N16" s="156">
        <v>1181</v>
      </c>
      <c r="O16" s="156">
        <v>1504</v>
      </c>
      <c r="P16" s="156">
        <v>1726</v>
      </c>
      <c r="R16" s="156">
        <v>1720</v>
      </c>
      <c r="S16" s="156">
        <v>1687</v>
      </c>
      <c r="T16" s="156">
        <v>2481</v>
      </c>
      <c r="U16" s="156">
        <v>2543</v>
      </c>
      <c r="V16" s="156">
        <v>2399</v>
      </c>
      <c r="W16" s="156">
        <v>2207</v>
      </c>
      <c r="X16" s="156">
        <v>4743</v>
      </c>
      <c r="Y16" s="156">
        <v>2171</v>
      </c>
      <c r="Z16" s="156">
        <v>2229</v>
      </c>
      <c r="AA16" s="156">
        <v>1830</v>
      </c>
      <c r="AB16" s="156">
        <v>1890</v>
      </c>
      <c r="AC16" s="156">
        <v>3498</v>
      </c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>
        <f t="shared" si="6"/>
        <v>29186</v>
      </c>
      <c r="AR16" s="157"/>
    </row>
    <row r="17" spans="1:44" ht="15" hidden="1" x14ac:dyDescent="0.4">
      <c r="B17" s="367" t="s">
        <v>231</v>
      </c>
      <c r="C17" s="368"/>
      <c r="D17" s="142" t="s">
        <v>226</v>
      </c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R17" s="276">
        <v>3156</v>
      </c>
      <c r="S17" s="276">
        <v>4152</v>
      </c>
      <c r="T17" s="276">
        <v>3774</v>
      </c>
      <c r="U17" s="276">
        <v>3947</v>
      </c>
      <c r="V17" s="276">
        <v>3537</v>
      </c>
      <c r="W17" s="276"/>
      <c r="X17" s="154"/>
      <c r="Y17" s="154"/>
      <c r="Z17" s="154"/>
      <c r="AA17" s="154"/>
      <c r="AB17" s="154"/>
      <c r="AC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>
        <f>(SUM(D17:U17))+2763</f>
        <v>17792</v>
      </c>
      <c r="AR17" s="155"/>
    </row>
    <row r="18" spans="1:44" ht="15" hidden="1" x14ac:dyDescent="0.4">
      <c r="B18" s="369"/>
      <c r="C18" s="370"/>
      <c r="D18" s="144" t="s">
        <v>236</v>
      </c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R18" s="156">
        <v>2457</v>
      </c>
      <c r="S18" s="156">
        <v>3323</v>
      </c>
      <c r="T18" s="156">
        <v>3148</v>
      </c>
      <c r="U18" s="156">
        <v>3338</v>
      </c>
      <c r="V18" s="156">
        <v>2906</v>
      </c>
      <c r="W18" s="156">
        <v>-1206</v>
      </c>
      <c r="X18" s="156"/>
      <c r="Y18" s="156"/>
      <c r="Z18" s="156"/>
      <c r="AA18" s="156"/>
      <c r="AB18" s="156"/>
      <c r="AC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>
        <f>(SUM(D18:U18))+2763</f>
        <v>15029</v>
      </c>
      <c r="AR18" s="157"/>
    </row>
    <row r="19" spans="1:44" ht="15" hidden="1" x14ac:dyDescent="0.4">
      <c r="B19" s="369"/>
      <c r="C19" s="370"/>
      <c r="D19" s="144" t="s">
        <v>237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>
        <f>(SUM(D19:U19))+0</f>
        <v>0</v>
      </c>
      <c r="AR19" s="157"/>
    </row>
    <row r="20" spans="1:44" ht="15" x14ac:dyDescent="0.4">
      <c r="B20" s="367" t="s">
        <v>233</v>
      </c>
      <c r="C20" s="368"/>
      <c r="D20" s="142" t="s">
        <v>226</v>
      </c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R20" s="277">
        <f>R22+R23</f>
        <v>771</v>
      </c>
      <c r="S20" s="277">
        <f t="shared" ref="S20:AC20" si="7">S22+S23</f>
        <v>-4083</v>
      </c>
      <c r="T20" s="277">
        <f t="shared" si="7"/>
        <v>-4602</v>
      </c>
      <c r="U20" s="277">
        <f t="shared" si="7"/>
        <v>4566</v>
      </c>
      <c r="V20" s="277">
        <f t="shared" si="7"/>
        <v>1121</v>
      </c>
      <c r="W20" s="277">
        <f t="shared" si="7"/>
        <v>-5068</v>
      </c>
      <c r="X20" s="277">
        <f t="shared" si="7"/>
        <v>2024</v>
      </c>
      <c r="Y20" s="277">
        <f t="shared" si="7"/>
        <v>-3847</v>
      </c>
      <c r="Z20" s="277">
        <f t="shared" si="7"/>
        <v>3912</v>
      </c>
      <c r="AA20" s="277">
        <f t="shared" si="7"/>
        <v>-3255</v>
      </c>
      <c r="AB20" s="277">
        <f t="shared" si="7"/>
        <v>-1440</v>
      </c>
      <c r="AC20" s="277">
        <f t="shared" si="7"/>
        <v>671</v>
      </c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>
        <f>(SUM(D20:U20))+2763</f>
        <v>-585</v>
      </c>
      <c r="AR20" s="155"/>
    </row>
    <row r="21" spans="1:44" ht="15" x14ac:dyDescent="0.4">
      <c r="B21" s="369"/>
      <c r="C21" s="370"/>
      <c r="D21" s="144" t="s">
        <v>227</v>
      </c>
      <c r="E21" s="276"/>
      <c r="F21" s="276">
        <f>F10-E10</f>
        <v>678</v>
      </c>
      <c r="G21" s="276">
        <f t="shared" ref="G21:P21" si="8">G10-F10</f>
        <v>-893</v>
      </c>
      <c r="H21" s="276">
        <f t="shared" si="8"/>
        <v>892</v>
      </c>
      <c r="I21" s="276">
        <f t="shared" si="8"/>
        <v>16</v>
      </c>
      <c r="J21" s="276">
        <f t="shared" si="8"/>
        <v>507</v>
      </c>
      <c r="K21" s="276">
        <f t="shared" si="8"/>
        <v>912</v>
      </c>
      <c r="L21" s="276">
        <f t="shared" si="8"/>
        <v>1683</v>
      </c>
      <c r="M21" s="276">
        <f t="shared" si="8"/>
        <v>313</v>
      </c>
      <c r="N21" s="276">
        <f t="shared" si="8"/>
        <v>-1096</v>
      </c>
      <c r="O21" s="276">
        <f t="shared" si="8"/>
        <v>-3456</v>
      </c>
      <c r="P21" s="276">
        <f t="shared" si="8"/>
        <v>182</v>
      </c>
      <c r="R21" s="276">
        <f>R10-P10</f>
        <v>-117</v>
      </c>
      <c r="S21" s="276">
        <f t="shared" ref="S21:AC23" si="9">S10-R10</f>
        <v>2345</v>
      </c>
      <c r="T21" s="276">
        <f t="shared" si="9"/>
        <v>704</v>
      </c>
      <c r="U21" s="276">
        <f t="shared" si="9"/>
        <v>412</v>
      </c>
      <c r="V21" s="276">
        <f t="shared" si="9"/>
        <v>735</v>
      </c>
      <c r="W21" s="276">
        <f t="shared" si="9"/>
        <v>841</v>
      </c>
      <c r="X21" s="276">
        <f t="shared" si="9"/>
        <v>-153</v>
      </c>
      <c r="Y21" s="276">
        <f t="shared" si="9"/>
        <v>-791</v>
      </c>
      <c r="Z21" s="276">
        <f t="shared" si="9"/>
        <v>193</v>
      </c>
      <c r="AA21" s="276">
        <f t="shared" si="9"/>
        <v>-2173</v>
      </c>
      <c r="AB21" s="276">
        <f t="shared" si="9"/>
        <v>2190</v>
      </c>
      <c r="AC21" s="276">
        <f t="shared" si="9"/>
        <v>-1548</v>
      </c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5"/>
    </row>
    <row r="22" spans="1:44" ht="15" x14ac:dyDescent="0.4">
      <c r="B22" s="369"/>
      <c r="C22" s="370"/>
      <c r="D22" s="144" t="s">
        <v>272</v>
      </c>
      <c r="E22" s="156"/>
      <c r="F22" s="276">
        <f>F11-E11</f>
        <v>-16569</v>
      </c>
      <c r="G22" s="276">
        <f t="shared" ref="G22:P22" si="10">G11-F11</f>
        <v>-594</v>
      </c>
      <c r="H22" s="276">
        <f t="shared" si="10"/>
        <v>-19489</v>
      </c>
      <c r="I22" s="276">
        <f t="shared" si="10"/>
        <v>-12293</v>
      </c>
      <c r="J22" s="276">
        <f t="shared" si="10"/>
        <v>106</v>
      </c>
      <c r="K22" s="276">
        <f t="shared" si="10"/>
        <v>-4381</v>
      </c>
      <c r="L22" s="276">
        <f t="shared" si="10"/>
        <v>-7691</v>
      </c>
      <c r="M22" s="276">
        <f t="shared" si="10"/>
        <v>-2056</v>
      </c>
      <c r="N22" s="276">
        <f t="shared" si="10"/>
        <v>-814</v>
      </c>
      <c r="O22" s="276">
        <f t="shared" si="10"/>
        <v>-5184</v>
      </c>
      <c r="P22" s="276">
        <f t="shared" si="10"/>
        <v>1488</v>
      </c>
      <c r="R22" s="276">
        <f t="shared" ref="R22:R23" si="11">R11-P11</f>
        <v>1138</v>
      </c>
      <c r="S22" s="276">
        <f t="shared" si="9"/>
        <v>-3338</v>
      </c>
      <c r="T22" s="276">
        <f t="shared" si="9"/>
        <v>-5285</v>
      </c>
      <c r="U22" s="276">
        <f t="shared" si="9"/>
        <v>5031</v>
      </c>
      <c r="V22" s="276">
        <f t="shared" si="9"/>
        <v>1590</v>
      </c>
      <c r="W22" s="276">
        <f t="shared" si="9"/>
        <v>-4360</v>
      </c>
      <c r="X22" s="276">
        <f t="shared" si="9"/>
        <v>616</v>
      </c>
      <c r="Y22" s="276">
        <f t="shared" si="9"/>
        <v>-1598</v>
      </c>
      <c r="Z22" s="276">
        <f t="shared" si="9"/>
        <v>4805</v>
      </c>
      <c r="AA22" s="276">
        <f t="shared" si="9"/>
        <v>-2434</v>
      </c>
      <c r="AB22" s="276">
        <f t="shared" si="9"/>
        <v>-640</v>
      </c>
      <c r="AC22" s="276">
        <f t="shared" si="9"/>
        <v>329</v>
      </c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>
        <f>(SUM(D22:U22))+2763</f>
        <v>-67168</v>
      </c>
      <c r="AR22" s="157"/>
    </row>
    <row r="23" spans="1:44" ht="15" x14ac:dyDescent="0.4">
      <c r="B23" s="369"/>
      <c r="C23" s="370"/>
      <c r="D23" s="144" t="s">
        <v>228</v>
      </c>
      <c r="E23" s="156"/>
      <c r="F23" s="276">
        <f>F12-E12</f>
        <v>-513</v>
      </c>
      <c r="G23" s="276">
        <f t="shared" ref="G23:P23" si="12">G12-F12</f>
        <v>-283</v>
      </c>
      <c r="H23" s="276">
        <f t="shared" si="12"/>
        <v>309</v>
      </c>
      <c r="I23" s="276">
        <f t="shared" si="12"/>
        <v>-1134</v>
      </c>
      <c r="J23" s="276">
        <f t="shared" si="12"/>
        <v>305</v>
      </c>
      <c r="K23" s="276">
        <f t="shared" si="12"/>
        <v>333</v>
      </c>
      <c r="L23" s="276">
        <f t="shared" si="12"/>
        <v>1</v>
      </c>
      <c r="M23" s="276">
        <f t="shared" si="12"/>
        <v>-39</v>
      </c>
      <c r="N23" s="276">
        <f t="shared" si="12"/>
        <v>-654</v>
      </c>
      <c r="O23" s="276">
        <f t="shared" si="12"/>
        <v>-224</v>
      </c>
      <c r="P23" s="276">
        <f t="shared" si="12"/>
        <v>-543</v>
      </c>
      <c r="R23" s="276">
        <f t="shared" si="11"/>
        <v>-367</v>
      </c>
      <c r="S23" s="276">
        <f t="shared" si="9"/>
        <v>-745</v>
      </c>
      <c r="T23" s="276">
        <f t="shared" si="9"/>
        <v>683</v>
      </c>
      <c r="U23" s="276">
        <f t="shared" si="9"/>
        <v>-465</v>
      </c>
      <c r="V23" s="276">
        <f t="shared" si="9"/>
        <v>-469</v>
      </c>
      <c r="W23" s="276">
        <f t="shared" si="9"/>
        <v>-708</v>
      </c>
      <c r="X23" s="276">
        <f t="shared" si="9"/>
        <v>1408</v>
      </c>
      <c r="Y23" s="276">
        <f t="shared" si="9"/>
        <v>-2249</v>
      </c>
      <c r="Z23" s="276">
        <f t="shared" si="9"/>
        <v>-893</v>
      </c>
      <c r="AA23" s="276">
        <f t="shared" si="9"/>
        <v>-821</v>
      </c>
      <c r="AB23" s="276">
        <f t="shared" si="9"/>
        <v>-800</v>
      </c>
      <c r="AC23" s="276">
        <f t="shared" si="9"/>
        <v>342</v>
      </c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>
        <f>(SUM(D23:U23))+0</f>
        <v>-3336</v>
      </c>
      <c r="AR23" s="157"/>
    </row>
    <row r="24" spans="1:44" ht="15" x14ac:dyDescent="0.4">
      <c r="B24" s="367" t="s">
        <v>234</v>
      </c>
      <c r="C24" s="368"/>
      <c r="D24" s="142" t="s">
        <v>226</v>
      </c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R24" s="416">
        <f>AVERAGE(R26:R27)</f>
        <v>13702.287240018639</v>
      </c>
      <c r="S24" s="416">
        <f t="shared" ref="S24:AC24" si="13">AVERAGE(S26:S27)</f>
        <v>14937.439631790707</v>
      </c>
      <c r="T24" s="416">
        <f t="shared" si="13"/>
        <v>13893.087768514961</v>
      </c>
      <c r="U24" s="416">
        <f t="shared" si="13"/>
        <v>14004.441825298867</v>
      </c>
      <c r="V24" s="416">
        <f t="shared" si="13"/>
        <v>13533.841509654194</v>
      </c>
      <c r="W24" s="416">
        <f t="shared" si="13"/>
        <v>14018.418272053575</v>
      </c>
      <c r="X24" s="416">
        <f t="shared" si="13"/>
        <v>13695.844023513187</v>
      </c>
      <c r="Y24" s="416">
        <f t="shared" si="13"/>
        <v>13677.081098500637</v>
      </c>
      <c r="Z24" s="416">
        <f t="shared" si="13"/>
        <v>13726.087423109402</v>
      </c>
      <c r="AA24" s="416">
        <f t="shared" si="13"/>
        <v>13321.668829565349</v>
      </c>
      <c r="AB24" s="416">
        <f t="shared" si="13"/>
        <v>13262.239904362099</v>
      </c>
      <c r="AC24" s="416">
        <f t="shared" si="13"/>
        <v>13665.763105724856</v>
      </c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>
        <f>(SUM(D24:U24))+2763</f>
        <v>59300.256465623177</v>
      </c>
      <c r="AR24" s="155"/>
    </row>
    <row r="25" spans="1:44" ht="15" x14ac:dyDescent="0.4">
      <c r="B25" s="369"/>
      <c r="C25" s="370"/>
      <c r="D25" s="144" t="s">
        <v>227</v>
      </c>
      <c r="E25" s="276"/>
      <c r="F25" s="172">
        <f>(F6)*100000000/F10/0.085*1.1</f>
        <v>15861.067663288133</v>
      </c>
      <c r="G25" s="172">
        <f t="shared" ref="G25:AC25" si="14">(G6)*100000000/G10/0.085*1.1</f>
        <v>16098.758083544895</v>
      </c>
      <c r="H25" s="172">
        <f t="shared" si="14"/>
        <v>16150.680021895278</v>
      </c>
      <c r="I25" s="172">
        <f t="shared" si="14"/>
        <v>15369.35188336737</v>
      </c>
      <c r="J25" s="172">
        <f t="shared" si="14"/>
        <v>14659.811500319302</v>
      </c>
      <c r="K25" s="172">
        <f t="shared" si="14"/>
        <v>15809.108385732407</v>
      </c>
      <c r="L25" s="172">
        <f t="shared" si="14"/>
        <v>14326.556888954945</v>
      </c>
      <c r="M25" s="172">
        <f t="shared" si="14"/>
        <v>15152.488599644006</v>
      </c>
      <c r="N25" s="172">
        <f t="shared" si="14"/>
        <v>13857.514503762537</v>
      </c>
      <c r="O25" s="172">
        <f t="shared" si="14"/>
        <v>13537.528640169581</v>
      </c>
      <c r="P25" s="172">
        <f t="shared" si="14"/>
        <v>16365.850436671066</v>
      </c>
      <c r="R25" s="172">
        <f t="shared" si="14"/>
        <v>13794.900328679862</v>
      </c>
      <c r="S25" s="172">
        <f t="shared" si="14"/>
        <v>13731.163859400414</v>
      </c>
      <c r="T25" s="172">
        <f t="shared" si="14"/>
        <v>14009.548077477069</v>
      </c>
      <c r="U25" s="172">
        <f t="shared" si="14"/>
        <v>13593.463173667433</v>
      </c>
      <c r="V25" s="172">
        <f t="shared" si="14"/>
        <v>13670.802165181352</v>
      </c>
      <c r="W25" s="172">
        <f t="shared" si="14"/>
        <v>13659.836175242417</v>
      </c>
      <c r="X25" s="172">
        <f t="shared" si="14"/>
        <v>13794.739550521246</v>
      </c>
      <c r="Y25" s="172">
        <f t="shared" si="14"/>
        <v>13304.987324618558</v>
      </c>
      <c r="Z25" s="172">
        <f t="shared" si="14"/>
        <v>14423.721585967758</v>
      </c>
      <c r="AA25" s="172">
        <f t="shared" si="14"/>
        <v>14390.617715703947</v>
      </c>
      <c r="AB25" s="172">
        <f t="shared" si="14"/>
        <v>13088.272210881831</v>
      </c>
      <c r="AC25" s="172">
        <f t="shared" si="14"/>
        <v>15021.749281969178</v>
      </c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5"/>
    </row>
    <row r="26" spans="1:44" ht="15" x14ac:dyDescent="0.4">
      <c r="B26" s="369"/>
      <c r="C26" s="370"/>
      <c r="D26" s="144" t="s">
        <v>272</v>
      </c>
      <c r="E26" s="172"/>
      <c r="F26" s="172">
        <f>(F7)*100000000/F11/0.085*1.1</f>
        <v>4291.7329299913563</v>
      </c>
      <c r="G26" s="172">
        <f t="shared" ref="G26:P26" si="15">(G7)*100000000/G11/0.085*1.1</f>
        <v>4084.8738722970934</v>
      </c>
      <c r="H26" s="172">
        <f t="shared" si="15"/>
        <v>5358.0734500675089</v>
      </c>
      <c r="I26" s="172">
        <f t="shared" si="15"/>
        <v>4771.197512166771</v>
      </c>
      <c r="J26" s="172">
        <f t="shared" si="15"/>
        <v>4306.6154250624868</v>
      </c>
      <c r="K26" s="172">
        <f t="shared" si="15"/>
        <v>5051.65187215267</v>
      </c>
      <c r="L26" s="172">
        <f t="shared" si="15"/>
        <v>4516.6208522524848</v>
      </c>
      <c r="M26" s="172">
        <f t="shared" si="15"/>
        <v>5021.8457886111219</v>
      </c>
      <c r="N26" s="172">
        <f t="shared" si="15"/>
        <v>5505.3059786788972</v>
      </c>
      <c r="O26" s="172">
        <f t="shared" si="15"/>
        <v>4029.3017453382836</v>
      </c>
      <c r="P26" s="172">
        <f t="shared" si="15"/>
        <v>5081.7562807318263</v>
      </c>
      <c r="R26" s="172">
        <f>(R7)*100000000/R11/0.085*1.1</f>
        <v>4462.178563918309</v>
      </c>
      <c r="S26" s="172">
        <f t="shared" ref="S26:AC26" si="16">(S7)*100000000/S11/0.085*1.1</f>
        <v>4581.8164112458253</v>
      </c>
      <c r="T26" s="172">
        <f t="shared" si="16"/>
        <v>4375.1478711075915</v>
      </c>
      <c r="U26" s="172">
        <f t="shared" si="16"/>
        <v>4645.4371117029077</v>
      </c>
      <c r="V26" s="172">
        <f t="shared" si="16"/>
        <v>4953.0433745179016</v>
      </c>
      <c r="W26" s="172">
        <f t="shared" si="16"/>
        <v>4514.9993868570291</v>
      </c>
      <c r="X26" s="172">
        <f t="shared" si="16"/>
        <v>4954.3624245699966</v>
      </c>
      <c r="Y26" s="172">
        <f t="shared" si="16"/>
        <v>5142.3951012591242</v>
      </c>
      <c r="Z26" s="172">
        <f t="shared" si="16"/>
        <v>4496.4870973702546</v>
      </c>
      <c r="AA26" s="172">
        <f t="shared" si="16"/>
        <v>5141.3220605797869</v>
      </c>
      <c r="AB26" s="172">
        <f t="shared" si="16"/>
        <v>4810.5112808023159</v>
      </c>
      <c r="AC26" s="172">
        <f t="shared" si="16"/>
        <v>5094.0588352202976</v>
      </c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>
        <f>(SUM(D26:U26))+2763</f>
        <v>72846.555665325126</v>
      </c>
      <c r="AR26" s="157"/>
    </row>
    <row r="27" spans="1:44" ht="15" x14ac:dyDescent="0.4">
      <c r="B27" s="369"/>
      <c r="C27" s="370"/>
      <c r="D27" s="144" t="s">
        <v>228</v>
      </c>
      <c r="E27" s="172"/>
      <c r="F27" s="172">
        <f>(F8)*100000000/F12/0.085*1.1</f>
        <v>25712.78918003841</v>
      </c>
      <c r="G27" s="172">
        <f t="shared" ref="G27:P27" si="17">(G8)*100000000/G12/0.085*1.1</f>
        <v>25948.505669365695</v>
      </c>
      <c r="H27" s="172">
        <f t="shared" si="17"/>
        <v>27969.670649122021</v>
      </c>
      <c r="I27" s="172">
        <f t="shared" si="17"/>
        <v>25672.76161789515</v>
      </c>
      <c r="J27" s="172">
        <f t="shared" si="17"/>
        <v>24178.154516455303</v>
      </c>
      <c r="K27" s="172">
        <f t="shared" si="17"/>
        <v>26227.469487442158</v>
      </c>
      <c r="L27" s="172">
        <f t="shared" si="17"/>
        <v>23984.463394113118</v>
      </c>
      <c r="M27" s="172">
        <f t="shared" si="17"/>
        <v>25435.981002488657</v>
      </c>
      <c r="N27" s="172">
        <f t="shared" si="17"/>
        <v>24810.102911144037</v>
      </c>
      <c r="O27" s="172">
        <f t="shared" si="17"/>
        <v>23955.698345588233</v>
      </c>
      <c r="P27" s="172">
        <f t="shared" si="17"/>
        <v>24486.897791407289</v>
      </c>
      <c r="R27" s="172">
        <f>(R8)*100000000/R12/0.085*1.1</f>
        <v>22942.39591611897</v>
      </c>
      <c r="S27" s="172">
        <f t="shared" ref="S27:AC27" si="18">(S8)*100000000/S12/0.085*1.1</f>
        <v>25293.062852335588</v>
      </c>
      <c r="T27" s="172">
        <f t="shared" si="18"/>
        <v>23411.027665922331</v>
      </c>
      <c r="U27" s="172">
        <f t="shared" si="18"/>
        <v>23363.446538894827</v>
      </c>
      <c r="V27" s="172">
        <f t="shared" si="18"/>
        <v>22114.639644790484</v>
      </c>
      <c r="W27" s="172">
        <f t="shared" si="18"/>
        <v>23521.83715725012</v>
      </c>
      <c r="X27" s="172">
        <f t="shared" si="18"/>
        <v>22437.325622456377</v>
      </c>
      <c r="Y27" s="172">
        <f t="shared" si="18"/>
        <v>22211.767095742151</v>
      </c>
      <c r="Z27" s="172">
        <f t="shared" si="18"/>
        <v>22955.687748848552</v>
      </c>
      <c r="AA27" s="172">
        <f t="shared" si="18"/>
        <v>21502.015598550912</v>
      </c>
      <c r="AB27" s="172">
        <f t="shared" si="18"/>
        <v>21713.968527921883</v>
      </c>
      <c r="AC27" s="172">
        <f t="shared" si="18"/>
        <v>22237.467376229415</v>
      </c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>
        <f>(SUM(D27:U27))+0</f>
        <v>373392.42753833177</v>
      </c>
      <c r="AR27" s="157"/>
    </row>
    <row r="31" spans="1:44" ht="16.5" x14ac:dyDescent="0.45">
      <c r="A31" s="419" t="s">
        <v>10</v>
      </c>
      <c r="B31" s="419"/>
      <c r="C31" s="420">
        <v>2401</v>
      </c>
      <c r="D31" s="420">
        <v>2402</v>
      </c>
      <c r="E31" s="420">
        <v>2403</v>
      </c>
      <c r="F31" s="420">
        <v>2404</v>
      </c>
      <c r="G31" s="420">
        <v>2405</v>
      </c>
      <c r="H31" s="420">
        <v>2406</v>
      </c>
      <c r="I31" s="420">
        <v>2407</v>
      </c>
      <c r="J31" s="420">
        <v>2408</v>
      </c>
      <c r="K31" s="420">
        <v>2409</v>
      </c>
      <c r="L31" s="420">
        <v>2410</v>
      </c>
      <c r="M31" s="420">
        <v>2411</v>
      </c>
      <c r="N31" s="420">
        <v>2412</v>
      </c>
      <c r="O31" s="421">
        <v>2501</v>
      </c>
      <c r="P31" s="421">
        <v>2502</v>
      </c>
      <c r="Q31" s="421">
        <v>2503</v>
      </c>
      <c r="R31" s="421">
        <v>2504</v>
      </c>
      <c r="S31" s="421">
        <v>2505</v>
      </c>
      <c r="T31" s="421">
        <v>2506</v>
      </c>
      <c r="U31" s="421">
        <v>2507</v>
      </c>
      <c r="V31" s="421">
        <v>2508</v>
      </c>
      <c r="W31" s="421">
        <v>2509</v>
      </c>
      <c r="X31" s="421">
        <v>2510</v>
      </c>
      <c r="Y31" s="421">
        <v>2511</v>
      </c>
      <c r="Z31" s="421">
        <v>2512</v>
      </c>
    </row>
    <row r="32" spans="1:44" ht="15" x14ac:dyDescent="0.4">
      <c r="A32" s="422" t="s">
        <v>102</v>
      </c>
      <c r="B32" s="423" t="s">
        <v>22</v>
      </c>
      <c r="C32" s="427">
        <v>410269</v>
      </c>
      <c r="D32" s="427">
        <v>394972</v>
      </c>
      <c r="E32" s="427">
        <v>394521</v>
      </c>
      <c r="F32" s="427">
        <v>385372</v>
      </c>
      <c r="G32" s="427">
        <v>384226</v>
      </c>
      <c r="H32" s="427">
        <v>386352</v>
      </c>
      <c r="I32" s="427">
        <v>384369</v>
      </c>
      <c r="J32" s="427">
        <v>380085</v>
      </c>
      <c r="K32" s="427">
        <v>379911</v>
      </c>
      <c r="L32" s="427">
        <v>380237</v>
      </c>
      <c r="M32" s="427">
        <v>374182</v>
      </c>
      <c r="N32" s="427">
        <v>377421</v>
      </c>
      <c r="O32" s="427">
        <v>378925</v>
      </c>
      <c r="P32" s="427">
        <v>378643</v>
      </c>
      <c r="Q32" s="427">
        <v>374600</v>
      </c>
      <c r="R32" s="427">
        <v>380744</v>
      </c>
      <c r="S32" s="427">
        <v>384484</v>
      </c>
      <c r="T32" s="427">
        <v>381649</v>
      </c>
      <c r="U32" s="427">
        <v>382463</v>
      </c>
      <c r="V32" s="427">
        <v>382832</v>
      </c>
      <c r="W32" s="427">
        <v>388377</v>
      </c>
      <c r="X32" s="427">
        <v>384285</v>
      </c>
      <c r="Y32" s="427">
        <v>386173</v>
      </c>
      <c r="Z32" s="427">
        <v>385476</v>
      </c>
    </row>
    <row r="33" spans="1:26" ht="15" x14ac:dyDescent="0.4">
      <c r="A33" s="422"/>
      <c r="B33" s="423" t="s">
        <v>302</v>
      </c>
      <c r="C33" s="427">
        <v>226039</v>
      </c>
      <c r="D33" s="427">
        <v>224932</v>
      </c>
      <c r="E33" s="427">
        <v>223613</v>
      </c>
      <c r="F33" s="427">
        <v>214474</v>
      </c>
      <c r="G33" s="427">
        <v>202209</v>
      </c>
      <c r="H33" s="427">
        <v>201002</v>
      </c>
      <c r="I33" s="427">
        <v>199849</v>
      </c>
      <c r="J33" s="427">
        <v>198126</v>
      </c>
      <c r="K33" s="427">
        <v>196518</v>
      </c>
      <c r="L33" s="427">
        <v>193627</v>
      </c>
      <c r="M33" s="427">
        <v>190819</v>
      </c>
      <c r="N33" s="427">
        <v>188707</v>
      </c>
      <c r="O33" s="427">
        <v>187899</v>
      </c>
      <c r="P33" s="427">
        <v>186443</v>
      </c>
      <c r="Q33" s="427">
        <v>186588</v>
      </c>
      <c r="R33" s="427">
        <v>185422</v>
      </c>
      <c r="S33" s="427">
        <v>183538</v>
      </c>
      <c r="T33" s="427">
        <v>182146</v>
      </c>
      <c r="U33" s="427">
        <v>183162</v>
      </c>
      <c r="V33" s="427">
        <v>178170</v>
      </c>
      <c r="W33" s="427">
        <v>176730</v>
      </c>
      <c r="X33" s="427">
        <v>175393</v>
      </c>
      <c r="Y33" s="427">
        <v>174255</v>
      </c>
      <c r="Z33" s="427">
        <v>174075</v>
      </c>
    </row>
    <row r="34" spans="1:26" ht="14.5" customHeight="1" x14ac:dyDescent="0.4">
      <c r="A34" s="422"/>
      <c r="B34" s="424" t="s">
        <v>109</v>
      </c>
      <c r="C34" s="428">
        <f>C32+C33</f>
        <v>636308</v>
      </c>
      <c r="D34" s="428">
        <f t="shared" ref="D34:Z34" si="19">D32+D33</f>
        <v>619904</v>
      </c>
      <c r="E34" s="428">
        <f t="shared" si="19"/>
        <v>618134</v>
      </c>
      <c r="F34" s="428">
        <f t="shared" si="19"/>
        <v>599846</v>
      </c>
      <c r="G34" s="428">
        <f t="shared" si="19"/>
        <v>586435</v>
      </c>
      <c r="H34" s="428">
        <f t="shared" si="19"/>
        <v>587354</v>
      </c>
      <c r="I34" s="428">
        <f t="shared" si="19"/>
        <v>584218</v>
      </c>
      <c r="J34" s="428">
        <f t="shared" si="19"/>
        <v>578211</v>
      </c>
      <c r="K34" s="428">
        <f t="shared" si="19"/>
        <v>576429</v>
      </c>
      <c r="L34" s="428">
        <f t="shared" si="19"/>
        <v>573864</v>
      </c>
      <c r="M34" s="428">
        <f t="shared" si="19"/>
        <v>565001</v>
      </c>
      <c r="N34" s="428">
        <f t="shared" si="19"/>
        <v>566128</v>
      </c>
      <c r="O34" s="428">
        <f t="shared" si="19"/>
        <v>566824</v>
      </c>
      <c r="P34" s="428">
        <f t="shared" si="19"/>
        <v>565086</v>
      </c>
      <c r="Q34" s="428">
        <f t="shared" si="19"/>
        <v>561188</v>
      </c>
      <c r="R34" s="428">
        <f t="shared" si="19"/>
        <v>566166</v>
      </c>
      <c r="S34" s="428">
        <f t="shared" si="19"/>
        <v>568022</v>
      </c>
      <c r="T34" s="428">
        <f t="shared" si="19"/>
        <v>563795</v>
      </c>
      <c r="U34" s="428">
        <f t="shared" si="19"/>
        <v>565625</v>
      </c>
      <c r="V34" s="428">
        <f t="shared" si="19"/>
        <v>561002</v>
      </c>
      <c r="W34" s="428">
        <f t="shared" si="19"/>
        <v>565107</v>
      </c>
      <c r="X34" s="428">
        <f t="shared" si="19"/>
        <v>559678</v>
      </c>
      <c r="Y34" s="428">
        <f t="shared" si="19"/>
        <v>560428</v>
      </c>
      <c r="Z34" s="428">
        <f t="shared" si="19"/>
        <v>559551</v>
      </c>
    </row>
    <row r="35" spans="1:26" ht="16.5" customHeight="1" x14ac:dyDescent="0.4">
      <c r="A35" s="422"/>
      <c r="B35" s="425" t="s">
        <v>303</v>
      </c>
      <c r="C35" s="429">
        <v>340450</v>
      </c>
      <c r="D35" s="429">
        <v>324475</v>
      </c>
      <c r="E35" s="429">
        <v>324917</v>
      </c>
      <c r="F35" s="429">
        <v>314876</v>
      </c>
      <c r="G35" s="429">
        <v>313714</v>
      </c>
      <c r="H35" s="429">
        <v>315333</v>
      </c>
      <c r="I35" s="429">
        <v>312438</v>
      </c>
      <c r="J35" s="429">
        <v>306471</v>
      </c>
      <c r="K35" s="429">
        <v>305984</v>
      </c>
      <c r="L35" s="429">
        <v>307406</v>
      </c>
      <c r="M35" s="429">
        <v>304807</v>
      </c>
      <c r="N35" s="429">
        <v>307864</v>
      </c>
      <c r="O35" s="427">
        <v>309485</v>
      </c>
      <c r="P35" s="427">
        <v>306858</v>
      </c>
      <c r="Q35" s="427">
        <v>302111</v>
      </c>
      <c r="R35" s="427">
        <v>307843</v>
      </c>
      <c r="S35" s="427">
        <v>310848</v>
      </c>
      <c r="T35" s="427">
        <v>307172</v>
      </c>
      <c r="U35" s="427">
        <v>308139</v>
      </c>
      <c r="V35" s="427">
        <v>309299</v>
      </c>
      <c r="W35" s="427">
        <v>314651</v>
      </c>
      <c r="X35" s="427">
        <v>312732</v>
      </c>
      <c r="Y35" s="427">
        <v>312430</v>
      </c>
      <c r="Z35" s="427">
        <v>313281</v>
      </c>
    </row>
    <row r="36" spans="1:26" ht="16.5" customHeight="1" x14ac:dyDescent="0.4">
      <c r="A36" s="422"/>
      <c r="B36" s="426"/>
      <c r="C36" s="429">
        <v>83340</v>
      </c>
      <c r="D36" s="429">
        <v>82746</v>
      </c>
      <c r="E36" s="429">
        <v>81710</v>
      </c>
      <c r="F36" s="429">
        <v>72262</v>
      </c>
      <c r="G36" s="429">
        <v>61131</v>
      </c>
      <c r="H36" s="429">
        <v>59619</v>
      </c>
      <c r="I36" s="429">
        <v>58133</v>
      </c>
      <c r="J36" s="429">
        <v>56409</v>
      </c>
      <c r="K36" s="429">
        <v>54840</v>
      </c>
      <c r="L36" s="429">
        <v>52603</v>
      </c>
      <c r="M36" s="429">
        <v>50019</v>
      </c>
      <c r="N36" s="429">
        <v>48450</v>
      </c>
      <c r="O36" s="427">
        <v>48009</v>
      </c>
      <c r="P36" s="427">
        <v>47298</v>
      </c>
      <c r="Q36" s="427">
        <v>46760</v>
      </c>
      <c r="R36" s="427">
        <v>46059</v>
      </c>
      <c r="S36" s="427">
        <v>44644</v>
      </c>
      <c r="T36" s="427">
        <v>43960</v>
      </c>
      <c r="U36" s="427">
        <v>43568</v>
      </c>
      <c r="V36" s="427">
        <v>40825</v>
      </c>
      <c r="W36" s="427">
        <v>40278</v>
      </c>
      <c r="X36" s="427">
        <v>39762</v>
      </c>
      <c r="Y36" s="427">
        <v>39424</v>
      </c>
      <c r="Z36" s="427">
        <v>38902</v>
      </c>
    </row>
    <row r="37" spans="1:26" ht="14.5" customHeight="1" x14ac:dyDescent="0.4">
      <c r="A37" s="422"/>
      <c r="B37" s="424" t="s">
        <v>109</v>
      </c>
      <c r="C37" s="428">
        <f>C35+C36</f>
        <v>423790</v>
      </c>
      <c r="D37" s="428">
        <f t="shared" ref="D37:Z37" si="20">D35+D36</f>
        <v>407221</v>
      </c>
      <c r="E37" s="428">
        <f t="shared" si="20"/>
        <v>406627</v>
      </c>
      <c r="F37" s="428">
        <f t="shared" si="20"/>
        <v>387138</v>
      </c>
      <c r="G37" s="428">
        <f t="shared" si="20"/>
        <v>374845</v>
      </c>
      <c r="H37" s="428">
        <f t="shared" si="20"/>
        <v>374952</v>
      </c>
      <c r="I37" s="428">
        <f t="shared" si="20"/>
        <v>370571</v>
      </c>
      <c r="J37" s="428">
        <f t="shared" si="20"/>
        <v>362880</v>
      </c>
      <c r="K37" s="428">
        <f t="shared" si="20"/>
        <v>360824</v>
      </c>
      <c r="L37" s="428">
        <f t="shared" si="20"/>
        <v>360009</v>
      </c>
      <c r="M37" s="428">
        <f t="shared" si="20"/>
        <v>354826</v>
      </c>
      <c r="N37" s="428">
        <f t="shared" si="20"/>
        <v>356314</v>
      </c>
      <c r="O37" s="428">
        <f t="shared" si="20"/>
        <v>357494</v>
      </c>
      <c r="P37" s="428">
        <f t="shared" si="20"/>
        <v>354156</v>
      </c>
      <c r="Q37" s="428">
        <f t="shared" si="20"/>
        <v>348871</v>
      </c>
      <c r="R37" s="428">
        <f t="shared" si="20"/>
        <v>353902</v>
      </c>
      <c r="S37" s="428">
        <f t="shared" si="20"/>
        <v>355492</v>
      </c>
      <c r="T37" s="428">
        <f t="shared" si="20"/>
        <v>351132</v>
      </c>
      <c r="U37" s="428">
        <f t="shared" si="20"/>
        <v>351707</v>
      </c>
      <c r="V37" s="428">
        <f t="shared" si="20"/>
        <v>350124</v>
      </c>
      <c r="W37" s="428">
        <f t="shared" si="20"/>
        <v>354929</v>
      </c>
      <c r="X37" s="428">
        <f t="shared" si="20"/>
        <v>352494</v>
      </c>
      <c r="Y37" s="428">
        <f t="shared" si="20"/>
        <v>351854</v>
      </c>
      <c r="Z37" s="428">
        <f t="shared" si="20"/>
        <v>352183</v>
      </c>
    </row>
    <row r="38" spans="1:26" ht="15" x14ac:dyDescent="0.4">
      <c r="A38" s="422"/>
      <c r="B38" s="431" t="s">
        <v>22</v>
      </c>
      <c r="C38" s="429">
        <f>C32-C35</f>
        <v>69819</v>
      </c>
      <c r="D38" s="429">
        <f>D32-D35</f>
        <v>70497</v>
      </c>
      <c r="E38" s="429">
        <f t="shared" ref="E38:Z38" si="21">E32-E35</f>
        <v>69604</v>
      </c>
      <c r="F38" s="429">
        <f t="shared" si="21"/>
        <v>70496</v>
      </c>
      <c r="G38" s="429">
        <f t="shared" si="21"/>
        <v>70512</v>
      </c>
      <c r="H38" s="429">
        <f t="shared" si="21"/>
        <v>71019</v>
      </c>
      <c r="I38" s="429">
        <f t="shared" si="21"/>
        <v>71931</v>
      </c>
      <c r="J38" s="429">
        <f t="shared" si="21"/>
        <v>73614</v>
      </c>
      <c r="K38" s="429">
        <f t="shared" si="21"/>
        <v>73927</v>
      </c>
      <c r="L38" s="429">
        <f t="shared" si="21"/>
        <v>72831</v>
      </c>
      <c r="M38" s="429">
        <f t="shared" si="21"/>
        <v>69375</v>
      </c>
      <c r="N38" s="429">
        <f t="shared" si="21"/>
        <v>69557</v>
      </c>
      <c r="O38" s="427">
        <f t="shared" si="21"/>
        <v>69440</v>
      </c>
      <c r="P38" s="427">
        <f t="shared" si="21"/>
        <v>71785</v>
      </c>
      <c r="Q38" s="427">
        <f t="shared" si="21"/>
        <v>72489</v>
      </c>
      <c r="R38" s="427">
        <f t="shared" si="21"/>
        <v>72901</v>
      </c>
      <c r="S38" s="427">
        <f t="shared" si="21"/>
        <v>73636</v>
      </c>
      <c r="T38" s="427">
        <f t="shared" si="21"/>
        <v>74477</v>
      </c>
      <c r="U38" s="427">
        <f t="shared" si="21"/>
        <v>74324</v>
      </c>
      <c r="V38" s="427">
        <f t="shared" si="21"/>
        <v>73533</v>
      </c>
      <c r="W38" s="427">
        <f t="shared" si="21"/>
        <v>73726</v>
      </c>
      <c r="X38" s="427">
        <f t="shared" si="21"/>
        <v>71553</v>
      </c>
      <c r="Y38" s="427">
        <f t="shared" si="21"/>
        <v>73743</v>
      </c>
      <c r="Z38" s="427">
        <f t="shared" si="21"/>
        <v>72195</v>
      </c>
    </row>
    <row r="39" spans="1:26" ht="15" x14ac:dyDescent="0.4">
      <c r="A39" s="422"/>
      <c r="B39" s="431" t="s">
        <v>302</v>
      </c>
      <c r="C39" s="429">
        <f>C33-C36</f>
        <v>142699</v>
      </c>
      <c r="D39" s="429">
        <f>D33-D36</f>
        <v>142186</v>
      </c>
      <c r="E39" s="429">
        <f t="shared" ref="E39:Z39" si="22">E33-E36</f>
        <v>141903</v>
      </c>
      <c r="F39" s="429">
        <f t="shared" si="22"/>
        <v>142212</v>
      </c>
      <c r="G39" s="429">
        <f t="shared" si="22"/>
        <v>141078</v>
      </c>
      <c r="H39" s="429">
        <f t="shared" si="22"/>
        <v>141383</v>
      </c>
      <c r="I39" s="429">
        <f t="shared" si="22"/>
        <v>141716</v>
      </c>
      <c r="J39" s="429">
        <f t="shared" si="22"/>
        <v>141717</v>
      </c>
      <c r="K39" s="429">
        <f t="shared" si="22"/>
        <v>141678</v>
      </c>
      <c r="L39" s="429">
        <f t="shared" si="22"/>
        <v>141024</v>
      </c>
      <c r="M39" s="429">
        <f t="shared" si="22"/>
        <v>140800</v>
      </c>
      <c r="N39" s="429">
        <f t="shared" si="22"/>
        <v>140257</v>
      </c>
      <c r="O39" s="427">
        <f t="shared" si="22"/>
        <v>139890</v>
      </c>
      <c r="P39" s="427">
        <f t="shared" si="22"/>
        <v>139145</v>
      </c>
      <c r="Q39" s="427">
        <f t="shared" si="22"/>
        <v>139828</v>
      </c>
      <c r="R39" s="427">
        <f t="shared" si="22"/>
        <v>139363</v>
      </c>
      <c r="S39" s="427">
        <f t="shared" si="22"/>
        <v>138894</v>
      </c>
      <c r="T39" s="427">
        <f t="shared" si="22"/>
        <v>138186</v>
      </c>
      <c r="U39" s="427">
        <f t="shared" si="22"/>
        <v>139594</v>
      </c>
      <c r="V39" s="427">
        <f t="shared" si="22"/>
        <v>137345</v>
      </c>
      <c r="W39" s="427">
        <f t="shared" si="22"/>
        <v>136452</v>
      </c>
      <c r="X39" s="427">
        <f t="shared" si="22"/>
        <v>135631</v>
      </c>
      <c r="Y39" s="427">
        <f t="shared" si="22"/>
        <v>134831</v>
      </c>
      <c r="Z39" s="427">
        <f t="shared" si="22"/>
        <v>135173</v>
      </c>
    </row>
    <row r="40" spans="1:26" ht="15" x14ac:dyDescent="0.4">
      <c r="A40" s="422" t="s">
        <v>304</v>
      </c>
      <c r="B40" s="423" t="s">
        <v>22</v>
      </c>
      <c r="C40" s="430">
        <v>11956</v>
      </c>
      <c r="D40" s="430">
        <v>4629</v>
      </c>
      <c r="E40" s="430">
        <v>6114</v>
      </c>
      <c r="F40" s="430">
        <v>3599</v>
      </c>
      <c r="G40" s="430">
        <v>5579</v>
      </c>
      <c r="H40" s="430">
        <v>5070</v>
      </c>
      <c r="I40" s="430">
        <v>6405</v>
      </c>
      <c r="J40" s="430">
        <v>7236</v>
      </c>
      <c r="K40" s="430">
        <v>4315</v>
      </c>
      <c r="L40" s="430">
        <v>5762</v>
      </c>
      <c r="M40" s="430">
        <v>6542</v>
      </c>
      <c r="N40" s="430">
        <v>7366</v>
      </c>
      <c r="O40" s="427">
        <v>6605</v>
      </c>
      <c r="P40" s="427">
        <v>5979</v>
      </c>
      <c r="Q40" s="427">
        <v>5312</v>
      </c>
      <c r="R40" s="427">
        <v>12478</v>
      </c>
      <c r="S40" s="427">
        <v>9266</v>
      </c>
      <c r="T40" s="427">
        <v>9012</v>
      </c>
      <c r="U40" s="427">
        <v>8296</v>
      </c>
      <c r="V40" s="427">
        <v>6529</v>
      </c>
      <c r="W40" s="427">
        <v>10189</v>
      </c>
      <c r="X40" s="427">
        <v>3821</v>
      </c>
      <c r="Y40" s="427">
        <v>8697</v>
      </c>
      <c r="Z40" s="427">
        <v>6553</v>
      </c>
    </row>
    <row r="41" spans="1:26" ht="15" x14ac:dyDescent="0.4">
      <c r="A41" s="422"/>
      <c r="B41" s="423" t="s">
        <v>302</v>
      </c>
      <c r="C41" s="430">
        <v>1735</v>
      </c>
      <c r="D41" s="430">
        <v>2517</v>
      </c>
      <c r="E41" s="430">
        <v>2020</v>
      </c>
      <c r="F41" s="430">
        <v>2464</v>
      </c>
      <c r="G41" s="430">
        <v>1822</v>
      </c>
      <c r="H41" s="430">
        <v>2129</v>
      </c>
      <c r="I41" s="430">
        <v>2068</v>
      </c>
      <c r="J41" s="430">
        <v>1431</v>
      </c>
      <c r="K41" s="430">
        <v>2024</v>
      </c>
      <c r="L41" s="430">
        <v>1262</v>
      </c>
      <c r="M41" s="430">
        <v>1582</v>
      </c>
      <c r="N41" s="430">
        <v>1750</v>
      </c>
      <c r="O41" s="427">
        <v>1727</v>
      </c>
      <c r="P41" s="427">
        <v>1724</v>
      </c>
      <c r="Q41" s="427">
        <v>2530</v>
      </c>
      <c r="R41" s="427">
        <v>2579</v>
      </c>
      <c r="S41" s="427">
        <v>2400</v>
      </c>
      <c r="T41" s="427">
        <v>2246</v>
      </c>
      <c r="U41" s="427">
        <v>4778</v>
      </c>
      <c r="V41" s="427">
        <v>2187</v>
      </c>
      <c r="W41" s="427">
        <v>2238</v>
      </c>
      <c r="X41" s="427">
        <v>1865</v>
      </c>
      <c r="Y41" s="427">
        <v>1942</v>
      </c>
      <c r="Z41" s="427">
        <v>3538</v>
      </c>
    </row>
    <row r="42" spans="1:26" ht="15" x14ac:dyDescent="0.4">
      <c r="A42" s="422"/>
      <c r="B42" s="424" t="s">
        <v>109</v>
      </c>
      <c r="C42" s="428">
        <f>C40+C41</f>
        <v>13691</v>
      </c>
      <c r="D42" s="428">
        <f t="shared" ref="D42:Z42" si="23">D40+D41</f>
        <v>7146</v>
      </c>
      <c r="E42" s="428">
        <f t="shared" si="23"/>
        <v>8134</v>
      </c>
      <c r="F42" s="428">
        <f t="shared" si="23"/>
        <v>6063</v>
      </c>
      <c r="G42" s="428">
        <f t="shared" si="23"/>
        <v>7401</v>
      </c>
      <c r="H42" s="428">
        <f t="shared" si="23"/>
        <v>7199</v>
      </c>
      <c r="I42" s="428">
        <f t="shared" si="23"/>
        <v>8473</v>
      </c>
      <c r="J42" s="428">
        <f t="shared" si="23"/>
        <v>8667</v>
      </c>
      <c r="K42" s="428">
        <f t="shared" si="23"/>
        <v>6339</v>
      </c>
      <c r="L42" s="428">
        <f t="shared" si="23"/>
        <v>7024</v>
      </c>
      <c r="M42" s="428">
        <f t="shared" si="23"/>
        <v>8124</v>
      </c>
      <c r="N42" s="428">
        <f t="shared" si="23"/>
        <v>9116</v>
      </c>
      <c r="O42" s="428">
        <f t="shared" si="23"/>
        <v>8332</v>
      </c>
      <c r="P42" s="428">
        <f t="shared" si="23"/>
        <v>7703</v>
      </c>
      <c r="Q42" s="428">
        <f t="shared" si="23"/>
        <v>7842</v>
      </c>
      <c r="R42" s="428">
        <f t="shared" si="23"/>
        <v>15057</v>
      </c>
      <c r="S42" s="428">
        <f t="shared" si="23"/>
        <v>11666</v>
      </c>
      <c r="T42" s="428">
        <f t="shared" si="23"/>
        <v>11258</v>
      </c>
      <c r="U42" s="428">
        <f t="shared" si="23"/>
        <v>13074</v>
      </c>
      <c r="V42" s="428">
        <f t="shared" si="23"/>
        <v>8716</v>
      </c>
      <c r="W42" s="428">
        <f t="shared" si="23"/>
        <v>12427</v>
      </c>
      <c r="X42" s="428">
        <f t="shared" si="23"/>
        <v>5686</v>
      </c>
      <c r="Y42" s="428">
        <f t="shared" si="23"/>
        <v>10639</v>
      </c>
      <c r="Z42" s="428">
        <f t="shared" si="23"/>
        <v>10091</v>
      </c>
    </row>
    <row r="43" spans="1:26" ht="16.5" customHeight="1" x14ac:dyDescent="0.4">
      <c r="A43" s="422"/>
      <c r="B43" s="425" t="s">
        <v>303</v>
      </c>
      <c r="C43" s="429">
        <v>10654</v>
      </c>
      <c r="D43" s="429">
        <v>3442</v>
      </c>
      <c r="E43" s="429">
        <v>4978</v>
      </c>
      <c r="F43" s="429">
        <v>2692</v>
      </c>
      <c r="G43" s="429">
        <v>5206</v>
      </c>
      <c r="H43" s="429">
        <v>4159</v>
      </c>
      <c r="I43" s="429">
        <v>5068</v>
      </c>
      <c r="J43" s="429">
        <v>5132</v>
      </c>
      <c r="K43" s="429">
        <v>3579</v>
      </c>
      <c r="L43" s="429">
        <v>4764</v>
      </c>
      <c r="M43" s="429">
        <v>5588</v>
      </c>
      <c r="N43" s="429">
        <v>6461</v>
      </c>
      <c r="O43" s="427">
        <v>5542</v>
      </c>
      <c r="P43" s="427">
        <v>3049</v>
      </c>
      <c r="Q43" s="427">
        <v>2867</v>
      </c>
      <c r="R43" s="427">
        <v>11396</v>
      </c>
      <c r="S43" s="427">
        <v>7679</v>
      </c>
      <c r="T43" s="427">
        <v>7685</v>
      </c>
      <c r="U43" s="427">
        <v>6953</v>
      </c>
      <c r="V43" s="427">
        <v>5521</v>
      </c>
      <c r="W43" s="427">
        <v>8862</v>
      </c>
      <c r="X43" s="427">
        <v>3088</v>
      </c>
      <c r="Y43" s="427">
        <v>4621</v>
      </c>
      <c r="Z43" s="427">
        <v>4932</v>
      </c>
    </row>
    <row r="44" spans="1:26" ht="15" x14ac:dyDescent="0.4">
      <c r="A44" s="422"/>
      <c r="B44" s="426"/>
      <c r="C44" s="429">
        <v>321</v>
      </c>
      <c r="D44" s="429">
        <v>468</v>
      </c>
      <c r="E44" s="429">
        <v>369</v>
      </c>
      <c r="F44" s="429">
        <v>137</v>
      </c>
      <c r="G44" s="429">
        <v>153</v>
      </c>
      <c r="H44" s="429">
        <v>119</v>
      </c>
      <c r="I44" s="429">
        <v>103</v>
      </c>
      <c r="J44" s="429">
        <v>92</v>
      </c>
      <c r="K44" s="429">
        <v>104</v>
      </c>
      <c r="L44" s="429">
        <v>81</v>
      </c>
      <c r="M44" s="429">
        <v>78</v>
      </c>
      <c r="N44" s="429">
        <v>24</v>
      </c>
      <c r="O44" s="427">
        <v>7</v>
      </c>
      <c r="P44" s="427">
        <v>37</v>
      </c>
      <c r="Q44" s="427">
        <v>49</v>
      </c>
      <c r="R44" s="427">
        <v>36</v>
      </c>
      <c r="S44" s="427">
        <v>1</v>
      </c>
      <c r="T44" s="427">
        <v>39</v>
      </c>
      <c r="U44" s="427">
        <v>35</v>
      </c>
      <c r="V44" s="427">
        <v>16</v>
      </c>
      <c r="W44" s="427">
        <v>9</v>
      </c>
      <c r="X44" s="427">
        <v>35</v>
      </c>
      <c r="Y44" s="427">
        <v>52</v>
      </c>
      <c r="Z44" s="427">
        <v>40</v>
      </c>
    </row>
    <row r="45" spans="1:26" ht="15" x14ac:dyDescent="0.4">
      <c r="A45" s="422"/>
      <c r="B45" s="424" t="s">
        <v>109</v>
      </c>
      <c r="C45" s="428">
        <f t="shared" ref="B45:Z45" si="24">C43+C44</f>
        <v>10975</v>
      </c>
      <c r="D45" s="428">
        <f t="shared" si="24"/>
        <v>3910</v>
      </c>
      <c r="E45" s="428">
        <f t="shared" si="24"/>
        <v>5347</v>
      </c>
      <c r="F45" s="428">
        <f t="shared" si="24"/>
        <v>2829</v>
      </c>
      <c r="G45" s="428">
        <f t="shared" si="24"/>
        <v>5359</v>
      </c>
      <c r="H45" s="428">
        <f t="shared" si="24"/>
        <v>4278</v>
      </c>
      <c r="I45" s="428">
        <f t="shared" si="24"/>
        <v>5171</v>
      </c>
      <c r="J45" s="428">
        <f t="shared" si="24"/>
        <v>5224</v>
      </c>
      <c r="K45" s="428">
        <f t="shared" si="24"/>
        <v>3683</v>
      </c>
      <c r="L45" s="428">
        <f t="shared" si="24"/>
        <v>4845</v>
      </c>
      <c r="M45" s="428">
        <f t="shared" si="24"/>
        <v>5666</v>
      </c>
      <c r="N45" s="428">
        <f t="shared" si="24"/>
        <v>6485</v>
      </c>
      <c r="O45" s="428">
        <f t="shared" si="24"/>
        <v>5549</v>
      </c>
      <c r="P45" s="428">
        <f t="shared" si="24"/>
        <v>3086</v>
      </c>
      <c r="Q45" s="428">
        <f t="shared" si="24"/>
        <v>2916</v>
      </c>
      <c r="R45" s="428">
        <f t="shared" si="24"/>
        <v>11432</v>
      </c>
      <c r="S45" s="428">
        <f t="shared" si="24"/>
        <v>7680</v>
      </c>
      <c r="T45" s="428">
        <f t="shared" si="24"/>
        <v>7724</v>
      </c>
      <c r="U45" s="428">
        <f t="shared" si="24"/>
        <v>6988</v>
      </c>
      <c r="V45" s="428">
        <f t="shared" si="24"/>
        <v>5537</v>
      </c>
      <c r="W45" s="428">
        <f t="shared" si="24"/>
        <v>8871</v>
      </c>
      <c r="X45" s="428">
        <f t="shared" si="24"/>
        <v>3123</v>
      </c>
      <c r="Y45" s="428">
        <f t="shared" si="24"/>
        <v>4673</v>
      </c>
      <c r="Z45" s="428">
        <f t="shared" si="24"/>
        <v>4972</v>
      </c>
    </row>
    <row r="46" spans="1:26" ht="15" x14ac:dyDescent="0.4">
      <c r="A46" s="422"/>
      <c r="B46" s="431" t="s">
        <v>22</v>
      </c>
      <c r="C46" s="429">
        <f>C40-C43</f>
        <v>1302</v>
      </c>
      <c r="D46" s="429">
        <f t="shared" ref="D46:Z46" si="25">D40-D43</f>
        <v>1187</v>
      </c>
      <c r="E46" s="429">
        <f t="shared" si="25"/>
        <v>1136</v>
      </c>
      <c r="F46" s="429">
        <f t="shared" si="25"/>
        <v>907</v>
      </c>
      <c r="G46" s="429">
        <f t="shared" si="25"/>
        <v>373</v>
      </c>
      <c r="H46" s="429">
        <f t="shared" si="25"/>
        <v>911</v>
      </c>
      <c r="I46" s="429">
        <f t="shared" si="25"/>
        <v>1337</v>
      </c>
      <c r="J46" s="429">
        <f t="shared" si="25"/>
        <v>2104</v>
      </c>
      <c r="K46" s="429">
        <f t="shared" si="25"/>
        <v>736</v>
      </c>
      <c r="L46" s="429">
        <f t="shared" si="25"/>
        <v>998</v>
      </c>
      <c r="M46" s="429">
        <f t="shared" si="25"/>
        <v>954</v>
      </c>
      <c r="N46" s="429">
        <f t="shared" si="25"/>
        <v>905</v>
      </c>
      <c r="O46" s="427">
        <f t="shared" si="25"/>
        <v>1063</v>
      </c>
      <c r="P46" s="427">
        <f t="shared" si="25"/>
        <v>2930</v>
      </c>
      <c r="Q46" s="427">
        <f t="shared" si="25"/>
        <v>2445</v>
      </c>
      <c r="R46" s="427">
        <f t="shared" si="25"/>
        <v>1082</v>
      </c>
      <c r="S46" s="427">
        <f t="shared" si="25"/>
        <v>1587</v>
      </c>
      <c r="T46" s="427">
        <f t="shared" si="25"/>
        <v>1327</v>
      </c>
      <c r="U46" s="427">
        <f t="shared" si="25"/>
        <v>1343</v>
      </c>
      <c r="V46" s="427">
        <f t="shared" si="25"/>
        <v>1008</v>
      </c>
      <c r="W46" s="427">
        <f t="shared" si="25"/>
        <v>1327</v>
      </c>
      <c r="X46" s="427">
        <f t="shared" si="25"/>
        <v>733</v>
      </c>
      <c r="Y46" s="427">
        <f t="shared" si="25"/>
        <v>4076</v>
      </c>
      <c r="Z46" s="427">
        <f t="shared" si="25"/>
        <v>1621</v>
      </c>
    </row>
    <row r="47" spans="1:26" ht="15" x14ac:dyDescent="0.4">
      <c r="A47" s="422"/>
      <c r="B47" s="431" t="s">
        <v>302</v>
      </c>
      <c r="C47" s="429">
        <f>C41-C44</f>
        <v>1414</v>
      </c>
      <c r="D47" s="429">
        <f t="shared" ref="D47:Z47" si="26">D41-D44</f>
        <v>2049</v>
      </c>
      <c r="E47" s="429">
        <f t="shared" si="26"/>
        <v>1651</v>
      </c>
      <c r="F47" s="429">
        <f t="shared" si="26"/>
        <v>2327</v>
      </c>
      <c r="G47" s="429">
        <f t="shared" si="26"/>
        <v>1669</v>
      </c>
      <c r="H47" s="429">
        <f t="shared" si="26"/>
        <v>2010</v>
      </c>
      <c r="I47" s="429">
        <f t="shared" si="26"/>
        <v>1965</v>
      </c>
      <c r="J47" s="429">
        <f t="shared" si="26"/>
        <v>1339</v>
      </c>
      <c r="K47" s="429">
        <f t="shared" si="26"/>
        <v>1920</v>
      </c>
      <c r="L47" s="429">
        <f t="shared" si="26"/>
        <v>1181</v>
      </c>
      <c r="M47" s="429">
        <f t="shared" si="26"/>
        <v>1504</v>
      </c>
      <c r="N47" s="429">
        <f t="shared" si="26"/>
        <v>1726</v>
      </c>
      <c r="O47" s="427">
        <f t="shared" si="26"/>
        <v>1720</v>
      </c>
      <c r="P47" s="427">
        <f t="shared" si="26"/>
        <v>1687</v>
      </c>
      <c r="Q47" s="427">
        <f t="shared" si="26"/>
        <v>2481</v>
      </c>
      <c r="R47" s="427">
        <f t="shared" si="26"/>
        <v>2543</v>
      </c>
      <c r="S47" s="427">
        <f t="shared" si="26"/>
        <v>2399</v>
      </c>
      <c r="T47" s="427">
        <f t="shared" si="26"/>
        <v>2207</v>
      </c>
      <c r="U47" s="427">
        <f t="shared" si="26"/>
        <v>4743</v>
      </c>
      <c r="V47" s="427">
        <f t="shared" si="26"/>
        <v>2171</v>
      </c>
      <c r="W47" s="427">
        <f t="shared" si="26"/>
        <v>2229</v>
      </c>
      <c r="X47" s="427">
        <f t="shared" si="26"/>
        <v>1830</v>
      </c>
      <c r="Y47" s="427">
        <f t="shared" si="26"/>
        <v>1890</v>
      </c>
      <c r="Z47" s="427">
        <f t="shared" si="26"/>
        <v>3498</v>
      </c>
    </row>
    <row r="48" spans="1:26" ht="15" x14ac:dyDescent="0.4">
      <c r="A48" s="432" t="s">
        <v>104</v>
      </c>
      <c r="B48" s="423" t="s">
        <v>22</v>
      </c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</row>
    <row r="49" spans="1:26" ht="15" x14ac:dyDescent="0.4">
      <c r="A49" s="433"/>
      <c r="B49" s="423" t="s">
        <v>302</v>
      </c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</row>
    <row r="50" spans="1:26" ht="15" x14ac:dyDescent="0.4">
      <c r="A50" s="433"/>
      <c r="B50" s="424" t="s">
        <v>109</v>
      </c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</row>
    <row r="51" spans="1:26" ht="15" x14ac:dyDescent="0.4">
      <c r="A51" s="433"/>
      <c r="B51" s="425" t="s">
        <v>303</v>
      </c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9"/>
      <c r="N51" s="429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</row>
    <row r="52" spans="1:26" ht="15" x14ac:dyDescent="0.4">
      <c r="A52" s="433"/>
      <c r="B52" s="426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</row>
    <row r="53" spans="1:26" ht="15" x14ac:dyDescent="0.4">
      <c r="A53" s="433"/>
      <c r="B53" s="424" t="s">
        <v>109</v>
      </c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</row>
    <row r="54" spans="1:26" ht="15" x14ac:dyDescent="0.4">
      <c r="A54" s="433"/>
      <c r="B54" s="431" t="s">
        <v>22</v>
      </c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</row>
    <row r="55" spans="1:26" ht="15" x14ac:dyDescent="0.4">
      <c r="A55" s="434"/>
      <c r="B55" s="431" t="s">
        <v>302</v>
      </c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6"/>
    </row>
  </sheetData>
  <mergeCells count="14">
    <mergeCell ref="A31:B31"/>
    <mergeCell ref="B35:B36"/>
    <mergeCell ref="B43:B44"/>
    <mergeCell ref="B51:B52"/>
    <mergeCell ref="A48:A55"/>
    <mergeCell ref="A32:A39"/>
    <mergeCell ref="A40:A47"/>
    <mergeCell ref="B24:C27"/>
    <mergeCell ref="B4:D4"/>
    <mergeCell ref="B5:C8"/>
    <mergeCell ref="B9:C12"/>
    <mergeCell ref="B13:C16"/>
    <mergeCell ref="B17:C19"/>
    <mergeCell ref="B20:C23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07D7-92E9-4E80-B044-4D0006448A44}">
  <sheetPr>
    <tabColor rgb="FFFF0000"/>
  </sheetPr>
  <dimension ref="A3:R26"/>
  <sheetViews>
    <sheetView showGridLines="0" zoomScaleNormal="100" zoomScaleSheetLayoutView="100" workbookViewId="0">
      <selection activeCell="I29" sqref="I29"/>
    </sheetView>
  </sheetViews>
  <sheetFormatPr defaultRowHeight="14.5" x14ac:dyDescent="0.35"/>
  <cols>
    <col min="2" max="18" width="13.81640625" customWidth="1"/>
    <col min="19" max="16384" width="8.7265625" style="168"/>
  </cols>
  <sheetData>
    <row r="3" spans="2:18" ht="15" x14ac:dyDescent="0.4">
      <c r="B3" s="365" t="s">
        <v>10</v>
      </c>
      <c r="C3" s="365"/>
      <c r="D3" s="366"/>
      <c r="E3" s="140">
        <v>2501</v>
      </c>
      <c r="F3" s="140">
        <v>2502</v>
      </c>
      <c r="G3" s="140">
        <v>2503</v>
      </c>
      <c r="H3" s="140">
        <v>2504</v>
      </c>
      <c r="I3" s="140">
        <v>2505</v>
      </c>
      <c r="J3" s="140">
        <v>2506</v>
      </c>
      <c r="K3" s="140">
        <v>2507</v>
      </c>
      <c r="L3" s="140">
        <v>2508</v>
      </c>
      <c r="M3" s="140">
        <v>2509</v>
      </c>
      <c r="N3" s="140">
        <v>2510</v>
      </c>
      <c r="O3" s="140">
        <v>2511</v>
      </c>
      <c r="P3" s="140">
        <v>2512</v>
      </c>
      <c r="Q3" s="141" t="s">
        <v>112</v>
      </c>
      <c r="R3" s="141" t="s">
        <v>113</v>
      </c>
    </row>
    <row r="4" spans="2:18" ht="15" x14ac:dyDescent="0.4">
      <c r="B4" s="367" t="s">
        <v>238</v>
      </c>
      <c r="C4" s="368"/>
      <c r="D4" s="142" t="s">
        <v>226</v>
      </c>
      <c r="E4" s="143">
        <v>1.2</v>
      </c>
      <c r="F4" s="143">
        <v>1.3641719800000001</v>
      </c>
      <c r="G4" s="143">
        <v>1.272375</v>
      </c>
      <c r="H4" s="143">
        <v>1.2368362399999999</v>
      </c>
      <c r="I4" s="143">
        <v>1.21934623</v>
      </c>
      <c r="J4" s="143">
        <v>1.2089338181818181</v>
      </c>
      <c r="K4" s="143">
        <f>K5+K6</f>
        <v>1.203995727272728</v>
      </c>
      <c r="L4" s="143">
        <f t="shared" ref="L4:M4" si="0">L5+L6</f>
        <v>1.187130363636363</v>
      </c>
      <c r="M4" s="143">
        <f t="shared" si="0"/>
        <v>1.1975351818181816</v>
      </c>
      <c r="N4" s="143"/>
      <c r="O4" s="143"/>
      <c r="P4" s="143"/>
      <c r="Q4" s="143">
        <v>5.0733832200000002</v>
      </c>
      <c r="R4" s="146">
        <v>1.2585458900000002</v>
      </c>
    </row>
    <row r="5" spans="2:18" ht="15" x14ac:dyDescent="0.4">
      <c r="B5" s="369"/>
      <c r="C5" s="370"/>
      <c r="D5" s="144" t="s">
        <v>236</v>
      </c>
      <c r="E5" s="145">
        <v>0.46284236363636366</v>
      </c>
      <c r="F5" s="145">
        <v>0.48559425272727286</v>
      </c>
      <c r="G5" s="145">
        <v>0.45793263636363646</v>
      </c>
      <c r="H5" s="145">
        <v>0.44099933090909083</v>
      </c>
      <c r="I5" s="145">
        <v>0.42470559363636373</v>
      </c>
      <c r="J5" s="145">
        <v>0.41768436363636363</v>
      </c>
      <c r="K5" s="145">
        <v>0.40429445454545498</v>
      </c>
      <c r="L5" s="145">
        <v>0.391966818181818</v>
      </c>
      <c r="M5" s="145">
        <v>0.37855099999999997</v>
      </c>
      <c r="N5" s="145"/>
      <c r="O5" s="145"/>
      <c r="P5" s="145"/>
      <c r="Q5" s="145">
        <v>1.847368583636364</v>
      </c>
      <c r="R5" s="147">
        <v>0.45441483545454558</v>
      </c>
    </row>
    <row r="6" spans="2:18" ht="15" x14ac:dyDescent="0.4">
      <c r="B6" s="371"/>
      <c r="C6" s="372"/>
      <c r="D6" s="144" t="s">
        <v>237</v>
      </c>
      <c r="E6" s="145">
        <v>0.73715763636363629</v>
      </c>
      <c r="F6" s="145">
        <v>0.8785777272727272</v>
      </c>
      <c r="G6" s="145">
        <v>0.81444236363636358</v>
      </c>
      <c r="H6" s="145">
        <v>0.79583690909090909</v>
      </c>
      <c r="I6" s="145">
        <v>0.79464063636363624</v>
      </c>
      <c r="J6" s="145">
        <v>0.79124945454545448</v>
      </c>
      <c r="K6" s="145">
        <v>0.79970127272727298</v>
      </c>
      <c r="L6" s="145">
        <v>0.79516354545454504</v>
      </c>
      <c r="M6" s="145">
        <v>0.81898418181818178</v>
      </c>
      <c r="N6" s="145"/>
      <c r="O6" s="145"/>
      <c r="P6" s="145"/>
      <c r="Q6" s="145">
        <v>3.2260146363636362</v>
      </c>
      <c r="R6" s="147">
        <v>0.80413105454545453</v>
      </c>
    </row>
    <row r="7" spans="2:18" ht="15" x14ac:dyDescent="0.4">
      <c r="B7" s="367" t="s">
        <v>242</v>
      </c>
      <c r="C7" s="368"/>
      <c r="D7" s="142" t="s">
        <v>226</v>
      </c>
      <c r="E7" s="148">
        <v>80635</v>
      </c>
      <c r="F7" s="148">
        <v>80298</v>
      </c>
      <c r="G7" s="148">
        <v>79701</v>
      </c>
      <c r="H7" s="148">
        <v>79619</v>
      </c>
      <c r="I7" s="148">
        <v>78486</v>
      </c>
      <c r="J7" s="148">
        <f>J8+J9+J10</f>
        <v>78347</v>
      </c>
      <c r="K7" s="148">
        <f t="shared" ref="K7:M7" si="1">K8+K9+K10</f>
        <v>79049</v>
      </c>
      <c r="L7" s="148">
        <f t="shared" si="1"/>
        <v>79471</v>
      </c>
      <c r="M7" s="148">
        <f t="shared" si="1"/>
        <v>79740</v>
      </c>
      <c r="N7" s="148"/>
      <c r="O7" s="148"/>
      <c r="P7" s="148"/>
      <c r="Q7" s="148">
        <v>320253</v>
      </c>
      <c r="R7" s="149"/>
    </row>
    <row r="8" spans="2:18" ht="15" x14ac:dyDescent="0.4">
      <c r="B8" s="369"/>
      <c r="C8" s="370"/>
      <c r="D8" s="144" t="s">
        <v>236</v>
      </c>
      <c r="E8" s="150">
        <v>26924</v>
      </c>
      <c r="F8" s="150">
        <v>26456</v>
      </c>
      <c r="G8" s="150">
        <v>25615</v>
      </c>
      <c r="H8" s="150">
        <v>25136</v>
      </c>
      <c r="I8" s="150">
        <v>24622</v>
      </c>
      <c r="J8" s="150">
        <v>24074</v>
      </c>
      <c r="K8" s="150">
        <v>23853</v>
      </c>
      <c r="L8" s="150">
        <v>23189</v>
      </c>
      <c r="M8" s="150">
        <v>22536</v>
      </c>
      <c r="N8" s="150"/>
      <c r="O8" s="150"/>
      <c r="P8" s="150"/>
      <c r="Q8" s="150">
        <v>104131</v>
      </c>
      <c r="R8" s="151"/>
    </row>
    <row r="9" spans="2:18" ht="15" x14ac:dyDescent="0.4">
      <c r="B9" s="369"/>
      <c r="C9" s="370"/>
      <c r="D9" s="144" t="s">
        <v>240</v>
      </c>
      <c r="E9" s="150">
        <v>25805</v>
      </c>
      <c r="F9" s="150">
        <v>25697</v>
      </c>
      <c r="G9" s="150">
        <v>25826</v>
      </c>
      <c r="H9" s="150">
        <v>25962</v>
      </c>
      <c r="I9" s="150">
        <v>25659</v>
      </c>
      <c r="J9" s="150">
        <v>25621</v>
      </c>
      <c r="K9" s="150">
        <v>25844</v>
      </c>
      <c r="L9" s="150">
        <v>25880</v>
      </c>
      <c r="M9" s="150">
        <v>26013</v>
      </c>
      <c r="N9" s="150"/>
      <c r="O9" s="150"/>
      <c r="P9" s="150"/>
      <c r="Q9" s="150">
        <v>103290</v>
      </c>
      <c r="R9" s="151"/>
    </row>
    <row r="10" spans="2:18" ht="15" x14ac:dyDescent="0.4">
      <c r="B10" s="371"/>
      <c r="C10" s="372"/>
      <c r="D10" s="144" t="s">
        <v>241</v>
      </c>
      <c r="E10" s="150">
        <v>27906</v>
      </c>
      <c r="F10" s="150">
        <v>28145</v>
      </c>
      <c r="G10" s="150">
        <v>28260</v>
      </c>
      <c r="H10" s="150">
        <v>28521</v>
      </c>
      <c r="I10" s="150">
        <v>28205</v>
      </c>
      <c r="J10" s="150">
        <v>28652</v>
      </c>
      <c r="K10" s="150">
        <v>29352</v>
      </c>
      <c r="L10" s="150">
        <v>30402</v>
      </c>
      <c r="M10" s="150">
        <v>31191</v>
      </c>
      <c r="N10" s="150"/>
      <c r="O10" s="150"/>
      <c r="P10" s="150"/>
      <c r="Q10" s="150">
        <v>112832</v>
      </c>
      <c r="R10" s="151"/>
    </row>
    <row r="11" spans="2:18" ht="15" x14ac:dyDescent="0.4">
      <c r="B11" s="367" t="s">
        <v>239</v>
      </c>
      <c r="C11" s="368"/>
      <c r="D11" s="142" t="s">
        <v>226</v>
      </c>
      <c r="E11" s="154">
        <v>981</v>
      </c>
      <c r="F11" s="154">
        <v>1210</v>
      </c>
      <c r="G11" s="154">
        <v>1288</v>
      </c>
      <c r="H11" s="154">
        <v>1481</v>
      </c>
      <c r="I11" s="154">
        <v>1905</v>
      </c>
      <c r="J11" s="154">
        <f>J12+J13+J14</f>
        <v>1354</v>
      </c>
      <c r="K11" s="154">
        <f>K12+K13+K14</f>
        <v>2330</v>
      </c>
      <c r="L11" s="154">
        <f>L12+L13+L14</f>
        <v>1368</v>
      </c>
      <c r="M11" s="154">
        <f>M12+M13+M14</f>
        <v>1567</v>
      </c>
      <c r="N11" s="148"/>
      <c r="O11" s="148"/>
      <c r="P11" s="148"/>
      <c r="Q11" s="148">
        <v>4960</v>
      </c>
      <c r="R11" s="149"/>
    </row>
    <row r="12" spans="2:18" ht="15" x14ac:dyDescent="0.4">
      <c r="B12" s="369"/>
      <c r="C12" s="370"/>
      <c r="D12" s="144" t="s">
        <v>236</v>
      </c>
      <c r="E12" s="150">
        <v>154</v>
      </c>
      <c r="F12" s="150">
        <v>399</v>
      </c>
      <c r="G12" s="150">
        <v>169</v>
      </c>
      <c r="H12" s="150">
        <v>287</v>
      </c>
      <c r="I12" s="150">
        <v>430</v>
      </c>
      <c r="J12" s="150">
        <v>191</v>
      </c>
      <c r="K12" s="150">
        <v>616</v>
      </c>
      <c r="L12" s="150">
        <v>192</v>
      </c>
      <c r="M12" s="150">
        <v>307</v>
      </c>
      <c r="N12" s="150"/>
      <c r="O12" s="150"/>
      <c r="P12" s="150"/>
      <c r="Q12" s="150">
        <v>1009</v>
      </c>
      <c r="R12" s="151"/>
    </row>
    <row r="13" spans="2:18" ht="15" x14ac:dyDescent="0.4">
      <c r="B13" s="369"/>
      <c r="C13" s="370"/>
      <c r="D13" s="144" t="s">
        <v>240</v>
      </c>
      <c r="E13" s="150">
        <v>551</v>
      </c>
      <c r="F13" s="150">
        <v>529</v>
      </c>
      <c r="G13" s="150">
        <v>772</v>
      </c>
      <c r="H13" s="150">
        <v>791</v>
      </c>
      <c r="I13" s="150">
        <v>948.00000000000011</v>
      </c>
      <c r="J13" s="150">
        <v>807</v>
      </c>
      <c r="K13" s="150">
        <v>1069</v>
      </c>
      <c r="L13" s="150">
        <v>828</v>
      </c>
      <c r="M13" s="150">
        <v>887</v>
      </c>
      <c r="N13" s="150"/>
      <c r="O13" s="150"/>
      <c r="P13" s="150"/>
      <c r="Q13" s="150">
        <v>2643</v>
      </c>
      <c r="R13" s="151"/>
    </row>
    <row r="14" spans="2:18" ht="15" x14ac:dyDescent="0.4">
      <c r="B14" s="371"/>
      <c r="C14" s="372"/>
      <c r="D14" s="144" t="s">
        <v>241</v>
      </c>
      <c r="E14" s="150">
        <v>276</v>
      </c>
      <c r="F14" s="150">
        <v>282</v>
      </c>
      <c r="G14" s="150">
        <v>347</v>
      </c>
      <c r="H14" s="150">
        <v>403</v>
      </c>
      <c r="I14" s="150">
        <v>527</v>
      </c>
      <c r="J14" s="150">
        <v>356</v>
      </c>
      <c r="K14" s="150">
        <v>645</v>
      </c>
      <c r="L14" s="150">
        <v>348</v>
      </c>
      <c r="M14" s="150">
        <v>373</v>
      </c>
      <c r="N14" s="150"/>
      <c r="O14" s="150"/>
      <c r="P14" s="150"/>
      <c r="Q14" s="150">
        <v>1308</v>
      </c>
      <c r="R14" s="151"/>
    </row>
    <row r="15" spans="2:18" ht="15" hidden="1" x14ac:dyDescent="0.4">
      <c r="B15" s="367" t="s">
        <v>243</v>
      </c>
      <c r="C15" s="368"/>
      <c r="D15" s="142" t="s">
        <v>226</v>
      </c>
      <c r="E15" s="148">
        <v>1708</v>
      </c>
      <c r="F15" s="148">
        <v>1953</v>
      </c>
      <c r="G15" s="148">
        <v>1885</v>
      </c>
      <c r="H15" s="148">
        <v>1563</v>
      </c>
      <c r="I15" s="148">
        <v>3038</v>
      </c>
      <c r="J15" s="148"/>
      <c r="K15" s="148"/>
      <c r="L15" s="148"/>
      <c r="M15" s="148"/>
      <c r="N15" s="148"/>
      <c r="O15" s="148"/>
      <c r="P15" s="148"/>
      <c r="Q15" s="148">
        <v>7109</v>
      </c>
      <c r="R15" s="149"/>
    </row>
    <row r="16" spans="2:18" ht="15" hidden="1" x14ac:dyDescent="0.4">
      <c r="B16" s="369"/>
      <c r="C16" s="370"/>
      <c r="D16" s="144" t="s">
        <v>236</v>
      </c>
      <c r="E16" s="150">
        <v>668</v>
      </c>
      <c r="F16" s="150">
        <v>867</v>
      </c>
      <c r="G16" s="150">
        <v>1010</v>
      </c>
      <c r="H16" s="150">
        <v>766</v>
      </c>
      <c r="I16" s="150">
        <v>944</v>
      </c>
      <c r="J16" s="150"/>
      <c r="K16" s="150"/>
      <c r="L16" s="150"/>
      <c r="M16" s="150"/>
      <c r="N16" s="150"/>
      <c r="O16" s="150"/>
      <c r="P16" s="150"/>
      <c r="Q16" s="150">
        <v>3311</v>
      </c>
      <c r="R16" s="151"/>
    </row>
    <row r="17" spans="2:18" ht="15" hidden="1" x14ac:dyDescent="0.4">
      <c r="B17" s="369"/>
      <c r="C17" s="370"/>
      <c r="D17" s="144" t="s">
        <v>240</v>
      </c>
      <c r="E17" s="150">
        <v>591</v>
      </c>
      <c r="F17" s="150">
        <v>637</v>
      </c>
      <c r="G17" s="150">
        <v>643</v>
      </c>
      <c r="H17" s="150">
        <v>655</v>
      </c>
      <c r="I17" s="150">
        <v>1251</v>
      </c>
      <c r="J17" s="150"/>
      <c r="K17" s="150"/>
      <c r="L17" s="150"/>
      <c r="M17" s="150"/>
      <c r="N17" s="150"/>
      <c r="O17" s="150"/>
      <c r="P17" s="150"/>
      <c r="Q17" s="150">
        <v>2526</v>
      </c>
      <c r="R17" s="151"/>
    </row>
    <row r="18" spans="2:18" ht="15" hidden="1" x14ac:dyDescent="0.4">
      <c r="B18" s="371"/>
      <c r="C18" s="372"/>
      <c r="D18" s="144" t="s">
        <v>241</v>
      </c>
      <c r="E18" s="150">
        <v>449</v>
      </c>
      <c r="F18" s="150">
        <v>449</v>
      </c>
      <c r="G18" s="150">
        <v>232</v>
      </c>
      <c r="H18" s="150">
        <v>142</v>
      </c>
      <c r="I18" s="150">
        <v>843</v>
      </c>
      <c r="J18" s="150"/>
      <c r="K18" s="150"/>
      <c r="L18" s="150"/>
      <c r="M18" s="150"/>
      <c r="N18" s="150"/>
      <c r="O18" s="150"/>
      <c r="P18" s="150"/>
      <c r="Q18" s="150">
        <v>1272</v>
      </c>
      <c r="R18" s="151"/>
    </row>
    <row r="19" spans="2:18" ht="15" x14ac:dyDescent="0.4">
      <c r="B19" s="367" t="s">
        <v>271</v>
      </c>
      <c r="C19" s="368"/>
      <c r="D19" s="142" t="s">
        <v>226</v>
      </c>
      <c r="E19" s="148">
        <f>E20+E21+E22</f>
        <v>-453</v>
      </c>
      <c r="F19" s="148">
        <f t="shared" ref="F19:M19" si="2">F20+F21+F22</f>
        <v>-236</v>
      </c>
      <c r="G19" s="148">
        <f t="shared" si="2"/>
        <v>-597</v>
      </c>
      <c r="H19" s="148">
        <f t="shared" si="2"/>
        <v>-82</v>
      </c>
      <c r="I19" s="148">
        <f t="shared" si="2"/>
        <v>-1133</v>
      </c>
      <c r="J19" s="148">
        <f t="shared" si="2"/>
        <v>-139</v>
      </c>
      <c r="K19" s="148">
        <f t="shared" si="2"/>
        <v>702</v>
      </c>
      <c r="L19" s="148">
        <f t="shared" si="2"/>
        <v>422</v>
      </c>
      <c r="M19" s="148">
        <f t="shared" si="2"/>
        <v>269</v>
      </c>
      <c r="N19" s="148"/>
      <c r="O19" s="148"/>
      <c r="P19" s="148"/>
      <c r="Q19" s="148">
        <v>7109</v>
      </c>
      <c r="R19" s="149"/>
    </row>
    <row r="20" spans="2:18" ht="15" x14ac:dyDescent="0.4">
      <c r="B20" s="369"/>
      <c r="C20" s="370"/>
      <c r="D20" s="144" t="s">
        <v>236</v>
      </c>
      <c r="E20" s="150">
        <v>-514</v>
      </c>
      <c r="F20" s="150">
        <v>-468</v>
      </c>
      <c r="G20" s="150">
        <v>-841</v>
      </c>
      <c r="H20" s="150">
        <v>-479</v>
      </c>
      <c r="I20" s="150">
        <v>-514</v>
      </c>
      <c r="J20" s="150">
        <v>-548</v>
      </c>
      <c r="K20" s="150">
        <v>-221</v>
      </c>
      <c r="L20" s="150">
        <v>-664</v>
      </c>
      <c r="M20" s="150">
        <v>-653</v>
      </c>
      <c r="N20" s="150"/>
      <c r="O20" s="150"/>
      <c r="P20" s="150"/>
      <c r="Q20" s="150">
        <v>3311</v>
      </c>
      <c r="R20" s="151"/>
    </row>
    <row r="21" spans="2:18" ht="15" x14ac:dyDescent="0.4">
      <c r="B21" s="369"/>
      <c r="C21" s="370"/>
      <c r="D21" s="144" t="s">
        <v>240</v>
      </c>
      <c r="E21" s="150">
        <v>-40</v>
      </c>
      <c r="F21" s="150">
        <v>-108</v>
      </c>
      <c r="G21" s="150">
        <v>129</v>
      </c>
      <c r="H21" s="150">
        <v>136</v>
      </c>
      <c r="I21" s="150">
        <v>-303</v>
      </c>
      <c r="J21" s="150">
        <v>-38</v>
      </c>
      <c r="K21" s="150">
        <v>223</v>
      </c>
      <c r="L21" s="150">
        <v>36</v>
      </c>
      <c r="M21" s="150">
        <v>133</v>
      </c>
      <c r="N21" s="150"/>
      <c r="O21" s="150"/>
      <c r="P21" s="150"/>
      <c r="Q21" s="150">
        <v>2526</v>
      </c>
      <c r="R21" s="151"/>
    </row>
    <row r="22" spans="2:18" ht="15" x14ac:dyDescent="0.4">
      <c r="B22" s="371"/>
      <c r="C22" s="372"/>
      <c r="D22" s="144" t="s">
        <v>241</v>
      </c>
      <c r="E22" s="150">
        <v>101</v>
      </c>
      <c r="F22" s="150">
        <v>340</v>
      </c>
      <c r="G22" s="150">
        <v>115</v>
      </c>
      <c r="H22" s="150">
        <v>261</v>
      </c>
      <c r="I22" s="150">
        <v>-316</v>
      </c>
      <c r="J22" s="150">
        <v>447</v>
      </c>
      <c r="K22" s="150">
        <v>700</v>
      </c>
      <c r="L22" s="150">
        <v>1050</v>
      </c>
      <c r="M22" s="150">
        <v>789</v>
      </c>
      <c r="N22" s="150"/>
      <c r="O22" s="150"/>
      <c r="P22" s="150"/>
      <c r="Q22" s="150">
        <v>1272</v>
      </c>
      <c r="R22" s="151"/>
    </row>
    <row r="23" spans="2:18" ht="15" x14ac:dyDescent="0.4">
      <c r="B23" s="367" t="s">
        <v>244</v>
      </c>
      <c r="C23" s="368"/>
      <c r="D23" s="142" t="s">
        <v>226</v>
      </c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</row>
    <row r="24" spans="2:18" ht="15" x14ac:dyDescent="0.4">
      <c r="B24" s="369"/>
      <c r="C24" s="370"/>
      <c r="D24" s="144" t="s">
        <v>236</v>
      </c>
      <c r="E24" s="150">
        <v>40073.341480519484</v>
      </c>
      <c r="F24" s="150">
        <v>54677.151710144928</v>
      </c>
      <c r="G24" s="150">
        <v>51619.862518776092</v>
      </c>
      <c r="H24" s="150">
        <v>49902.08767397808</v>
      </c>
      <c r="I24" s="150">
        <v>48089.844121593298</v>
      </c>
      <c r="J24" s="150">
        <v>46705.977008695671</v>
      </c>
      <c r="K24" s="150">
        <v>40076.814040540536</v>
      </c>
      <c r="L24" s="150">
        <v>47476.689692589207</v>
      </c>
      <c r="M24" s="150">
        <v>47375.719409863952</v>
      </c>
      <c r="N24" s="150">
        <v>47797.843414755363</v>
      </c>
      <c r="O24" s="150"/>
      <c r="P24" s="150"/>
      <c r="Q24" s="150"/>
      <c r="R24" s="151"/>
    </row>
    <row r="25" spans="2:18" ht="15" x14ac:dyDescent="0.4">
      <c r="B25" s="369"/>
      <c r="C25" s="370"/>
      <c r="D25" s="144" t="s">
        <v>240</v>
      </c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1"/>
    </row>
    <row r="26" spans="2:18" ht="15" x14ac:dyDescent="0.4">
      <c r="B26" s="371"/>
      <c r="C26" s="372"/>
      <c r="D26" s="144" t="s">
        <v>241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1"/>
    </row>
  </sheetData>
  <mergeCells count="7">
    <mergeCell ref="B23:C26"/>
    <mergeCell ref="B3:D3"/>
    <mergeCell ref="B4:C6"/>
    <mergeCell ref="B7:C10"/>
    <mergeCell ref="B11:C14"/>
    <mergeCell ref="B19:C22"/>
    <mergeCell ref="B15:C18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FE19-99BC-4BB5-A0C0-EF19AC0044AE}">
  <sheetPr>
    <tabColor theme="1"/>
  </sheetPr>
  <dimension ref="A2:AJ28"/>
  <sheetViews>
    <sheetView showGridLines="0" topLeftCell="L1" zoomScaleNormal="100" zoomScaleSheetLayoutView="100" workbookViewId="0">
      <selection activeCell="AA16" sqref="AA16"/>
    </sheetView>
  </sheetViews>
  <sheetFormatPr defaultRowHeight="14.5" x14ac:dyDescent="0.35"/>
  <cols>
    <col min="2" max="29" width="13.81640625" customWidth="1"/>
    <col min="30" max="16384" width="8.7265625" style="168"/>
  </cols>
  <sheetData>
    <row r="2" spans="2:36" ht="21.5" x14ac:dyDescent="0.55000000000000004">
      <c r="B2" s="239" t="s">
        <v>10</v>
      </c>
      <c r="C2" s="240" t="s">
        <v>28</v>
      </c>
      <c r="D2" s="240" t="s">
        <v>70</v>
      </c>
      <c r="E2" s="240" t="s">
        <v>71</v>
      </c>
      <c r="AD2"/>
      <c r="AE2"/>
      <c r="AF2"/>
      <c r="AG2"/>
      <c r="AH2"/>
      <c r="AI2"/>
      <c r="AJ2"/>
    </row>
    <row r="3" spans="2:36" ht="21.5" x14ac:dyDescent="0.55000000000000004">
      <c r="B3" s="243" t="s">
        <v>213</v>
      </c>
      <c r="C3" s="241">
        <f>SUM(E10:P10)</f>
        <v>16.325662454545455</v>
      </c>
      <c r="D3" s="244">
        <f>SUM(E11:P11)</f>
        <v>6.9819049999999994</v>
      </c>
      <c r="E3" s="244">
        <f>SUM(E12:P12)</f>
        <v>9.3437574545454538</v>
      </c>
      <c r="F3" s="242"/>
      <c r="G3" s="242"/>
      <c r="H3" s="242"/>
      <c r="I3" s="242"/>
      <c r="J3" s="242"/>
      <c r="K3" s="242"/>
      <c r="AD3"/>
      <c r="AE3"/>
      <c r="AF3"/>
      <c r="AG3"/>
      <c r="AH3"/>
      <c r="AI3"/>
      <c r="AJ3"/>
    </row>
    <row r="4" spans="2:36" ht="21.5" x14ac:dyDescent="0.55000000000000004">
      <c r="B4" s="245" t="s">
        <v>248</v>
      </c>
      <c r="C4" s="246">
        <f>SUM(R10:AC10)</f>
        <v>14.470160067246084</v>
      </c>
      <c r="D4" s="246">
        <f>SUM(R11:AC11)</f>
        <v>5.0643075813503122</v>
      </c>
      <c r="E4" s="246">
        <f>SUM(R12:AC12)</f>
        <v>9.4168483995321282</v>
      </c>
      <c r="F4" s="168"/>
      <c r="G4" s="168"/>
      <c r="H4" s="168"/>
      <c r="I4" s="168"/>
      <c r="J4" s="168"/>
      <c r="K4" s="168"/>
      <c r="AD4"/>
      <c r="AE4"/>
      <c r="AF4"/>
      <c r="AG4"/>
      <c r="AH4"/>
      <c r="AI4"/>
      <c r="AJ4"/>
    </row>
    <row r="5" spans="2:36" ht="21.5" x14ac:dyDescent="0.55000000000000004">
      <c r="B5" s="245" t="s">
        <v>249</v>
      </c>
      <c r="C5" s="246"/>
      <c r="D5" s="246">
        <f>SUM(AD54:AO54)</f>
        <v>0</v>
      </c>
      <c r="E5" s="246">
        <f>SUM(AD55:AO55)</f>
        <v>0</v>
      </c>
      <c r="F5" s="168"/>
      <c r="G5" s="168"/>
      <c r="H5" s="168"/>
      <c r="I5" s="168"/>
      <c r="J5" s="168"/>
      <c r="K5" s="168"/>
      <c r="AD5"/>
      <c r="AE5"/>
      <c r="AF5"/>
      <c r="AG5"/>
      <c r="AH5"/>
      <c r="AI5"/>
      <c r="AJ5"/>
    </row>
    <row r="6" spans="2:36" ht="21.5" x14ac:dyDescent="0.55000000000000004">
      <c r="B6" s="245" t="s">
        <v>250</v>
      </c>
      <c r="C6" s="247"/>
      <c r="D6" s="247"/>
      <c r="E6" s="247"/>
      <c r="F6" s="168"/>
      <c r="G6" s="168"/>
      <c r="H6" s="168"/>
      <c r="I6" s="168"/>
      <c r="J6" s="168"/>
      <c r="K6" s="168"/>
      <c r="R6" s="16">
        <f>1-R13/S13</f>
        <v>-4.1968666716480918E-3</v>
      </c>
      <c r="S6" s="16">
        <f>1-S13/T13</f>
        <v>-7.4904957277825979E-3</v>
      </c>
      <c r="T6" s="16">
        <f>1-T13/U13</f>
        <v>-1.0299049221920153E-3</v>
      </c>
      <c r="U6" s="16">
        <f>1-U13/V13</f>
        <v>-1.4435695538057791E-2</v>
      </c>
      <c r="V6" s="16">
        <f>AVERAGE(R6:U6)</f>
        <v>-6.788240714920124E-3</v>
      </c>
      <c r="W6" s="16">
        <f t="shared" ref="W6:AA6" si="0">AVERAGE(S6:V6)</f>
        <v>-7.4360842257381321E-3</v>
      </c>
      <c r="X6" s="16">
        <f t="shared" si="0"/>
        <v>-7.4224813502270157E-3</v>
      </c>
      <c r="Y6" s="16">
        <f t="shared" si="0"/>
        <v>-9.0206254572357657E-3</v>
      </c>
      <c r="Z6" s="16">
        <f t="shared" si="0"/>
        <v>-7.6668579370302598E-3</v>
      </c>
      <c r="AA6" s="16">
        <f t="shared" si="0"/>
        <v>-7.8865122425577933E-3</v>
      </c>
      <c r="AD6"/>
      <c r="AE6"/>
      <c r="AF6"/>
      <c r="AG6"/>
      <c r="AH6"/>
      <c r="AI6"/>
      <c r="AJ6"/>
    </row>
    <row r="9" spans="2:36" ht="15" x14ac:dyDescent="0.4">
      <c r="B9" s="365" t="s">
        <v>10</v>
      </c>
      <c r="C9" s="365"/>
      <c r="D9" s="366"/>
      <c r="E9" s="232">
        <v>2401</v>
      </c>
      <c r="F9" s="232">
        <v>2402</v>
      </c>
      <c r="G9" s="232">
        <v>2403</v>
      </c>
      <c r="H9" s="232">
        <v>2404</v>
      </c>
      <c r="I9" s="232">
        <v>2405</v>
      </c>
      <c r="J9" s="232">
        <v>2406</v>
      </c>
      <c r="K9" s="232">
        <v>2407</v>
      </c>
      <c r="L9" s="232">
        <v>2408</v>
      </c>
      <c r="M9" s="232">
        <v>2409</v>
      </c>
      <c r="N9" s="232">
        <v>2410</v>
      </c>
      <c r="O9" s="232">
        <v>2411</v>
      </c>
      <c r="P9" s="232">
        <v>2412</v>
      </c>
      <c r="R9" s="268">
        <v>2501</v>
      </c>
      <c r="S9" s="268">
        <v>2502</v>
      </c>
      <c r="T9" s="268">
        <v>2503</v>
      </c>
      <c r="U9" s="268">
        <v>2504</v>
      </c>
      <c r="V9" s="268">
        <v>2505</v>
      </c>
      <c r="W9" s="268">
        <v>2506</v>
      </c>
      <c r="X9" s="268">
        <v>2507</v>
      </c>
      <c r="Y9" s="268">
        <v>2508</v>
      </c>
      <c r="Z9" s="268">
        <v>2509</v>
      </c>
      <c r="AA9" s="268">
        <v>2510</v>
      </c>
      <c r="AB9" s="268">
        <v>2511</v>
      </c>
      <c r="AC9" s="268">
        <v>2512</v>
      </c>
    </row>
    <row r="10" spans="2:36" ht="15" x14ac:dyDescent="0.4">
      <c r="B10" s="367" t="s">
        <v>238</v>
      </c>
      <c r="C10" s="368"/>
      <c r="D10" s="143" t="s">
        <v>226</v>
      </c>
      <c r="E10" s="414">
        <f>E11+E12</f>
        <v>1.4204933636363637</v>
      </c>
      <c r="F10" s="414">
        <f t="shared" ref="F10:P10" si="1">F11+F12</f>
        <v>1.3998650909090908</v>
      </c>
      <c r="G10" s="414">
        <f t="shared" si="1"/>
        <v>1.4023071818181818</v>
      </c>
      <c r="H10" s="414">
        <f t="shared" si="1"/>
        <v>1.4020219999999999</v>
      </c>
      <c r="I10" s="414">
        <f t="shared" si="1"/>
        <v>1.3686675454545454</v>
      </c>
      <c r="J10" s="414">
        <f t="shared" si="1"/>
        <v>1.3566463636363637</v>
      </c>
      <c r="K10" s="414">
        <f t="shared" si="1"/>
        <v>1.3554648181818181</v>
      </c>
      <c r="L10" s="414">
        <f t="shared" si="1"/>
        <v>1.3223840909090909</v>
      </c>
      <c r="M10" s="414">
        <f t="shared" si="1"/>
        <v>1.3495930909090907</v>
      </c>
      <c r="N10" s="414">
        <f t="shared" si="1"/>
        <v>1.3304943636363635</v>
      </c>
      <c r="O10" s="414">
        <f t="shared" si="1"/>
        <v>1.3172017272727272</v>
      </c>
      <c r="P10" s="414">
        <f t="shared" si="1"/>
        <v>1.300522818181818</v>
      </c>
      <c r="R10" s="414">
        <v>1.2</v>
      </c>
      <c r="S10" s="414">
        <v>1.3641719800000001</v>
      </c>
      <c r="T10" s="414">
        <v>1.272375</v>
      </c>
      <c r="U10" s="414">
        <v>1.2368362399999999</v>
      </c>
      <c r="V10" s="414">
        <v>1.21934623</v>
      </c>
      <c r="W10" s="414">
        <f>W11+W12</f>
        <v>1.2089338181818181</v>
      </c>
      <c r="X10" s="414">
        <f t="shared" ref="X10:AC10" si="2">X11+X12</f>
        <v>1.1953573367519779</v>
      </c>
      <c r="Y10" s="414">
        <f t="shared" si="2"/>
        <v>1.1817808553221376</v>
      </c>
      <c r="Z10" s="414">
        <f t="shared" si="2"/>
        <v>1.1682043738922974</v>
      </c>
      <c r="AA10" s="414">
        <f t="shared" si="2"/>
        <v>1.1546278924624571</v>
      </c>
      <c r="AB10" s="414">
        <f t="shared" si="2"/>
        <v>1.1410514110326169</v>
      </c>
      <c r="AC10" s="414">
        <f t="shared" si="2"/>
        <v>1.1274749296027766</v>
      </c>
    </row>
    <row r="11" spans="2:36" ht="15" x14ac:dyDescent="0.4">
      <c r="B11" s="369"/>
      <c r="C11" s="370"/>
      <c r="D11" s="145" t="s">
        <v>236</v>
      </c>
      <c r="E11" s="415">
        <v>0.66643581818181818</v>
      </c>
      <c r="F11" s="415">
        <v>0.64377963636363633</v>
      </c>
      <c r="G11" s="415">
        <v>0.62717263636363629</v>
      </c>
      <c r="H11" s="415">
        <v>0.61142545454545449</v>
      </c>
      <c r="I11" s="415">
        <v>0.59513263636363634</v>
      </c>
      <c r="J11" s="415">
        <v>0.58082009090909092</v>
      </c>
      <c r="K11" s="415">
        <v>0.58167199999999997</v>
      </c>
      <c r="L11" s="415">
        <v>0.5594788181818181</v>
      </c>
      <c r="M11" s="415">
        <v>0.55822290909090899</v>
      </c>
      <c r="N11" s="415">
        <v>0.53837718181818173</v>
      </c>
      <c r="O11" s="415">
        <v>0.52224727272727267</v>
      </c>
      <c r="P11" s="415">
        <v>0.49714054545454539</v>
      </c>
      <c r="R11" s="415">
        <v>0.47383372727272721</v>
      </c>
      <c r="S11" s="415">
        <v>0.48559427272727262</v>
      </c>
      <c r="T11" s="415">
        <v>0.4579370909090909</v>
      </c>
      <c r="U11" s="415">
        <v>0.44099936363636361</v>
      </c>
      <c r="V11" s="415">
        <v>0.42470563636363634</v>
      </c>
      <c r="W11" s="415">
        <v>0.41768436363636358</v>
      </c>
      <c r="X11" s="415">
        <f>W11*1+$V$6</f>
        <v>0.41089612292144345</v>
      </c>
      <c r="Y11" s="415">
        <f t="shared" ref="Y11:AC11" si="3">X11*1+$V$6</f>
        <v>0.40410788220652333</v>
      </c>
      <c r="Z11" s="415">
        <f t="shared" si="3"/>
        <v>0.3973196414916032</v>
      </c>
      <c r="AA11" s="415">
        <f t="shared" si="3"/>
        <v>0.39053140077668308</v>
      </c>
      <c r="AB11" s="415">
        <f t="shared" si="3"/>
        <v>0.38374316006176296</v>
      </c>
      <c r="AC11" s="415">
        <f t="shared" si="3"/>
        <v>0.37695491934684283</v>
      </c>
    </row>
    <row r="12" spans="2:36" ht="15" x14ac:dyDescent="0.4">
      <c r="B12" s="371"/>
      <c r="C12" s="372"/>
      <c r="D12" s="145" t="s">
        <v>237</v>
      </c>
      <c r="E12" s="415">
        <v>0.7540575454545454</v>
      </c>
      <c r="F12" s="415">
        <v>0.75608545454545451</v>
      </c>
      <c r="G12" s="415">
        <v>0.77513454545454541</v>
      </c>
      <c r="H12" s="415">
        <v>0.79059654545454539</v>
      </c>
      <c r="I12" s="415">
        <v>0.77353490909090905</v>
      </c>
      <c r="J12" s="415">
        <v>0.77582627272727267</v>
      </c>
      <c r="K12" s="415">
        <v>0.77379281818181811</v>
      </c>
      <c r="L12" s="415">
        <v>0.76290527272727271</v>
      </c>
      <c r="M12" s="415">
        <v>0.79137018181818175</v>
      </c>
      <c r="N12" s="415">
        <v>0.79211718181818169</v>
      </c>
      <c r="O12" s="415">
        <v>0.79495445454545444</v>
      </c>
      <c r="P12" s="415">
        <v>0.80338227272727269</v>
      </c>
      <c r="R12" s="415">
        <v>0.73715763636363629</v>
      </c>
      <c r="S12" s="415">
        <v>0.8785777272727272</v>
      </c>
      <c r="T12" s="415">
        <v>0.81444236363636358</v>
      </c>
      <c r="U12" s="415">
        <v>0.79583690909090898</v>
      </c>
      <c r="V12" s="415">
        <v>0.79464063636363624</v>
      </c>
      <c r="W12" s="415">
        <v>0.79124945454545448</v>
      </c>
      <c r="X12" s="415">
        <f t="shared" ref="X12:AC12" si="4">W12*1+$V$6</f>
        <v>0.78446121383053435</v>
      </c>
      <c r="Y12" s="415">
        <f t="shared" si="4"/>
        <v>0.77767297311561423</v>
      </c>
      <c r="Z12" s="415">
        <f t="shared" si="4"/>
        <v>0.77088473240069411</v>
      </c>
      <c r="AA12" s="415">
        <f t="shared" si="4"/>
        <v>0.76409649168577398</v>
      </c>
      <c r="AB12" s="415">
        <f t="shared" si="4"/>
        <v>0.75730825097085386</v>
      </c>
      <c r="AC12" s="415">
        <f t="shared" si="4"/>
        <v>0.75052001025593373</v>
      </c>
    </row>
    <row r="13" spans="2:36" ht="15" x14ac:dyDescent="0.4">
      <c r="B13" s="367" t="s">
        <v>242</v>
      </c>
      <c r="C13" s="368"/>
      <c r="D13" s="142" t="s">
        <v>226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R13" s="148">
        <v>80635</v>
      </c>
      <c r="S13" s="148">
        <v>80298</v>
      </c>
      <c r="T13" s="148">
        <v>79701</v>
      </c>
      <c r="U13" s="148">
        <v>79619</v>
      </c>
      <c r="V13" s="148">
        <v>78486</v>
      </c>
      <c r="W13" s="148"/>
      <c r="X13" s="148"/>
      <c r="Y13" s="148"/>
      <c r="Z13" s="148"/>
      <c r="AA13" s="148"/>
      <c r="AB13" s="148"/>
      <c r="AC13" s="148"/>
    </row>
    <row r="14" spans="2:36" ht="15" x14ac:dyDescent="0.4">
      <c r="B14" s="369"/>
      <c r="C14" s="370"/>
      <c r="D14" s="144" t="s">
        <v>236</v>
      </c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R14" s="150">
        <v>26924</v>
      </c>
      <c r="S14" s="150">
        <v>26456</v>
      </c>
      <c r="T14" s="150">
        <v>25615</v>
      </c>
      <c r="U14" s="150">
        <v>25136</v>
      </c>
      <c r="V14" s="150">
        <v>24622</v>
      </c>
      <c r="W14" s="150">
        <v>24074</v>
      </c>
      <c r="X14" s="150">
        <v>23853</v>
      </c>
      <c r="Y14" s="150">
        <v>23189</v>
      </c>
      <c r="Z14" s="150">
        <v>22536</v>
      </c>
      <c r="AA14" s="150">
        <v>21871</v>
      </c>
      <c r="AB14" s="150"/>
      <c r="AC14" s="150"/>
    </row>
    <row r="15" spans="2:36" ht="15" x14ac:dyDescent="0.4">
      <c r="B15" s="369"/>
      <c r="C15" s="370"/>
      <c r="D15" s="144" t="s">
        <v>240</v>
      </c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R15" s="150">
        <v>25805</v>
      </c>
      <c r="S15" s="150">
        <v>25697</v>
      </c>
      <c r="T15" s="150">
        <v>25826</v>
      </c>
      <c r="U15" s="150">
        <v>25962</v>
      </c>
      <c r="V15" s="150">
        <v>25659</v>
      </c>
      <c r="W15" s="150"/>
      <c r="X15" s="150"/>
      <c r="Y15" s="150"/>
      <c r="Z15" s="150"/>
      <c r="AA15" s="150"/>
      <c r="AB15" s="150"/>
      <c r="AC15" s="150"/>
    </row>
    <row r="16" spans="2:36" ht="15" x14ac:dyDescent="0.4">
      <c r="B16" s="371"/>
      <c r="C16" s="372"/>
      <c r="D16" s="144" t="s">
        <v>241</v>
      </c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R16" s="150">
        <v>27906</v>
      </c>
      <c r="S16" s="150">
        <v>28145</v>
      </c>
      <c r="T16" s="150">
        <v>28260</v>
      </c>
      <c r="U16" s="150">
        <v>28521</v>
      </c>
      <c r="V16" s="150">
        <v>28205</v>
      </c>
      <c r="W16" s="150"/>
      <c r="X16" s="150"/>
      <c r="Y16" s="150"/>
      <c r="Z16" s="150"/>
      <c r="AA16" s="150"/>
      <c r="AB16" s="150"/>
      <c r="AC16" s="150"/>
    </row>
    <row r="17" spans="2:29" ht="15" x14ac:dyDescent="0.4">
      <c r="B17" s="367" t="s">
        <v>239</v>
      </c>
      <c r="C17" s="368"/>
      <c r="D17" s="142" t="s">
        <v>226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R17" s="148">
        <v>981</v>
      </c>
      <c r="S17" s="148">
        <v>1210</v>
      </c>
      <c r="T17" s="148">
        <v>1288</v>
      </c>
      <c r="U17" s="148">
        <v>1481</v>
      </c>
      <c r="V17" s="148">
        <v>1905</v>
      </c>
      <c r="W17" s="148"/>
      <c r="X17" s="148"/>
      <c r="Y17" s="148"/>
      <c r="Z17" s="148"/>
      <c r="AA17" s="148"/>
      <c r="AB17" s="148"/>
      <c r="AC17" s="148"/>
    </row>
    <row r="18" spans="2:29" ht="15" x14ac:dyDescent="0.4">
      <c r="B18" s="369"/>
      <c r="C18" s="370"/>
      <c r="D18" s="144" t="s">
        <v>236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R18" s="150">
        <v>154</v>
      </c>
      <c r="S18" s="150">
        <v>399</v>
      </c>
      <c r="T18" s="150">
        <v>169</v>
      </c>
      <c r="U18" s="150">
        <v>287</v>
      </c>
      <c r="V18" s="150">
        <v>430</v>
      </c>
      <c r="W18" s="150"/>
      <c r="X18" s="150"/>
      <c r="Y18" s="150"/>
      <c r="Z18" s="150"/>
      <c r="AA18" s="150"/>
      <c r="AB18" s="150"/>
      <c r="AC18" s="150"/>
    </row>
    <row r="19" spans="2:29" ht="15" x14ac:dyDescent="0.4">
      <c r="B19" s="369"/>
      <c r="C19" s="370"/>
      <c r="D19" s="144" t="s">
        <v>240</v>
      </c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R19" s="150">
        <v>551</v>
      </c>
      <c r="S19" s="150">
        <v>529</v>
      </c>
      <c r="T19" s="150">
        <v>772</v>
      </c>
      <c r="U19" s="150">
        <v>791</v>
      </c>
      <c r="V19" s="150">
        <v>948.00000000000011</v>
      </c>
      <c r="W19" s="150"/>
      <c r="X19" s="150"/>
      <c r="Y19" s="150"/>
      <c r="Z19" s="150"/>
      <c r="AA19" s="150"/>
      <c r="AB19" s="150"/>
      <c r="AC19" s="150"/>
    </row>
    <row r="20" spans="2:29" ht="15" x14ac:dyDescent="0.4">
      <c r="B20" s="371"/>
      <c r="C20" s="372"/>
      <c r="D20" s="144" t="s">
        <v>241</v>
      </c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R20" s="150">
        <v>276</v>
      </c>
      <c r="S20" s="150">
        <v>282</v>
      </c>
      <c r="T20" s="150">
        <v>347</v>
      </c>
      <c r="U20" s="150">
        <v>403</v>
      </c>
      <c r="V20" s="150">
        <v>527</v>
      </c>
      <c r="W20" s="150"/>
      <c r="X20" s="150"/>
      <c r="Y20" s="150"/>
      <c r="Z20" s="150"/>
      <c r="AA20" s="150"/>
      <c r="AB20" s="150"/>
      <c r="AC20" s="150"/>
    </row>
    <row r="21" spans="2:29" ht="15" x14ac:dyDescent="0.4">
      <c r="B21" s="367" t="s">
        <v>243</v>
      </c>
      <c r="C21" s="368"/>
      <c r="D21" s="142" t="s">
        <v>226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R21" s="148">
        <v>1708</v>
      </c>
      <c r="S21" s="148">
        <v>1953</v>
      </c>
      <c r="T21" s="148">
        <v>1885</v>
      </c>
      <c r="U21" s="148">
        <v>1563</v>
      </c>
      <c r="V21" s="148">
        <v>3038</v>
      </c>
      <c r="W21" s="148"/>
      <c r="X21" s="148"/>
      <c r="Y21" s="148"/>
      <c r="Z21" s="148"/>
      <c r="AA21" s="148"/>
      <c r="AB21" s="148"/>
      <c r="AC21" s="148"/>
    </row>
    <row r="22" spans="2:29" ht="15" x14ac:dyDescent="0.4">
      <c r="B22" s="369"/>
      <c r="C22" s="370"/>
      <c r="D22" s="144" t="s">
        <v>236</v>
      </c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R22" s="150">
        <v>668</v>
      </c>
      <c r="S22" s="150">
        <v>867</v>
      </c>
      <c r="T22" s="150">
        <v>1010</v>
      </c>
      <c r="U22" s="150">
        <v>766</v>
      </c>
      <c r="V22" s="150">
        <v>944</v>
      </c>
      <c r="W22" s="150"/>
      <c r="X22" s="150"/>
      <c r="Y22" s="150"/>
      <c r="Z22" s="150"/>
      <c r="AA22" s="150"/>
      <c r="AB22" s="150"/>
      <c r="AC22" s="150"/>
    </row>
    <row r="23" spans="2:29" ht="15" x14ac:dyDescent="0.4">
      <c r="B23" s="369"/>
      <c r="C23" s="370"/>
      <c r="D23" s="144" t="s">
        <v>240</v>
      </c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R23" s="150">
        <v>591</v>
      </c>
      <c r="S23" s="150">
        <v>637</v>
      </c>
      <c r="T23" s="150">
        <v>643</v>
      </c>
      <c r="U23" s="150">
        <v>655</v>
      </c>
      <c r="V23" s="150">
        <v>1251</v>
      </c>
      <c r="W23" s="150"/>
      <c r="X23" s="150"/>
      <c r="Y23" s="150"/>
      <c r="Z23" s="150"/>
      <c r="AA23" s="150"/>
      <c r="AB23" s="150"/>
      <c r="AC23" s="150"/>
    </row>
    <row r="24" spans="2:29" ht="15" x14ac:dyDescent="0.4">
      <c r="B24" s="371"/>
      <c r="C24" s="372"/>
      <c r="D24" s="144" t="s">
        <v>241</v>
      </c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R24" s="150">
        <v>449</v>
      </c>
      <c r="S24" s="150">
        <v>449</v>
      </c>
      <c r="T24" s="150">
        <v>232</v>
      </c>
      <c r="U24" s="150">
        <v>142</v>
      </c>
      <c r="V24" s="150">
        <v>843</v>
      </c>
      <c r="W24" s="150"/>
      <c r="X24" s="150"/>
      <c r="Y24" s="150"/>
      <c r="Z24" s="150"/>
      <c r="AA24" s="150"/>
      <c r="AB24" s="150"/>
      <c r="AC24" s="150"/>
    </row>
    <row r="25" spans="2:29" ht="15" x14ac:dyDescent="0.4">
      <c r="B25" s="367" t="s">
        <v>244</v>
      </c>
      <c r="C25" s="368"/>
      <c r="D25" s="142" t="s">
        <v>226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</row>
    <row r="26" spans="2:29" ht="15" x14ac:dyDescent="0.4">
      <c r="B26" s="369"/>
      <c r="C26" s="370"/>
      <c r="D26" s="144" t="s">
        <v>236</v>
      </c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R26" s="150">
        <v>40073.341480519484</v>
      </c>
      <c r="S26" s="150">
        <v>54677.151710144928</v>
      </c>
      <c r="T26" s="150">
        <v>51619.862518776092</v>
      </c>
      <c r="U26" s="150">
        <v>49902.08767397808</v>
      </c>
      <c r="V26" s="150">
        <v>48089.844121593298</v>
      </c>
      <c r="W26" s="150"/>
      <c r="X26" s="150"/>
      <c r="Y26" s="150"/>
      <c r="Z26" s="150"/>
      <c r="AA26" s="150"/>
      <c r="AB26" s="150"/>
      <c r="AC26" s="150"/>
    </row>
    <row r="27" spans="2:29" ht="15" x14ac:dyDescent="0.4">
      <c r="B27" s="369"/>
      <c r="C27" s="370"/>
      <c r="D27" s="144" t="s">
        <v>240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</row>
    <row r="28" spans="2:29" ht="15" x14ac:dyDescent="0.4">
      <c r="B28" s="371"/>
      <c r="C28" s="372"/>
      <c r="D28" s="144" t="s">
        <v>241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</row>
  </sheetData>
  <mergeCells count="6">
    <mergeCell ref="B25:C28"/>
    <mergeCell ref="B9:D9"/>
    <mergeCell ref="B10:C12"/>
    <mergeCell ref="B13:C16"/>
    <mergeCell ref="B17:C20"/>
    <mergeCell ref="B21:C24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2506-1928-433C-8389-0CF0EF5B8FB3}">
  <sheetPr>
    <pageSetUpPr fitToPage="1"/>
  </sheetPr>
  <dimension ref="A1:AM139"/>
  <sheetViews>
    <sheetView showGridLines="0" view="pageBreakPreview" zoomScale="85" zoomScaleNormal="55" zoomScaleSheetLayoutView="85" workbookViewId="0">
      <pane xSplit="2" ySplit="2" topLeftCell="C72" activePane="bottomRight" state="frozen"/>
      <selection activeCell="E8" sqref="E8:G8"/>
      <selection pane="topRight" activeCell="E8" sqref="E8:G8"/>
      <selection pane="bottomLeft" activeCell="E8" sqref="E8:G8"/>
      <selection pane="bottomRight" activeCell="K75" sqref="K75:M86"/>
    </sheetView>
  </sheetViews>
  <sheetFormatPr defaultRowHeight="14.5" x14ac:dyDescent="0.35"/>
  <cols>
    <col min="1" max="1" width="4.90625" customWidth="1"/>
    <col min="2" max="2" width="13.90625" customWidth="1"/>
    <col min="3" max="6" width="17.36328125" customWidth="1"/>
    <col min="7" max="7" width="26.36328125" customWidth="1"/>
    <col min="8" max="9" width="17.36328125" style="47" hidden="1" customWidth="1"/>
    <col min="10" max="13" width="17.36328125" customWidth="1"/>
    <col min="14" max="15" width="17.36328125" hidden="1" customWidth="1"/>
    <col min="16" max="16" width="17.36328125" customWidth="1"/>
    <col min="17" max="22" width="15.6328125" customWidth="1"/>
    <col min="23" max="23" width="17.36328125" customWidth="1"/>
    <col min="24" max="24" width="5.7265625" customWidth="1"/>
    <col min="25" max="25" width="16.453125" customWidth="1"/>
    <col min="26" max="29" width="13.54296875" customWidth="1"/>
    <col min="30" max="30" width="3" customWidth="1"/>
    <col min="31" max="31" width="18.08984375" customWidth="1"/>
    <col min="32" max="32" width="4.7265625" customWidth="1"/>
    <col min="33" max="33" width="20.08984375" customWidth="1"/>
    <col min="34" max="34" width="7.6328125" customWidth="1"/>
    <col min="35" max="35" width="15.6328125" customWidth="1"/>
    <col min="36" max="36" width="3" customWidth="1"/>
    <col min="37" max="37" width="15.6328125" customWidth="1"/>
    <col min="38" max="38" width="7.6328125" customWidth="1"/>
    <col min="39" max="39" width="15.6328125" customWidth="1"/>
  </cols>
  <sheetData>
    <row r="1" spans="1:39" ht="47.25" customHeight="1" thickBot="1" x14ac:dyDescent="0.4">
      <c r="B1" s="40">
        <v>1</v>
      </c>
      <c r="C1" s="41">
        <v>2</v>
      </c>
      <c r="D1" s="41">
        <v>3</v>
      </c>
      <c r="E1" s="40">
        <v>4</v>
      </c>
      <c r="F1" s="41">
        <v>5</v>
      </c>
      <c r="G1" s="41">
        <v>6</v>
      </c>
      <c r="H1" s="42">
        <v>7</v>
      </c>
      <c r="I1" s="43">
        <v>8</v>
      </c>
      <c r="J1" s="41">
        <v>9</v>
      </c>
      <c r="K1" s="41">
        <v>100000000</v>
      </c>
      <c r="L1" s="41"/>
      <c r="M1" s="40">
        <v>10</v>
      </c>
      <c r="N1" s="41">
        <v>11</v>
      </c>
      <c r="O1" s="41">
        <v>12</v>
      </c>
      <c r="P1" s="40">
        <v>13</v>
      </c>
      <c r="Q1" s="41">
        <v>14</v>
      </c>
      <c r="R1" s="41">
        <v>15</v>
      </c>
      <c r="S1" s="41">
        <v>1.1000000000000001</v>
      </c>
      <c r="T1" s="40">
        <v>16</v>
      </c>
      <c r="U1" s="41">
        <v>17</v>
      </c>
      <c r="V1" s="41">
        <v>18</v>
      </c>
      <c r="W1" s="40">
        <v>19</v>
      </c>
      <c r="X1" s="41">
        <v>20</v>
      </c>
      <c r="Y1" s="41">
        <v>21</v>
      </c>
      <c r="Z1" s="40">
        <v>22</v>
      </c>
      <c r="AA1" s="41">
        <v>23</v>
      </c>
      <c r="AB1" s="41">
        <v>24</v>
      </c>
      <c r="AC1" s="40">
        <v>25</v>
      </c>
      <c r="AD1" s="41">
        <v>26</v>
      </c>
      <c r="AE1" s="41">
        <v>29</v>
      </c>
      <c r="AF1" s="41">
        <v>30</v>
      </c>
      <c r="AG1" s="40">
        <v>31</v>
      </c>
      <c r="AH1" s="41"/>
      <c r="AI1" s="41">
        <v>33</v>
      </c>
      <c r="AJ1" s="40">
        <v>34</v>
      </c>
      <c r="AK1" s="41">
        <v>35</v>
      </c>
      <c r="AL1" s="41">
        <v>36</v>
      </c>
      <c r="AM1" s="40">
        <v>37</v>
      </c>
    </row>
    <row r="2" spans="1:39" s="1" customFormat="1" ht="46.5" customHeight="1" x14ac:dyDescent="0.35">
      <c r="B2" s="34" t="s">
        <v>10</v>
      </c>
      <c r="C2" s="32" t="s">
        <v>202</v>
      </c>
      <c r="D2" s="4" t="s">
        <v>26</v>
      </c>
      <c r="E2" s="4" t="s">
        <v>27</v>
      </c>
      <c r="F2" s="4" t="s">
        <v>28</v>
      </c>
      <c r="G2" s="32" t="s">
        <v>29</v>
      </c>
      <c r="H2" s="44" t="s">
        <v>30</v>
      </c>
      <c r="I2" s="44" t="s">
        <v>31</v>
      </c>
      <c r="J2" s="4" t="s">
        <v>22</v>
      </c>
      <c r="K2" s="273" t="s">
        <v>269</v>
      </c>
      <c r="L2" s="273" t="s">
        <v>270</v>
      </c>
      <c r="M2" s="4" t="s">
        <v>23</v>
      </c>
      <c r="N2" s="4" t="s">
        <v>32</v>
      </c>
      <c r="O2" s="4" t="s">
        <v>33</v>
      </c>
      <c r="P2" s="30" t="s">
        <v>34</v>
      </c>
      <c r="Q2" s="33" t="s">
        <v>20</v>
      </c>
      <c r="R2" s="33" t="s">
        <v>21</v>
      </c>
      <c r="S2" s="33" t="s">
        <v>262</v>
      </c>
      <c r="T2" s="33" t="s">
        <v>93</v>
      </c>
      <c r="U2" s="33" t="s">
        <v>92</v>
      </c>
      <c r="V2" s="33" t="s">
        <v>35</v>
      </c>
      <c r="W2" s="35" t="s">
        <v>37</v>
      </c>
      <c r="Y2" s="18" t="s">
        <v>12</v>
      </c>
      <c r="Z2" s="17" t="s">
        <v>13</v>
      </c>
      <c r="AA2" s="17" t="s">
        <v>14</v>
      </c>
      <c r="AB2" s="17" t="s">
        <v>15</v>
      </c>
      <c r="AC2" s="5" t="s">
        <v>36</v>
      </c>
      <c r="AD2" s="3"/>
      <c r="AE2" s="37" t="s">
        <v>38</v>
      </c>
      <c r="AF2" s="38"/>
      <c r="AG2" s="37" t="s">
        <v>39</v>
      </c>
      <c r="AH2" s="38"/>
      <c r="AI2" s="37" t="s">
        <v>24</v>
      </c>
      <c r="AJ2" s="39"/>
      <c r="AK2" s="36" t="s">
        <v>40</v>
      </c>
      <c r="AL2" s="38"/>
      <c r="AM2" s="36" t="s">
        <v>41</v>
      </c>
    </row>
    <row r="3" spans="1:39" ht="22.5" customHeight="1" x14ac:dyDescent="0.35">
      <c r="A3" s="13"/>
      <c r="B3" s="175" t="s">
        <v>200</v>
      </c>
      <c r="C3" s="25">
        <v>31.485234500000001</v>
      </c>
      <c r="D3" s="25">
        <v>14.8383211</v>
      </c>
      <c r="E3" s="25">
        <v>3.708202</v>
      </c>
      <c r="F3" s="31"/>
      <c r="G3" s="25"/>
      <c r="H3" s="45">
        <v>2.1614917</v>
      </c>
      <c r="I3" s="45">
        <v>1.3827863</v>
      </c>
      <c r="J3" s="6">
        <v>2.2588701000000002</v>
      </c>
      <c r="K3" s="6"/>
      <c r="L3" s="6"/>
      <c r="M3" s="6">
        <v>5.2151829999999997</v>
      </c>
      <c r="N3" s="6">
        <v>7.6219999999999999E-4</v>
      </c>
      <c r="O3" s="6">
        <v>2.24975E-2</v>
      </c>
      <c r="P3" s="6"/>
      <c r="Q3" s="26"/>
      <c r="R3" s="26"/>
      <c r="S3" s="26"/>
      <c r="T3" s="26"/>
      <c r="U3" s="26"/>
      <c r="V3" s="26"/>
      <c r="W3" s="27"/>
      <c r="Y3" s="195"/>
      <c r="Z3" s="196"/>
      <c r="AA3" s="196"/>
      <c r="AB3" s="196"/>
      <c r="AC3" s="197"/>
      <c r="AE3" s="26"/>
      <c r="AG3" s="20"/>
      <c r="AI3" s="19"/>
      <c r="AK3" s="8"/>
      <c r="AM3" s="19"/>
    </row>
    <row r="4" spans="1:39" ht="22.5" customHeight="1" x14ac:dyDescent="0.35">
      <c r="A4" s="13"/>
      <c r="B4" s="2" t="s">
        <v>0</v>
      </c>
      <c r="C4" s="25">
        <v>29.7512607</v>
      </c>
      <c r="D4" s="25">
        <v>14.2921406</v>
      </c>
      <c r="E4" s="25">
        <v>3.6312121999999998</v>
      </c>
      <c r="F4" s="31"/>
      <c r="G4" s="25"/>
      <c r="H4" s="45">
        <v>2.0266620999999998</v>
      </c>
      <c r="I4" s="45">
        <v>1.3702350000000001</v>
      </c>
      <c r="J4" s="6">
        <v>2.2071755</v>
      </c>
      <c r="K4" s="6"/>
      <c r="L4" s="6"/>
      <c r="M4" s="6">
        <v>4.9685851000000003</v>
      </c>
      <c r="N4" s="6">
        <v>8.1590000000000005E-4</v>
      </c>
      <c r="O4" s="6">
        <v>1.9279500000000001E-2</v>
      </c>
      <c r="P4" s="6"/>
      <c r="Q4" s="26"/>
      <c r="R4" s="26"/>
      <c r="S4" s="26"/>
      <c r="T4" s="26"/>
      <c r="U4" s="26"/>
      <c r="V4" s="26"/>
      <c r="W4" s="27"/>
      <c r="Y4" s="198"/>
      <c r="Z4" s="199"/>
      <c r="AA4" s="199"/>
      <c r="AB4" s="199"/>
      <c r="AC4" s="200"/>
      <c r="AE4" s="26"/>
      <c r="AF4" s="16"/>
      <c r="AG4" s="20"/>
      <c r="AH4" s="16"/>
      <c r="AI4" s="22"/>
      <c r="AK4" s="8"/>
      <c r="AL4" s="16"/>
      <c r="AM4" s="19"/>
    </row>
    <row r="5" spans="1:39" ht="22.5" customHeight="1" x14ac:dyDescent="0.35">
      <c r="A5" s="13"/>
      <c r="B5" s="2" t="s">
        <v>11</v>
      </c>
      <c r="C5" s="25">
        <v>30.343168070000001</v>
      </c>
      <c r="D5" s="25">
        <v>14.7234306</v>
      </c>
      <c r="E5" s="25">
        <v>3.7668661999999999</v>
      </c>
      <c r="F5" s="31"/>
      <c r="G5" s="25"/>
      <c r="H5" s="45">
        <v>2.0951565200000002</v>
      </c>
      <c r="I5" s="45">
        <v>1.44110045</v>
      </c>
      <c r="J5" s="6">
        <v>2.3485015699999998</v>
      </c>
      <c r="K5" s="6"/>
      <c r="L5" s="6"/>
      <c r="M5" s="6">
        <v>4.8667116500000001</v>
      </c>
      <c r="N5" s="6">
        <v>9.2679999999999998E-4</v>
      </c>
      <c r="O5" s="6">
        <v>1.8210199999999999E-2</v>
      </c>
      <c r="P5" s="6"/>
      <c r="Q5" s="26"/>
      <c r="R5" s="26"/>
      <c r="S5" s="26"/>
      <c r="T5" s="26"/>
      <c r="U5" s="26"/>
      <c r="V5" s="26"/>
      <c r="W5" s="27"/>
      <c r="Y5" s="198"/>
      <c r="Z5" s="199"/>
      <c r="AA5" s="199"/>
      <c r="AB5" s="199"/>
      <c r="AC5" s="200"/>
      <c r="AE5" s="26"/>
      <c r="AF5" s="16"/>
      <c r="AG5" s="20"/>
      <c r="AH5" s="16"/>
      <c r="AI5" s="22"/>
      <c r="AK5" s="8"/>
      <c r="AL5" s="16"/>
      <c r="AM5" s="8"/>
    </row>
    <row r="6" spans="1:39" ht="22.5" customHeight="1" x14ac:dyDescent="0.35">
      <c r="A6" s="13"/>
      <c r="B6" s="2" t="s">
        <v>1</v>
      </c>
      <c r="C6" s="25">
        <v>27.632313</v>
      </c>
      <c r="D6" s="25">
        <v>13.6421446</v>
      </c>
      <c r="E6" s="25">
        <v>3.6138591</v>
      </c>
      <c r="F6" s="31"/>
      <c r="G6" s="25"/>
      <c r="H6" s="45">
        <v>1.896541</v>
      </c>
      <c r="I6" s="45">
        <v>1.3282776000000001</v>
      </c>
      <c r="J6" s="6">
        <v>2.317968</v>
      </c>
      <c r="K6" s="6"/>
      <c r="L6" s="6"/>
      <c r="M6" s="6">
        <v>4.7903674000000001</v>
      </c>
      <c r="N6" s="6">
        <v>5.3919999999999999E-4</v>
      </c>
      <c r="O6" s="6">
        <v>1.6655E-2</v>
      </c>
      <c r="P6" s="6"/>
      <c r="Q6" s="26"/>
      <c r="R6" s="26"/>
      <c r="S6" s="26"/>
      <c r="T6" s="26"/>
      <c r="U6" s="26"/>
      <c r="V6" s="26"/>
      <c r="W6" s="27"/>
      <c r="Y6" s="198"/>
      <c r="Z6" s="199"/>
      <c r="AA6" s="199"/>
      <c r="AB6" s="199"/>
      <c r="AC6" s="200"/>
      <c r="AE6" s="26"/>
      <c r="AF6" s="16"/>
      <c r="AG6" s="20"/>
      <c r="AH6" s="16"/>
      <c r="AI6" s="22"/>
      <c r="AK6" s="8"/>
      <c r="AL6" s="16"/>
      <c r="AM6" s="8"/>
    </row>
    <row r="7" spans="1:39" ht="22.5" customHeight="1" x14ac:dyDescent="0.35">
      <c r="A7" s="13"/>
      <c r="B7" s="2" t="s">
        <v>2</v>
      </c>
      <c r="C7" s="25">
        <v>27.022557500000001</v>
      </c>
      <c r="D7" s="25">
        <v>13.3872964</v>
      </c>
      <c r="E7" s="25">
        <v>3.5906452999999998</v>
      </c>
      <c r="F7" s="31"/>
      <c r="G7" s="25"/>
      <c r="H7" s="45">
        <v>1.8370496000000001</v>
      </c>
      <c r="I7" s="45">
        <v>1.3107145</v>
      </c>
      <c r="J7" s="6">
        <v>2.401729</v>
      </c>
      <c r="K7" s="6"/>
      <c r="L7" s="6"/>
      <c r="M7" s="6">
        <v>4.7042466999999997</v>
      </c>
      <c r="N7" s="6">
        <v>4.462E-4</v>
      </c>
      <c r="O7" s="6">
        <v>1.6487999999999999E-2</v>
      </c>
      <c r="P7" s="6"/>
      <c r="Q7" s="26"/>
      <c r="R7" s="26"/>
      <c r="S7" s="26"/>
      <c r="T7" s="26"/>
      <c r="U7" s="26"/>
      <c r="V7" s="26"/>
      <c r="W7" s="27"/>
      <c r="Y7" s="198"/>
      <c r="Z7" s="199"/>
      <c r="AA7" s="199"/>
      <c r="AB7" s="199"/>
      <c r="AC7" s="200"/>
      <c r="AE7" s="26"/>
      <c r="AF7" s="16"/>
      <c r="AG7" s="20"/>
      <c r="AH7" s="16"/>
      <c r="AI7" s="22"/>
      <c r="AK7" s="8"/>
      <c r="AL7" s="16"/>
      <c r="AM7" s="8"/>
    </row>
    <row r="8" spans="1:39" ht="22.5" customHeight="1" x14ac:dyDescent="0.35">
      <c r="A8" s="13"/>
      <c r="B8" s="2" t="s">
        <v>3</v>
      </c>
      <c r="C8" s="25">
        <v>25.232169500000001</v>
      </c>
      <c r="D8" s="25">
        <v>12.9157583</v>
      </c>
      <c r="E8" s="25">
        <v>3.5023987999999999</v>
      </c>
      <c r="F8" s="31"/>
      <c r="G8" s="25"/>
      <c r="H8" s="45">
        <v>1.7389956</v>
      </c>
      <c r="I8" s="45">
        <v>1.2638910999999999</v>
      </c>
      <c r="J8" s="6">
        <v>2.2693243000000001</v>
      </c>
      <c r="K8" s="6"/>
      <c r="L8" s="6"/>
      <c r="M8" s="6">
        <v>4.4928907999999996</v>
      </c>
      <c r="N8" s="6">
        <v>1.861E-4</v>
      </c>
      <c r="O8" s="6">
        <v>2.2043299999999998E-2</v>
      </c>
      <c r="P8" s="6"/>
      <c r="Q8" s="26"/>
      <c r="R8" s="26"/>
      <c r="S8" s="26"/>
      <c r="T8" s="26"/>
      <c r="U8" s="26"/>
      <c r="V8" s="26"/>
      <c r="W8" s="27"/>
      <c r="Y8" s="198"/>
      <c r="Z8" s="199"/>
      <c r="AA8" s="199"/>
      <c r="AB8" s="199"/>
      <c r="AC8" s="200"/>
      <c r="AE8" s="26"/>
      <c r="AF8" s="16"/>
      <c r="AG8" s="20"/>
      <c r="AH8" s="16"/>
      <c r="AI8" s="22"/>
      <c r="AK8" s="8"/>
      <c r="AL8" s="16"/>
      <c r="AM8" s="8"/>
    </row>
    <row r="9" spans="1:39" ht="22.5" customHeight="1" x14ac:dyDescent="0.35">
      <c r="A9" s="13"/>
      <c r="B9" s="2" t="s">
        <v>4</v>
      </c>
      <c r="C9" s="25">
        <v>24.063337099999998</v>
      </c>
      <c r="D9" s="25">
        <v>12.7492974</v>
      </c>
      <c r="E9" s="25">
        <v>3.4623781999999999</v>
      </c>
      <c r="F9" s="31"/>
      <c r="G9" s="25"/>
      <c r="H9" s="45">
        <v>1.6434394000000001</v>
      </c>
      <c r="I9" s="45">
        <v>1.2202176</v>
      </c>
      <c r="J9" s="6">
        <v>2.5565679000000001</v>
      </c>
      <c r="K9" s="6"/>
      <c r="L9" s="6"/>
      <c r="M9" s="6">
        <v>4.4381396000000004</v>
      </c>
      <c r="N9" s="6">
        <v>3.8450000000000002E-4</v>
      </c>
      <c r="O9" s="6">
        <v>1.25775E-2</v>
      </c>
      <c r="P9" s="6"/>
      <c r="Q9" s="26"/>
      <c r="R9" s="26"/>
      <c r="S9" s="26"/>
      <c r="T9" s="26"/>
      <c r="U9" s="26"/>
      <c r="V9" s="26"/>
      <c r="W9" s="27"/>
      <c r="Y9" s="198"/>
      <c r="Z9" s="199"/>
      <c r="AA9" s="199"/>
      <c r="AB9" s="199"/>
      <c r="AC9" s="200"/>
      <c r="AE9" s="26"/>
      <c r="AF9" s="16"/>
      <c r="AG9" s="20"/>
      <c r="AH9" s="16"/>
      <c r="AI9" s="22"/>
      <c r="AK9" s="8"/>
      <c r="AL9" s="16"/>
      <c r="AM9" s="8"/>
    </row>
    <row r="10" spans="1:39" ht="22.5" customHeight="1" x14ac:dyDescent="0.35">
      <c r="A10" s="13"/>
      <c r="B10" s="2" t="s">
        <v>5</v>
      </c>
      <c r="C10" s="25">
        <v>22.840442700000001</v>
      </c>
      <c r="D10" s="25">
        <v>12.371279599999999</v>
      </c>
      <c r="E10" s="25">
        <v>3.3966045</v>
      </c>
      <c r="F10" s="31"/>
      <c r="G10" s="25"/>
      <c r="H10" s="45">
        <v>1.5609575</v>
      </c>
      <c r="I10" s="45">
        <v>1.175673</v>
      </c>
      <c r="J10" s="6">
        <v>2.3643909000000001</v>
      </c>
      <c r="K10" s="6"/>
      <c r="L10" s="6"/>
      <c r="M10" s="6">
        <v>4.2347237</v>
      </c>
      <c r="N10" s="6">
        <v>5.3319999999999995E-4</v>
      </c>
      <c r="O10" s="6">
        <v>1.01365E-2</v>
      </c>
      <c r="P10" s="6"/>
      <c r="Q10" s="26"/>
      <c r="R10" s="26"/>
      <c r="S10" s="26"/>
      <c r="T10" s="26"/>
      <c r="U10" s="26"/>
      <c r="V10" s="26"/>
      <c r="W10" s="27"/>
      <c r="Y10" s="198"/>
      <c r="Z10" s="199"/>
      <c r="AA10" s="199"/>
      <c r="AB10" s="199"/>
      <c r="AC10" s="200"/>
      <c r="AE10" s="26"/>
      <c r="AF10" s="16"/>
      <c r="AG10" s="20"/>
      <c r="AH10" s="16"/>
      <c r="AI10" s="22"/>
      <c r="AK10" s="8"/>
      <c r="AL10" s="16"/>
      <c r="AM10" s="8"/>
    </row>
    <row r="11" spans="1:39" ht="22.5" customHeight="1" x14ac:dyDescent="0.35">
      <c r="A11" s="13"/>
      <c r="B11" s="2" t="s">
        <v>6</v>
      </c>
      <c r="C11" s="25">
        <v>21.0314093</v>
      </c>
      <c r="D11" s="25">
        <v>11.726480799999999</v>
      </c>
      <c r="E11" s="25">
        <v>3.2831902999999998</v>
      </c>
      <c r="F11" s="31"/>
      <c r="G11" s="25"/>
      <c r="H11" s="45">
        <v>1.4385056000000001</v>
      </c>
      <c r="I11" s="45">
        <v>1.0989678000000001</v>
      </c>
      <c r="J11" s="6">
        <v>2.1190077</v>
      </c>
      <c r="K11" s="6"/>
      <c r="L11" s="6"/>
      <c r="M11" s="6">
        <v>3.9019270000000001</v>
      </c>
      <c r="N11" s="6">
        <v>5.597E-4</v>
      </c>
      <c r="O11" s="6">
        <v>8.2191E-3</v>
      </c>
      <c r="P11" s="6"/>
      <c r="Q11" s="26"/>
      <c r="R11" s="26"/>
      <c r="S11" s="26"/>
      <c r="T11" s="26"/>
      <c r="U11" s="26"/>
      <c r="V11" s="26"/>
      <c r="W11" s="27"/>
      <c r="Y11" s="198"/>
      <c r="Z11" s="199"/>
      <c r="AA11" s="199"/>
      <c r="AB11" s="199"/>
      <c r="AC11" s="200"/>
      <c r="AE11" s="26"/>
      <c r="AF11" s="16"/>
      <c r="AG11" s="20"/>
      <c r="AH11" s="16"/>
      <c r="AI11" s="22"/>
      <c r="AK11" s="8"/>
      <c r="AL11" s="16"/>
      <c r="AM11" s="8"/>
    </row>
    <row r="12" spans="1:39" ht="22.5" customHeight="1" x14ac:dyDescent="0.35">
      <c r="A12" s="13"/>
      <c r="B12" s="2" t="s">
        <v>7</v>
      </c>
      <c r="C12" s="25">
        <v>21.0314093</v>
      </c>
      <c r="D12" s="25">
        <v>11.726480799999999</v>
      </c>
      <c r="E12" s="25">
        <v>3.2831902999999998</v>
      </c>
      <c r="F12" s="31"/>
      <c r="G12" s="25"/>
      <c r="H12" s="45">
        <v>1.4385056000000001</v>
      </c>
      <c r="I12" s="45">
        <v>1.0989678000000001</v>
      </c>
      <c r="J12" s="6">
        <v>2.1190077</v>
      </c>
      <c r="K12" s="6"/>
      <c r="L12" s="6"/>
      <c r="M12" s="6">
        <v>3.9019270000000001</v>
      </c>
      <c r="N12" s="6">
        <v>5.597E-4</v>
      </c>
      <c r="O12" s="6">
        <v>8.2191E-3</v>
      </c>
      <c r="P12" s="6"/>
      <c r="Q12" s="26"/>
      <c r="R12" s="26"/>
      <c r="S12" s="26"/>
      <c r="T12" s="26"/>
      <c r="U12" s="26"/>
      <c r="V12" s="26"/>
      <c r="W12" s="27"/>
      <c r="Y12" s="198"/>
      <c r="Z12" s="199"/>
      <c r="AA12" s="199"/>
      <c r="AB12" s="199"/>
      <c r="AC12" s="200"/>
      <c r="AE12" s="26"/>
      <c r="AF12" s="16"/>
      <c r="AG12" s="20"/>
      <c r="AH12" s="16"/>
      <c r="AI12" s="22"/>
      <c r="AK12" s="8"/>
      <c r="AL12" s="16"/>
      <c r="AM12" s="8"/>
    </row>
    <row r="13" spans="1:39" ht="22.5" customHeight="1" x14ac:dyDescent="0.35">
      <c r="A13" s="13"/>
      <c r="B13" s="2" t="s">
        <v>8</v>
      </c>
      <c r="C13" s="25">
        <v>19.438289300000001</v>
      </c>
      <c r="D13" s="25">
        <v>11.2139276</v>
      </c>
      <c r="E13" s="25">
        <v>3.2086215999999999</v>
      </c>
      <c r="F13" s="31"/>
      <c r="G13" s="25"/>
      <c r="H13" s="45">
        <v>1.3195945</v>
      </c>
      <c r="I13" s="45">
        <v>1.0246346</v>
      </c>
      <c r="J13" s="6">
        <v>2.2144765</v>
      </c>
      <c r="K13" s="6"/>
      <c r="L13" s="6"/>
      <c r="M13" s="6">
        <v>3.7788020000000002</v>
      </c>
      <c r="N13" s="6">
        <v>2.2000000000000001E-6</v>
      </c>
      <c r="O13" s="6">
        <v>5.3613999999999997E-3</v>
      </c>
      <c r="P13" s="6"/>
      <c r="Q13" s="26"/>
      <c r="R13" s="26"/>
      <c r="S13" s="26"/>
      <c r="T13" s="26"/>
      <c r="U13" s="26"/>
      <c r="V13" s="26"/>
      <c r="W13" s="27"/>
      <c r="Y13" s="198"/>
      <c r="Z13" s="199"/>
      <c r="AA13" s="199"/>
      <c r="AB13" s="199"/>
      <c r="AC13" s="200"/>
      <c r="AE13" s="26"/>
      <c r="AF13" s="16"/>
      <c r="AG13" s="20"/>
      <c r="AH13" s="16"/>
      <c r="AI13" s="22"/>
      <c r="AK13" s="8"/>
      <c r="AL13" s="16"/>
      <c r="AM13" s="8"/>
    </row>
    <row r="14" spans="1:39" ht="22.5" customHeight="1" x14ac:dyDescent="0.35">
      <c r="A14" s="13"/>
      <c r="B14" s="2" t="s">
        <v>9</v>
      </c>
      <c r="C14" s="25">
        <v>18.827223499999999</v>
      </c>
      <c r="D14" s="25">
        <v>11.0449719</v>
      </c>
      <c r="E14" s="25">
        <v>3.1538879999999998</v>
      </c>
      <c r="F14" s="31"/>
      <c r="G14" s="25"/>
      <c r="H14" s="45">
        <v>1.2592300000000001</v>
      </c>
      <c r="I14" s="45">
        <v>0.98113349999999999</v>
      </c>
      <c r="J14" s="6">
        <v>2.0531891999999998</v>
      </c>
      <c r="K14" s="6"/>
      <c r="L14" s="6"/>
      <c r="M14" s="6">
        <v>3.7155811000000001</v>
      </c>
      <c r="N14" s="6">
        <v>0</v>
      </c>
      <c r="O14" s="6">
        <v>4.8272000000000002E-3</v>
      </c>
      <c r="P14" s="6"/>
      <c r="Q14" s="26"/>
      <c r="R14" s="26"/>
      <c r="S14" s="26"/>
      <c r="T14" s="26"/>
      <c r="U14" s="26"/>
      <c r="V14" s="26"/>
      <c r="W14" s="27"/>
      <c r="Y14" s="198"/>
      <c r="Z14" s="199"/>
      <c r="AA14" s="199"/>
      <c r="AB14" s="199"/>
      <c r="AC14" s="200"/>
      <c r="AE14" s="26"/>
      <c r="AF14" s="16"/>
      <c r="AG14" s="20"/>
      <c r="AH14" s="16"/>
      <c r="AI14" s="22"/>
      <c r="AK14" s="8"/>
      <c r="AL14" s="16"/>
      <c r="AM14" s="8"/>
    </row>
    <row r="15" spans="1:39" ht="22.5" customHeight="1" x14ac:dyDescent="0.35">
      <c r="A15" s="13"/>
      <c r="B15" s="175" t="s">
        <v>201</v>
      </c>
      <c r="C15" s="25">
        <v>17.3825471</v>
      </c>
      <c r="D15" s="25">
        <v>10.334338799999999</v>
      </c>
      <c r="E15" s="25">
        <v>2.9142777</v>
      </c>
      <c r="F15" s="31"/>
      <c r="G15" s="25"/>
      <c r="H15" s="45">
        <v>1.1338368000000001</v>
      </c>
      <c r="I15" s="45">
        <v>0.90592479999999997</v>
      </c>
      <c r="J15" s="6">
        <v>1.9143904</v>
      </c>
      <c r="K15" s="6"/>
      <c r="L15" s="6"/>
      <c r="M15" s="6">
        <v>3.5421073999999999</v>
      </c>
      <c r="N15" s="6">
        <v>5.9999999999999997E-7</v>
      </c>
      <c r="O15" s="6">
        <v>4.5246000000000001E-3</v>
      </c>
      <c r="P15" s="6"/>
      <c r="Q15" s="26"/>
      <c r="R15" s="26"/>
      <c r="S15" s="26"/>
      <c r="T15" s="26"/>
      <c r="U15" s="26"/>
      <c r="V15" s="26"/>
      <c r="W15" s="27"/>
      <c r="Y15" s="198"/>
      <c r="Z15" s="199"/>
      <c r="AA15" s="199"/>
      <c r="AB15" s="199"/>
      <c r="AC15" s="200"/>
      <c r="AE15" s="26"/>
      <c r="AG15" s="20"/>
      <c r="AI15" s="19"/>
      <c r="AK15" s="8"/>
      <c r="AM15" s="19"/>
    </row>
    <row r="16" spans="1:39" ht="22.5" customHeight="1" x14ac:dyDescent="0.35">
      <c r="A16" s="13"/>
      <c r="B16" s="2" t="s">
        <v>0</v>
      </c>
      <c r="C16" s="25">
        <v>17.778610799999999</v>
      </c>
      <c r="D16" s="25">
        <v>10.435011299999999</v>
      </c>
      <c r="E16" s="25">
        <v>2.9556732999999999</v>
      </c>
      <c r="F16" s="31"/>
      <c r="G16" s="25"/>
      <c r="H16" s="45">
        <v>1.1010120000000001</v>
      </c>
      <c r="I16" s="45">
        <v>0.86886070000000004</v>
      </c>
      <c r="J16" s="6">
        <v>1.8968414</v>
      </c>
      <c r="K16" s="6"/>
      <c r="L16" s="6"/>
      <c r="M16" s="6">
        <v>3.5414181999999998</v>
      </c>
      <c r="N16" s="6">
        <v>1.839E-4</v>
      </c>
      <c r="O16" s="6">
        <v>4.2310000000000004E-3</v>
      </c>
      <c r="P16" s="6"/>
      <c r="Q16" s="26"/>
      <c r="R16" s="26"/>
      <c r="S16" s="26"/>
      <c r="T16" s="26"/>
      <c r="U16" s="26"/>
      <c r="V16" s="26"/>
      <c r="W16" s="27"/>
      <c r="Y16" s="198"/>
      <c r="Z16" s="199"/>
      <c r="AA16" s="199"/>
      <c r="AB16" s="199"/>
      <c r="AC16" s="200"/>
      <c r="AE16" s="26"/>
      <c r="AF16" s="16"/>
      <c r="AG16" s="20"/>
      <c r="AH16" s="16"/>
      <c r="AI16" s="22"/>
      <c r="AK16" s="8"/>
      <c r="AL16" s="16"/>
      <c r="AM16" s="19"/>
    </row>
    <row r="17" spans="1:39" ht="22.5" customHeight="1" x14ac:dyDescent="0.35">
      <c r="A17" s="13"/>
      <c r="B17" s="2" t="s">
        <v>11</v>
      </c>
      <c r="C17" s="25">
        <v>17.296974299999999</v>
      </c>
      <c r="D17" s="25">
        <v>10.3421033</v>
      </c>
      <c r="E17" s="25">
        <v>2.9151251</v>
      </c>
      <c r="F17" s="31"/>
      <c r="G17" s="25"/>
      <c r="H17" s="45">
        <v>1.0324599999999999</v>
      </c>
      <c r="I17" s="45">
        <v>0.82882180000000005</v>
      </c>
      <c r="J17" s="6">
        <v>1.9163553</v>
      </c>
      <c r="K17" s="6"/>
      <c r="L17" s="6"/>
      <c r="M17" s="6">
        <v>3.4552385999999999</v>
      </c>
      <c r="N17" s="6">
        <v>2.5050000000000002E-4</v>
      </c>
      <c r="O17" s="6">
        <v>3.6821000000000002E-3</v>
      </c>
      <c r="P17" s="6"/>
      <c r="Q17" s="26"/>
      <c r="R17" s="26"/>
      <c r="S17" s="26"/>
      <c r="T17" s="26"/>
      <c r="U17" s="26"/>
      <c r="V17" s="26"/>
      <c r="W17" s="27"/>
      <c r="Y17" s="198"/>
      <c r="Z17" s="199"/>
      <c r="AA17" s="199"/>
      <c r="AB17" s="199"/>
      <c r="AC17" s="200"/>
      <c r="AE17" s="26"/>
      <c r="AF17" s="16"/>
      <c r="AG17" s="20"/>
      <c r="AH17" s="16"/>
      <c r="AI17" s="22"/>
      <c r="AK17" s="8"/>
      <c r="AL17" s="16"/>
      <c r="AM17" s="8"/>
    </row>
    <row r="18" spans="1:39" ht="22.5" customHeight="1" x14ac:dyDescent="0.35">
      <c r="A18" s="13"/>
      <c r="B18" s="2" t="s">
        <v>1</v>
      </c>
      <c r="C18" s="25">
        <v>16.637910300000001</v>
      </c>
      <c r="D18" s="25">
        <v>10.2067713</v>
      </c>
      <c r="E18" s="25">
        <v>2.9186893</v>
      </c>
      <c r="F18" s="31"/>
      <c r="G18" s="25"/>
      <c r="H18" s="45">
        <v>0.96527339999999995</v>
      </c>
      <c r="I18" s="45">
        <v>0.79350659999999995</v>
      </c>
      <c r="J18" s="6">
        <v>1.9033135000000001</v>
      </c>
      <c r="K18" s="6"/>
      <c r="L18" s="6"/>
      <c r="M18" s="6">
        <v>3.4336578000000002</v>
      </c>
      <c r="N18" s="6">
        <v>9.9999999999999995E-8</v>
      </c>
      <c r="O18" s="6">
        <v>3.5344999999999999E-3</v>
      </c>
      <c r="P18" s="6"/>
      <c r="Q18" s="26"/>
      <c r="R18" s="26"/>
      <c r="S18" s="26"/>
      <c r="T18" s="26"/>
      <c r="U18" s="26"/>
      <c r="V18" s="26"/>
      <c r="W18" s="27"/>
      <c r="Y18" s="198"/>
      <c r="Z18" s="199"/>
      <c r="AA18" s="199"/>
      <c r="AB18" s="199"/>
      <c r="AC18" s="200"/>
      <c r="AE18" s="26"/>
      <c r="AF18" s="16"/>
      <c r="AG18" s="20"/>
      <c r="AH18" s="16"/>
      <c r="AI18" s="22"/>
      <c r="AK18" s="8"/>
      <c r="AL18" s="16"/>
      <c r="AM18" s="8"/>
    </row>
    <row r="19" spans="1:39" ht="22.5" customHeight="1" x14ac:dyDescent="0.35">
      <c r="A19" s="13"/>
      <c r="B19" s="2" t="s">
        <v>2</v>
      </c>
      <c r="C19" s="25">
        <v>16.192947140000001</v>
      </c>
      <c r="D19" s="25">
        <v>10.39090133</v>
      </c>
      <c r="E19" s="25">
        <v>2.8553578000000002</v>
      </c>
      <c r="F19" s="31"/>
      <c r="G19" s="25"/>
      <c r="H19" s="45">
        <v>0.90117959999999997</v>
      </c>
      <c r="I19" s="45">
        <v>0.74266909999999997</v>
      </c>
      <c r="J19" s="6">
        <v>1.76188093</v>
      </c>
      <c r="K19" s="6"/>
      <c r="L19" s="6"/>
      <c r="M19" s="6">
        <v>3.4259317999999999</v>
      </c>
      <c r="N19" s="6">
        <v>0</v>
      </c>
      <c r="O19" s="6">
        <v>2.5344999999999999E-3</v>
      </c>
      <c r="P19" s="6"/>
      <c r="Q19" s="26"/>
      <c r="R19" s="26"/>
      <c r="S19" s="26"/>
      <c r="T19" s="26"/>
      <c r="U19" s="26"/>
      <c r="V19" s="26"/>
      <c r="W19" s="27"/>
      <c r="Y19" s="198"/>
      <c r="Z19" s="199"/>
      <c r="AA19" s="199"/>
      <c r="AB19" s="199"/>
      <c r="AC19" s="200"/>
      <c r="AE19" s="26"/>
      <c r="AF19" s="16"/>
      <c r="AG19" s="20"/>
      <c r="AH19" s="16"/>
      <c r="AI19" s="22"/>
      <c r="AK19" s="8"/>
      <c r="AL19" s="16"/>
      <c r="AM19" s="8"/>
    </row>
    <row r="20" spans="1:39" ht="22.5" customHeight="1" x14ac:dyDescent="0.35">
      <c r="A20" s="13"/>
      <c r="B20" s="2" t="s">
        <v>3</v>
      </c>
      <c r="C20" s="25">
        <v>15.4772409</v>
      </c>
      <c r="D20" s="25">
        <v>10.380060500000001</v>
      </c>
      <c r="E20" s="25">
        <v>2.5769883</v>
      </c>
      <c r="F20" s="31"/>
      <c r="G20" s="25"/>
      <c r="H20" s="45">
        <v>0.8272332</v>
      </c>
      <c r="I20" s="45">
        <v>0.70071919999999999</v>
      </c>
      <c r="J20" s="6">
        <v>1.6581908999999999</v>
      </c>
      <c r="K20" s="6"/>
      <c r="L20" s="6"/>
      <c r="M20" s="6">
        <v>3.3560150000000002</v>
      </c>
      <c r="N20" s="6">
        <v>0</v>
      </c>
      <c r="O20" s="6">
        <v>1.8992E-3</v>
      </c>
      <c r="P20" s="6"/>
      <c r="Q20" s="26"/>
      <c r="R20" s="26"/>
      <c r="S20" s="26"/>
      <c r="T20" s="26"/>
      <c r="U20" s="26"/>
      <c r="V20" s="26"/>
      <c r="W20" s="27"/>
      <c r="Y20" s="198"/>
      <c r="Z20" s="199"/>
      <c r="AA20" s="199"/>
      <c r="AB20" s="199"/>
      <c r="AC20" s="200"/>
      <c r="AE20" s="26"/>
      <c r="AF20" s="16"/>
      <c r="AG20" s="20"/>
      <c r="AH20" s="16"/>
      <c r="AI20" s="22"/>
      <c r="AK20" s="8"/>
      <c r="AL20" s="16"/>
      <c r="AM20" s="8"/>
    </row>
    <row r="21" spans="1:39" ht="22.5" customHeight="1" x14ac:dyDescent="0.35">
      <c r="A21" s="13"/>
      <c r="B21" s="2" t="s">
        <v>4</v>
      </c>
      <c r="C21" s="25">
        <v>14.89597738</v>
      </c>
      <c r="D21" s="25">
        <v>10.649194509999999</v>
      </c>
      <c r="E21" s="25">
        <v>2.6188669099999999</v>
      </c>
      <c r="F21" s="31"/>
      <c r="G21" s="25"/>
      <c r="H21" s="45">
        <v>0.76684010000000002</v>
      </c>
      <c r="I21" s="45">
        <v>0.66312185000000001</v>
      </c>
      <c r="J21" s="6">
        <v>1.7246351600000001</v>
      </c>
      <c r="K21" s="6"/>
      <c r="L21" s="6"/>
      <c r="M21" s="6">
        <v>3.5896469</v>
      </c>
      <c r="N21" s="6">
        <v>0</v>
      </c>
      <c r="O21" s="6">
        <v>1.71919E-3</v>
      </c>
      <c r="P21" s="6"/>
      <c r="Q21" s="26"/>
      <c r="R21" s="26"/>
      <c r="S21" s="26"/>
      <c r="T21" s="26"/>
      <c r="U21" s="26"/>
      <c r="V21" s="26"/>
      <c r="W21" s="27"/>
      <c r="Y21" s="198"/>
      <c r="Z21" s="199"/>
      <c r="AA21" s="199"/>
      <c r="AB21" s="199"/>
      <c r="AC21" s="200"/>
      <c r="AE21" s="26"/>
      <c r="AF21" s="16"/>
      <c r="AG21" s="20"/>
      <c r="AH21" s="16"/>
      <c r="AI21" s="22"/>
      <c r="AK21" s="8"/>
      <c r="AL21" s="16"/>
      <c r="AM21" s="8"/>
    </row>
    <row r="22" spans="1:39" ht="22.5" customHeight="1" x14ac:dyDescent="0.35">
      <c r="A22" s="13"/>
      <c r="B22" s="2" t="s">
        <v>5</v>
      </c>
      <c r="C22" s="25">
        <v>14.261572230000001</v>
      </c>
      <c r="D22" s="25">
        <v>10.81449126</v>
      </c>
      <c r="E22" s="25">
        <v>2.6436296800000001</v>
      </c>
      <c r="F22" s="31"/>
      <c r="G22" s="25"/>
      <c r="H22" s="45">
        <v>0.69968516999999997</v>
      </c>
      <c r="I22" s="45">
        <v>0.63440489</v>
      </c>
      <c r="J22" s="6">
        <v>1.5151813700000001</v>
      </c>
      <c r="K22" s="6"/>
      <c r="L22" s="6"/>
      <c r="M22" s="6">
        <v>3.4490487000000001</v>
      </c>
      <c r="N22" s="6">
        <v>0</v>
      </c>
      <c r="O22" s="6">
        <v>1.1502999999999999E-3</v>
      </c>
      <c r="P22" s="6"/>
      <c r="Q22" s="26"/>
      <c r="R22" s="26"/>
      <c r="S22" s="26"/>
      <c r="T22" s="26"/>
      <c r="U22" s="26"/>
      <c r="V22" s="26"/>
      <c r="W22" s="27"/>
      <c r="Y22" s="198"/>
      <c r="Z22" s="199"/>
      <c r="AA22" s="199"/>
      <c r="AB22" s="199"/>
      <c r="AC22" s="200"/>
      <c r="AE22" s="26"/>
      <c r="AF22" s="16"/>
      <c r="AG22" s="20"/>
      <c r="AH22" s="16"/>
      <c r="AI22" s="22"/>
      <c r="AK22" s="8"/>
      <c r="AL22" s="16"/>
      <c r="AM22" s="8"/>
    </row>
    <row r="23" spans="1:39" ht="22.5" customHeight="1" thickBot="1" x14ac:dyDescent="0.4">
      <c r="A23" s="13"/>
      <c r="B23" s="2" t="s">
        <v>6</v>
      </c>
      <c r="C23" s="25">
        <v>13.532469669999999</v>
      </c>
      <c r="D23" s="25">
        <v>11.33484131</v>
      </c>
      <c r="E23" s="25">
        <v>2.7871127499999999</v>
      </c>
      <c r="F23" s="31"/>
      <c r="G23" s="25"/>
      <c r="H23" s="45">
        <v>0.63951157999999997</v>
      </c>
      <c r="I23" s="45">
        <v>0.60161836000000002</v>
      </c>
      <c r="J23" s="6">
        <v>1.60734624</v>
      </c>
      <c r="K23" s="6"/>
      <c r="L23" s="6"/>
      <c r="M23" s="6">
        <v>3.6063525099999998</v>
      </c>
      <c r="N23" s="6">
        <v>0</v>
      </c>
      <c r="O23" s="6">
        <v>7.7411000000000005E-4</v>
      </c>
      <c r="P23" s="6"/>
      <c r="Q23" s="26"/>
      <c r="R23" s="26"/>
      <c r="S23" s="26"/>
      <c r="T23" s="26"/>
      <c r="U23" s="26"/>
      <c r="V23" s="26"/>
      <c r="W23" s="27"/>
      <c r="Y23" s="201"/>
      <c r="Z23" s="202"/>
      <c r="AA23" s="202"/>
      <c r="AB23" s="202"/>
      <c r="AC23" s="203"/>
      <c r="AE23" s="26"/>
      <c r="AF23" s="16"/>
      <c r="AG23" s="20"/>
      <c r="AH23" s="16"/>
      <c r="AI23" s="22"/>
      <c r="AK23" s="8"/>
      <c r="AL23" s="16"/>
      <c r="AM23" s="8"/>
    </row>
    <row r="24" spans="1:39" ht="22.5" customHeight="1" x14ac:dyDescent="0.35">
      <c r="A24" s="13"/>
      <c r="B24" s="2" t="s">
        <v>7</v>
      </c>
      <c r="C24" s="25">
        <v>12.901334289999999</v>
      </c>
      <c r="D24" s="25">
        <v>11.664942</v>
      </c>
      <c r="E24" s="25">
        <v>2.85979597</v>
      </c>
      <c r="F24" s="31"/>
      <c r="G24" s="25"/>
      <c r="H24" s="45">
        <v>0.59115620999999996</v>
      </c>
      <c r="I24" s="45">
        <v>0.5734998</v>
      </c>
      <c r="J24" s="6">
        <v>1.6376225099999999</v>
      </c>
      <c r="K24" s="6"/>
      <c r="L24" s="6"/>
      <c r="M24" s="6">
        <v>3.5856648</v>
      </c>
      <c r="N24" s="6">
        <v>1.092E-4</v>
      </c>
      <c r="O24" s="6">
        <v>5.1623000000000001E-4</v>
      </c>
      <c r="P24" s="6"/>
      <c r="Q24" s="26"/>
      <c r="R24" s="26"/>
      <c r="S24" s="26"/>
      <c r="T24" s="26"/>
      <c r="U24" s="26"/>
      <c r="V24" s="26"/>
      <c r="W24" s="27"/>
      <c r="Y24" s="204">
        <v>0.53765130698999997</v>
      </c>
      <c r="Z24" s="205"/>
      <c r="AA24" s="205"/>
      <c r="AB24" s="205"/>
      <c r="AC24" s="206">
        <v>0.53765130698999997</v>
      </c>
      <c r="AE24" s="26"/>
      <c r="AF24" s="16"/>
      <c r="AG24" s="20"/>
      <c r="AH24" s="16"/>
      <c r="AI24" s="22"/>
      <c r="AK24" s="8"/>
      <c r="AL24" s="16"/>
      <c r="AM24" s="8"/>
    </row>
    <row r="25" spans="1:39" ht="22.5" customHeight="1" x14ac:dyDescent="0.35">
      <c r="A25" s="13"/>
      <c r="B25" s="2" t="s">
        <v>8</v>
      </c>
      <c r="C25" s="25">
        <v>12.20820243</v>
      </c>
      <c r="D25" s="25">
        <v>12.09978961</v>
      </c>
      <c r="E25" s="25">
        <v>3.2005628800000001</v>
      </c>
      <c r="F25" s="31"/>
      <c r="G25" s="25"/>
      <c r="H25" s="45">
        <v>0.56092019999999998</v>
      </c>
      <c r="I25" s="45">
        <v>0.57210274999999999</v>
      </c>
      <c r="J25" s="6">
        <v>1.52294226</v>
      </c>
      <c r="K25" s="6"/>
      <c r="L25" s="6"/>
      <c r="M25" s="6">
        <v>3.5467103400000002</v>
      </c>
      <c r="N25" s="6">
        <v>2.5329999999999998E-4</v>
      </c>
      <c r="O25" s="6">
        <v>5.4797999999999999E-4</v>
      </c>
      <c r="P25" s="6"/>
      <c r="Q25" s="26"/>
      <c r="R25" s="26"/>
      <c r="S25" s="26"/>
      <c r="T25" s="26"/>
      <c r="U25" s="26"/>
      <c r="V25" s="26"/>
      <c r="W25" s="27"/>
      <c r="Y25" s="207">
        <v>1.3269899870268298</v>
      </c>
      <c r="Z25" s="205"/>
      <c r="AA25" s="205"/>
      <c r="AB25" s="205"/>
      <c r="AC25" s="9">
        <v>1.3269899870268298</v>
      </c>
      <c r="AE25" s="26"/>
      <c r="AF25" s="16"/>
      <c r="AG25" s="20"/>
      <c r="AH25" s="16"/>
      <c r="AI25" s="22"/>
      <c r="AK25" s="8"/>
      <c r="AL25" s="16"/>
      <c r="AM25" s="8"/>
    </row>
    <row r="26" spans="1:39" ht="22.5" customHeight="1" x14ac:dyDescent="0.35">
      <c r="A26" s="13"/>
      <c r="B26" s="2" t="s">
        <v>9</v>
      </c>
      <c r="C26" s="25">
        <v>11.78654978</v>
      </c>
      <c r="D26" s="25">
        <v>13.43281277</v>
      </c>
      <c r="E26" s="25">
        <v>3.28954937</v>
      </c>
      <c r="F26" s="31"/>
      <c r="G26" s="25"/>
      <c r="H26" s="45">
        <v>0.52695448</v>
      </c>
      <c r="I26" s="45">
        <v>0.55708117000000001</v>
      </c>
      <c r="J26" s="6">
        <v>1.7767013700000001</v>
      </c>
      <c r="K26" s="6"/>
      <c r="L26" s="6"/>
      <c r="M26" s="6">
        <v>3.6789953799999999</v>
      </c>
      <c r="N26" s="6">
        <v>3.324E-4</v>
      </c>
      <c r="O26" s="6">
        <v>2.8128000000000002E-4</v>
      </c>
      <c r="P26" s="6"/>
      <c r="Q26" s="26"/>
      <c r="R26" s="26"/>
      <c r="S26" s="26"/>
      <c r="T26" s="26"/>
      <c r="U26" s="26"/>
      <c r="V26" s="26"/>
      <c r="W26" s="27"/>
      <c r="Y26" s="207">
        <v>1.5351778725470844</v>
      </c>
      <c r="Z26" s="205"/>
      <c r="AA26" s="205"/>
      <c r="AB26" s="205"/>
      <c r="AC26" s="9">
        <v>1.5351778725470844</v>
      </c>
      <c r="AE26" s="26"/>
      <c r="AF26" s="16"/>
      <c r="AG26" s="20"/>
      <c r="AH26" s="16"/>
      <c r="AI26" s="22"/>
      <c r="AK26" s="8"/>
      <c r="AL26" s="16"/>
      <c r="AM26" s="8"/>
    </row>
    <row r="27" spans="1:39" ht="22.5" customHeight="1" x14ac:dyDescent="0.35">
      <c r="A27" s="13"/>
      <c r="B27" s="175" t="s">
        <v>199</v>
      </c>
      <c r="C27" s="25">
        <v>10.284451072727272</v>
      </c>
      <c r="D27" s="25">
        <v>12.697698927272727</v>
      </c>
      <c r="E27" s="25">
        <v>3.043922027272727</v>
      </c>
      <c r="F27" s="31"/>
      <c r="G27" s="25"/>
      <c r="H27" s="45">
        <v>0.4522298818181818</v>
      </c>
      <c r="I27" s="45">
        <v>0.48802219090909088</v>
      </c>
      <c r="J27" s="6">
        <v>1.6201218727272726</v>
      </c>
      <c r="K27" s="6"/>
      <c r="L27" s="6"/>
      <c r="M27" s="6">
        <v>3.2268211727272726</v>
      </c>
      <c r="N27" s="6">
        <v>3.9981818181818174E-4</v>
      </c>
      <c r="O27" s="6">
        <v>2.131E-4</v>
      </c>
      <c r="P27" s="6"/>
      <c r="Q27" s="26"/>
      <c r="R27" s="26"/>
      <c r="S27" s="26"/>
      <c r="T27" s="26"/>
      <c r="U27" s="26"/>
      <c r="V27" s="26"/>
      <c r="W27" s="27"/>
      <c r="Y27" s="207">
        <v>1.8648047861301484</v>
      </c>
      <c r="Z27" s="205"/>
      <c r="AA27" s="205"/>
      <c r="AB27" s="205"/>
      <c r="AC27" s="9">
        <v>1.8648047861301484</v>
      </c>
      <c r="AE27" s="26"/>
      <c r="AG27" s="20"/>
      <c r="AI27" s="19"/>
      <c r="AK27" s="8"/>
      <c r="AM27" s="19"/>
    </row>
    <row r="28" spans="1:39" ht="22.5" customHeight="1" x14ac:dyDescent="0.35">
      <c r="A28" s="13"/>
      <c r="B28" s="2" t="s">
        <v>0</v>
      </c>
      <c r="C28" s="25">
        <v>9.8480151727272727</v>
      </c>
      <c r="D28" s="25">
        <v>13.062978409090908</v>
      </c>
      <c r="E28" s="25">
        <v>3.0245812000000001</v>
      </c>
      <c r="F28" s="31"/>
      <c r="G28" s="25"/>
      <c r="H28" s="45">
        <v>0.41795805454545454</v>
      </c>
      <c r="I28" s="45">
        <v>0.46826837272727267</v>
      </c>
      <c r="J28" s="6">
        <v>1.5866496545454545</v>
      </c>
      <c r="K28" s="6"/>
      <c r="L28" s="6"/>
      <c r="M28" s="6">
        <v>3.1057906363636358</v>
      </c>
      <c r="N28" s="6">
        <v>4.4490909090909086E-4</v>
      </c>
      <c r="O28" s="6">
        <v>1.9853636363636361E-4</v>
      </c>
      <c r="P28" s="6"/>
      <c r="Q28" s="26"/>
      <c r="R28" s="26"/>
      <c r="S28" s="26"/>
      <c r="T28" s="26"/>
      <c r="U28" s="26"/>
      <c r="V28" s="26"/>
      <c r="W28" s="27"/>
      <c r="Y28" s="207">
        <v>2.2940722037591272</v>
      </c>
      <c r="Z28" s="205"/>
      <c r="AA28" s="205"/>
      <c r="AB28" s="205"/>
      <c r="AC28" s="9">
        <v>2.2940722037591272</v>
      </c>
      <c r="AE28" s="26"/>
      <c r="AF28" s="16"/>
      <c r="AG28" s="20"/>
      <c r="AH28" s="16"/>
      <c r="AI28" s="22"/>
      <c r="AK28" s="8"/>
      <c r="AL28" s="16"/>
      <c r="AM28" s="19"/>
    </row>
    <row r="29" spans="1:39" ht="22.5" customHeight="1" x14ac:dyDescent="0.35">
      <c r="A29" s="13"/>
      <c r="B29" s="2" t="s">
        <v>11</v>
      </c>
      <c r="C29" s="25">
        <v>9.5228600181818184</v>
      </c>
      <c r="D29" s="25">
        <v>13.652726045454543</v>
      </c>
      <c r="E29" s="25">
        <v>3.1375122272727269</v>
      </c>
      <c r="F29" s="31"/>
      <c r="G29" s="25"/>
      <c r="H29" s="45">
        <v>0.42198570000000002</v>
      </c>
      <c r="I29" s="45">
        <v>0.45992617272727265</v>
      </c>
      <c r="J29" s="6">
        <v>1.7189274000000001</v>
      </c>
      <c r="K29" s="6"/>
      <c r="L29" s="6"/>
      <c r="M29" s="6">
        <v>3.2579385818181814</v>
      </c>
      <c r="N29" s="6">
        <v>5.947272727272726E-4</v>
      </c>
      <c r="O29" s="6">
        <v>1.783181818181818E-4</v>
      </c>
      <c r="P29" s="6"/>
      <c r="Q29" s="26"/>
      <c r="R29" s="26"/>
      <c r="S29" s="26"/>
      <c r="T29" s="26"/>
      <c r="U29" s="26"/>
      <c r="V29" s="26"/>
      <c r="W29" s="27"/>
      <c r="Y29" s="207">
        <v>2.6761636728308429</v>
      </c>
      <c r="Z29" s="208"/>
      <c r="AA29" s="205"/>
      <c r="AB29" s="205"/>
      <c r="AC29" s="9">
        <v>2.6761636728308429</v>
      </c>
      <c r="AE29" s="26"/>
      <c r="AF29" s="16"/>
      <c r="AG29" s="20"/>
      <c r="AH29" s="16"/>
      <c r="AI29" s="22"/>
      <c r="AK29" s="8"/>
      <c r="AL29" s="16"/>
      <c r="AM29" s="8"/>
    </row>
    <row r="30" spans="1:39" ht="22.5" customHeight="1" x14ac:dyDescent="0.35">
      <c r="A30" s="13"/>
      <c r="B30" s="2" t="s">
        <v>1</v>
      </c>
      <c r="C30" s="25">
        <v>9.1251800454545453</v>
      </c>
      <c r="D30" s="25">
        <v>13.793759599999998</v>
      </c>
      <c r="E30" s="25">
        <v>3.1429830909090906</v>
      </c>
      <c r="F30" s="31"/>
      <c r="G30" s="25"/>
      <c r="H30" s="45">
        <v>0.39557272727272724</v>
      </c>
      <c r="I30" s="45">
        <v>0.44462302727272718</v>
      </c>
      <c r="J30" s="6">
        <v>1.6198461636363635</v>
      </c>
      <c r="K30" s="6"/>
      <c r="L30" s="6"/>
      <c r="M30" s="6">
        <v>3.0801097454545454</v>
      </c>
      <c r="N30" s="6">
        <v>5.637272727272726E-4</v>
      </c>
      <c r="O30" s="6">
        <v>1.6784999999999999E-4</v>
      </c>
      <c r="P30" s="6"/>
      <c r="Q30" s="26"/>
      <c r="R30" s="26"/>
      <c r="S30" s="26"/>
      <c r="T30" s="26"/>
      <c r="U30" s="26"/>
      <c r="V30" s="26"/>
      <c r="W30" s="27"/>
      <c r="Y30" s="207">
        <v>2.5557363075534547</v>
      </c>
      <c r="Z30" s="209"/>
      <c r="AA30" s="205"/>
      <c r="AB30" s="205"/>
      <c r="AC30" s="9">
        <v>2.5557363075534547</v>
      </c>
      <c r="AE30" s="26"/>
      <c r="AF30" s="16"/>
      <c r="AG30" s="20"/>
      <c r="AH30" s="16"/>
      <c r="AI30" s="22"/>
      <c r="AK30" s="8"/>
      <c r="AL30" s="16"/>
      <c r="AM30" s="8"/>
    </row>
    <row r="31" spans="1:39" ht="22.5" customHeight="1" x14ac:dyDescent="0.35">
      <c r="A31" s="13"/>
      <c r="B31" s="2" t="s">
        <v>2</v>
      </c>
      <c r="C31" s="25">
        <v>8.5034541636363645</v>
      </c>
      <c r="D31" s="25">
        <v>14.148249745454542</v>
      </c>
      <c r="E31" s="25">
        <v>3.1008789090909086</v>
      </c>
      <c r="F31" s="31"/>
      <c r="G31" s="25"/>
      <c r="H31" s="45">
        <v>0.37042708181818179</v>
      </c>
      <c r="I31" s="45">
        <v>0.41962777272727264</v>
      </c>
      <c r="J31" s="6">
        <v>1.6051661909090909</v>
      </c>
      <c r="K31" s="6"/>
      <c r="L31" s="6"/>
      <c r="M31" s="6">
        <v>3.062931163636363</v>
      </c>
      <c r="N31" s="6">
        <v>0</v>
      </c>
      <c r="O31" s="6">
        <v>1.1274545454545452E-4</v>
      </c>
      <c r="P31" s="6"/>
      <c r="Q31" s="26"/>
      <c r="R31" s="26"/>
      <c r="S31" s="26"/>
      <c r="T31" s="26"/>
      <c r="U31" s="26"/>
      <c r="V31" s="26"/>
      <c r="W31" s="27"/>
      <c r="Y31" s="207">
        <v>2.4407281737135498</v>
      </c>
      <c r="Z31" s="210">
        <v>0.29346165000000002</v>
      </c>
      <c r="AA31" s="205"/>
      <c r="AB31" s="205"/>
      <c r="AC31" s="9">
        <v>2.7341898237135496</v>
      </c>
      <c r="AE31" s="26"/>
      <c r="AF31" s="16"/>
      <c r="AG31" s="20"/>
      <c r="AH31" s="16"/>
      <c r="AI31" s="22"/>
      <c r="AK31" s="8"/>
      <c r="AL31" s="16"/>
      <c r="AM31" s="8"/>
    </row>
    <row r="32" spans="1:39" ht="22.5" customHeight="1" x14ac:dyDescent="0.35">
      <c r="A32" s="13"/>
      <c r="B32" s="2" t="s">
        <v>3</v>
      </c>
      <c r="C32" s="25">
        <v>7.9270117909090914</v>
      </c>
      <c r="D32" s="25">
        <v>14.180195145454546</v>
      </c>
      <c r="E32" s="25">
        <v>3.1585366636363639</v>
      </c>
      <c r="F32" s="31"/>
      <c r="G32" s="25"/>
      <c r="H32" s="45">
        <v>0.34679372727272717</v>
      </c>
      <c r="I32" s="45">
        <v>0.38653139090909089</v>
      </c>
      <c r="J32" s="6">
        <v>1.6728103909090906</v>
      </c>
      <c r="K32" s="6"/>
      <c r="L32" s="6"/>
      <c r="M32" s="6">
        <v>3.0462472999999992</v>
      </c>
      <c r="N32" s="6">
        <v>6.9999999999999999E-4</v>
      </c>
      <c r="O32" s="6">
        <v>1.045090909090909E-4</v>
      </c>
      <c r="P32" s="6"/>
      <c r="Q32" s="26"/>
      <c r="R32" s="26"/>
      <c r="S32" s="26"/>
      <c r="T32" s="26"/>
      <c r="U32" s="26"/>
      <c r="V32" s="26"/>
      <c r="W32" s="27"/>
      <c r="Y32" s="207">
        <v>2.33089540589644</v>
      </c>
      <c r="Z32" s="210">
        <v>0.29869085849999999</v>
      </c>
      <c r="AA32" s="205"/>
      <c r="AB32" s="205"/>
      <c r="AC32" s="9">
        <v>2.6295862643964401</v>
      </c>
      <c r="AE32" s="26"/>
      <c r="AF32" s="16"/>
      <c r="AG32" s="20"/>
      <c r="AH32" s="16"/>
      <c r="AI32" s="22"/>
      <c r="AK32" s="8"/>
      <c r="AL32" s="16"/>
      <c r="AM32" s="8"/>
    </row>
    <row r="33" spans="1:39" ht="22.5" customHeight="1" x14ac:dyDescent="0.35">
      <c r="A33" s="13"/>
      <c r="B33" s="2" t="s">
        <v>4</v>
      </c>
      <c r="C33" s="25">
        <v>7.3836652090909087</v>
      </c>
      <c r="D33" s="25">
        <v>14.51509719090909</v>
      </c>
      <c r="E33" s="25">
        <v>3.1360237636363633</v>
      </c>
      <c r="F33" s="31"/>
      <c r="G33" s="25"/>
      <c r="H33" s="45">
        <v>0.32126953636363637</v>
      </c>
      <c r="I33" s="45">
        <v>0.35898454545454545</v>
      </c>
      <c r="J33" s="6">
        <v>1.5634355909090909</v>
      </c>
      <c r="K33" s="6"/>
      <c r="L33" s="6"/>
      <c r="M33" s="6">
        <v>2.9656513636363631</v>
      </c>
      <c r="N33" s="6">
        <v>7.0209090909090894E-4</v>
      </c>
      <c r="O33" s="6">
        <v>1.5401E-4</v>
      </c>
      <c r="P33" s="6"/>
      <c r="Q33" s="26"/>
      <c r="R33" s="26"/>
      <c r="S33" s="26"/>
      <c r="T33" s="26"/>
      <c r="U33" s="26"/>
      <c r="V33" s="26"/>
      <c r="W33" s="27"/>
      <c r="Y33" s="207">
        <v>2.2260051126311002</v>
      </c>
      <c r="Z33" s="210">
        <v>0.58438815375000008</v>
      </c>
      <c r="AA33" s="205"/>
      <c r="AB33" s="205"/>
      <c r="AC33" s="9">
        <v>2.8103932663811002</v>
      </c>
      <c r="AE33" s="26"/>
      <c r="AF33" s="16"/>
      <c r="AG33" s="20"/>
      <c r="AH33" s="16"/>
      <c r="AI33" s="22"/>
      <c r="AK33" s="8"/>
      <c r="AL33" s="16"/>
      <c r="AM33" s="8"/>
    </row>
    <row r="34" spans="1:39" ht="22.5" customHeight="1" x14ac:dyDescent="0.35">
      <c r="A34" s="13"/>
      <c r="B34" s="2" t="s">
        <v>5</v>
      </c>
      <c r="C34" s="25">
        <v>6.804198336363636</v>
      </c>
      <c r="D34" s="25">
        <v>15.068154699999997</v>
      </c>
      <c r="E34" s="25">
        <v>3.1211717000000001</v>
      </c>
      <c r="F34" s="31"/>
      <c r="G34" s="25"/>
      <c r="H34" s="45">
        <v>0.29596189090909092</v>
      </c>
      <c r="I34" s="45">
        <v>0.32656640909090906</v>
      </c>
      <c r="J34" s="6">
        <v>1.4974416636363634</v>
      </c>
      <c r="K34" s="6"/>
      <c r="L34" s="6"/>
      <c r="M34" s="6">
        <v>2.8945403090909094</v>
      </c>
      <c r="N34" s="6">
        <v>6.6136363636363636E-4</v>
      </c>
      <c r="O34" s="6">
        <v>1.6016363636363632E-4</v>
      </c>
      <c r="P34" s="6"/>
      <c r="Q34" s="26"/>
      <c r="R34" s="26"/>
      <c r="S34" s="26"/>
      <c r="T34" s="26"/>
      <c r="U34" s="26"/>
      <c r="V34" s="26"/>
      <c r="W34" s="27"/>
      <c r="Y34" s="207">
        <v>2.1258348825627009</v>
      </c>
      <c r="Z34" s="210">
        <v>1.1205675885000002</v>
      </c>
      <c r="AA34" s="205"/>
      <c r="AB34" s="205"/>
      <c r="AC34" s="9">
        <v>3.2464024710627011</v>
      </c>
      <c r="AE34" s="26"/>
      <c r="AF34" s="16"/>
      <c r="AG34" s="20"/>
      <c r="AH34" s="16"/>
      <c r="AI34" s="22"/>
      <c r="AK34" s="8"/>
      <c r="AL34" s="16"/>
      <c r="AM34" s="8"/>
    </row>
    <row r="35" spans="1:39" ht="22.5" customHeight="1" x14ac:dyDescent="0.35">
      <c r="A35" s="13"/>
      <c r="B35" s="2" t="s">
        <v>6</v>
      </c>
      <c r="C35" s="25">
        <v>6.2286813454545449</v>
      </c>
      <c r="D35" s="25">
        <v>15.320476181818179</v>
      </c>
      <c r="E35" s="25">
        <v>3.2033989818181814</v>
      </c>
      <c r="F35" s="31"/>
      <c r="G35" s="25"/>
      <c r="H35" s="45">
        <v>0.27714117272727273</v>
      </c>
      <c r="I35" s="45">
        <v>0.29732136363636363</v>
      </c>
      <c r="J35" s="6">
        <v>1.6854247727272724</v>
      </c>
      <c r="K35" s="6"/>
      <c r="L35" s="6"/>
      <c r="M35" s="6">
        <v>2.7539266818181818</v>
      </c>
      <c r="N35" s="6">
        <v>6.6963636363636357E-4</v>
      </c>
      <c r="O35" s="6">
        <v>6.2263636363636357E-5</v>
      </c>
      <c r="P35" s="6"/>
      <c r="Q35" s="26"/>
      <c r="R35" s="26"/>
      <c r="S35" s="26"/>
      <c r="T35" s="26"/>
      <c r="U35" s="26"/>
      <c r="V35" s="26"/>
      <c r="W35" s="27"/>
      <c r="Y35" s="207">
        <v>2.030172312847379</v>
      </c>
      <c r="Z35" s="210">
        <v>1.34776272</v>
      </c>
      <c r="AA35" s="205"/>
      <c r="AB35" s="205"/>
      <c r="AC35" s="9">
        <v>3.3779350328473789</v>
      </c>
      <c r="AE35" s="26"/>
      <c r="AF35" s="16"/>
      <c r="AG35" s="20"/>
      <c r="AH35" s="16"/>
      <c r="AI35" s="22"/>
      <c r="AK35" s="8"/>
      <c r="AL35" s="16"/>
      <c r="AM35" s="8"/>
    </row>
    <row r="36" spans="1:39" ht="22.5" customHeight="1" x14ac:dyDescent="0.35">
      <c r="A36" s="13"/>
      <c r="B36" s="2" t="s">
        <v>7</v>
      </c>
      <c r="C36" s="25">
        <v>5.8876173909090896</v>
      </c>
      <c r="D36" s="25">
        <v>16.085310254545451</v>
      </c>
      <c r="E36" s="25">
        <v>3.296310263636363</v>
      </c>
      <c r="F36" s="31"/>
      <c r="G36" s="25"/>
      <c r="H36" s="45">
        <v>0.26330909090909088</v>
      </c>
      <c r="I36" s="45">
        <v>0.27746831818181811</v>
      </c>
      <c r="J36" s="6">
        <v>1.5924608727272724</v>
      </c>
      <c r="K36" s="6"/>
      <c r="L36" s="6"/>
      <c r="M36" s="6">
        <v>2.8258062272727273</v>
      </c>
      <c r="N36" s="6">
        <v>7.3463636363636352E-4</v>
      </c>
      <c r="O36" s="6">
        <v>5.6545454545454541E-5</v>
      </c>
      <c r="P36" s="6"/>
      <c r="Q36" s="26"/>
      <c r="R36" s="26"/>
      <c r="S36" s="26"/>
      <c r="T36" s="26"/>
      <c r="U36" s="26"/>
      <c r="V36" s="26"/>
      <c r="W36" s="27"/>
      <c r="Y36" s="207">
        <v>1.9388145587692469</v>
      </c>
      <c r="Z36" s="210">
        <v>1.6169736915000001</v>
      </c>
      <c r="AA36" s="205"/>
      <c r="AB36" s="205"/>
      <c r="AC36" s="9">
        <v>3.5557882502692468</v>
      </c>
      <c r="AE36" s="26"/>
      <c r="AF36" s="16"/>
      <c r="AG36" s="20"/>
      <c r="AH36" s="16"/>
      <c r="AI36" s="22"/>
      <c r="AK36" s="8"/>
      <c r="AL36" s="16"/>
      <c r="AM36" s="8"/>
    </row>
    <row r="37" spans="1:39" ht="22.5" customHeight="1" x14ac:dyDescent="0.35">
      <c r="A37" s="13"/>
      <c r="B37" s="2" t="s">
        <v>8</v>
      </c>
      <c r="C37" s="25">
        <v>5.2036149545454542</v>
      </c>
      <c r="D37" s="25">
        <v>15.819409927272725</v>
      </c>
      <c r="E37" s="25">
        <v>3.2314584363636363</v>
      </c>
      <c r="F37" s="31"/>
      <c r="G37" s="25"/>
      <c r="H37" s="45">
        <v>0.24291270909090906</v>
      </c>
      <c r="I37" s="45">
        <v>0.24748062727272724</v>
      </c>
      <c r="J37" s="6">
        <v>1.643698218181818</v>
      </c>
      <c r="K37" s="6"/>
      <c r="L37" s="6"/>
      <c r="M37" s="6">
        <v>2.743725418181818</v>
      </c>
      <c r="N37" s="6">
        <v>6.1290909090909093E-4</v>
      </c>
      <c r="O37" s="6">
        <v>7.5599999999999994E-5</v>
      </c>
      <c r="P37" s="6"/>
      <c r="Q37" s="26"/>
      <c r="R37" s="26"/>
      <c r="S37" s="26"/>
      <c r="T37" s="26"/>
      <c r="U37" s="26"/>
      <c r="V37" s="26"/>
      <c r="W37" s="27"/>
      <c r="Y37" s="207">
        <v>1.8515679036246309</v>
      </c>
      <c r="Z37" s="10">
        <v>1.7704770997500003</v>
      </c>
      <c r="AA37" s="208"/>
      <c r="AB37" s="205"/>
      <c r="AC37" s="9">
        <v>3.6220450033746312</v>
      </c>
      <c r="AE37" s="26"/>
      <c r="AF37" s="16"/>
      <c r="AG37" s="20"/>
      <c r="AH37" s="16"/>
      <c r="AI37" s="22"/>
      <c r="AK37" s="8"/>
      <c r="AL37" s="16"/>
      <c r="AM37" s="8"/>
    </row>
    <row r="38" spans="1:39" ht="22.5" customHeight="1" x14ac:dyDescent="0.35">
      <c r="A38" s="13"/>
      <c r="B38" s="2" t="s">
        <v>9</v>
      </c>
      <c r="C38" s="25">
        <v>4.7421781090909096</v>
      </c>
      <c r="D38" s="25">
        <v>16.2874999</v>
      </c>
      <c r="E38" s="25">
        <v>3.3966170909090905</v>
      </c>
      <c r="F38" s="31"/>
      <c r="G38" s="25"/>
      <c r="H38" s="45">
        <v>0.22852004545454546</v>
      </c>
      <c r="I38" s="45">
        <v>0.22139978181818179</v>
      </c>
      <c r="J38" s="6">
        <v>1.6993586727272725</v>
      </c>
      <c r="K38" s="6"/>
      <c r="L38" s="6"/>
      <c r="M38" s="6">
        <v>2.5947069636363636</v>
      </c>
      <c r="N38" s="6">
        <v>5.9663636363636364E-4</v>
      </c>
      <c r="O38" s="6">
        <v>4.6154545454545448E-5</v>
      </c>
      <c r="P38" s="6"/>
      <c r="Q38" s="26"/>
      <c r="R38" s="26"/>
      <c r="S38" s="26"/>
      <c r="T38" s="26"/>
      <c r="U38" s="26"/>
      <c r="V38" s="26"/>
      <c r="W38" s="27"/>
      <c r="Y38" s="207">
        <v>1.7682473479615226</v>
      </c>
      <c r="Z38" s="10">
        <v>1.90374076275</v>
      </c>
      <c r="AA38" s="209"/>
      <c r="AB38" s="205"/>
      <c r="AC38" s="9">
        <v>3.6719881107115224</v>
      </c>
      <c r="AE38" s="26"/>
      <c r="AF38" s="16"/>
      <c r="AG38" s="20"/>
      <c r="AH38" s="16"/>
      <c r="AI38" s="22"/>
      <c r="AK38" s="8"/>
      <c r="AL38" s="16"/>
      <c r="AM38" s="8"/>
    </row>
    <row r="39" spans="1:39" ht="22.5" customHeight="1" x14ac:dyDescent="0.35">
      <c r="A39" s="13"/>
      <c r="B39" s="175" t="s">
        <v>198</v>
      </c>
      <c r="C39" s="25">
        <v>6.9230001301541799</v>
      </c>
      <c r="D39" s="25">
        <v>18.734848409845799</v>
      </c>
      <c r="E39" s="25">
        <v>3.9425336099999999</v>
      </c>
      <c r="F39" s="31"/>
      <c r="G39" s="25">
        <v>0.15149447999999999</v>
      </c>
      <c r="H39" s="45">
        <v>0.21434251818181815</v>
      </c>
      <c r="I39" s="45">
        <v>0.19805086363636359</v>
      </c>
      <c r="J39" s="6">
        <v>1.5125138545454544</v>
      </c>
      <c r="K39" s="6"/>
      <c r="L39" s="6"/>
      <c r="M39" s="6">
        <v>2.5341625909090908</v>
      </c>
      <c r="N39" s="6">
        <v>6.1854545454545452E-4</v>
      </c>
      <c r="O39" s="6">
        <v>3.8345454545454539E-5</v>
      </c>
      <c r="P39" s="6"/>
      <c r="Q39" s="26"/>
      <c r="R39" s="26"/>
      <c r="S39" s="26"/>
      <c r="T39" s="26"/>
      <c r="U39" s="26"/>
      <c r="V39" s="26"/>
      <c r="W39" s="27"/>
      <c r="Y39" s="207">
        <v>1.6886762173032543</v>
      </c>
      <c r="Z39" s="10">
        <v>1.8726540315</v>
      </c>
      <c r="AA39" s="210">
        <v>0.20995807499999999</v>
      </c>
      <c r="AB39" s="205"/>
      <c r="AC39" s="9">
        <v>3.7712883238032542</v>
      </c>
      <c r="AE39" s="26"/>
      <c r="AG39" s="20"/>
      <c r="AI39" s="19"/>
      <c r="AK39" s="8"/>
      <c r="AM39" s="19"/>
    </row>
    <row r="40" spans="1:39" ht="22.5" customHeight="1" x14ac:dyDescent="0.35">
      <c r="A40" s="13"/>
      <c r="B40" s="2" t="s">
        <v>0</v>
      </c>
      <c r="C40" s="25">
        <v>10.2126130231863</v>
      </c>
      <c r="D40" s="25">
        <v>18.226744466813699</v>
      </c>
      <c r="E40" s="25">
        <v>3.8469728500000002</v>
      </c>
      <c r="F40" s="31"/>
      <c r="G40" s="25">
        <v>2.7989333099999998</v>
      </c>
      <c r="H40" s="45">
        <v>0.19007204545454542</v>
      </c>
      <c r="I40" s="45">
        <v>0.17230863636363633</v>
      </c>
      <c r="J40" s="6">
        <v>1.4576528636363635</v>
      </c>
      <c r="K40" s="6"/>
      <c r="L40" s="6"/>
      <c r="M40" s="6">
        <v>2.4260519454545455</v>
      </c>
      <c r="N40" s="6">
        <v>0</v>
      </c>
      <c r="O40" s="6">
        <v>3.2063636363636365E-4</v>
      </c>
      <c r="P40" s="6"/>
      <c r="Q40" s="26"/>
      <c r="R40" s="26"/>
      <c r="S40" s="26"/>
      <c r="T40" s="26"/>
      <c r="U40" s="26"/>
      <c r="V40" s="26"/>
      <c r="W40" s="27"/>
      <c r="Y40" s="207">
        <v>1.6126857875246075</v>
      </c>
      <c r="Z40" s="10">
        <v>1.8390529874999999</v>
      </c>
      <c r="AA40" s="210">
        <v>0.54608794424999996</v>
      </c>
      <c r="AB40" s="205"/>
      <c r="AC40" s="9">
        <v>3.9978267192746073</v>
      </c>
      <c r="AE40" s="26"/>
      <c r="AF40" s="16"/>
      <c r="AG40" s="20">
        <v>3.9889690090909089</v>
      </c>
      <c r="AH40" s="16"/>
      <c r="AI40" s="22"/>
      <c r="AK40" s="8"/>
      <c r="AL40" s="16"/>
      <c r="AM40" s="19"/>
    </row>
    <row r="41" spans="1:39" ht="22.5" customHeight="1" x14ac:dyDescent="0.35">
      <c r="A41" s="13"/>
      <c r="B41" s="2" t="s">
        <v>11</v>
      </c>
      <c r="C41" s="25">
        <v>6.2751579178072197</v>
      </c>
      <c r="D41" s="25">
        <v>20.2427129121928</v>
      </c>
      <c r="E41" s="25">
        <v>4.1418292900000004</v>
      </c>
      <c r="F41" s="31"/>
      <c r="G41" s="25">
        <v>0.37807842000000003</v>
      </c>
      <c r="H41" s="45">
        <v>0.17893034545454548</v>
      </c>
      <c r="I41" s="45">
        <v>0.15768833636363636</v>
      </c>
      <c r="J41" s="6">
        <v>1.9485923454545451</v>
      </c>
      <c r="K41" s="6"/>
      <c r="L41" s="6"/>
      <c r="M41" s="6">
        <v>2.7070490363636361</v>
      </c>
      <c r="N41" s="6">
        <v>6.1127272727272723E-4</v>
      </c>
      <c r="O41" s="6">
        <v>2.754545454545454E-5</v>
      </c>
      <c r="P41" s="6"/>
      <c r="Q41" s="26"/>
      <c r="R41" s="26"/>
      <c r="S41" s="26"/>
      <c r="T41" s="26"/>
      <c r="U41" s="26"/>
      <c r="V41" s="26"/>
      <c r="W41" s="27"/>
      <c r="Y41" s="207">
        <v>1.5159246402731315</v>
      </c>
      <c r="Z41" s="10">
        <v>1.8079800645000002</v>
      </c>
      <c r="AA41" s="210">
        <v>0.99870081900000007</v>
      </c>
      <c r="AB41" s="205"/>
      <c r="AC41" s="9">
        <v>4.3226055237731318</v>
      </c>
      <c r="AE41" s="26"/>
      <c r="AF41" s="16"/>
      <c r="AG41" s="20">
        <v>4.0320565727272726</v>
      </c>
      <c r="AH41" s="16"/>
      <c r="AI41" s="22"/>
      <c r="AK41" s="8"/>
      <c r="AL41" s="16"/>
      <c r="AM41" s="8"/>
    </row>
    <row r="42" spans="1:39" ht="22.5" customHeight="1" x14ac:dyDescent="0.35">
      <c r="A42" s="13"/>
      <c r="B42" s="2" t="s">
        <v>1</v>
      </c>
      <c r="C42" s="25">
        <v>15.189787758257999</v>
      </c>
      <c r="D42" s="25">
        <v>18.756741811742</v>
      </c>
      <c r="E42" s="25">
        <v>4.0317354600000002</v>
      </c>
      <c r="F42" s="31"/>
      <c r="G42" s="25">
        <v>2.96138682</v>
      </c>
      <c r="H42" s="45">
        <v>0.15577029363636363</v>
      </c>
      <c r="I42" s="45">
        <v>0.13480996727272726</v>
      </c>
      <c r="J42" s="6">
        <v>1.5446164554545454</v>
      </c>
      <c r="K42" s="6"/>
      <c r="L42" s="6"/>
      <c r="M42" s="6">
        <v>2.4586209345454542</v>
      </c>
      <c r="N42" s="6">
        <v>4.0000000000000002E-4</v>
      </c>
      <c r="O42" s="6">
        <v>7.2799999999999994E-5</v>
      </c>
      <c r="P42" s="6"/>
      <c r="Q42" s="26"/>
      <c r="R42" s="26"/>
      <c r="S42" s="26"/>
      <c r="T42" s="26"/>
      <c r="U42" s="26"/>
      <c r="V42" s="26"/>
      <c r="W42" s="27"/>
      <c r="Y42" s="207">
        <v>1.4249691618567435</v>
      </c>
      <c r="Z42" s="10">
        <v>1.7693351332500005</v>
      </c>
      <c r="AA42" s="210">
        <v>1.36943077125</v>
      </c>
      <c r="AB42" s="205"/>
      <c r="AC42" s="9">
        <v>4.5637350663567444</v>
      </c>
      <c r="AE42" s="26"/>
      <c r="AF42" s="16"/>
      <c r="AG42" s="20">
        <v>4.0320565727272726</v>
      </c>
      <c r="AH42" s="16"/>
      <c r="AI42" s="22"/>
      <c r="AK42" s="8"/>
      <c r="AL42" s="16"/>
      <c r="AM42" s="8"/>
    </row>
    <row r="43" spans="1:39" ht="22.5" customHeight="1" x14ac:dyDescent="0.35">
      <c r="A43" s="13"/>
      <c r="B43" s="2" t="s">
        <v>2</v>
      </c>
      <c r="C43" s="25">
        <v>11.278500986715001</v>
      </c>
      <c r="D43" s="25">
        <v>18.659814523285</v>
      </c>
      <c r="E43" s="25">
        <v>4.0891007100000003</v>
      </c>
      <c r="F43" s="31"/>
      <c r="G43" s="25">
        <v>0.72322991999999997</v>
      </c>
      <c r="H43" s="45">
        <v>0.14209236363636363</v>
      </c>
      <c r="I43" s="45">
        <v>0.12214696363636364</v>
      </c>
      <c r="J43" s="6">
        <v>1.7285706999999997</v>
      </c>
      <c r="K43" s="6"/>
      <c r="L43" s="6"/>
      <c r="M43" s="6">
        <v>2.4870684545454544</v>
      </c>
      <c r="N43" s="6">
        <v>3.2545454545454544E-4</v>
      </c>
      <c r="O43" s="6">
        <v>0</v>
      </c>
      <c r="P43" s="6"/>
      <c r="Q43" s="26"/>
      <c r="R43" s="26"/>
      <c r="S43" s="26"/>
      <c r="T43" s="26"/>
      <c r="U43" s="26"/>
      <c r="V43" s="26"/>
      <c r="W43" s="27"/>
      <c r="Y43" s="207">
        <v>1.3394710121453388</v>
      </c>
      <c r="Z43" s="10">
        <v>1.7270845530000001</v>
      </c>
      <c r="AA43" s="210">
        <v>1.8473517457500002</v>
      </c>
      <c r="AB43" s="205"/>
      <c r="AC43" s="9">
        <v>4.9139073108953388</v>
      </c>
      <c r="AE43" s="26"/>
      <c r="AF43" s="16"/>
      <c r="AG43" s="20">
        <v>4.253108376208897</v>
      </c>
      <c r="AH43" s="16"/>
      <c r="AI43" s="22"/>
      <c r="AK43" s="8"/>
      <c r="AL43" s="16"/>
      <c r="AM43" s="8"/>
    </row>
    <row r="44" spans="1:39" ht="22.5" customHeight="1" x14ac:dyDescent="0.35">
      <c r="A44" s="13"/>
      <c r="B44" s="2" t="s">
        <v>3</v>
      </c>
      <c r="C44" s="25">
        <v>11.63750770409778</v>
      </c>
      <c r="D44" s="25">
        <v>18.89528367590222</v>
      </c>
      <c r="E44" s="25">
        <v>4.0738470600000003</v>
      </c>
      <c r="F44" s="31"/>
      <c r="G44" s="25">
        <v>1.06986834</v>
      </c>
      <c r="H44" s="45">
        <v>0.12753070909090905</v>
      </c>
      <c r="I44" s="45">
        <v>0.10968926363636364</v>
      </c>
      <c r="J44" s="6">
        <v>1.6844096545454543</v>
      </c>
      <c r="K44" s="6"/>
      <c r="L44" s="6"/>
      <c r="M44" s="6">
        <v>2.5071956999999996</v>
      </c>
      <c r="N44" s="6">
        <v>4.2581818181818177E-4</v>
      </c>
      <c r="O44" s="6">
        <v>3.1090909090909087E-5</v>
      </c>
      <c r="P44" s="6"/>
      <c r="Q44" s="26"/>
      <c r="R44" s="26"/>
      <c r="S44" s="26"/>
      <c r="T44" s="26"/>
      <c r="U44" s="26"/>
      <c r="V44" s="26"/>
      <c r="W44" s="27"/>
      <c r="Y44" s="207">
        <v>1.2591027514166184</v>
      </c>
      <c r="Z44" s="10">
        <v>1.6867419337500003</v>
      </c>
      <c r="AA44" s="210">
        <v>2.1934964722500001</v>
      </c>
      <c r="AB44" s="205"/>
      <c r="AC44" s="9">
        <v>5.1393411574166183</v>
      </c>
      <c r="AE44" s="26"/>
      <c r="AF44" s="16"/>
      <c r="AG44" s="20">
        <v>4.3830917299806567</v>
      </c>
      <c r="AH44" s="16"/>
      <c r="AI44" s="22"/>
      <c r="AK44" s="8"/>
      <c r="AL44" s="16"/>
      <c r="AM44" s="8"/>
    </row>
    <row r="45" spans="1:39" ht="22.5" customHeight="1" x14ac:dyDescent="0.35">
      <c r="A45" s="13"/>
      <c r="B45" s="2" t="s">
        <v>4</v>
      </c>
      <c r="C45" s="25">
        <v>11.608409123314338</v>
      </c>
      <c r="D45" s="25">
        <v>18.968208006685661</v>
      </c>
      <c r="E45" s="25">
        <v>4.1031911499999998</v>
      </c>
      <c r="F45" s="31"/>
      <c r="G45" s="25">
        <v>0.32066524000000002</v>
      </c>
      <c r="H45" s="45">
        <v>0.11307382727272726</v>
      </c>
      <c r="I45" s="45">
        <v>9.7640681818181821E-2</v>
      </c>
      <c r="J45" s="6">
        <v>1.6056527636363636</v>
      </c>
      <c r="K45" s="6"/>
      <c r="L45" s="6"/>
      <c r="M45" s="6">
        <v>2.4067500272727274</v>
      </c>
      <c r="N45" s="6">
        <v>3.7199999999999999E-4</v>
      </c>
      <c r="O45" s="6">
        <v>2.4545454545454545E-5</v>
      </c>
      <c r="P45" s="6"/>
      <c r="Q45" s="26"/>
      <c r="R45" s="26"/>
      <c r="S45" s="26"/>
      <c r="T45" s="26"/>
      <c r="U45" s="26"/>
      <c r="V45" s="26"/>
      <c r="W45" s="27"/>
      <c r="Y45" s="207">
        <v>1.1835565863316213</v>
      </c>
      <c r="Z45" s="10">
        <v>1.6457403945000002</v>
      </c>
      <c r="AA45" s="210">
        <v>2.5604230995000004</v>
      </c>
      <c r="AB45" s="205"/>
      <c r="AC45" s="9">
        <v>5.3897200803316219</v>
      </c>
      <c r="AE45" s="26"/>
      <c r="AF45" s="16"/>
      <c r="AG45" s="20">
        <v>4.3955250381044486</v>
      </c>
      <c r="AH45" s="16"/>
      <c r="AI45" s="22"/>
      <c r="AK45" s="8"/>
      <c r="AL45" s="16"/>
      <c r="AM45" s="8"/>
    </row>
    <row r="46" spans="1:39" ht="22.5" customHeight="1" x14ac:dyDescent="0.35">
      <c r="A46" s="13"/>
      <c r="B46" s="2" t="s">
        <v>5</v>
      </c>
      <c r="C46" s="25">
        <v>11.866553747705433</v>
      </c>
      <c r="D46" s="25">
        <v>19.659852602294571</v>
      </c>
      <c r="E46" s="25">
        <v>4.1352641400000003</v>
      </c>
      <c r="F46" s="31"/>
      <c r="G46" s="25">
        <v>1.8176717499999999</v>
      </c>
      <c r="H46" s="45">
        <v>0.10434663636363636</v>
      </c>
      <c r="I46" s="45">
        <v>8.5807463636363629E-2</v>
      </c>
      <c r="J46" s="6">
        <v>1.7565511545454544</v>
      </c>
      <c r="K46" s="6"/>
      <c r="L46" s="6"/>
      <c r="M46" s="6">
        <v>2.4784466636363636</v>
      </c>
      <c r="N46" s="6">
        <v>3.5972727272727274E-4</v>
      </c>
      <c r="O46" s="6">
        <v>2.4545454545454545E-5</v>
      </c>
      <c r="P46" s="6"/>
      <c r="Q46" s="26"/>
      <c r="R46" s="26"/>
      <c r="S46" s="26"/>
      <c r="T46" s="26"/>
      <c r="U46" s="26"/>
      <c r="V46" s="26"/>
      <c r="W46" s="27"/>
      <c r="Y46" s="207">
        <v>1.1125431911517241</v>
      </c>
      <c r="Z46" s="10">
        <v>1.6013865997500003</v>
      </c>
      <c r="AA46" s="210">
        <v>3.0262359345000003</v>
      </c>
      <c r="AB46" s="205"/>
      <c r="AC46" s="9">
        <v>5.7401657254017247</v>
      </c>
      <c r="AE46" s="26"/>
      <c r="AF46" s="16"/>
      <c r="AG46" s="20">
        <v>4.5657913164410058</v>
      </c>
      <c r="AH46" s="16"/>
      <c r="AI46" s="22"/>
      <c r="AK46" s="8"/>
      <c r="AL46" s="16"/>
      <c r="AM46" s="8"/>
    </row>
    <row r="47" spans="1:39" ht="22.5" customHeight="1" x14ac:dyDescent="0.35">
      <c r="A47" s="13"/>
      <c r="B47" s="2" t="s">
        <v>6</v>
      </c>
      <c r="C47" s="25">
        <v>11.465695188994269</v>
      </c>
      <c r="D47" s="25">
        <v>19.373905061005729</v>
      </c>
      <c r="E47" s="25">
        <v>4.1652865600000002</v>
      </c>
      <c r="F47" s="31"/>
      <c r="G47" s="25">
        <v>-0.51979677000000002</v>
      </c>
      <c r="H47" s="45">
        <v>9.8801600000000003E-2</v>
      </c>
      <c r="I47" s="45">
        <v>7.433246363636363E-2</v>
      </c>
      <c r="J47" s="6">
        <v>1.8124689272727268</v>
      </c>
      <c r="K47" s="6"/>
      <c r="L47" s="6"/>
      <c r="M47" s="6">
        <v>2.378847036363636</v>
      </c>
      <c r="N47" s="6">
        <v>2.8481818181818182E-4</v>
      </c>
      <c r="O47" s="6">
        <v>2.4545454545454545E-5</v>
      </c>
      <c r="P47" s="6"/>
      <c r="Q47" s="26"/>
      <c r="R47" s="26"/>
      <c r="S47" s="26"/>
      <c r="T47" s="26"/>
      <c r="U47" s="26"/>
      <c r="V47" s="26"/>
      <c r="W47" s="27"/>
      <c r="Y47" s="207">
        <v>1.0457905996826207</v>
      </c>
      <c r="Z47" s="10">
        <v>1.56007134675</v>
      </c>
      <c r="AA47" s="210">
        <v>3.3432313435049998</v>
      </c>
      <c r="AB47" s="205"/>
      <c r="AC47" s="9">
        <v>5.9490932899376201</v>
      </c>
      <c r="AE47" s="26"/>
      <c r="AF47" s="16"/>
      <c r="AG47" s="20">
        <v>4.592295883752417</v>
      </c>
      <c r="AH47" s="16"/>
      <c r="AI47" s="22"/>
      <c r="AK47" s="8"/>
      <c r="AL47" s="16"/>
      <c r="AM47" s="8"/>
    </row>
    <row r="48" spans="1:39" ht="22.5" customHeight="1" x14ac:dyDescent="0.35">
      <c r="A48" s="13"/>
      <c r="B48" s="2" t="s">
        <v>7</v>
      </c>
      <c r="C48" s="25">
        <v>11.575018737342448</v>
      </c>
      <c r="D48" s="25">
        <v>20.38680076265755</v>
      </c>
      <c r="E48" s="25">
        <v>4.2870325200000003</v>
      </c>
      <c r="F48" s="31"/>
      <c r="G48" s="25">
        <v>1.52227063</v>
      </c>
      <c r="H48" s="45">
        <v>9.2825136363636346E-2</v>
      </c>
      <c r="I48" s="45">
        <v>6.1888590909090907E-2</v>
      </c>
      <c r="J48" s="6">
        <v>1.6142127090909089</v>
      </c>
      <c r="K48" s="6"/>
      <c r="L48" s="6"/>
      <c r="M48" s="6">
        <v>2.352591536363636</v>
      </c>
      <c r="N48" s="6">
        <v>2.4409090909090908E-4</v>
      </c>
      <c r="O48" s="6">
        <v>2.4545454545454545E-5</v>
      </c>
      <c r="P48" s="6"/>
      <c r="Q48" s="26"/>
      <c r="R48" s="26"/>
      <c r="S48" s="26"/>
      <c r="T48" s="26"/>
      <c r="U48" s="26"/>
      <c r="V48" s="26"/>
      <c r="W48" s="27"/>
      <c r="Y48" s="207">
        <v>0.8194775310745962</v>
      </c>
      <c r="Z48" s="10">
        <v>1.5174959092500002</v>
      </c>
      <c r="AA48" s="210">
        <v>3.8405491737599999</v>
      </c>
      <c r="AB48" s="205"/>
      <c r="AC48" s="9">
        <v>6.1775226140845962</v>
      </c>
      <c r="AE48" s="26"/>
      <c r="AF48" s="16"/>
      <c r="AG48" s="20">
        <v>4.7459260475822047</v>
      </c>
      <c r="AH48" s="16"/>
      <c r="AI48" s="22"/>
      <c r="AK48" s="8"/>
      <c r="AL48" s="16"/>
      <c r="AM48" s="8"/>
    </row>
    <row r="49" spans="1:39" ht="22.5" customHeight="1" x14ac:dyDescent="0.35">
      <c r="A49" s="13"/>
      <c r="B49" s="2" t="s">
        <v>8</v>
      </c>
      <c r="C49" s="25">
        <v>11.990973537437347</v>
      </c>
      <c r="D49" s="25">
        <v>21.717837772562657</v>
      </c>
      <c r="E49" s="25">
        <v>4.5704139399999999</v>
      </c>
      <c r="F49" s="31"/>
      <c r="G49" s="25">
        <v>1.3125602599999999</v>
      </c>
      <c r="H49" s="45">
        <v>7.7894248181818171E-2</v>
      </c>
      <c r="I49" s="45">
        <v>4.5423109999999989E-2</v>
      </c>
      <c r="J49" s="6">
        <v>1.8493618645454544</v>
      </c>
      <c r="K49" s="6"/>
      <c r="L49" s="6"/>
      <c r="M49" s="6">
        <v>2.3397723336363629</v>
      </c>
      <c r="N49" s="6">
        <v>2.5472727272727273E-4</v>
      </c>
      <c r="O49" s="6">
        <v>-7.1999999999999997E-6</v>
      </c>
      <c r="P49" s="6"/>
      <c r="Q49" s="26"/>
      <c r="R49" s="26"/>
      <c r="S49" s="26"/>
      <c r="T49" s="26"/>
      <c r="U49" s="26"/>
      <c r="V49" s="26"/>
      <c r="W49" s="27"/>
      <c r="Y49" s="207">
        <v>0.5300021969895522</v>
      </c>
      <c r="Z49" s="10">
        <v>1.472386779</v>
      </c>
      <c r="AA49" s="210">
        <v>4.0830873495150009</v>
      </c>
      <c r="AB49" s="205"/>
      <c r="AC49" s="9">
        <v>6.085476325504553</v>
      </c>
      <c r="AE49" s="26"/>
      <c r="AF49" s="16"/>
      <c r="AG49" s="20">
        <v>4.8850613702127657</v>
      </c>
      <c r="AH49" s="16"/>
      <c r="AI49" s="22"/>
      <c r="AK49" s="8"/>
      <c r="AL49" s="16"/>
      <c r="AM49" s="8"/>
    </row>
    <row r="50" spans="1:39" ht="22.5" customHeight="1" x14ac:dyDescent="0.35">
      <c r="A50" s="13"/>
      <c r="B50" s="2" t="s">
        <v>9</v>
      </c>
      <c r="C50" s="25">
        <v>7.8549288865889313</v>
      </c>
      <c r="D50" s="25">
        <v>24.400350193411068</v>
      </c>
      <c r="E50" s="25">
        <v>4.5105689499999997</v>
      </c>
      <c r="F50" s="31"/>
      <c r="G50" s="25">
        <v>-1.660319E-2</v>
      </c>
      <c r="H50" s="45">
        <v>7.0713499999999999E-2</v>
      </c>
      <c r="I50" s="45">
        <v>3.2076936363636357E-2</v>
      </c>
      <c r="J50" s="6">
        <v>1.6795149727272725</v>
      </c>
      <c r="K50" s="6"/>
      <c r="L50" s="6"/>
      <c r="M50" s="6">
        <v>2.3537188818181818</v>
      </c>
      <c r="N50" s="6">
        <v>9.3999999999999994E-5</v>
      </c>
      <c r="O50" s="6">
        <v>1.3215454545454543E-4</v>
      </c>
      <c r="P50" s="6"/>
      <c r="Q50" s="26"/>
      <c r="R50" s="26"/>
      <c r="S50" s="26"/>
      <c r="T50" s="26"/>
      <c r="U50" s="26"/>
      <c r="V50" s="26"/>
      <c r="W50" s="27"/>
      <c r="Y50" s="207">
        <v>0.42362393177734042</v>
      </c>
      <c r="Z50" s="10">
        <v>1.4303132835000003</v>
      </c>
      <c r="AA50" s="210">
        <v>4.4545260235199997</v>
      </c>
      <c r="AB50" s="205"/>
      <c r="AC50" s="9">
        <v>6.3084632387973407</v>
      </c>
      <c r="AE50" s="26"/>
      <c r="AF50" s="16"/>
      <c r="AG50" s="20">
        <v>4.8625408088974851</v>
      </c>
      <c r="AH50" s="16"/>
      <c r="AI50" s="22"/>
      <c r="AK50" s="8"/>
      <c r="AL50" s="16"/>
      <c r="AM50" s="8"/>
    </row>
    <row r="51" spans="1:39" ht="22.5" customHeight="1" x14ac:dyDescent="0.35">
      <c r="A51" s="13"/>
      <c r="B51" s="175" t="s">
        <v>127</v>
      </c>
      <c r="C51" s="25">
        <v>12.142245004982783</v>
      </c>
      <c r="D51" s="25">
        <v>20.761962375017212</v>
      </c>
      <c r="E51" s="25">
        <v>4.6084543299999998</v>
      </c>
      <c r="F51" s="31"/>
      <c r="G51" s="25">
        <v>-1.660319E-2</v>
      </c>
      <c r="H51" s="45">
        <v>6.6342809090909088E-2</v>
      </c>
      <c r="I51" s="45">
        <v>2.2232772727272726E-2</v>
      </c>
      <c r="J51" s="6">
        <v>1.4913021545454543</v>
      </c>
      <c r="K51" s="6"/>
      <c r="L51" s="6"/>
      <c r="M51" s="6">
        <v>2.3810456272727274</v>
      </c>
      <c r="N51" s="6">
        <v>1.1436363636363636E-4</v>
      </c>
      <c r="O51" s="6">
        <v>2.9290909090909091E-5</v>
      </c>
      <c r="P51" s="6"/>
      <c r="Q51" s="26"/>
      <c r="R51" s="26"/>
      <c r="S51" s="26"/>
      <c r="T51" s="26"/>
      <c r="U51" s="26"/>
      <c r="V51" s="26"/>
      <c r="W51" s="27"/>
      <c r="Y51" s="207">
        <v>0.28886998902554784</v>
      </c>
      <c r="Z51" s="10">
        <v>1.3281937165500002</v>
      </c>
      <c r="AA51" s="10">
        <v>4.5989139421800003</v>
      </c>
      <c r="AB51" s="205"/>
      <c r="AC51" s="9">
        <v>6.2159776477555484</v>
      </c>
      <c r="AE51" s="26"/>
      <c r="AG51" s="20">
        <v>4.9560979856866529</v>
      </c>
      <c r="AI51" s="19"/>
      <c r="AK51" s="8"/>
      <c r="AM51" s="19"/>
    </row>
    <row r="52" spans="1:39" ht="22.5" customHeight="1" x14ac:dyDescent="0.35">
      <c r="A52" s="13"/>
      <c r="B52" s="2" t="s">
        <v>0</v>
      </c>
      <c r="C52" s="25">
        <v>12.144272477447533</v>
      </c>
      <c r="D52" s="25">
        <v>21.555006882552465</v>
      </c>
      <c r="E52" s="25">
        <v>4.72314539</v>
      </c>
      <c r="F52" s="31"/>
      <c r="G52" s="25">
        <v>1.27042868</v>
      </c>
      <c r="H52" s="45">
        <v>5.5830263636363633E-2</v>
      </c>
      <c r="I52" s="45">
        <v>1.6643154545454543E-2</v>
      </c>
      <c r="J52" s="6">
        <v>1.6719641545454544</v>
      </c>
      <c r="K52" s="6"/>
      <c r="L52" s="6"/>
      <c r="M52" s="6">
        <v>2.4634797909090906</v>
      </c>
      <c r="N52" s="6">
        <v>1.499090909090909E-4</v>
      </c>
      <c r="O52" s="6">
        <v>2.9545454545454545E-5</v>
      </c>
      <c r="P52" s="6"/>
      <c r="Q52" s="26"/>
      <c r="R52" s="26"/>
      <c r="S52" s="26"/>
      <c r="T52" s="26"/>
      <c r="U52" s="26"/>
      <c r="V52" s="26"/>
      <c r="W52" s="27"/>
      <c r="Y52" s="207">
        <v>0.13392519953637275</v>
      </c>
      <c r="Z52" s="10">
        <v>1.2848238201750002</v>
      </c>
      <c r="AA52" s="10">
        <v>4.6731675933750001</v>
      </c>
      <c r="AB52" s="205"/>
      <c r="AC52" s="9">
        <v>6.0919166130863731</v>
      </c>
      <c r="AE52" s="26"/>
      <c r="AF52" s="16"/>
      <c r="AG52" s="20">
        <v>5.0045811284332684</v>
      </c>
      <c r="AH52" s="16"/>
      <c r="AI52" s="22"/>
      <c r="AK52" s="8"/>
      <c r="AL52" s="16"/>
      <c r="AM52" s="19"/>
    </row>
    <row r="53" spans="1:39" ht="22.5" customHeight="1" x14ac:dyDescent="0.35">
      <c r="A53" s="13"/>
      <c r="B53" s="2" t="s">
        <v>11</v>
      </c>
      <c r="C53" s="25">
        <v>13.034040639803662</v>
      </c>
      <c r="D53" s="25">
        <v>20.973242490196338</v>
      </c>
      <c r="E53" s="25">
        <v>4.7774017999999998</v>
      </c>
      <c r="F53" s="31"/>
      <c r="G53" s="25">
        <v>0.62536223000000002</v>
      </c>
      <c r="H53" s="45">
        <v>5.2716445454545451E-2</v>
      </c>
      <c r="I53" s="45">
        <v>1.4327563636363635E-2</v>
      </c>
      <c r="J53" s="6">
        <v>1.7639062909090906</v>
      </c>
      <c r="K53" s="6"/>
      <c r="L53" s="6"/>
      <c r="M53" s="6">
        <v>2.5565038909090911</v>
      </c>
      <c r="N53" s="6">
        <v>1.4854545454545453E-4</v>
      </c>
      <c r="O53" s="6">
        <v>2.8636363636363634E-5</v>
      </c>
      <c r="P53" s="6"/>
      <c r="Q53" s="26"/>
      <c r="R53" s="26"/>
      <c r="S53" s="26"/>
      <c r="T53" s="26"/>
      <c r="U53" s="26"/>
      <c r="V53" s="26"/>
      <c r="W53" s="27"/>
      <c r="Y53" s="211">
        <v>0</v>
      </c>
      <c r="Z53" s="10">
        <v>1.1846797293000002</v>
      </c>
      <c r="AA53" s="10">
        <v>4.4776457506275014</v>
      </c>
      <c r="AB53" s="208"/>
      <c r="AC53" s="9">
        <v>5.6623254799275013</v>
      </c>
      <c r="AE53" s="26"/>
      <c r="AF53" s="16"/>
      <c r="AG53" s="20">
        <v>5.1387976998065756</v>
      </c>
      <c r="AH53" s="16"/>
      <c r="AI53" s="22"/>
      <c r="AK53" s="8"/>
      <c r="AL53" s="16"/>
      <c r="AM53" s="8"/>
    </row>
    <row r="54" spans="1:39" ht="22.5" customHeight="1" x14ac:dyDescent="0.35">
      <c r="A54" s="13"/>
      <c r="B54" s="2" t="s">
        <v>1</v>
      </c>
      <c r="C54" s="25">
        <v>12.932736404688537</v>
      </c>
      <c r="D54" s="25">
        <v>20.403590105311462</v>
      </c>
      <c r="E54" s="25">
        <v>4.7181456600000002</v>
      </c>
      <c r="F54" s="31"/>
      <c r="G54" s="25">
        <v>-1.0544658899999999</v>
      </c>
      <c r="H54" s="45">
        <v>4.866545454545454E-2</v>
      </c>
      <c r="I54" s="45">
        <v>1.2999054545454546E-2</v>
      </c>
      <c r="J54" s="6">
        <v>1.5704323909090909</v>
      </c>
      <c r="K54" s="6"/>
      <c r="L54" s="6"/>
      <c r="M54" s="6">
        <v>2.5262730000000002</v>
      </c>
      <c r="N54" s="6">
        <v>1.3690909090909091E-4</v>
      </c>
      <c r="O54" s="6">
        <v>2.8636363636363634E-5</v>
      </c>
      <c r="P54" s="6"/>
      <c r="Q54" s="26"/>
      <c r="R54" s="26"/>
      <c r="S54" s="26"/>
      <c r="T54" s="26"/>
      <c r="U54" s="26"/>
      <c r="V54" s="26"/>
      <c r="W54" s="27"/>
      <c r="Y54" s="207"/>
      <c r="Z54" s="10">
        <v>1.0343582748</v>
      </c>
      <c r="AA54" s="10">
        <v>4.2964523509949997</v>
      </c>
      <c r="AB54" s="208"/>
      <c r="AC54" s="9">
        <v>5.3308106257949994</v>
      </c>
      <c r="AE54" s="26"/>
      <c r="AF54" s="16"/>
      <c r="AG54" s="20">
        <v>5.1145863557059954</v>
      </c>
      <c r="AH54" s="16"/>
      <c r="AI54" s="22"/>
      <c r="AK54" s="8"/>
      <c r="AL54" s="16"/>
      <c r="AM54" s="8"/>
    </row>
    <row r="55" spans="1:39" ht="22.5" customHeight="1" x14ac:dyDescent="0.35">
      <c r="A55" s="13"/>
      <c r="B55" s="2" t="s">
        <v>2</v>
      </c>
      <c r="C55" s="25">
        <v>12.876388362425182</v>
      </c>
      <c r="D55" s="25">
        <v>20.741162917574815</v>
      </c>
      <c r="E55" s="25">
        <v>4.7841496599999997</v>
      </c>
      <c r="F55" s="31"/>
      <c r="G55" s="25">
        <v>0.85921219000000004</v>
      </c>
      <c r="H55" s="45">
        <v>4.4736909090909091E-2</v>
      </c>
      <c r="I55" s="45">
        <v>1.2523718181818178E-2</v>
      </c>
      <c r="J55" s="6">
        <v>1.8324531727272726</v>
      </c>
      <c r="K55" s="6"/>
      <c r="L55" s="6"/>
      <c r="M55" s="6">
        <v>2.6480641999999999</v>
      </c>
      <c r="N55" s="6">
        <v>1.9336363636363637E-4</v>
      </c>
      <c r="O55" s="6">
        <v>3.2999999999999996E-5</v>
      </c>
      <c r="P55" s="6"/>
      <c r="Q55" s="26"/>
      <c r="R55" s="26"/>
      <c r="S55" s="26"/>
      <c r="T55" s="26"/>
      <c r="U55" s="26"/>
      <c r="V55" s="26"/>
      <c r="W55" s="27"/>
      <c r="Y55" s="207"/>
      <c r="Z55" s="10">
        <v>0.94511812290000008</v>
      </c>
      <c r="AA55" s="10">
        <v>4.1005663653150002</v>
      </c>
      <c r="AB55" s="208"/>
      <c r="AC55" s="9">
        <v>5.0456844882150005</v>
      </c>
      <c r="AE55" s="26"/>
      <c r="AF55" s="16"/>
      <c r="AG55" s="20">
        <v>5.2206735686653776</v>
      </c>
      <c r="AH55" s="16"/>
      <c r="AI55" s="22"/>
      <c r="AK55" s="8"/>
      <c r="AL55" s="16"/>
      <c r="AM55" s="8"/>
    </row>
    <row r="56" spans="1:39" ht="22.5" customHeight="1" x14ac:dyDescent="0.35">
      <c r="A56" s="13"/>
      <c r="B56" s="2" t="s">
        <v>3</v>
      </c>
      <c r="C56" s="25">
        <v>12.533926842107832</v>
      </c>
      <c r="D56" s="25">
        <v>21.434035827892171</v>
      </c>
      <c r="E56" s="25">
        <v>4.8613484099999997</v>
      </c>
      <c r="F56" s="31"/>
      <c r="G56" s="25">
        <v>0.53640622999999998</v>
      </c>
      <c r="H56" s="45">
        <v>4.2919899999999997E-2</v>
      </c>
      <c r="I56" s="45">
        <v>1.2226209090909089E-2</v>
      </c>
      <c r="J56" s="6">
        <v>1.7868952999999996</v>
      </c>
      <c r="K56" s="6"/>
      <c r="L56" s="6"/>
      <c r="M56" s="6">
        <v>2.6463168818181817</v>
      </c>
      <c r="N56" s="6">
        <v>7.7090909090909087E-5</v>
      </c>
      <c r="O56" s="6">
        <v>3.2818181818181818E-5</v>
      </c>
      <c r="P56" s="6"/>
      <c r="Q56" s="26"/>
      <c r="R56" s="26"/>
      <c r="S56" s="26"/>
      <c r="T56" s="26"/>
      <c r="U56" s="26"/>
      <c r="V56" s="26"/>
      <c r="W56" s="27"/>
      <c r="Y56" s="207"/>
      <c r="Z56" s="10">
        <v>0.84603031470000001</v>
      </c>
      <c r="AA56" s="10">
        <v>3.8970002164500004</v>
      </c>
      <c r="AB56" s="209"/>
      <c r="AC56" s="9">
        <v>4.7430305311500005</v>
      </c>
      <c r="AE56" s="26"/>
      <c r="AF56" s="16"/>
      <c r="AG56" s="20">
        <v>5.3154866454545449</v>
      </c>
      <c r="AH56" s="16"/>
      <c r="AI56" s="22"/>
      <c r="AK56" s="8"/>
      <c r="AL56" s="16"/>
      <c r="AM56" s="8"/>
    </row>
    <row r="57" spans="1:39" ht="22.5" customHeight="1" thickBot="1" x14ac:dyDescent="0.4">
      <c r="A57" s="13"/>
      <c r="B57" s="2" t="s">
        <v>4</v>
      </c>
      <c r="C57" s="25">
        <v>13.554280427346258</v>
      </c>
      <c r="D57" s="25">
        <v>21.74296526265374</v>
      </c>
      <c r="E57" s="25">
        <v>4.8679691800000002</v>
      </c>
      <c r="F57" s="31"/>
      <c r="G57" s="25">
        <v>1.3860983499999999</v>
      </c>
      <c r="H57" s="45">
        <v>3.9261463636363632E-2</v>
      </c>
      <c r="I57" s="45">
        <v>1.2222954545454546E-2</v>
      </c>
      <c r="J57" s="6">
        <v>1.6519190181818182</v>
      </c>
      <c r="K57" s="6"/>
      <c r="L57" s="6"/>
      <c r="M57" s="6">
        <v>2.6250359999999997</v>
      </c>
      <c r="N57" s="6">
        <v>1.4499999999999997E-4</v>
      </c>
      <c r="O57" s="6">
        <v>3.145454545454545E-5</v>
      </c>
      <c r="P57" s="6"/>
      <c r="Q57" s="26"/>
      <c r="R57" s="26"/>
      <c r="S57" s="26"/>
      <c r="T57" s="26"/>
      <c r="U57" s="26"/>
      <c r="V57" s="26"/>
      <c r="W57" s="27"/>
      <c r="Y57" s="212"/>
      <c r="Z57" s="213">
        <v>0.76954842862500017</v>
      </c>
      <c r="AA57" s="213">
        <v>3.7165199184525002</v>
      </c>
      <c r="AB57" s="214">
        <v>1.111443</v>
      </c>
      <c r="AC57" s="215">
        <v>5.5975113470775</v>
      </c>
      <c r="AE57" s="26"/>
      <c r="AF57" s="16"/>
      <c r="AG57" s="20">
        <v>5.3802332903288201</v>
      </c>
      <c r="AH57" s="16"/>
      <c r="AI57" s="22"/>
      <c r="AK57" s="8"/>
      <c r="AL57" s="16"/>
      <c r="AM57" s="8"/>
    </row>
    <row r="58" spans="1:39" ht="22.5" customHeight="1" x14ac:dyDescent="0.35">
      <c r="A58" s="13"/>
      <c r="B58" s="2" t="s">
        <v>5</v>
      </c>
      <c r="C58" s="25">
        <v>12.566155535464377</v>
      </c>
      <c r="D58" s="25">
        <v>23.258555684535622</v>
      </c>
      <c r="E58" s="25">
        <v>4.9457191800000002</v>
      </c>
      <c r="F58" s="31"/>
      <c r="G58" s="25">
        <v>1.0183784600000001</v>
      </c>
      <c r="H58" s="45"/>
      <c r="I58" s="45"/>
      <c r="J58" s="6"/>
      <c r="K58" s="6"/>
      <c r="L58" s="6"/>
      <c r="M58" s="6"/>
      <c r="N58" s="6"/>
      <c r="O58" s="6"/>
      <c r="P58" s="6"/>
      <c r="Q58" s="26"/>
      <c r="R58" s="26"/>
      <c r="S58" s="26"/>
      <c r="T58" s="26"/>
      <c r="U58" s="26"/>
      <c r="V58" s="26"/>
      <c r="W58" s="27"/>
      <c r="Y58" s="12"/>
      <c r="Z58" s="10"/>
      <c r="AA58" s="10"/>
      <c r="AB58" s="10"/>
      <c r="AC58" s="29"/>
      <c r="AE58" s="26"/>
      <c r="AF58" s="16"/>
      <c r="AG58" s="20"/>
      <c r="AH58" s="16"/>
      <c r="AI58" s="22"/>
      <c r="AK58" s="8"/>
      <c r="AL58" s="16"/>
      <c r="AM58" s="8"/>
    </row>
    <row r="59" spans="1:39" ht="22.5" customHeight="1" x14ac:dyDescent="0.35">
      <c r="A59" s="13"/>
      <c r="B59" s="2" t="s">
        <v>6</v>
      </c>
      <c r="C59" s="25">
        <v>13.051219166780861</v>
      </c>
      <c r="D59" s="25">
        <v>22.602429643219136</v>
      </c>
      <c r="E59" s="25">
        <v>4.9946488200000001</v>
      </c>
      <c r="F59" s="31"/>
      <c r="G59" s="25">
        <v>-0.23270067</v>
      </c>
      <c r="H59" s="45"/>
      <c r="I59" s="45"/>
      <c r="J59" s="6"/>
      <c r="K59" s="6"/>
      <c r="L59" s="6"/>
      <c r="M59" s="6"/>
      <c r="N59" s="6"/>
      <c r="O59" s="6"/>
      <c r="P59" s="6"/>
      <c r="Q59" s="26"/>
      <c r="R59" s="26"/>
      <c r="S59" s="26"/>
      <c r="T59" s="26"/>
      <c r="U59" s="26"/>
      <c r="V59" s="26"/>
      <c r="W59" s="27"/>
      <c r="Y59" s="12"/>
      <c r="Z59" s="15"/>
      <c r="AA59" s="10"/>
      <c r="AB59" s="10"/>
      <c r="AC59" s="29"/>
      <c r="AE59" s="26"/>
      <c r="AF59" s="16"/>
      <c r="AG59" s="20"/>
      <c r="AH59" s="16"/>
      <c r="AI59" s="22"/>
      <c r="AK59" s="8"/>
      <c r="AL59" s="16"/>
      <c r="AM59" s="8"/>
    </row>
    <row r="60" spans="1:39" ht="22.5" customHeight="1" x14ac:dyDescent="0.35">
      <c r="A60" s="13"/>
      <c r="B60" s="2" t="s">
        <v>7</v>
      </c>
      <c r="C60" s="25">
        <v>14.218836466284269</v>
      </c>
      <c r="D60" s="25">
        <v>23.218151123715728</v>
      </c>
      <c r="E60" s="25">
        <v>5.0903507699999997</v>
      </c>
      <c r="F60" s="31"/>
      <c r="G60" s="25">
        <v>-11.35299126</v>
      </c>
      <c r="H60" s="45"/>
      <c r="I60" s="45"/>
      <c r="J60" s="6"/>
      <c r="K60" s="6"/>
      <c r="L60" s="6"/>
      <c r="M60" s="6"/>
      <c r="N60" s="6"/>
      <c r="O60" s="6"/>
      <c r="P60" s="6"/>
      <c r="Q60" s="26"/>
      <c r="R60" s="26"/>
      <c r="S60" s="26"/>
      <c r="T60" s="26"/>
      <c r="U60" s="26"/>
      <c r="V60" s="26"/>
      <c r="W60" s="27"/>
      <c r="Y60" s="12"/>
      <c r="Z60" s="15"/>
      <c r="AA60" s="10"/>
      <c r="AB60" s="10"/>
      <c r="AC60" s="29"/>
      <c r="AE60" s="26"/>
      <c r="AF60" s="16"/>
      <c r="AG60" s="20"/>
      <c r="AH60" s="16"/>
      <c r="AI60" s="22"/>
      <c r="AK60" s="8"/>
      <c r="AL60" s="16"/>
      <c r="AM60" s="8"/>
    </row>
    <row r="61" spans="1:39" ht="22.5" customHeight="1" x14ac:dyDescent="0.35">
      <c r="A61" s="13"/>
      <c r="B61" s="2" t="s">
        <v>8</v>
      </c>
      <c r="C61" s="25">
        <v>14.203224236333659</v>
      </c>
      <c r="D61" s="25">
        <v>24.518612103666342</v>
      </c>
      <c r="E61" s="25">
        <v>5.5160734700000003</v>
      </c>
      <c r="F61" s="31"/>
      <c r="G61" s="25">
        <v>-0.33299108999999999</v>
      </c>
      <c r="H61" s="45"/>
      <c r="I61" s="45"/>
      <c r="J61" s="6"/>
      <c r="K61" s="6"/>
      <c r="L61" s="6"/>
      <c r="M61" s="6"/>
      <c r="N61" s="6"/>
      <c r="O61" s="6"/>
      <c r="P61" s="6"/>
      <c r="Q61" s="26"/>
      <c r="R61" s="26"/>
      <c r="S61" s="26"/>
      <c r="T61" s="26"/>
      <c r="U61" s="26"/>
      <c r="V61" s="26"/>
      <c r="W61" s="27"/>
      <c r="Y61" s="12"/>
      <c r="Z61" s="15"/>
      <c r="AA61" s="10"/>
      <c r="AB61" s="10"/>
      <c r="AC61" s="29"/>
      <c r="AE61" s="26"/>
      <c r="AF61" s="16"/>
      <c r="AG61" s="20"/>
      <c r="AH61" s="16"/>
      <c r="AI61" s="22"/>
      <c r="AK61" s="8"/>
      <c r="AL61" s="16"/>
      <c r="AM61" s="8"/>
    </row>
    <row r="62" spans="1:39" ht="22.5" customHeight="1" x14ac:dyDescent="0.35">
      <c r="A62" s="13"/>
      <c r="B62" s="2" t="s">
        <v>9</v>
      </c>
      <c r="C62" s="25">
        <v>13.932076316648798</v>
      </c>
      <c r="D62" s="25">
        <v>23.730300103351201</v>
      </c>
      <c r="E62" s="25">
        <v>5.44599498</v>
      </c>
      <c r="F62" s="31"/>
      <c r="G62" s="25">
        <v>-8.7839951700000007</v>
      </c>
      <c r="H62" s="45"/>
      <c r="I62" s="45"/>
      <c r="J62" s="6"/>
      <c r="K62" s="6"/>
      <c r="L62" s="6"/>
      <c r="M62" s="6"/>
      <c r="N62" s="6"/>
      <c r="O62" s="6"/>
      <c r="P62" s="6"/>
      <c r="Q62" s="26"/>
      <c r="R62" s="26"/>
      <c r="S62" s="26"/>
      <c r="T62" s="26"/>
      <c r="U62" s="26"/>
      <c r="V62" s="26"/>
      <c r="W62" s="27"/>
      <c r="Y62" s="12"/>
      <c r="Z62" s="15"/>
      <c r="AA62" s="10"/>
      <c r="AB62" s="10"/>
      <c r="AC62" s="29"/>
      <c r="AE62" s="26"/>
      <c r="AF62" s="16"/>
      <c r="AG62" s="20"/>
      <c r="AH62" s="16"/>
      <c r="AI62" s="22"/>
      <c r="AK62" s="8"/>
      <c r="AL62" s="16"/>
      <c r="AM62" s="8"/>
    </row>
    <row r="63" spans="1:39" ht="22.5" customHeight="1" x14ac:dyDescent="0.35">
      <c r="A63" s="13"/>
      <c r="B63" s="175" t="s">
        <v>126</v>
      </c>
      <c r="C63" s="25">
        <v>14.614718331177812</v>
      </c>
      <c r="D63" s="25">
        <v>23.46502373882219</v>
      </c>
      <c r="E63" s="25">
        <v>5.6955381599999999</v>
      </c>
      <c r="F63" s="31"/>
      <c r="G63" s="25">
        <v>9.9440959200000005</v>
      </c>
      <c r="H63" s="45"/>
      <c r="I63" s="45"/>
      <c r="J63" s="6">
        <v>6.4560686499999997</v>
      </c>
      <c r="K63" s="6"/>
      <c r="L63" s="6"/>
      <c r="M63" s="6">
        <v>-1.2379263300000001</v>
      </c>
      <c r="N63" s="6"/>
      <c r="O63" s="6"/>
      <c r="P63" s="6"/>
      <c r="Q63" s="26"/>
      <c r="R63" s="26"/>
      <c r="S63" s="26"/>
      <c r="T63" s="26"/>
      <c r="U63" s="26"/>
      <c r="V63" s="26"/>
      <c r="W63" s="27"/>
      <c r="Y63" s="12"/>
      <c r="Z63" s="10"/>
      <c r="AA63" s="10"/>
      <c r="AB63" s="10"/>
      <c r="AC63" s="29"/>
      <c r="AE63" s="26"/>
      <c r="AG63" s="20"/>
      <c r="AI63" s="19"/>
      <c r="AK63" s="8"/>
      <c r="AM63" s="19"/>
    </row>
    <row r="64" spans="1:39" ht="22.5" customHeight="1" x14ac:dyDescent="0.35">
      <c r="A64" s="13"/>
      <c r="B64" s="2" t="s">
        <v>0</v>
      </c>
      <c r="C64" s="25">
        <v>14.209055806527298</v>
      </c>
      <c r="D64" s="25">
        <v>24.833183093472702</v>
      </c>
      <c r="E64" s="25">
        <v>5.73690839</v>
      </c>
      <c r="F64" s="31"/>
      <c r="G64" s="25">
        <v>-6.98557703</v>
      </c>
      <c r="H64" s="45"/>
      <c r="I64" s="45"/>
      <c r="J64" s="6">
        <v>2.0145697600000001</v>
      </c>
      <c r="K64" s="6"/>
      <c r="L64" s="6"/>
      <c r="M64" s="6">
        <v>2.9722234200000002</v>
      </c>
      <c r="N64" s="6"/>
      <c r="O64" s="6"/>
      <c r="P64" s="6"/>
      <c r="Q64" s="26"/>
      <c r="R64" s="26"/>
      <c r="S64" s="26"/>
      <c r="T64" s="26"/>
      <c r="U64" s="26"/>
      <c r="V64" s="26"/>
      <c r="W64" s="27"/>
      <c r="Y64" s="12"/>
      <c r="Z64" s="10"/>
      <c r="AA64" s="10"/>
      <c r="AB64" s="10"/>
      <c r="AC64" s="29"/>
      <c r="AE64" s="26"/>
      <c r="AF64" s="16"/>
      <c r="AG64" s="20"/>
      <c r="AH64" s="16"/>
      <c r="AI64" s="22"/>
      <c r="AK64" s="8"/>
      <c r="AL64" s="16"/>
      <c r="AM64" s="19"/>
    </row>
    <row r="65" spans="1:39" ht="22.5" customHeight="1" x14ac:dyDescent="0.35">
      <c r="A65" s="13"/>
      <c r="B65" s="2" t="s">
        <v>11</v>
      </c>
      <c r="C65" s="25">
        <v>14.780465866386653</v>
      </c>
      <c r="D65" s="25">
        <v>25.754234423613347</v>
      </c>
      <c r="E65" s="25">
        <v>5.8093554699999999</v>
      </c>
      <c r="F65" s="31"/>
      <c r="G65" s="25">
        <v>2.4421780000000001E-2</v>
      </c>
      <c r="H65" s="45"/>
      <c r="I65" s="45"/>
      <c r="J65" s="6">
        <v>2.1470270199999999</v>
      </c>
      <c r="K65" s="6"/>
      <c r="L65" s="6"/>
      <c r="M65" s="6">
        <v>3.0290198300000002</v>
      </c>
      <c r="N65" s="6"/>
      <c r="O65" s="6"/>
      <c r="P65" s="6"/>
      <c r="Q65" s="26"/>
      <c r="R65" s="26"/>
      <c r="S65" s="26"/>
      <c r="T65" s="26"/>
      <c r="U65" s="26"/>
      <c r="V65" s="26"/>
      <c r="W65" s="27"/>
      <c r="Y65" s="12"/>
      <c r="Z65" s="10"/>
      <c r="AA65" s="10"/>
      <c r="AB65" s="10"/>
      <c r="AC65" s="29"/>
      <c r="AE65" s="26"/>
      <c r="AF65" s="16"/>
      <c r="AG65" s="20"/>
      <c r="AH65" s="16"/>
      <c r="AI65" s="22"/>
      <c r="AK65" s="8"/>
      <c r="AL65" s="16"/>
      <c r="AM65" s="8"/>
    </row>
    <row r="66" spans="1:39" ht="22.5" customHeight="1" x14ac:dyDescent="0.35">
      <c r="A66" s="13"/>
      <c r="B66" s="2" t="s">
        <v>1</v>
      </c>
      <c r="C66" s="25">
        <v>14.649513024907924</v>
      </c>
      <c r="D66" s="25">
        <v>25.226628505092076</v>
      </c>
      <c r="E66" s="25">
        <v>5.7492290600000002</v>
      </c>
      <c r="F66" s="31"/>
      <c r="G66" s="25">
        <v>-2.9718303000000001</v>
      </c>
      <c r="H66" s="45"/>
      <c r="I66" s="45"/>
      <c r="J66" s="6">
        <v>2.0985462500000001</v>
      </c>
      <c r="K66" s="6"/>
      <c r="L66" s="6"/>
      <c r="M66" s="6">
        <v>2.9570604600000001</v>
      </c>
      <c r="N66" s="6"/>
      <c r="O66" s="6"/>
      <c r="P66" s="6"/>
      <c r="Q66" s="26"/>
      <c r="R66" s="26"/>
      <c r="S66" s="26"/>
      <c r="T66" s="26"/>
      <c r="U66" s="26"/>
      <c r="V66" s="26"/>
      <c r="W66" s="27"/>
      <c r="Y66" s="12"/>
      <c r="Z66" s="10"/>
      <c r="AA66" s="10"/>
      <c r="AB66" s="10"/>
      <c r="AC66" s="29"/>
      <c r="AE66" s="26"/>
      <c r="AF66" s="16"/>
      <c r="AG66" s="20"/>
      <c r="AH66" s="16"/>
      <c r="AI66" s="22"/>
      <c r="AK66" s="8"/>
      <c r="AL66" s="16"/>
      <c r="AM66" s="8"/>
    </row>
    <row r="67" spans="1:39" ht="22.5" customHeight="1" x14ac:dyDescent="0.35">
      <c r="A67" s="13"/>
      <c r="B67" s="2" t="s">
        <v>2</v>
      </c>
      <c r="C67" s="25">
        <v>14.581835706399962</v>
      </c>
      <c r="D67" s="25">
        <v>25.718614093600035</v>
      </c>
      <c r="E67" s="25">
        <v>5.7717099300000001</v>
      </c>
      <c r="F67" s="31"/>
      <c r="G67" s="25">
        <v>-0.98523282000000001</v>
      </c>
      <c r="H67" s="45"/>
      <c r="I67" s="45"/>
      <c r="J67" s="6">
        <v>2.3030532400000001</v>
      </c>
      <c r="K67" s="6"/>
      <c r="L67" s="6"/>
      <c r="M67" s="6">
        <v>3.1740856599999998</v>
      </c>
      <c r="N67" s="6"/>
      <c r="O67" s="6"/>
      <c r="P67" s="6"/>
      <c r="Q67" s="26"/>
      <c r="R67" s="26"/>
      <c r="S67" s="26"/>
      <c r="T67" s="26"/>
      <c r="U67" s="26"/>
      <c r="V67" s="26"/>
      <c r="W67" s="27"/>
      <c r="Y67" s="12"/>
      <c r="Z67" s="10"/>
      <c r="AA67" s="10"/>
      <c r="AB67" s="10"/>
      <c r="AC67" s="29"/>
      <c r="AE67" s="26"/>
      <c r="AF67" s="16"/>
      <c r="AG67" s="20"/>
      <c r="AH67" s="16"/>
      <c r="AI67" s="22"/>
      <c r="AK67" s="8"/>
      <c r="AL67" s="16"/>
      <c r="AM67" s="8"/>
    </row>
    <row r="68" spans="1:39" ht="22.5" customHeight="1" x14ac:dyDescent="0.35">
      <c r="A68" s="13"/>
      <c r="B68" s="2" t="s">
        <v>3</v>
      </c>
      <c r="C68" s="25">
        <v>14.243939044614553</v>
      </c>
      <c r="D68" s="25">
        <v>24.953588965385446</v>
      </c>
      <c r="E68" s="25">
        <v>5.5515950900000002</v>
      </c>
      <c r="F68" s="31"/>
      <c r="G68" s="25">
        <v>-1.9732718899999999</v>
      </c>
      <c r="H68" s="45"/>
      <c r="I68" s="45"/>
      <c r="J68" s="6">
        <v>2.1186010300000002</v>
      </c>
      <c r="K68" s="6"/>
      <c r="L68" s="6"/>
      <c r="M68" s="6">
        <v>2.90812896</v>
      </c>
      <c r="N68" s="6"/>
      <c r="O68" s="6"/>
      <c r="P68" s="6"/>
      <c r="Q68" s="26"/>
      <c r="R68" s="26"/>
      <c r="S68" s="26"/>
      <c r="T68" s="26"/>
      <c r="U68" s="26"/>
      <c r="V68" s="26"/>
      <c r="W68" s="27"/>
      <c r="Y68" s="12"/>
      <c r="Z68" s="10"/>
      <c r="AA68" s="10"/>
      <c r="AB68" s="10"/>
      <c r="AC68" s="29"/>
      <c r="AE68" s="26"/>
      <c r="AF68" s="16"/>
      <c r="AG68" s="20"/>
      <c r="AH68" s="16"/>
      <c r="AI68" s="22"/>
      <c r="AK68" s="8"/>
      <c r="AL68" s="16"/>
      <c r="AM68" s="8"/>
    </row>
    <row r="69" spans="1:39" ht="22.5" customHeight="1" x14ac:dyDescent="0.35">
      <c r="A69" s="13"/>
      <c r="B69" s="2" t="s">
        <v>4</v>
      </c>
      <c r="C69" s="25">
        <v>14.415164137488723</v>
      </c>
      <c r="D69" s="25">
        <v>26.164739422511278</v>
      </c>
      <c r="E69" s="25">
        <v>5.8749355599999999</v>
      </c>
      <c r="F69" s="31"/>
      <c r="G69" s="25">
        <v>0.90794819999999998</v>
      </c>
      <c r="H69" s="45"/>
      <c r="I69" s="45"/>
      <c r="J69" s="6">
        <v>2.2689461299999998</v>
      </c>
      <c r="K69" s="6"/>
      <c r="L69" s="6"/>
      <c r="M69" s="6">
        <v>3.1047771800000001</v>
      </c>
      <c r="N69" s="6"/>
      <c r="O69" s="6"/>
      <c r="P69" s="6"/>
      <c r="Q69" s="26"/>
      <c r="R69" s="26"/>
      <c r="S69" s="26"/>
      <c r="T69" s="26"/>
      <c r="U69" s="26"/>
      <c r="V69" s="26"/>
      <c r="W69" s="27"/>
      <c r="Y69" s="12"/>
      <c r="Z69" s="10"/>
      <c r="AA69" s="10"/>
      <c r="AB69" s="10"/>
      <c r="AC69" s="29"/>
      <c r="AE69" s="26"/>
      <c r="AF69" s="16"/>
      <c r="AG69" s="20"/>
      <c r="AH69" s="16"/>
      <c r="AI69" s="22"/>
      <c r="AK69" s="8"/>
      <c r="AL69" s="16"/>
      <c r="AM69" s="8"/>
    </row>
    <row r="70" spans="1:39" ht="22.5" customHeight="1" x14ac:dyDescent="0.35">
      <c r="A70" s="13"/>
      <c r="B70" s="2" t="s">
        <v>5</v>
      </c>
      <c r="C70" s="25">
        <v>14.217451471758576</v>
      </c>
      <c r="D70" s="25">
        <v>26.688881658241424</v>
      </c>
      <c r="E70" s="25">
        <v>5.9016946099999998</v>
      </c>
      <c r="F70" s="31"/>
      <c r="G70" s="25">
        <v>-1.3697244099999999</v>
      </c>
      <c r="H70" s="45"/>
      <c r="I70" s="45"/>
      <c r="J70" s="6">
        <v>2.18755539</v>
      </c>
      <c r="K70" s="6"/>
      <c r="L70" s="6"/>
      <c r="M70" s="6">
        <v>3.1578755300000001</v>
      </c>
      <c r="N70" s="6"/>
      <c r="O70" s="6"/>
      <c r="P70" s="6"/>
      <c r="Q70" s="26"/>
      <c r="R70" s="26"/>
      <c r="S70" s="26"/>
      <c r="T70" s="26"/>
      <c r="U70" s="26"/>
      <c r="V70" s="26"/>
      <c r="W70" s="27"/>
      <c r="Y70" s="12"/>
      <c r="Z70" s="10"/>
      <c r="AA70" s="10"/>
      <c r="AB70" s="10"/>
      <c r="AC70" s="29"/>
      <c r="AE70" s="26"/>
      <c r="AF70" s="16"/>
      <c r="AG70" s="20"/>
      <c r="AH70" s="16"/>
      <c r="AI70" s="22"/>
      <c r="AK70" s="8"/>
      <c r="AL70" s="16"/>
      <c r="AM70" s="8"/>
    </row>
    <row r="71" spans="1:39" ht="22.5" customHeight="1" x14ac:dyDescent="0.35">
      <c r="A71" s="13"/>
      <c r="B71" s="2" t="s">
        <v>6</v>
      </c>
      <c r="C71" s="25">
        <v>13.834609112999191</v>
      </c>
      <c r="D71" s="25">
        <v>26.486991977000809</v>
      </c>
      <c r="E71" s="25">
        <v>5.8767806699999996</v>
      </c>
      <c r="F71" s="31"/>
      <c r="G71" s="25">
        <v>-5.2479604899999996</v>
      </c>
      <c r="H71" s="45"/>
      <c r="I71" s="45"/>
      <c r="J71" s="6">
        <v>2.1749885199999999</v>
      </c>
      <c r="K71" s="6"/>
      <c r="L71" s="6"/>
      <c r="M71" s="6">
        <v>3.0590252900000001</v>
      </c>
      <c r="N71" s="6"/>
      <c r="O71" s="6"/>
      <c r="P71" s="6"/>
      <c r="Q71" s="26"/>
      <c r="R71" s="26"/>
      <c r="S71" s="26"/>
      <c r="T71" s="26"/>
      <c r="U71" s="26"/>
      <c r="V71" s="26"/>
      <c r="W71" s="27"/>
      <c r="Y71" s="12"/>
      <c r="Z71" s="15"/>
      <c r="AA71" s="10"/>
      <c r="AB71" s="10"/>
      <c r="AC71" s="29"/>
      <c r="AE71" s="26"/>
      <c r="AF71" s="16"/>
      <c r="AG71" s="20"/>
      <c r="AH71" s="16"/>
      <c r="AI71" s="22"/>
      <c r="AK71" s="8"/>
      <c r="AL71" s="16"/>
      <c r="AM71" s="8"/>
    </row>
    <row r="72" spans="1:39" ht="22.5" customHeight="1" x14ac:dyDescent="0.35">
      <c r="A72" s="13"/>
      <c r="B72" s="2" t="s">
        <v>7</v>
      </c>
      <c r="C72" s="25">
        <v>13.867733926857715</v>
      </c>
      <c r="D72" s="25">
        <v>27.279525743142287</v>
      </c>
      <c r="E72" s="25">
        <v>5.9760640499999997</v>
      </c>
      <c r="F72" s="31"/>
      <c r="G72" s="25">
        <v>-0.51637065999999998</v>
      </c>
      <c r="H72" s="45"/>
      <c r="I72" s="45"/>
      <c r="J72" s="6">
        <v>2.3878801900000002</v>
      </c>
      <c r="K72" s="6"/>
      <c r="L72" s="6"/>
      <c r="M72" s="6">
        <v>3.3865656199999998</v>
      </c>
      <c r="N72" s="6"/>
      <c r="O72" s="6"/>
      <c r="P72" s="6"/>
      <c r="Q72" s="26"/>
      <c r="R72" s="26"/>
      <c r="S72" s="26"/>
      <c r="T72" s="26"/>
      <c r="U72" s="26"/>
      <c r="V72" s="26"/>
      <c r="W72" s="27"/>
      <c r="Y72" s="12"/>
      <c r="Z72" s="15"/>
      <c r="AA72" s="10"/>
      <c r="AB72" s="10"/>
      <c r="AC72" s="29"/>
      <c r="AE72" s="26"/>
      <c r="AF72" s="16"/>
      <c r="AG72" s="20"/>
      <c r="AH72" s="16"/>
      <c r="AI72" s="22"/>
      <c r="AK72" s="8"/>
      <c r="AL72" s="16"/>
      <c r="AM72" s="8"/>
    </row>
    <row r="73" spans="1:39" ht="22.5" customHeight="1" x14ac:dyDescent="0.35">
      <c r="A73" s="13"/>
      <c r="B73" s="2" t="s">
        <v>8</v>
      </c>
      <c r="C73" s="25">
        <v>13.545669140586728</v>
      </c>
      <c r="D73" s="25">
        <v>27.114231849413272</v>
      </c>
      <c r="E73" s="25">
        <v>5.9762603600000004</v>
      </c>
      <c r="F73" s="31"/>
      <c r="G73" s="25">
        <v>-3.5364466299999999</v>
      </c>
      <c r="H73" s="45"/>
      <c r="I73" s="45"/>
      <c r="J73" s="6">
        <v>2.3106358</v>
      </c>
      <c r="K73" s="6"/>
      <c r="L73" s="6"/>
      <c r="M73" s="6">
        <v>3.0878923600000001</v>
      </c>
      <c r="N73" s="6"/>
      <c r="O73" s="6"/>
      <c r="P73" s="6"/>
      <c r="Q73" s="26"/>
      <c r="R73" s="26"/>
      <c r="S73" s="26"/>
      <c r="T73" s="26"/>
      <c r="U73" s="26"/>
      <c r="V73" s="26"/>
      <c r="W73" s="27"/>
      <c r="Y73" s="12"/>
      <c r="Z73" s="15"/>
      <c r="AA73" s="10"/>
      <c r="AB73" s="10"/>
      <c r="AC73" s="29"/>
      <c r="AE73" s="26"/>
      <c r="AF73" s="16"/>
      <c r="AG73" s="20"/>
      <c r="AH73" s="16"/>
      <c r="AI73" s="22"/>
      <c r="AK73" s="8"/>
      <c r="AL73" s="16"/>
      <c r="AM73" s="8"/>
    </row>
    <row r="74" spans="1:39" ht="22.5" customHeight="1" x14ac:dyDescent="0.35">
      <c r="A74" s="13"/>
      <c r="B74" s="2" t="s">
        <v>9</v>
      </c>
      <c r="C74" s="25">
        <v>13.41632227775723</v>
      </c>
      <c r="D74" s="25">
        <v>27.376672572242772</v>
      </c>
      <c r="E74" s="25">
        <v>6.0107447699999996</v>
      </c>
      <c r="F74" s="31"/>
      <c r="G74" s="25">
        <v>1.32896558</v>
      </c>
      <c r="H74" s="45"/>
      <c r="I74" s="45"/>
      <c r="J74" s="6">
        <v>2.3014105699999998</v>
      </c>
      <c r="K74" s="6"/>
      <c r="L74" s="6"/>
      <c r="M74" s="6">
        <v>3.1399576200000001</v>
      </c>
      <c r="N74" s="6"/>
      <c r="O74" s="6"/>
      <c r="P74" s="6"/>
      <c r="Q74" s="26"/>
      <c r="R74" s="26"/>
      <c r="S74" s="26"/>
      <c r="T74" s="26"/>
      <c r="U74" s="26"/>
      <c r="V74" s="26"/>
      <c r="W74" s="27"/>
      <c r="Y74" s="12"/>
      <c r="Z74" s="15"/>
      <c r="AA74" s="10"/>
      <c r="AB74" s="10"/>
      <c r="AC74" s="29"/>
      <c r="AE74" s="26"/>
      <c r="AF74" s="16"/>
      <c r="AG74" s="20"/>
      <c r="AH74" s="16"/>
      <c r="AI74" s="22"/>
      <c r="AK74" s="8"/>
      <c r="AL74" s="16"/>
      <c r="AM74" s="8"/>
    </row>
    <row r="75" spans="1:39" ht="22.5" customHeight="1" x14ac:dyDescent="0.35">
      <c r="A75" s="13"/>
      <c r="B75" s="2" t="s">
        <v>16</v>
      </c>
      <c r="C75" s="25">
        <v>13.1</v>
      </c>
      <c r="D75" s="21">
        <v>27</v>
      </c>
      <c r="E75" s="25">
        <v>6</v>
      </c>
      <c r="F75" s="25">
        <f>S75+T75</f>
        <v>1.4204933636363637</v>
      </c>
      <c r="G75" s="25">
        <f>SUM(H75:R75)-K75-L75</f>
        <v>13.774090178183584</v>
      </c>
      <c r="H75" s="45">
        <v>3.9261463636363632E-2</v>
      </c>
      <c r="I75" s="45">
        <v>1.2222954545454546E-2</v>
      </c>
      <c r="J75" s="6">
        <v>2.23213134</v>
      </c>
      <c r="K75" s="6">
        <v>0.84672804999999995</v>
      </c>
      <c r="L75" s="6">
        <v>1.38540329</v>
      </c>
      <c r="M75" s="6">
        <v>3.1274009600000001</v>
      </c>
      <c r="N75" s="6">
        <v>1.4499999999999997E-12</v>
      </c>
      <c r="O75" s="6">
        <v>3.1454545454545451E-13</v>
      </c>
      <c r="P75" s="6">
        <v>0.77245242000000003</v>
      </c>
      <c r="Q75" s="26">
        <v>6.9</v>
      </c>
      <c r="R75" s="26">
        <v>0.69062104000000002</v>
      </c>
      <c r="S75" s="26">
        <v>0.66643581818181818</v>
      </c>
      <c r="T75" s="26">
        <v>0.7540575454545454</v>
      </c>
      <c r="U75" s="26">
        <v>3.7674582909090906</v>
      </c>
      <c r="V75" s="26"/>
      <c r="W75" s="27">
        <f t="shared" ref="W75:W86" si="0">SUM(C75:G75)+AI75</f>
        <v>61.294583541819947</v>
      </c>
      <c r="Y75" s="12"/>
      <c r="Z75" s="10">
        <v>0.18591711232500002</v>
      </c>
      <c r="AA75" s="10">
        <v>1.3299137295832499</v>
      </c>
      <c r="AB75" s="10">
        <v>3.0397530000000001</v>
      </c>
      <c r="AC75" s="29">
        <f>SUM(Z75:AB75)</f>
        <v>4.5555838419082502</v>
      </c>
      <c r="AE75" s="26">
        <v>2.7756569999999998</v>
      </c>
      <c r="AG75" s="20">
        <v>5.5675731545454541</v>
      </c>
      <c r="AI75" s="19"/>
      <c r="AK75" s="8">
        <v>0.56675599999999993</v>
      </c>
      <c r="AM75" s="19"/>
    </row>
    <row r="76" spans="1:39" ht="22.5" customHeight="1" x14ac:dyDescent="0.35">
      <c r="A76" s="13"/>
      <c r="B76" s="2" t="s">
        <v>0</v>
      </c>
      <c r="C76" s="290">
        <v>12.6</v>
      </c>
      <c r="D76" s="21">
        <v>27.4</v>
      </c>
      <c r="E76" s="25">
        <v>5.6</v>
      </c>
      <c r="F76" s="25">
        <f t="shared" ref="F76:F91" si="1">S76+T76</f>
        <v>1.3998650909090908</v>
      </c>
      <c r="G76" s="25">
        <f t="shared" ref="G76:G86" si="2">SUM(H76:R76)-K76-L76</f>
        <v>12.552549499242668</v>
      </c>
      <c r="H76" s="45">
        <v>3.9261463636363632E-2</v>
      </c>
      <c r="I76" s="45">
        <v>1.2222954545454546E-2</v>
      </c>
      <c r="J76" s="6">
        <v>2.21465646</v>
      </c>
      <c r="K76" s="6">
        <v>0.86403094000000003</v>
      </c>
      <c r="L76" s="6">
        <v>1.3506255199999999</v>
      </c>
      <c r="M76" s="6">
        <v>2.8250898599999998</v>
      </c>
      <c r="N76" s="6">
        <v>1.4499999999999997E-12</v>
      </c>
      <c r="O76" s="6">
        <v>3.1454545454545451E-13</v>
      </c>
      <c r="P76" s="6">
        <v>-0.51343304894091601</v>
      </c>
      <c r="Q76" s="26">
        <v>7.3</v>
      </c>
      <c r="R76" s="26">
        <v>0.67475181000000006</v>
      </c>
      <c r="S76" s="26">
        <v>0.64377963636363633</v>
      </c>
      <c r="T76" s="26">
        <v>0.75608545454545451</v>
      </c>
      <c r="U76" s="26">
        <v>3.7617236545454542</v>
      </c>
      <c r="V76" s="26"/>
      <c r="W76" s="27">
        <f t="shared" si="0"/>
        <v>59.561211118751757</v>
      </c>
      <c r="Y76" s="12"/>
      <c r="Z76" s="10">
        <v>0.17202620662500001</v>
      </c>
      <c r="AA76" s="10">
        <v>1.2242758217445</v>
      </c>
      <c r="AB76" s="10">
        <v>2.8835017500000006</v>
      </c>
      <c r="AC76" s="29">
        <f t="shared" ref="AC76:AC86" si="3">SUM(Z76:AB76)</f>
        <v>4.2798037783695007</v>
      </c>
      <c r="AE76" s="26">
        <v>2.7472658181818179</v>
      </c>
      <c r="AF76" s="16">
        <f>AG76/AG75-1</f>
        <v>-1.0594526261741732E-2</v>
      </c>
      <c r="AG76" s="20">
        <v>5.5085873545454538</v>
      </c>
      <c r="AH76" s="16"/>
      <c r="AI76" s="22">
        <v>8.796528599999999E-3</v>
      </c>
      <c r="AK76" s="8">
        <v>0.56172763636363632</v>
      </c>
      <c r="AL76" s="16"/>
      <c r="AM76" s="19"/>
    </row>
    <row r="77" spans="1:39" ht="22.5" customHeight="1" x14ac:dyDescent="0.35">
      <c r="A77" s="13"/>
      <c r="B77" s="2" t="s">
        <v>11</v>
      </c>
      <c r="C77" s="290">
        <v>12.4</v>
      </c>
      <c r="D77" s="21">
        <v>26.9</v>
      </c>
      <c r="E77" s="25">
        <v>5.8</v>
      </c>
      <c r="F77" s="25">
        <f t="shared" si="1"/>
        <v>1.4023071818181818</v>
      </c>
      <c r="G77" s="25">
        <f t="shared" si="2"/>
        <v>12.636273442802667</v>
      </c>
      <c r="H77" s="45">
        <v>3.9261463636363632E-2</v>
      </c>
      <c r="I77" s="45">
        <v>1.2222954545454546E-2</v>
      </c>
      <c r="J77" s="6">
        <v>2.1495214300000001</v>
      </c>
      <c r="K77" s="6">
        <v>0.86587024000000001</v>
      </c>
      <c r="L77" s="6">
        <v>1.2836511900000001</v>
      </c>
      <c r="M77" s="6">
        <v>2.8453138</v>
      </c>
      <c r="N77" s="6">
        <v>1.4499999999999997E-12</v>
      </c>
      <c r="O77" s="6">
        <v>3.1454545454545451E-13</v>
      </c>
      <c r="P77" s="6">
        <v>-0.36601363538091658</v>
      </c>
      <c r="Q77" s="26">
        <v>7.3</v>
      </c>
      <c r="R77" s="26">
        <v>0.65596743000000002</v>
      </c>
      <c r="S77" s="26">
        <v>0.62717263636363629</v>
      </c>
      <c r="T77" s="26">
        <v>0.77513454545454541</v>
      </c>
      <c r="U77" s="26">
        <v>3.8191253454545451</v>
      </c>
      <c r="V77" s="26"/>
      <c r="W77" s="27">
        <f t="shared" si="0"/>
        <v>59.175380305820845</v>
      </c>
      <c r="Y77" s="12"/>
      <c r="Z77" s="10">
        <v>0.158135300925</v>
      </c>
      <c r="AA77" s="10">
        <v>1.1224548063592499</v>
      </c>
      <c r="AB77" s="10">
        <v>2.6704671000000002</v>
      </c>
      <c r="AC77" s="29">
        <f t="shared" si="3"/>
        <v>3.9510572072842498</v>
      </c>
      <c r="AE77" s="26">
        <v>2.7423490909090908</v>
      </c>
      <c r="AF77" s="16">
        <f t="shared" ref="AF77:AF86" si="4">AG77/AG76-1</f>
        <v>-1.0073032929648451E-2</v>
      </c>
      <c r="AG77" s="20">
        <v>5.4530991727272724</v>
      </c>
      <c r="AH77" s="16"/>
      <c r="AI77" s="22">
        <v>3.6799681200000003E-2</v>
      </c>
      <c r="AK77" s="8">
        <v>0.54870245454545452</v>
      </c>
      <c r="AL77" s="16"/>
      <c r="AM77" s="8">
        <v>0.36</v>
      </c>
    </row>
    <row r="78" spans="1:39" ht="22.5" customHeight="1" x14ac:dyDescent="0.35">
      <c r="A78" s="13"/>
      <c r="B78" s="2" t="s">
        <v>1</v>
      </c>
      <c r="C78" s="290">
        <v>12.1</v>
      </c>
      <c r="D78" s="21">
        <v>27.1</v>
      </c>
      <c r="E78" s="25">
        <v>5.8</v>
      </c>
      <c r="F78" s="25">
        <f t="shared" si="1"/>
        <v>1.4020219999999999</v>
      </c>
      <c r="G78" s="25">
        <f t="shared" si="2"/>
        <v>10.450550837274729</v>
      </c>
      <c r="H78" s="45">
        <v>3.9261463636363632E-2</v>
      </c>
      <c r="I78" s="45">
        <v>1.2222954545454546E-2</v>
      </c>
      <c r="J78" s="6">
        <v>2.4828519899999999</v>
      </c>
      <c r="K78" s="6">
        <v>0.87979507999999995</v>
      </c>
      <c r="L78" s="6">
        <v>1.6030569100000001</v>
      </c>
      <c r="M78" s="6">
        <v>3.0736176199999998</v>
      </c>
      <c r="N78" s="6">
        <v>1.4499999999999997E-12</v>
      </c>
      <c r="O78" s="6">
        <v>3.1454545454545451E-13</v>
      </c>
      <c r="P78" s="6">
        <v>-3.1684718009088515</v>
      </c>
      <c r="Q78" s="26">
        <v>7.35</v>
      </c>
      <c r="R78" s="26">
        <v>0.66106860999999995</v>
      </c>
      <c r="S78" s="26">
        <v>0.61142545454545449</v>
      </c>
      <c r="T78" s="26">
        <v>0.79059654545454539</v>
      </c>
      <c r="U78" s="26">
        <v>3.8458707090909088</v>
      </c>
      <c r="V78" s="26"/>
      <c r="W78" s="27">
        <f t="shared" si="0"/>
        <v>56.964080818474734</v>
      </c>
      <c r="Y78" s="12"/>
      <c r="Z78" s="10">
        <v>0.14424439522500002</v>
      </c>
      <c r="AA78" s="10">
        <v>1.0293812189955001</v>
      </c>
      <c r="AB78" s="10">
        <v>2.5010859000000001</v>
      </c>
      <c r="AC78" s="29">
        <f t="shared" si="3"/>
        <v>3.6747115142205002</v>
      </c>
      <c r="AE78" s="26">
        <v>2.6971310000000002</v>
      </c>
      <c r="AF78" s="16">
        <f t="shared" si="4"/>
        <v>-1.5628755657277171E-2</v>
      </c>
      <c r="AG78" s="20">
        <v>5.3678740181818174</v>
      </c>
      <c r="AH78" s="16"/>
      <c r="AI78" s="22">
        <v>0.11150798120000001</v>
      </c>
      <c r="AK78" s="8">
        <v>0.52433618181818176</v>
      </c>
      <c r="AL78" s="16">
        <f>AM78/AM77-1</f>
        <v>0.13888888888888884</v>
      </c>
      <c r="AM78" s="8">
        <v>0.41</v>
      </c>
    </row>
    <row r="79" spans="1:39" ht="22.5" customHeight="1" x14ac:dyDescent="0.35">
      <c r="A79" s="13"/>
      <c r="B79" s="2" t="s">
        <v>2</v>
      </c>
      <c r="C79" s="290">
        <v>11.6</v>
      </c>
      <c r="D79" s="21">
        <v>26.8</v>
      </c>
      <c r="E79" s="25">
        <v>5.8</v>
      </c>
      <c r="F79" s="25">
        <f t="shared" si="1"/>
        <v>1.3686675454545454</v>
      </c>
      <c r="G79" s="25">
        <f t="shared" si="2"/>
        <v>11.187283434387636</v>
      </c>
      <c r="H79" s="45">
        <v>3.9261463636363632E-2</v>
      </c>
      <c r="I79" s="45">
        <v>1.2222954545454546E-2</v>
      </c>
      <c r="J79" s="6">
        <v>2.2195728799999999</v>
      </c>
      <c r="K79" s="6">
        <v>0.83742289000000003</v>
      </c>
      <c r="L79" s="6">
        <v>1.3821499900000001</v>
      </c>
      <c r="M79" s="6">
        <v>2.7987114399999999</v>
      </c>
      <c r="N79" s="6">
        <v>1.4499999999999997E-12</v>
      </c>
      <c r="O79" s="6">
        <v>3.1454545454545451E-13</v>
      </c>
      <c r="P79" s="6">
        <v>-1.936921103795948</v>
      </c>
      <c r="Q79" s="26">
        <v>7.3868889199999996</v>
      </c>
      <c r="R79" s="26">
        <v>0.66754687999999995</v>
      </c>
      <c r="S79" s="26">
        <v>0.59513263636363634</v>
      </c>
      <c r="T79" s="26">
        <v>0.77353490909090905</v>
      </c>
      <c r="U79" s="26">
        <v>3.7675158727272726</v>
      </c>
      <c r="V79" s="26"/>
      <c r="W79" s="27">
        <f t="shared" si="0"/>
        <v>56.948610184842174</v>
      </c>
      <c r="Y79" s="12"/>
      <c r="Z79" s="10">
        <v>0.130353489525</v>
      </c>
      <c r="AA79" s="10">
        <v>0.93992314020675005</v>
      </c>
      <c r="AB79" s="10">
        <v>2.3484199500000003</v>
      </c>
      <c r="AC79" s="29">
        <f t="shared" si="3"/>
        <v>3.4186965797317503</v>
      </c>
      <c r="AE79" s="26">
        <v>2.6393608181818178</v>
      </c>
      <c r="AF79" s="16">
        <f t="shared" si="4"/>
        <v>-1.5592663736509249E-2</v>
      </c>
      <c r="AG79" s="20">
        <v>5.2841745636363635</v>
      </c>
      <c r="AH79" s="16"/>
      <c r="AI79" s="22">
        <v>0.192659205</v>
      </c>
      <c r="AK79" s="8">
        <v>0.50575281818181816</v>
      </c>
      <c r="AL79" s="16">
        <f t="shared" ref="AL79:AL87" si="5">AM79/AM78-1</f>
        <v>0.14634146341463405</v>
      </c>
      <c r="AM79" s="8">
        <v>0.47</v>
      </c>
    </row>
    <row r="80" spans="1:39" ht="22.5" customHeight="1" x14ac:dyDescent="0.35">
      <c r="A80" s="13"/>
      <c r="B80" s="2" t="s">
        <v>3</v>
      </c>
      <c r="C80" s="290">
        <v>11.3</v>
      </c>
      <c r="D80" s="21">
        <v>27.1</v>
      </c>
      <c r="E80" s="25">
        <v>5.7</v>
      </c>
      <c r="F80" s="25">
        <f t="shared" si="1"/>
        <v>1.3566463636363637</v>
      </c>
      <c r="G80" s="25">
        <f t="shared" si="2"/>
        <v>11.118716686032666</v>
      </c>
      <c r="H80" s="45">
        <v>3.9261463636363632E-2</v>
      </c>
      <c r="I80" s="45">
        <v>1.2222954545454546E-2</v>
      </c>
      <c r="J80" s="6">
        <v>2.0524255299999998</v>
      </c>
      <c r="K80" s="6">
        <v>0.80450580000000005</v>
      </c>
      <c r="L80" s="6">
        <v>1.24791973</v>
      </c>
      <c r="M80" s="6">
        <v>2.64147547</v>
      </c>
      <c r="N80" s="6">
        <v>1.4499999999999997E-12</v>
      </c>
      <c r="O80" s="6">
        <v>3.1454545454545451E-13</v>
      </c>
      <c r="P80" s="6">
        <v>-1.5859056921509171</v>
      </c>
      <c r="Q80" s="26">
        <v>7.3146807799999998</v>
      </c>
      <c r="R80" s="26">
        <v>0.64455618000000003</v>
      </c>
      <c r="S80" s="26">
        <v>0.58082009090909092</v>
      </c>
      <c r="T80" s="26">
        <v>0.77582627272727267</v>
      </c>
      <c r="U80" s="26">
        <v>3.7675453999999995</v>
      </c>
      <c r="V80" s="26"/>
      <c r="W80" s="27">
        <f t="shared" si="0"/>
        <v>56.853447412269034</v>
      </c>
      <c r="Y80" s="12"/>
      <c r="Z80" s="10">
        <v>0.10619142607499998</v>
      </c>
      <c r="AA80" s="10">
        <v>0.85675520524650006</v>
      </c>
      <c r="AB80" s="10">
        <v>2.2526343000000004</v>
      </c>
      <c r="AC80" s="29">
        <f t="shared" si="3"/>
        <v>3.2155809313215005</v>
      </c>
      <c r="AE80" s="26">
        <v>2.5545064545454546</v>
      </c>
      <c r="AF80" s="16">
        <f t="shared" si="4"/>
        <v>-2.1127429824328248E-2</v>
      </c>
      <c r="AG80" s="20">
        <v>5.1725335363636358</v>
      </c>
      <c r="AH80" s="16"/>
      <c r="AI80" s="22">
        <v>0.27808436260000002</v>
      </c>
      <c r="AK80" s="8">
        <v>0.48581199999999991</v>
      </c>
      <c r="AL80" s="16">
        <f t="shared" si="5"/>
        <v>8.5106382978723527E-2</v>
      </c>
      <c r="AM80" s="8">
        <v>0.51</v>
      </c>
    </row>
    <row r="81" spans="1:39" ht="22.5" customHeight="1" x14ac:dyDescent="0.35">
      <c r="A81" s="13"/>
      <c r="B81" s="2" t="s">
        <v>4</v>
      </c>
      <c r="C81" s="290">
        <v>11.1</v>
      </c>
      <c r="D81" s="21">
        <v>27</v>
      </c>
      <c r="E81" s="25">
        <v>5.8</v>
      </c>
      <c r="F81" s="25">
        <f t="shared" si="1"/>
        <v>1.3554648181818181</v>
      </c>
      <c r="G81" s="25">
        <f t="shared" si="2"/>
        <v>13.248402942433138</v>
      </c>
      <c r="H81" s="45">
        <v>3.9261463636363632E-2</v>
      </c>
      <c r="I81" s="45">
        <v>1.2222954545454546E-2</v>
      </c>
      <c r="J81" s="6">
        <v>2.3254244599999998</v>
      </c>
      <c r="K81" s="6">
        <v>0.87871838999999996</v>
      </c>
      <c r="L81" s="6">
        <v>1.4467060700000001</v>
      </c>
      <c r="M81" s="6">
        <v>2.8721129599999999</v>
      </c>
      <c r="N81" s="6">
        <v>1.4499999999999997E-12</v>
      </c>
      <c r="O81" s="6">
        <v>3.1454545454545451E-13</v>
      </c>
      <c r="P81" s="6">
        <v>-0.34555638575044634</v>
      </c>
      <c r="Q81" s="26">
        <v>7.6354254900000003</v>
      </c>
      <c r="R81" s="26">
        <v>0.70951200000000003</v>
      </c>
      <c r="S81" s="26">
        <v>0.58167199999999997</v>
      </c>
      <c r="T81" s="26">
        <v>0.77379281818181811</v>
      </c>
      <c r="U81" s="26">
        <v>3.7571024909090904</v>
      </c>
      <c r="V81" s="26"/>
      <c r="W81" s="27">
        <f t="shared" si="0"/>
        <v>58.86524279621495</v>
      </c>
      <c r="Y81" s="12"/>
      <c r="Z81" s="10">
        <v>9.4069018050000022E-2</v>
      </c>
      <c r="AA81" s="10">
        <v>0.77650171002599999</v>
      </c>
      <c r="AB81" s="10">
        <v>2.1628080000000005</v>
      </c>
      <c r="AC81" s="29">
        <f t="shared" si="3"/>
        <v>3.0333787280760003</v>
      </c>
      <c r="AE81" s="26">
        <v>2.5248520909090906</v>
      </c>
      <c r="AF81" s="16">
        <f t="shared" si="4"/>
        <v>-1.0130657107967567E-2</v>
      </c>
      <c r="AG81" s="20">
        <v>5.120132372727273</v>
      </c>
      <c r="AH81" s="16"/>
      <c r="AI81" s="22">
        <v>0.36137503560000006</v>
      </c>
      <c r="AK81" s="8">
        <v>0.47101236363636362</v>
      </c>
      <c r="AL81" s="16">
        <f t="shared" si="5"/>
        <v>7.8431372549019773E-2</v>
      </c>
      <c r="AM81" s="8">
        <v>0.55000000000000004</v>
      </c>
    </row>
    <row r="82" spans="1:39" ht="22.5" customHeight="1" x14ac:dyDescent="0.35">
      <c r="A82" s="13"/>
      <c r="B82" s="2" t="s">
        <v>5</v>
      </c>
      <c r="C82" s="290">
        <v>10.8</v>
      </c>
      <c r="D82" s="21">
        <v>26.8</v>
      </c>
      <c r="E82" s="25">
        <v>5.7</v>
      </c>
      <c r="F82" s="25">
        <f t="shared" si="1"/>
        <v>1.3223840909090909</v>
      </c>
      <c r="G82" s="25">
        <f t="shared" si="2"/>
        <v>11.950354768183583</v>
      </c>
      <c r="H82" s="45">
        <v>3.9261463636363632E-2</v>
      </c>
      <c r="I82" s="45">
        <v>1.2222954545454546E-2</v>
      </c>
      <c r="J82" s="6">
        <v>2.0815852700000002</v>
      </c>
      <c r="K82" s="6">
        <v>0.81494535000000001</v>
      </c>
      <c r="L82" s="6">
        <v>1.26663992</v>
      </c>
      <c r="M82" s="6">
        <v>2.6265047899999998</v>
      </c>
      <c r="N82" s="6">
        <v>1.4499999999999997E-12</v>
      </c>
      <c r="O82" s="6">
        <v>3.1454545454545451E-13</v>
      </c>
      <c r="P82" s="6">
        <v>-0.91438691000000005</v>
      </c>
      <c r="Q82" s="26">
        <v>7.4</v>
      </c>
      <c r="R82" s="26">
        <v>0.70516719999999999</v>
      </c>
      <c r="S82" s="26">
        <v>0.5594788181818181</v>
      </c>
      <c r="T82" s="26">
        <v>0.76290527272727271</v>
      </c>
      <c r="U82" s="26">
        <v>3.6937401545454542</v>
      </c>
      <c r="V82" s="26"/>
      <c r="W82" s="27">
        <f t="shared" si="0"/>
        <v>57.032530520892678</v>
      </c>
      <c r="Y82" s="12"/>
      <c r="Z82" s="10">
        <v>7.2184516425000012E-2</v>
      </c>
      <c r="AA82" s="10">
        <v>0.70736292848025006</v>
      </c>
      <c r="AB82" s="10">
        <v>2.063170575</v>
      </c>
      <c r="AC82" s="29">
        <f t="shared" si="3"/>
        <v>2.84271801990525</v>
      </c>
      <c r="AE82" s="26">
        <v>2.4420310909090905</v>
      </c>
      <c r="AF82" s="16">
        <f t="shared" si="4"/>
        <v>-2.2900915376014241E-2</v>
      </c>
      <c r="AG82" s="20">
        <v>5.0028766545454548</v>
      </c>
      <c r="AH82" s="16"/>
      <c r="AI82" s="22">
        <v>0.45979166179999997</v>
      </c>
      <c r="AK82" s="8">
        <v>0.45455927272727265</v>
      </c>
      <c r="AL82" s="16">
        <f t="shared" si="5"/>
        <v>0.14545454545454528</v>
      </c>
      <c r="AM82" s="8">
        <v>0.63</v>
      </c>
    </row>
    <row r="83" spans="1:39" ht="22.5" customHeight="1" x14ac:dyDescent="0.35">
      <c r="A83" s="13"/>
      <c r="B83" s="2" t="s">
        <v>6</v>
      </c>
      <c r="C83" s="290">
        <v>10.6</v>
      </c>
      <c r="D83" s="21">
        <v>26.9</v>
      </c>
      <c r="E83" s="25">
        <v>5.7</v>
      </c>
      <c r="F83" s="25">
        <f t="shared" si="1"/>
        <v>1.3495930909090907</v>
      </c>
      <c r="G83" s="25">
        <f t="shared" si="2"/>
        <v>10.635016938183583</v>
      </c>
      <c r="H83" s="45">
        <v>3.9261463636363632E-2</v>
      </c>
      <c r="I83" s="45">
        <v>1.2222954545454546E-2</v>
      </c>
      <c r="J83" s="6">
        <v>2.2659388300000001</v>
      </c>
      <c r="K83" s="6">
        <v>0.86559211000000003</v>
      </c>
      <c r="L83" s="6">
        <v>1.4003467199999999</v>
      </c>
      <c r="M83" s="6">
        <v>2.7846918899999999</v>
      </c>
      <c r="N83" s="6">
        <v>1.4499999999999997E-12</v>
      </c>
      <c r="O83" s="6">
        <v>3.1454545454545451E-13</v>
      </c>
      <c r="P83" s="6">
        <v>-2.7508402799999998</v>
      </c>
      <c r="Q83" s="26">
        <v>7.6538857499999997</v>
      </c>
      <c r="R83" s="26">
        <v>0.62985632999999996</v>
      </c>
      <c r="S83" s="26">
        <v>0.55822290909090899</v>
      </c>
      <c r="T83" s="26">
        <v>0.79137018181818175</v>
      </c>
      <c r="U83" s="26">
        <v>3.709337563636363</v>
      </c>
      <c r="V83" s="26"/>
      <c r="W83" s="27">
        <f t="shared" si="0"/>
        <v>55.750596602492678</v>
      </c>
      <c r="Y83" s="12"/>
      <c r="Z83" s="15">
        <v>4.3453085025000004E-2</v>
      </c>
      <c r="AA83" s="10">
        <v>0.64740408955949991</v>
      </c>
      <c r="AB83" s="10">
        <v>1.97923095</v>
      </c>
      <c r="AC83" s="29">
        <f t="shared" si="3"/>
        <v>2.6700881245844998</v>
      </c>
      <c r="AE83" s="26">
        <v>2.3737327272727273</v>
      </c>
      <c r="AF83" s="16">
        <f t="shared" si="4"/>
        <v>-2.7009982140602462E-2</v>
      </c>
      <c r="AG83" s="20">
        <v>4.8677490454545449</v>
      </c>
      <c r="AH83" s="16"/>
      <c r="AI83" s="22">
        <v>0.56598657340000003</v>
      </c>
      <c r="AK83" s="8">
        <v>0.43477627272727265</v>
      </c>
      <c r="AL83" s="16">
        <f t="shared" si="5"/>
        <v>7.9365079365079527E-2</v>
      </c>
      <c r="AM83" s="8">
        <v>0.68</v>
      </c>
    </row>
    <row r="84" spans="1:39" ht="22.5" customHeight="1" x14ac:dyDescent="0.35">
      <c r="A84" s="13"/>
      <c r="B84" s="2" t="s">
        <v>7</v>
      </c>
      <c r="C84" s="290">
        <v>10.4</v>
      </c>
      <c r="D84" s="21">
        <v>26.6</v>
      </c>
      <c r="E84" s="25">
        <v>5.7</v>
      </c>
      <c r="F84" s="25">
        <f t="shared" si="1"/>
        <v>1.3304943636363635</v>
      </c>
      <c r="G84" s="25">
        <f t="shared" si="2"/>
        <v>17.801100498183587</v>
      </c>
      <c r="H84" s="45">
        <v>3.9261463636363632E-2</v>
      </c>
      <c r="I84" s="45">
        <v>1.2222954545454546E-2</v>
      </c>
      <c r="J84" s="6">
        <v>2.3115773700000002</v>
      </c>
      <c r="K84" s="6">
        <v>0.77988013</v>
      </c>
      <c r="L84" s="6">
        <v>1.53169724</v>
      </c>
      <c r="M84" s="6">
        <v>2.7036335999999999</v>
      </c>
      <c r="N84" s="6">
        <v>1.4499999999999997E-12</v>
      </c>
      <c r="O84" s="6">
        <v>3.1454545454545451E-13</v>
      </c>
      <c r="P84" s="6">
        <v>4.21346694</v>
      </c>
      <c r="Q84" s="26">
        <v>7.86863885</v>
      </c>
      <c r="R84" s="26">
        <v>0.65229932000000002</v>
      </c>
      <c r="S84" s="26">
        <v>0.53837718181818173</v>
      </c>
      <c r="T84" s="26">
        <v>0.79211718181818169</v>
      </c>
      <c r="U84" s="26">
        <v>3.7197939272727267</v>
      </c>
      <c r="V84" s="26"/>
      <c r="W84" s="27">
        <f t="shared" si="0"/>
        <v>62.547074704219952</v>
      </c>
      <c r="Y84" s="12"/>
      <c r="Z84" s="15">
        <v>2.9140955024999998E-2</v>
      </c>
      <c r="AA84" s="10">
        <v>0.58705039016400007</v>
      </c>
      <c r="AB84" s="10">
        <v>1.8822098249999999</v>
      </c>
      <c r="AC84" s="29">
        <f t="shared" si="3"/>
        <v>2.4984011701890001</v>
      </c>
      <c r="AE84" s="26">
        <v>2.3304190909090905</v>
      </c>
      <c r="AF84" s="16">
        <f t="shared" si="4"/>
        <v>-2.6190014520338423E-2</v>
      </c>
      <c r="AG84" s="20">
        <v>4.7402626272727266</v>
      </c>
      <c r="AH84" s="16"/>
      <c r="AI84" s="22">
        <v>0.71547984239999995</v>
      </c>
      <c r="AK84" s="8">
        <v>0.42295245454545455</v>
      </c>
      <c r="AL84" s="16">
        <f t="shared" si="5"/>
        <v>0.23529411764705865</v>
      </c>
      <c r="AM84" s="8">
        <v>0.84</v>
      </c>
    </row>
    <row r="85" spans="1:39" ht="22.5" customHeight="1" x14ac:dyDescent="0.35">
      <c r="A85" s="13"/>
      <c r="B85" s="2" t="s">
        <v>8</v>
      </c>
      <c r="C85" s="290">
        <v>9.9</v>
      </c>
      <c r="D85" s="21">
        <v>26.4</v>
      </c>
      <c r="E85" s="25">
        <v>5.6</v>
      </c>
      <c r="F85" s="25">
        <f t="shared" si="1"/>
        <v>1.3172017272727272</v>
      </c>
      <c r="G85" s="25">
        <f t="shared" si="2"/>
        <v>8.4394857927272717</v>
      </c>
      <c r="H85" s="45">
        <v>3.9261463636363632E-2</v>
      </c>
      <c r="I85" s="45">
        <v>1.2222954545454546E-2</v>
      </c>
      <c r="J85" s="6">
        <v>1.83061896</v>
      </c>
      <c r="K85" s="6">
        <v>0.72571922</v>
      </c>
      <c r="L85" s="6">
        <v>1.10489974</v>
      </c>
      <c r="M85" s="6">
        <v>2.6063799799999998</v>
      </c>
      <c r="N85" s="6">
        <v>1.4499999999999997E-4</v>
      </c>
      <c r="O85" s="6">
        <v>3.145454545454545E-5</v>
      </c>
      <c r="P85" s="6">
        <f>-430282732/100000000</f>
        <v>-4.3028273199999996</v>
      </c>
      <c r="Q85" s="26">
        <v>7.6142395199999999</v>
      </c>
      <c r="R85" s="26">
        <v>0.63941378000000004</v>
      </c>
      <c r="S85" s="26">
        <v>0.52224727272727267</v>
      </c>
      <c r="T85" s="26">
        <v>0.79495445454545444</v>
      </c>
      <c r="U85" s="26">
        <v>3.6780862181818179</v>
      </c>
      <c r="V85" s="26"/>
      <c r="W85" s="27">
        <f t="shared" si="0"/>
        <v>52.528524026599989</v>
      </c>
      <c r="Y85" s="12"/>
      <c r="Z85" s="15">
        <v>1.4841712724999999E-2</v>
      </c>
      <c r="AA85" s="10">
        <v>0.54895164424275</v>
      </c>
      <c r="AB85" s="10">
        <v>1.7823543749999999</v>
      </c>
      <c r="AC85" s="29">
        <f t="shared" si="3"/>
        <v>2.3461477319677497</v>
      </c>
      <c r="AE85" s="26">
        <v>2.2147525454545454</v>
      </c>
      <c r="AF85" s="16">
        <f t="shared" si="4"/>
        <v>-4.0137570897035513E-2</v>
      </c>
      <c r="AG85" s="20">
        <v>4.55</v>
      </c>
      <c r="AH85" s="16"/>
      <c r="AI85" s="22">
        <v>0.87183650660000001</v>
      </c>
      <c r="AK85" s="8">
        <v>0.39877281818181814</v>
      </c>
      <c r="AL85" s="16">
        <f t="shared" si="5"/>
        <v>0.11904761904761907</v>
      </c>
      <c r="AM85" s="8">
        <v>0.94</v>
      </c>
    </row>
    <row r="86" spans="1:39" ht="22.5" customHeight="1" x14ac:dyDescent="0.35">
      <c r="A86" s="13"/>
      <c r="B86" s="2" t="s">
        <v>9</v>
      </c>
      <c r="C86" s="290">
        <v>9.6</v>
      </c>
      <c r="D86" s="21">
        <v>26</v>
      </c>
      <c r="E86" s="25">
        <v>5.5</v>
      </c>
      <c r="F86" s="25">
        <f t="shared" si="1"/>
        <v>1.300522818181818</v>
      </c>
      <c r="G86" s="25">
        <f t="shared" si="2"/>
        <v>26.043687192727273</v>
      </c>
      <c r="H86" s="45">
        <v>3.9261463636363632E-2</v>
      </c>
      <c r="I86" s="45">
        <v>1.2222954545454546E-2</v>
      </c>
      <c r="J86" s="6">
        <v>2.278</v>
      </c>
      <c r="K86" s="6">
        <v>0.87964140000000002</v>
      </c>
      <c r="L86" s="6">
        <v>1.3993428999999999</v>
      </c>
      <c r="M86" s="6">
        <v>2.6539000000000001</v>
      </c>
      <c r="N86" s="6">
        <v>1.4499999999999997E-4</v>
      </c>
      <c r="O86" s="6">
        <v>3.145454545454545E-5</v>
      </c>
      <c r="P86" s="6">
        <f>1250590047/100000000</f>
        <v>12.50590047</v>
      </c>
      <c r="Q86" s="26">
        <v>7.94</v>
      </c>
      <c r="R86" s="26">
        <v>0.61422584999999996</v>
      </c>
      <c r="S86" s="26">
        <v>0.49714054545454539</v>
      </c>
      <c r="T86" s="26">
        <v>0.80338227272727269</v>
      </c>
      <c r="U86" s="26">
        <v>3.6861433636363632</v>
      </c>
      <c r="V86" s="26"/>
      <c r="W86" s="27">
        <f t="shared" si="0"/>
        <v>69.487855677109096</v>
      </c>
      <c r="Y86" s="12"/>
      <c r="Z86" s="15">
        <v>6.4903135499999988E-3</v>
      </c>
      <c r="AA86" s="10">
        <v>0.51085289832150005</v>
      </c>
      <c r="AB86" s="10">
        <v>1.6938362250000001</v>
      </c>
      <c r="AC86" s="29">
        <f t="shared" si="3"/>
        <v>2.2111794368715003</v>
      </c>
      <c r="AE86" s="26">
        <v>2.1650585454545452</v>
      </c>
      <c r="AF86" s="16">
        <f t="shared" si="4"/>
        <v>-3.076923076923066E-2</v>
      </c>
      <c r="AG86" s="20">
        <v>4.41</v>
      </c>
      <c r="AH86" s="16"/>
      <c r="AI86" s="22">
        <v>1.0436456662</v>
      </c>
      <c r="AK86" s="8">
        <v>0.38377</v>
      </c>
      <c r="AL86" s="16">
        <f t="shared" si="5"/>
        <v>6.3829787234042534E-2</v>
      </c>
      <c r="AM86" s="8">
        <v>1</v>
      </c>
    </row>
    <row r="87" spans="1:39" ht="22.5" customHeight="1" x14ac:dyDescent="0.35">
      <c r="A87" s="13"/>
      <c r="B87" s="2" t="s">
        <v>17</v>
      </c>
      <c r="C87" s="290">
        <v>9.1</v>
      </c>
      <c r="D87" s="25">
        <v>23.890353636317499</v>
      </c>
      <c r="E87" s="25">
        <v>5.2</v>
      </c>
      <c r="F87" s="25">
        <f t="shared" si="1"/>
        <v>1.2109913636363636</v>
      </c>
      <c r="G87" s="25">
        <f>SUM(H87:R87)</f>
        <v>12.531394282727273</v>
      </c>
      <c r="H87" s="46">
        <v>3.9261463636363632E-2</v>
      </c>
      <c r="I87" s="46">
        <v>1.2222954545454546E-2</v>
      </c>
      <c r="J87" s="25">
        <f t="shared" ref="J87:J91" si="6">K87+L87</f>
        <v>1.97286541</v>
      </c>
      <c r="K87" s="289">
        <v>0.74020927000000003</v>
      </c>
      <c r="L87" s="289">
        <v>1.23265614</v>
      </c>
      <c r="M87" s="25">
        <v>2.48</v>
      </c>
      <c r="N87" s="25">
        <v>1.4499999999999997E-4</v>
      </c>
      <c r="O87" s="25">
        <v>3.145454545454545E-5</v>
      </c>
      <c r="P87" s="25">
        <f>-245195623/100000000</f>
        <v>-2.45195623</v>
      </c>
      <c r="Q87" s="26">
        <v>7.9</v>
      </c>
      <c r="R87" s="26">
        <v>0.60595882000000001</v>
      </c>
      <c r="S87" s="26">
        <v>0.47383372727272721</v>
      </c>
      <c r="T87" s="26">
        <v>0.73715763636363629</v>
      </c>
      <c r="U87" s="26">
        <v>3.4875360999999998</v>
      </c>
      <c r="V87" s="26"/>
      <c r="W87" s="24">
        <f>SUM(C87:G87)</f>
        <v>51.93273928268114</v>
      </c>
      <c r="Y87" s="12"/>
      <c r="Z87" s="15"/>
      <c r="AA87" s="285">
        <v>0.47275415240024998</v>
      </c>
      <c r="AB87" s="285">
        <v>1.5913644750000002</v>
      </c>
      <c r="AC87" s="23">
        <v>1.26379318</v>
      </c>
      <c r="AE87" s="77">
        <v>1.997533909090909</v>
      </c>
      <c r="AF87" s="16">
        <f>AG87/AG86-1</f>
        <v>-6.1224489795918435E-2</v>
      </c>
      <c r="AG87" s="77">
        <v>4.1399999999999997</v>
      </c>
      <c r="AH87" s="16"/>
      <c r="AI87" s="22">
        <v>1.1684937740000001</v>
      </c>
      <c r="AK87" s="77">
        <v>0.35495636363636357</v>
      </c>
      <c r="AL87" s="16">
        <f t="shared" si="5"/>
        <v>2.0000000000000018E-2</v>
      </c>
      <c r="AM87" s="77">
        <v>1.02</v>
      </c>
    </row>
    <row r="88" spans="1:39" ht="22.5" customHeight="1" x14ac:dyDescent="0.35">
      <c r="A88" s="13"/>
      <c r="B88" s="2" t="s">
        <v>0</v>
      </c>
      <c r="C88" s="290">
        <v>9.0830929431945204</v>
      </c>
      <c r="D88" s="25">
        <v>24.7013072668055</v>
      </c>
      <c r="E88" s="25">
        <v>5.3671953700000001</v>
      </c>
      <c r="F88" s="25">
        <f t="shared" si="1"/>
        <v>1.3641719999999999</v>
      </c>
      <c r="G88" s="25">
        <f t="shared" ref="G88" si="7">SUM(H88:R88)</f>
        <v>14.538004052727274</v>
      </c>
      <c r="H88" s="46">
        <v>3.9261463636363632E-2</v>
      </c>
      <c r="I88" s="46">
        <v>1.2222954545454546E-2</v>
      </c>
      <c r="J88" s="25">
        <f t="shared" si="6"/>
        <v>2.0155581499999999</v>
      </c>
      <c r="K88" s="289">
        <v>0.76167077999999999</v>
      </c>
      <c r="L88" s="289">
        <v>1.2538873699999999</v>
      </c>
      <c r="M88" s="25">
        <v>2.7195388600000001</v>
      </c>
      <c r="N88" s="25">
        <v>1.4499999999999997E-4</v>
      </c>
      <c r="O88" s="25">
        <v>3.145454545454545E-5</v>
      </c>
      <c r="P88" s="25">
        <v>-0.90196034000000003</v>
      </c>
      <c r="Q88" s="26">
        <v>7.97160958</v>
      </c>
      <c r="R88" s="26">
        <v>0.66603878000000005</v>
      </c>
      <c r="S88" s="26">
        <v>0.48559427272727262</v>
      </c>
      <c r="T88" s="26">
        <v>0.8785777272727272</v>
      </c>
      <c r="U88" s="26">
        <v>3.8872113545454545</v>
      </c>
      <c r="V88" s="84"/>
      <c r="W88" s="24">
        <f t="shared" ref="W88:W90" si="8">SUM(C88:G88)</f>
        <v>55.05377163272729</v>
      </c>
      <c r="X88" s="168"/>
      <c r="Y88" s="286"/>
      <c r="Z88" s="287"/>
      <c r="AA88" s="285">
        <v>0.42730687385400007</v>
      </c>
      <c r="AB88" s="285">
        <v>1.472322825</v>
      </c>
      <c r="AC88" s="29">
        <v>1.16579338</v>
      </c>
      <c r="AD88" s="168"/>
      <c r="AE88" s="26">
        <v>2.0294241181818182</v>
      </c>
      <c r="AF88" s="288"/>
      <c r="AG88" s="26">
        <v>4.140338836363636</v>
      </c>
      <c r="AH88" s="288"/>
      <c r="AI88" s="26">
        <v>1.3666145272727273</v>
      </c>
      <c r="AJ88" s="168"/>
      <c r="AK88" s="26">
        <v>0.38630969999999998</v>
      </c>
      <c r="AL88" s="288"/>
      <c r="AM88" s="26">
        <v>1.1100000000000001</v>
      </c>
    </row>
    <row r="89" spans="1:39" ht="22.5" customHeight="1" x14ac:dyDescent="0.35">
      <c r="A89" s="13"/>
      <c r="B89" s="2" t="s">
        <v>11</v>
      </c>
      <c r="C89" s="290">
        <v>8.5529125751921757</v>
      </c>
      <c r="D89" s="25">
        <v>25.050896464807799</v>
      </c>
      <c r="E89" s="25">
        <v>5.1954725700000006</v>
      </c>
      <c r="F89" s="25">
        <f t="shared" si="1"/>
        <v>1.2723794545454545</v>
      </c>
      <c r="G89" s="25">
        <f>SUM(H89:R89)-K89-L89</f>
        <v>9.2671106227272713</v>
      </c>
      <c r="H89" s="46">
        <v>3.9261463636363632E-2</v>
      </c>
      <c r="I89" s="46">
        <v>1.2222954545454546E-2</v>
      </c>
      <c r="J89" s="25">
        <f t="shared" si="6"/>
        <v>1.96419572</v>
      </c>
      <c r="K89" s="289">
        <v>0.78473400999999998</v>
      </c>
      <c r="L89" s="289">
        <v>1.17946171</v>
      </c>
      <c r="M89" s="25">
        <v>2.5295359999999998</v>
      </c>
      <c r="N89" s="25">
        <v>1.4499999999999997E-4</v>
      </c>
      <c r="O89" s="25">
        <v>3.145454545454545E-5</v>
      </c>
      <c r="P89" s="25">
        <v>-3.3363800700000001</v>
      </c>
      <c r="Q89" s="26">
        <v>7.4216384199999998</v>
      </c>
      <c r="R89" s="26">
        <v>0.63645967999999997</v>
      </c>
      <c r="S89" s="26">
        <v>0.4579370909090909</v>
      </c>
      <c r="T89" s="26">
        <v>0.81444236363636358</v>
      </c>
      <c r="U89" s="26">
        <v>4.1244590727272721</v>
      </c>
      <c r="V89" s="84"/>
      <c r="W89" s="24">
        <f>SUM(C89:G89)</f>
        <v>49.338771687272697</v>
      </c>
      <c r="X89" s="168"/>
      <c r="Y89" s="286"/>
      <c r="Z89" s="287"/>
      <c r="AA89" s="285">
        <v>0.37883980370775</v>
      </c>
      <c r="AB89" s="285">
        <v>1.3748656500000003</v>
      </c>
      <c r="AC89" s="29">
        <v>1.0448888386949999</v>
      </c>
      <c r="AD89" s="168"/>
      <c r="AE89" s="26">
        <v>2.2323665300000002</v>
      </c>
      <c r="AF89" s="288"/>
      <c r="AG89" s="26">
        <v>3.8632196272727271</v>
      </c>
      <c r="AH89" s="168"/>
      <c r="AI89" s="26">
        <v>1.56965748</v>
      </c>
      <c r="AJ89" s="168"/>
      <c r="AK89" s="26">
        <v>0.36444094999999999</v>
      </c>
      <c r="AL89" s="288"/>
      <c r="AM89" s="26">
        <v>1.2</v>
      </c>
    </row>
    <row r="90" spans="1:39" ht="22.5" customHeight="1" x14ac:dyDescent="0.35">
      <c r="A90" s="13"/>
      <c r="B90" s="2" t="s">
        <v>1</v>
      </c>
      <c r="C90" s="290">
        <v>8.0079655054749317</v>
      </c>
      <c r="D90" s="25">
        <f>24.3832817445251-R90</f>
        <v>23.8094090845251</v>
      </c>
      <c r="E90" s="25">
        <v>5.0662480399999996</v>
      </c>
      <c r="F90" s="25">
        <f t="shared" si="1"/>
        <v>1.2368362727272726</v>
      </c>
      <c r="G90" s="25">
        <f>SUM(H90:R90)-K90-L90</f>
        <v>18.499900992727273</v>
      </c>
      <c r="H90" s="46">
        <v>3.9261463636363632E-2</v>
      </c>
      <c r="I90" s="46">
        <v>1.2222954545454546E-2</v>
      </c>
      <c r="J90" s="25">
        <f t="shared" si="6"/>
        <v>2.0361414199999999</v>
      </c>
      <c r="K90" s="289">
        <v>0.76575499999999996</v>
      </c>
      <c r="L90" s="289">
        <v>1.2703864199999999</v>
      </c>
      <c r="M90" s="25">
        <v>2.516</v>
      </c>
      <c r="N90" s="25">
        <v>1.4499999999999997E-4</v>
      </c>
      <c r="O90" s="25">
        <v>3.145454545454545E-5</v>
      </c>
      <c r="P90" s="25">
        <v>5.7083132499999998</v>
      </c>
      <c r="Q90" s="26">
        <v>7.6139127899999997</v>
      </c>
      <c r="R90" s="26">
        <v>0.57387266000000003</v>
      </c>
      <c r="S90" s="26">
        <v>0.44099936363636361</v>
      </c>
      <c r="T90" s="26">
        <v>0.79583690909090898</v>
      </c>
      <c r="U90" s="26">
        <v>3.6559633545454542</v>
      </c>
      <c r="V90" s="84"/>
      <c r="W90" s="24">
        <f t="shared" si="8"/>
        <v>56.620359895454584</v>
      </c>
      <c r="X90" s="168"/>
      <c r="Y90" s="286"/>
      <c r="Z90" s="287"/>
      <c r="AA90" s="285">
        <v>0.32854505421149993</v>
      </c>
      <c r="AB90" s="285">
        <v>1.2774084750000001</v>
      </c>
      <c r="AC90" s="29">
        <v>0.95432053999999999</v>
      </c>
      <c r="AD90" s="168"/>
      <c r="AE90" s="26">
        <v>1.8044475454545452</v>
      </c>
      <c r="AF90" s="288"/>
      <c r="AG90" s="26">
        <v>3.6772409272727269</v>
      </c>
      <c r="AH90" s="168"/>
      <c r="AI90" s="26">
        <v>1.7213212272727272</v>
      </c>
      <c r="AJ90" s="168"/>
      <c r="AK90" s="26">
        <v>0.33411220000000003</v>
      </c>
      <c r="AL90" s="288"/>
      <c r="AM90" s="26">
        <v>1.2566999909090908</v>
      </c>
    </row>
    <row r="91" spans="1:39" ht="22.5" customHeight="1" x14ac:dyDescent="0.35">
      <c r="A91" s="13"/>
      <c r="B91" s="2" t="s">
        <v>2</v>
      </c>
      <c r="C91" s="290">
        <v>7.6013216409978055</v>
      </c>
      <c r="D91" s="25">
        <v>23.575919609002199</v>
      </c>
      <c r="E91" s="25">
        <v>4.9718197100000001</v>
      </c>
      <c r="F91" s="25">
        <f t="shared" si="1"/>
        <v>1.2193462727272726</v>
      </c>
      <c r="G91" s="25">
        <v>8.8556933600000001</v>
      </c>
      <c r="H91" s="46">
        <v>0</v>
      </c>
      <c r="I91" s="46">
        <v>0</v>
      </c>
      <c r="J91" s="25">
        <f t="shared" si="6"/>
        <v>2.1384690100000001</v>
      </c>
      <c r="K91" s="289">
        <v>0.77787609999999996</v>
      </c>
      <c r="L91" s="289">
        <v>1.36059291</v>
      </c>
      <c r="M91" s="25">
        <v>2.3735019500000001</v>
      </c>
      <c r="N91" s="25">
        <v>1.4499999999999997E-4</v>
      </c>
      <c r="O91" s="25">
        <v>3.145454545454545E-5</v>
      </c>
      <c r="P91" s="25">
        <v>-3.9448768400000001</v>
      </c>
      <c r="Q91" s="26">
        <v>7.6228569999999998</v>
      </c>
      <c r="R91" s="26">
        <v>0.69777632999999994</v>
      </c>
      <c r="S91" s="26">
        <v>0.42470563636363634</v>
      </c>
      <c r="T91" s="26">
        <v>0.79464063636363624</v>
      </c>
      <c r="U91" s="26">
        <v>3.6748937363636363</v>
      </c>
      <c r="V91" s="84"/>
      <c r="W91" s="24">
        <f t="shared" ref="W91:W96" si="9">SUM(C91:G91)</f>
        <v>46.224100592727282</v>
      </c>
      <c r="X91" s="168"/>
      <c r="Y91" s="286"/>
      <c r="Z91" s="287"/>
      <c r="AA91" s="285">
        <v>0.28416253709025002</v>
      </c>
      <c r="AB91" s="285">
        <v>1.15519335</v>
      </c>
      <c r="AC91" s="29">
        <v>0.86088327266999998</v>
      </c>
      <c r="AD91" s="168"/>
      <c r="AE91" s="26">
        <v>1.7026086363636364</v>
      </c>
      <c r="AF91" s="288"/>
      <c r="AG91" s="26">
        <v>3.5184740636363632</v>
      </c>
      <c r="AH91" s="168"/>
      <c r="AI91" s="26">
        <v>1.89140069</v>
      </c>
      <c r="AJ91" s="168"/>
      <c r="AK91" s="26">
        <v>0.31442530000000002</v>
      </c>
      <c r="AL91" s="288"/>
      <c r="AM91" s="26">
        <v>1.3244696090909089</v>
      </c>
    </row>
    <row r="92" spans="1:39" ht="22.5" customHeight="1" x14ac:dyDescent="0.35">
      <c r="A92" s="13"/>
      <c r="B92" s="2" t="s">
        <v>3</v>
      </c>
      <c r="C92" s="290">
        <v>11.278029041566105</v>
      </c>
      <c r="D92" s="25">
        <v>24.228225378433898</v>
      </c>
      <c r="E92" s="25">
        <v>5.0249524000000001</v>
      </c>
      <c r="F92" s="25">
        <f>S92+T92</f>
        <v>1.2089338181818181</v>
      </c>
      <c r="G92" s="25">
        <f t="shared" ref="G92:G97" si="10">SUM(H92:R92)-K92-L92</f>
        <v>17.523540399999998</v>
      </c>
      <c r="H92" s="46">
        <v>0</v>
      </c>
      <c r="I92" s="46">
        <v>0</v>
      </c>
      <c r="J92" s="25">
        <f t="shared" ref="J92:J98" si="11">K92+L92</f>
        <v>2.01118066</v>
      </c>
      <c r="K92" s="289">
        <v>0.78612915999999999</v>
      </c>
      <c r="L92" s="289">
        <v>1.2250515</v>
      </c>
      <c r="M92" s="25">
        <v>2.5116639100000002</v>
      </c>
      <c r="N92" s="25">
        <v>0</v>
      </c>
      <c r="O92" s="25">
        <v>0</v>
      </c>
      <c r="P92" s="25">
        <v>4.4689970900000002</v>
      </c>
      <c r="Q92" s="26">
        <v>7.7721819999999999</v>
      </c>
      <c r="R92" s="26">
        <v>0.75951674000000002</v>
      </c>
      <c r="S92" s="26">
        <v>0.41768436363636358</v>
      </c>
      <c r="T92" s="26">
        <v>0.79124945454545448</v>
      </c>
      <c r="U92" s="84">
        <v>3.7174429909090905</v>
      </c>
      <c r="V92" s="84"/>
      <c r="W92" s="24">
        <f t="shared" si="9"/>
        <v>59.263681038181829</v>
      </c>
      <c r="X92" s="168"/>
      <c r="Y92" s="286"/>
      <c r="Z92" s="287"/>
      <c r="AA92" s="285">
        <v>0.23856060614399996</v>
      </c>
      <c r="AB92" s="285">
        <v>1.0700182499999999</v>
      </c>
      <c r="AC92" s="29">
        <v>0.76625679999999996</v>
      </c>
      <c r="AD92" s="168"/>
      <c r="AE92" s="26">
        <v>1.5949691818181799</v>
      </c>
      <c r="AF92" s="288"/>
      <c r="AG92" s="26">
        <v>3.3729351545454542</v>
      </c>
      <c r="AH92" s="168"/>
      <c r="AI92" s="26">
        <v>2.1825411127999996</v>
      </c>
      <c r="AJ92" s="168"/>
      <c r="AK92" s="26">
        <v>0.27255490909090907</v>
      </c>
      <c r="AL92" s="288"/>
      <c r="AM92" s="26">
        <v>1.5262900909090906</v>
      </c>
    </row>
    <row r="93" spans="1:39" ht="22.5" customHeight="1" x14ac:dyDescent="0.35">
      <c r="A93" s="13"/>
      <c r="B93" s="2" t="s">
        <v>4</v>
      </c>
      <c r="C93" s="290">
        <f>8.80479540919403+AC93</f>
        <v>9.4702209891940292</v>
      </c>
      <c r="D93" s="25">
        <f>26.236722190806-AC93</f>
        <v>25.571296610805998</v>
      </c>
      <c r="E93" s="25">
        <v>5.0028643500000003</v>
      </c>
      <c r="F93" s="25">
        <v>1.20399572</v>
      </c>
      <c r="G93" s="25">
        <f t="shared" si="10"/>
        <v>12.028200629999999</v>
      </c>
      <c r="H93" s="46">
        <v>0</v>
      </c>
      <c r="I93" s="46">
        <v>0</v>
      </c>
      <c r="J93" s="25">
        <f t="shared" si="11"/>
        <v>2.1388838199999998</v>
      </c>
      <c r="K93" s="289">
        <v>0.79226198999999997</v>
      </c>
      <c r="L93" s="289">
        <v>1.3466218299999999</v>
      </c>
      <c r="M93" s="25">
        <v>2.4202714799999998</v>
      </c>
      <c r="N93" s="25">
        <v>0</v>
      </c>
      <c r="O93" s="25">
        <v>0</v>
      </c>
      <c r="P93" s="25">
        <v>-0.71188379999999996</v>
      </c>
      <c r="Q93" s="26">
        <v>7.4912716799999997</v>
      </c>
      <c r="R93" s="26">
        <v>0.68965745000000001</v>
      </c>
      <c r="S93" s="26">
        <v>0.40429445454545498</v>
      </c>
      <c r="T93" s="26">
        <v>0.79970127272727298</v>
      </c>
      <c r="U93" s="84">
        <v>3.74372358181818</v>
      </c>
      <c r="V93" s="84"/>
      <c r="W93" s="24">
        <f t="shared" si="9"/>
        <v>53.276578300000033</v>
      </c>
      <c r="X93" s="168"/>
      <c r="Y93" s="286"/>
      <c r="Z93" s="287"/>
      <c r="AA93" s="285">
        <v>0.20076777352274999</v>
      </c>
      <c r="AB93" s="285">
        <v>0.98862225000000004</v>
      </c>
      <c r="AC93" s="29">
        <v>0.66542557999999996</v>
      </c>
      <c r="AD93" s="168"/>
      <c r="AE93" s="26">
        <v>1.49219945454545</v>
      </c>
      <c r="AF93" s="288"/>
      <c r="AG93" s="26">
        <v>3.217503527272727</v>
      </c>
      <c r="AH93" s="168"/>
      <c r="AI93" s="26">
        <v>2.4986997999999998</v>
      </c>
      <c r="AJ93" s="168"/>
      <c r="AK93" s="26">
        <v>0.25416227272727299</v>
      </c>
      <c r="AL93" s="288"/>
      <c r="AM93" s="26">
        <v>1.6533306636363634</v>
      </c>
    </row>
    <row r="94" spans="1:39" ht="22.5" customHeight="1" x14ac:dyDescent="0.35">
      <c r="A94" s="13"/>
      <c r="B94" s="2" t="s">
        <v>5</v>
      </c>
      <c r="C94" s="290">
        <v>9.1583624919815758</v>
      </c>
      <c r="D94" s="25">
        <v>23.976149658018429</v>
      </c>
      <c r="E94" s="25">
        <v>5.0574361099999994</v>
      </c>
      <c r="F94" s="25">
        <v>1.1871303499999999</v>
      </c>
      <c r="G94" s="25">
        <f t="shared" si="10"/>
        <v>10.97068951</v>
      </c>
      <c r="H94" s="46">
        <v>0</v>
      </c>
      <c r="I94" s="46">
        <v>0</v>
      </c>
      <c r="J94" s="25">
        <f t="shared" si="11"/>
        <v>2.1473822600000001</v>
      </c>
      <c r="K94" s="25">
        <v>0.75600208000000002</v>
      </c>
      <c r="L94" s="25">
        <v>1.3913801800000001</v>
      </c>
      <c r="M94" s="25">
        <v>2.35733989</v>
      </c>
      <c r="N94" s="25">
        <v>0</v>
      </c>
      <c r="O94" s="25">
        <v>0</v>
      </c>
      <c r="P94" s="25">
        <v>-0.84738071000000004</v>
      </c>
      <c r="Q94" s="26">
        <v>6.6766701099999999</v>
      </c>
      <c r="R94" s="26">
        <v>0.63667795999999999</v>
      </c>
      <c r="S94" s="26">
        <v>0.391966818181818</v>
      </c>
      <c r="T94" s="26">
        <v>0.79516354545454504</v>
      </c>
      <c r="U94" s="84">
        <v>3.8042216999999998</v>
      </c>
      <c r="V94" s="84"/>
      <c r="W94" s="24">
        <f t="shared" si="9"/>
        <v>50.34976812</v>
      </c>
      <c r="X94" s="168"/>
      <c r="Y94" s="286"/>
      <c r="Z94" s="287"/>
      <c r="AA94" s="285">
        <v>0.16456996335150001</v>
      </c>
      <c r="AB94" s="285">
        <v>0.89196450000000005</v>
      </c>
      <c r="AC94" s="29">
        <v>0.58167732000000005</v>
      </c>
      <c r="AD94" s="168"/>
      <c r="AE94" s="26">
        <v>1.4055082727272701</v>
      </c>
      <c r="AF94" s="288"/>
      <c r="AG94" s="26">
        <v>3.0304161545454544</v>
      </c>
      <c r="AH94" s="168"/>
      <c r="AI94" s="26">
        <v>2.7531537099999999</v>
      </c>
      <c r="AJ94" s="168"/>
      <c r="AK94" s="26">
        <v>0.23730499999999999</v>
      </c>
      <c r="AL94" s="288"/>
      <c r="AM94" s="26">
        <v>1.8283061636363636</v>
      </c>
    </row>
    <row r="95" spans="1:39" ht="22.5" customHeight="1" x14ac:dyDescent="0.35">
      <c r="A95" s="13"/>
      <c r="B95" s="2" t="s">
        <v>6</v>
      </c>
      <c r="C95" s="6">
        <v>9.0471217205674606</v>
      </c>
      <c r="D95" s="25">
        <v>24.0597381794325</v>
      </c>
      <c r="E95" s="25">
        <v>4.9543201099999994</v>
      </c>
      <c r="F95" s="25">
        <v>1.19753519</v>
      </c>
      <c r="G95" s="25">
        <f t="shared" si="10"/>
        <v>12.544361309999999</v>
      </c>
      <c r="H95" s="46">
        <v>0</v>
      </c>
      <c r="I95" s="46">
        <v>0</v>
      </c>
      <c r="J95" s="25">
        <f t="shared" si="11"/>
        <v>2.05503254</v>
      </c>
      <c r="K95" s="6">
        <v>0.82172073000000001</v>
      </c>
      <c r="L95" s="6">
        <v>1.23331181</v>
      </c>
      <c r="M95" s="6">
        <v>2.4204518899999998</v>
      </c>
      <c r="N95" s="25">
        <v>0</v>
      </c>
      <c r="O95" s="25">
        <v>0</v>
      </c>
      <c r="P95" s="6">
        <v>0.53671020999999997</v>
      </c>
      <c r="Q95" s="8">
        <v>6.9000006899999997</v>
      </c>
      <c r="R95" s="8">
        <v>0.63216598000000002</v>
      </c>
      <c r="S95" s="8">
        <v>0.37855099999999997</v>
      </c>
      <c r="T95" s="8">
        <v>0.81898418181818178</v>
      </c>
      <c r="U95" s="28">
        <f>4.20351083/1.1</f>
        <v>3.8213734818181813</v>
      </c>
      <c r="V95" s="28"/>
      <c r="W95" s="24">
        <f t="shared" si="9"/>
        <v>51.803076509999954</v>
      </c>
      <c r="Y95" s="12"/>
      <c r="Z95" s="15"/>
      <c r="AA95" s="10">
        <v>0.12745015694775003</v>
      </c>
      <c r="AB95" s="10">
        <v>0.82583024999999999</v>
      </c>
      <c r="AC95" s="9">
        <v>0.50999541999999998</v>
      </c>
      <c r="AE95" s="8">
        <f>1.4415274/1.1</f>
        <v>1.3104794545454546</v>
      </c>
      <c r="AF95" s="16"/>
      <c r="AG95" s="8">
        <v>2.8506905727272724</v>
      </c>
      <c r="AI95" s="8">
        <v>3.0264253299999999</v>
      </c>
      <c r="AK95" s="8">
        <f>0.2445206/1.1</f>
        <v>0.22229145454545454</v>
      </c>
      <c r="AL95" s="16"/>
      <c r="AM95" s="8">
        <v>1.9325647272727271</v>
      </c>
    </row>
    <row r="96" spans="1:39" ht="22.5" customHeight="1" x14ac:dyDescent="0.35">
      <c r="A96" s="13"/>
      <c r="B96" s="2" t="s">
        <v>7</v>
      </c>
      <c r="C96" s="6">
        <v>8.8861888617815215</v>
      </c>
      <c r="D96" s="25">
        <v>23.890145548218499</v>
      </c>
      <c r="E96" s="25">
        <v>4.8782752499999997</v>
      </c>
      <c r="F96" s="25">
        <f>S96+T96</f>
        <v>1.1971049090909089</v>
      </c>
      <c r="G96" s="25">
        <f t="shared" si="10"/>
        <v>11.746961040000002</v>
      </c>
      <c r="H96" s="46">
        <v>0</v>
      </c>
      <c r="I96" s="46">
        <v>0</v>
      </c>
      <c r="J96" s="25">
        <f t="shared" si="11"/>
        <v>2.19618044</v>
      </c>
      <c r="K96" s="6">
        <v>0.79567098999999997</v>
      </c>
      <c r="L96" s="6">
        <v>1.4005094499999999</v>
      </c>
      <c r="M96" s="6">
        <v>2.2535353599999999</v>
      </c>
      <c r="N96" s="25">
        <v>0</v>
      </c>
      <c r="O96" s="25">
        <v>0</v>
      </c>
      <c r="P96" s="6">
        <v>-0.15754180000000001</v>
      </c>
      <c r="Q96" s="8">
        <v>6.8727279599999997</v>
      </c>
      <c r="R96" s="8">
        <v>0.58205907999999995</v>
      </c>
      <c r="S96" s="8">
        <v>0.3659223636363636</v>
      </c>
      <c r="T96" s="8">
        <v>0.8311825454545454</v>
      </c>
      <c r="U96" s="28">
        <v>3.8420483727272727</v>
      </c>
      <c r="V96" s="28"/>
      <c r="W96" s="24">
        <f t="shared" si="9"/>
        <v>50.598675609090932</v>
      </c>
      <c r="Y96" s="12"/>
      <c r="Z96" s="15"/>
      <c r="AA96" s="10">
        <v>9.8776799897999992E-2</v>
      </c>
      <c r="AB96" s="10">
        <v>0.75969600000000004</v>
      </c>
      <c r="AC96" s="9">
        <v>0.42652901999999998</v>
      </c>
      <c r="AE96" s="8">
        <v>1.2273192727272726</v>
      </c>
      <c r="AF96" s="16"/>
      <c r="AG96" s="8">
        <v>2.6879537090909089</v>
      </c>
      <c r="AI96" s="8">
        <v>3.26888326</v>
      </c>
      <c r="AK96" s="8">
        <v>0.19918072727272701</v>
      </c>
      <c r="AL96" s="16"/>
      <c r="AM96" s="8">
        <v>2.0785966818181816</v>
      </c>
    </row>
    <row r="97" spans="1:39" ht="22.5" customHeight="1" x14ac:dyDescent="0.35">
      <c r="A97" s="13"/>
      <c r="B97" s="2" t="s">
        <v>8</v>
      </c>
      <c r="C97" s="6">
        <v>8.8098991677780099</v>
      </c>
      <c r="D97" s="25">
        <v>23.781974852222</v>
      </c>
      <c r="E97" s="25">
        <v>4.68329182</v>
      </c>
      <c r="F97" s="25">
        <f>S97+T97</f>
        <v>1.158869818181818</v>
      </c>
      <c r="G97" s="25">
        <f t="shared" si="10"/>
        <v>11.77654328</v>
      </c>
      <c r="H97" s="46">
        <v>0</v>
      </c>
      <c r="I97" s="46">
        <v>0</v>
      </c>
      <c r="J97" s="25">
        <f t="shared" si="11"/>
        <v>2.0538287099999999</v>
      </c>
      <c r="K97" s="6">
        <v>0.74581198999999998</v>
      </c>
      <c r="L97" s="6">
        <v>1.3080167199999999</v>
      </c>
      <c r="M97" s="6">
        <v>2.2623260699999999</v>
      </c>
      <c r="N97" s="6"/>
      <c r="O97" s="6"/>
      <c r="P97" s="6">
        <v>-0.19689480000000001</v>
      </c>
      <c r="Q97" s="8">
        <v>6.8454552299999998</v>
      </c>
      <c r="R97" s="8">
        <v>0.81182807000000001</v>
      </c>
      <c r="S97" s="8">
        <v>0.34711745454545451</v>
      </c>
      <c r="T97" s="8">
        <v>0.81175236363636361</v>
      </c>
      <c r="U97" s="28">
        <v>3.7919168999999999</v>
      </c>
      <c r="V97" s="28"/>
      <c r="W97" s="24">
        <f>SUM(C97:G97)</f>
        <v>50.210578938181825</v>
      </c>
      <c r="Y97" s="12"/>
      <c r="Z97" s="15"/>
      <c r="AA97" s="10">
        <v>6.5975139473250011E-2</v>
      </c>
      <c r="AB97" s="10">
        <v>0.67914787499999996</v>
      </c>
      <c r="AC97" s="9">
        <v>0.37134652000000001</v>
      </c>
      <c r="AE97" s="8">
        <v>1.1457579090909089</v>
      </c>
      <c r="AF97" s="16">
        <f>AG97/AG96-1</f>
        <v>-6.5491834024684947E-2</v>
      </c>
      <c r="AG97" s="8">
        <v>2.5119146909090908</v>
      </c>
      <c r="AI97" s="8">
        <v>3.51917138</v>
      </c>
      <c r="AK97" s="8">
        <v>0.17625509090909089</v>
      </c>
      <c r="AL97" s="16"/>
      <c r="AM97" s="8">
        <v>2.1329946272727272</v>
      </c>
    </row>
    <row r="98" spans="1:39" ht="22.5" customHeight="1" x14ac:dyDescent="0.35">
      <c r="A98" s="13"/>
      <c r="B98" s="2">
        <v>2512</v>
      </c>
      <c r="C98" s="6">
        <v>8.7081341384411317</v>
      </c>
      <c r="D98" s="25">
        <v>23.735033271558898</v>
      </c>
      <c r="E98" s="25">
        <v>4.6386204600000003</v>
      </c>
      <c r="F98" s="25">
        <v>1.16898988</v>
      </c>
      <c r="G98" s="25">
        <f>SUM(H98:R98)-K98-L98</f>
        <v>12.77447095</v>
      </c>
      <c r="H98" s="46"/>
      <c r="I98" s="46"/>
      <c r="J98" s="25">
        <f t="shared" si="11"/>
        <v>2.2244296400000003</v>
      </c>
      <c r="K98" s="6">
        <v>0.83801901000000001</v>
      </c>
      <c r="L98" s="6">
        <v>1.3864106300000001</v>
      </c>
      <c r="M98" s="6">
        <v>2.3227449099999999</v>
      </c>
      <c r="N98" s="6"/>
      <c r="O98" s="6"/>
      <c r="P98" s="6">
        <v>0.47842385999999998</v>
      </c>
      <c r="Q98" s="8">
        <v>6.8454552299999998</v>
      </c>
      <c r="R98" s="8">
        <v>0.90341731000000003</v>
      </c>
      <c r="S98" s="8">
        <v>0.33448809090909087</v>
      </c>
      <c r="T98" s="8">
        <v>0.83450181818181812</v>
      </c>
      <c r="U98" s="28">
        <v>3.8357850909090905</v>
      </c>
      <c r="V98" s="28"/>
      <c r="W98" s="24">
        <f>SUM(C98:G98)</f>
        <v>51.025248700000027</v>
      </c>
      <c r="Y98" s="12"/>
      <c r="Z98" s="15"/>
      <c r="AA98" s="15">
        <v>4.4509906948499996E-2</v>
      </c>
      <c r="AB98" s="10">
        <v>0.62573175000000003</v>
      </c>
      <c r="AC98" s="9">
        <v>0.37134652000000001</v>
      </c>
      <c r="AE98" s="8">
        <v>1.0902024545454543</v>
      </c>
      <c r="AF98" s="16"/>
      <c r="AG98" s="8">
        <v>2.4026394909090905</v>
      </c>
      <c r="AI98" s="8">
        <v>3.7652387699999998</v>
      </c>
      <c r="AK98" s="8">
        <v>0.16282990909090908</v>
      </c>
      <c r="AL98" s="16"/>
      <c r="AM98" s="8">
        <v>2.2007428090909089</v>
      </c>
    </row>
    <row r="99" spans="1:39" ht="22.5" customHeight="1" x14ac:dyDescent="0.35">
      <c r="A99" s="13"/>
      <c r="B99" s="2" t="s">
        <v>18</v>
      </c>
      <c r="C99" s="6"/>
      <c r="D99" s="25"/>
      <c r="E99" s="25"/>
      <c r="F99" s="25"/>
      <c r="G99" s="25"/>
      <c r="H99" s="46"/>
      <c r="I99" s="46"/>
      <c r="J99" s="6"/>
      <c r="K99" s="6"/>
      <c r="L99" s="6"/>
      <c r="M99" s="6"/>
      <c r="N99" s="6"/>
      <c r="O99" s="6"/>
      <c r="P99" s="6"/>
      <c r="Q99" s="8"/>
      <c r="R99" s="8"/>
      <c r="S99" s="8"/>
      <c r="T99" s="8"/>
      <c r="U99" s="28"/>
      <c r="V99" s="28"/>
      <c r="W99" s="7"/>
      <c r="Y99" s="12"/>
      <c r="Z99" s="10"/>
      <c r="AA99" s="10"/>
      <c r="AB99" s="10">
        <v>0.57485925000000004</v>
      </c>
      <c r="AC99" s="9">
        <v>0.28409094000000001</v>
      </c>
      <c r="AE99" s="8"/>
      <c r="AF99" s="16"/>
      <c r="AG99" s="8"/>
      <c r="AI99" s="8"/>
      <c r="AK99" s="8"/>
      <c r="AL99" s="16"/>
      <c r="AM99" s="8"/>
    </row>
    <row r="100" spans="1:39" ht="22.5" customHeight="1" x14ac:dyDescent="0.35">
      <c r="A100" s="13"/>
      <c r="B100" s="2" t="s">
        <v>0</v>
      </c>
      <c r="C100" s="6"/>
      <c r="D100" s="25"/>
      <c r="E100" s="25"/>
      <c r="F100" s="25"/>
      <c r="G100" s="25"/>
      <c r="H100" s="46"/>
      <c r="I100" s="46"/>
      <c r="J100" s="6"/>
      <c r="K100" s="6"/>
      <c r="L100" s="6"/>
      <c r="M100" s="6"/>
      <c r="N100" s="6"/>
      <c r="O100" s="6"/>
      <c r="P100" s="6"/>
      <c r="Q100" s="8"/>
      <c r="R100" s="8"/>
      <c r="S100" s="8"/>
      <c r="T100" s="8"/>
      <c r="U100" s="28"/>
      <c r="V100" s="28"/>
      <c r="W100" s="7"/>
      <c r="Y100" s="12"/>
      <c r="Z100" s="10"/>
      <c r="AA100" s="10"/>
      <c r="AB100" s="10">
        <v>0.51720374999999996</v>
      </c>
      <c r="AC100" s="9"/>
      <c r="AE100" s="8"/>
      <c r="AF100" s="16"/>
      <c r="AG100" s="8"/>
      <c r="AI100" s="8"/>
      <c r="AK100" s="8"/>
      <c r="AL100" s="16"/>
      <c r="AM100" s="8"/>
    </row>
    <row r="101" spans="1:39" ht="22.5" customHeight="1" x14ac:dyDescent="0.35">
      <c r="A101" s="13"/>
      <c r="B101" s="2" t="s">
        <v>11</v>
      </c>
      <c r="C101" s="6"/>
      <c r="D101" s="25"/>
      <c r="E101" s="25"/>
      <c r="F101" s="25"/>
      <c r="G101" s="25"/>
      <c r="H101" s="46"/>
      <c r="I101" s="46"/>
      <c r="J101" s="6"/>
      <c r="K101" s="6"/>
      <c r="L101" s="6"/>
      <c r="M101" s="6"/>
      <c r="N101" s="6"/>
      <c r="O101" s="6"/>
      <c r="P101" s="6"/>
      <c r="Q101" s="8"/>
      <c r="R101" s="8"/>
      <c r="S101" s="8"/>
      <c r="T101" s="8"/>
      <c r="U101" s="28"/>
      <c r="V101" s="28"/>
      <c r="W101" s="7"/>
      <c r="Y101" s="12"/>
      <c r="Z101" s="10"/>
      <c r="AA101" s="10"/>
      <c r="AB101" s="10">
        <v>0.477353625</v>
      </c>
      <c r="AC101" s="9"/>
      <c r="AE101" s="8"/>
      <c r="AF101" s="16"/>
      <c r="AG101" s="8"/>
      <c r="AI101" s="8"/>
      <c r="AK101" s="8"/>
      <c r="AL101" s="16"/>
      <c r="AM101" s="8"/>
    </row>
    <row r="102" spans="1:39" ht="22.5" customHeight="1" x14ac:dyDescent="0.35">
      <c r="A102" s="13"/>
      <c r="B102" s="2" t="s">
        <v>1</v>
      </c>
      <c r="C102" s="6"/>
      <c r="D102" s="25"/>
      <c r="E102" s="25"/>
      <c r="F102" s="25"/>
      <c r="G102" s="25"/>
      <c r="H102" s="46"/>
      <c r="I102" s="46"/>
      <c r="J102" s="6"/>
      <c r="K102" s="6"/>
      <c r="L102" s="6"/>
      <c r="M102" s="6"/>
      <c r="N102" s="6"/>
      <c r="O102" s="6"/>
      <c r="P102" s="6"/>
      <c r="Q102" s="8"/>
      <c r="R102" s="8"/>
      <c r="S102" s="8"/>
      <c r="T102" s="8"/>
      <c r="U102" s="28"/>
      <c r="V102" s="28"/>
      <c r="W102" s="7"/>
      <c r="Y102" s="12"/>
      <c r="Z102" s="10"/>
      <c r="AA102" s="10"/>
      <c r="AB102" s="10">
        <v>0.44513437500000003</v>
      </c>
      <c r="AC102" s="9"/>
      <c r="AE102" s="8"/>
      <c r="AF102" s="16"/>
      <c r="AG102" s="8"/>
      <c r="AI102" s="8"/>
      <c r="AK102" s="8"/>
      <c r="AL102" s="16"/>
      <c r="AM102" s="8"/>
    </row>
    <row r="103" spans="1:39" ht="22.5" customHeight="1" x14ac:dyDescent="0.35">
      <c r="A103" s="13"/>
      <c r="B103" s="2" t="s">
        <v>2</v>
      </c>
      <c r="C103" s="6"/>
      <c r="D103" s="25"/>
      <c r="E103" s="25"/>
      <c r="F103" s="25"/>
      <c r="G103" s="25"/>
      <c r="H103" s="46"/>
      <c r="I103" s="46"/>
      <c r="J103" s="6"/>
      <c r="K103" s="6"/>
      <c r="L103" s="6"/>
      <c r="M103" s="6"/>
      <c r="N103" s="6"/>
      <c r="O103" s="6"/>
      <c r="P103" s="6"/>
      <c r="Q103" s="8"/>
      <c r="R103" s="8"/>
      <c r="S103" s="8"/>
      <c r="T103" s="8"/>
      <c r="U103" s="28"/>
      <c r="V103" s="28"/>
      <c r="W103" s="7"/>
      <c r="Y103" s="12"/>
      <c r="Z103" s="10"/>
      <c r="AA103" s="10"/>
      <c r="AB103" s="10">
        <v>0.41291512499999999</v>
      </c>
      <c r="AC103" s="9"/>
      <c r="AE103" s="8"/>
      <c r="AF103" s="16"/>
      <c r="AG103" s="8"/>
      <c r="AI103" s="8"/>
      <c r="AK103" s="8"/>
      <c r="AL103" s="16"/>
      <c r="AM103" s="8"/>
    </row>
    <row r="104" spans="1:39" ht="22.5" customHeight="1" x14ac:dyDescent="0.35">
      <c r="A104" s="13"/>
      <c r="B104" s="2" t="s">
        <v>3</v>
      </c>
      <c r="C104" s="6"/>
      <c r="D104" s="25"/>
      <c r="E104" s="25"/>
      <c r="F104" s="25"/>
      <c r="G104" s="25"/>
      <c r="H104" s="46"/>
      <c r="I104" s="46"/>
      <c r="J104" s="6"/>
      <c r="K104" s="6"/>
      <c r="L104" s="6"/>
      <c r="M104" s="6"/>
      <c r="N104" s="6"/>
      <c r="O104" s="6"/>
      <c r="P104" s="6"/>
      <c r="Q104" s="8"/>
      <c r="R104" s="8"/>
      <c r="S104" s="8"/>
      <c r="T104" s="8"/>
      <c r="U104" s="28"/>
      <c r="V104" s="28"/>
      <c r="W104" s="7"/>
      <c r="Y104" s="12"/>
      <c r="Z104" s="10"/>
      <c r="AA104" s="10"/>
      <c r="AB104" s="10">
        <v>0.38069587500000002</v>
      </c>
      <c r="AC104" s="9"/>
      <c r="AE104" s="8"/>
      <c r="AF104" s="16"/>
      <c r="AG104" s="8"/>
      <c r="AI104" s="8"/>
      <c r="AK104" s="8"/>
      <c r="AL104" s="16"/>
      <c r="AM104" s="8"/>
    </row>
    <row r="105" spans="1:39" ht="22.5" customHeight="1" x14ac:dyDescent="0.35">
      <c r="A105" s="13"/>
      <c r="B105" s="2" t="s">
        <v>4</v>
      </c>
      <c r="C105" s="6"/>
      <c r="D105" s="25"/>
      <c r="E105" s="25"/>
      <c r="F105" s="25"/>
      <c r="G105" s="25"/>
      <c r="H105" s="46"/>
      <c r="I105" s="46"/>
      <c r="J105" s="6"/>
      <c r="K105" s="6"/>
      <c r="L105" s="6"/>
      <c r="M105" s="6"/>
      <c r="N105" s="6"/>
      <c r="O105" s="6"/>
      <c r="P105" s="6"/>
      <c r="Q105" s="8"/>
      <c r="R105" s="8"/>
      <c r="S105" s="8"/>
      <c r="T105" s="8"/>
      <c r="U105" s="28"/>
      <c r="V105" s="28"/>
      <c r="W105" s="7"/>
      <c r="Y105" s="12"/>
      <c r="Z105" s="10"/>
      <c r="AA105" s="10"/>
      <c r="AB105" s="10">
        <v>0.34847662499999998</v>
      </c>
      <c r="AC105" s="9"/>
      <c r="AE105" s="8"/>
      <c r="AF105" s="16"/>
      <c r="AG105" s="8"/>
      <c r="AI105" s="8"/>
      <c r="AK105" s="8"/>
      <c r="AL105" s="16"/>
      <c r="AM105" s="8"/>
    </row>
    <row r="106" spans="1:39" ht="22.5" customHeight="1" x14ac:dyDescent="0.35">
      <c r="A106" s="13"/>
      <c r="B106" s="2" t="s">
        <v>5</v>
      </c>
      <c r="C106" s="6"/>
      <c r="D106" s="25"/>
      <c r="E106" s="25"/>
      <c r="F106" s="25"/>
      <c r="G106" s="25"/>
      <c r="H106" s="46"/>
      <c r="I106" s="46"/>
      <c r="J106" s="6"/>
      <c r="K106" s="6"/>
      <c r="L106" s="6"/>
      <c r="M106" s="6"/>
      <c r="N106" s="6"/>
      <c r="O106" s="6"/>
      <c r="P106" s="6"/>
      <c r="Q106" s="8"/>
      <c r="R106" s="8"/>
      <c r="S106" s="8"/>
      <c r="T106" s="8"/>
      <c r="U106" s="28"/>
      <c r="V106" s="28"/>
      <c r="W106" s="7"/>
      <c r="Y106" s="12"/>
      <c r="Z106" s="10"/>
      <c r="AA106" s="10"/>
      <c r="AB106" s="10">
        <v>0.27810299999999999</v>
      </c>
      <c r="AC106" s="9"/>
      <c r="AE106" s="8"/>
      <c r="AF106" s="16"/>
      <c r="AG106" s="8"/>
      <c r="AI106" s="8"/>
      <c r="AK106" s="8"/>
      <c r="AL106" s="16"/>
      <c r="AM106" s="8"/>
    </row>
    <row r="107" spans="1:39" ht="22.5" customHeight="1" x14ac:dyDescent="0.35">
      <c r="A107" s="13"/>
      <c r="B107" s="2" t="s">
        <v>6</v>
      </c>
      <c r="C107" s="6"/>
      <c r="D107" s="25"/>
      <c r="E107" s="25"/>
      <c r="F107" s="25"/>
      <c r="G107" s="25"/>
      <c r="H107" s="46"/>
      <c r="I107" s="46"/>
      <c r="J107" s="6"/>
      <c r="K107" s="6"/>
      <c r="L107" s="6"/>
      <c r="M107" s="6"/>
      <c r="N107" s="6"/>
      <c r="O107" s="6"/>
      <c r="P107" s="6"/>
      <c r="Q107" s="8"/>
      <c r="R107" s="8"/>
      <c r="S107" s="8"/>
      <c r="T107" s="8"/>
      <c r="U107" s="28"/>
      <c r="V107" s="28"/>
      <c r="W107" s="7"/>
      <c r="Y107" s="12"/>
      <c r="Z107" s="10"/>
      <c r="AA107" s="10"/>
      <c r="AB107" s="10">
        <v>0.25351462499999999</v>
      </c>
      <c r="AC107" s="9"/>
      <c r="AE107" s="8"/>
      <c r="AF107" s="16"/>
      <c r="AG107" s="8"/>
      <c r="AI107" s="8"/>
      <c r="AK107" s="8"/>
      <c r="AL107" s="16"/>
      <c r="AM107" s="8"/>
    </row>
    <row r="108" spans="1:39" ht="22.5" customHeight="1" x14ac:dyDescent="0.35">
      <c r="A108" s="13"/>
      <c r="B108" s="2" t="s">
        <v>7</v>
      </c>
      <c r="C108" s="6"/>
      <c r="D108" s="25"/>
      <c r="E108" s="25"/>
      <c r="F108" s="25"/>
      <c r="G108" s="25"/>
      <c r="H108" s="46"/>
      <c r="I108" s="46"/>
      <c r="J108" s="6"/>
      <c r="K108" s="6"/>
      <c r="L108" s="6"/>
      <c r="M108" s="6"/>
      <c r="N108" s="6"/>
      <c r="O108" s="6"/>
      <c r="P108" s="6"/>
      <c r="Q108" s="8"/>
      <c r="R108" s="8"/>
      <c r="S108" s="8"/>
      <c r="T108" s="8"/>
      <c r="U108" s="28"/>
      <c r="V108" s="28"/>
      <c r="W108" s="7"/>
      <c r="Y108" s="12"/>
      <c r="Z108" s="10"/>
      <c r="AA108" s="10"/>
      <c r="AB108" s="10">
        <v>0.22892625</v>
      </c>
      <c r="AC108" s="9"/>
      <c r="AE108" s="8"/>
      <c r="AF108" s="16"/>
      <c r="AG108" s="8"/>
      <c r="AI108" s="8"/>
      <c r="AK108" s="8"/>
      <c r="AL108" s="16"/>
      <c r="AM108" s="8"/>
    </row>
    <row r="109" spans="1:39" ht="22.5" customHeight="1" x14ac:dyDescent="0.35">
      <c r="A109" s="13"/>
      <c r="B109" s="2" t="s">
        <v>8</v>
      </c>
      <c r="C109" s="6"/>
      <c r="D109" s="25"/>
      <c r="E109" s="25"/>
      <c r="F109" s="25"/>
      <c r="G109" s="25"/>
      <c r="H109" s="46"/>
      <c r="I109" s="46"/>
      <c r="J109" s="6"/>
      <c r="K109" s="6"/>
      <c r="L109" s="6"/>
      <c r="M109" s="6"/>
      <c r="N109" s="6"/>
      <c r="O109" s="6"/>
      <c r="P109" s="6"/>
      <c r="Q109" s="8"/>
      <c r="R109" s="8"/>
      <c r="S109" s="8"/>
      <c r="T109" s="8"/>
      <c r="U109" s="28"/>
      <c r="V109" s="28"/>
      <c r="W109" s="7"/>
      <c r="Y109" s="12"/>
      <c r="Z109" s="10"/>
      <c r="AA109" s="10"/>
      <c r="AB109" s="10">
        <v>0.16618350000000001</v>
      </c>
      <c r="AC109" s="9"/>
      <c r="AE109" s="8"/>
      <c r="AF109" s="16"/>
      <c r="AG109" s="8"/>
      <c r="AI109" s="8"/>
      <c r="AK109" s="8"/>
      <c r="AL109" s="16"/>
      <c r="AM109" s="8"/>
    </row>
    <row r="110" spans="1:39" ht="22.5" customHeight="1" x14ac:dyDescent="0.35">
      <c r="A110" s="13"/>
      <c r="B110" s="2" t="s">
        <v>9</v>
      </c>
      <c r="C110" s="6"/>
      <c r="D110" s="6"/>
      <c r="E110" s="6"/>
      <c r="F110" s="6"/>
      <c r="G110" s="6"/>
      <c r="H110" s="45"/>
      <c r="I110" s="45"/>
      <c r="J110" s="6"/>
      <c r="K110" s="6"/>
      <c r="L110" s="6"/>
      <c r="M110" s="6"/>
      <c r="N110" s="6"/>
      <c r="O110" s="6"/>
      <c r="P110" s="6"/>
      <c r="Q110" s="8"/>
      <c r="R110" s="8"/>
      <c r="S110" s="8"/>
      <c r="T110" s="8"/>
      <c r="U110" s="28"/>
      <c r="V110" s="28"/>
      <c r="W110" s="7"/>
      <c r="Y110" s="12"/>
      <c r="Z110" s="10"/>
      <c r="AA110" s="10"/>
      <c r="AB110" s="10">
        <v>0.149226</v>
      </c>
      <c r="AC110" s="9"/>
      <c r="AE110" s="8"/>
      <c r="AF110" s="16"/>
      <c r="AG110" s="8"/>
      <c r="AI110" s="8"/>
      <c r="AK110" s="8"/>
      <c r="AL110" s="16"/>
      <c r="AM110" s="8"/>
    </row>
    <row r="111" spans="1:39" ht="22.5" customHeight="1" x14ac:dyDescent="0.35">
      <c r="A111" s="13"/>
      <c r="B111" s="2" t="s">
        <v>19</v>
      </c>
      <c r="C111" s="6"/>
      <c r="D111" s="6"/>
      <c r="E111" s="6"/>
      <c r="F111" s="6"/>
      <c r="G111" s="6"/>
      <c r="H111" s="45"/>
      <c r="I111" s="45"/>
      <c r="J111" s="6"/>
      <c r="K111" s="6"/>
      <c r="L111" s="6"/>
      <c r="M111" s="6"/>
      <c r="N111" s="6"/>
      <c r="O111" s="6"/>
      <c r="P111" s="6"/>
      <c r="Q111" s="8"/>
      <c r="R111" s="8"/>
      <c r="S111" s="8"/>
      <c r="T111" s="8"/>
      <c r="U111" s="28"/>
      <c r="V111" s="28"/>
      <c r="W111" s="7"/>
      <c r="Y111" s="12"/>
      <c r="Z111" s="10"/>
      <c r="AA111" s="10"/>
      <c r="AB111" s="10">
        <v>0.13226850000000001</v>
      </c>
      <c r="AC111" s="9"/>
      <c r="AE111" s="8"/>
      <c r="AF111" s="16"/>
      <c r="AG111" s="8"/>
      <c r="AI111" s="8"/>
      <c r="AK111" s="8"/>
      <c r="AL111" s="16"/>
      <c r="AM111" s="8"/>
    </row>
    <row r="112" spans="1:39" ht="22.5" customHeight="1" x14ac:dyDescent="0.35">
      <c r="A112" s="13"/>
      <c r="B112" s="2" t="s">
        <v>0</v>
      </c>
      <c r="C112" s="6"/>
      <c r="D112" s="6"/>
      <c r="E112" s="6"/>
      <c r="F112" s="6"/>
      <c r="G112" s="6"/>
      <c r="H112" s="45"/>
      <c r="I112" s="45"/>
      <c r="J112" s="6"/>
      <c r="K112" s="6"/>
      <c r="L112" s="6"/>
      <c r="M112" s="6"/>
      <c r="N112" s="6"/>
      <c r="O112" s="6"/>
      <c r="P112" s="6"/>
      <c r="Q112" s="8"/>
      <c r="R112" s="8"/>
      <c r="S112" s="8"/>
      <c r="T112" s="8"/>
      <c r="U112" s="28"/>
      <c r="V112" s="28"/>
      <c r="W112" s="7"/>
      <c r="Y112" s="12"/>
      <c r="Z112" s="10"/>
      <c r="AA112" s="10"/>
      <c r="AB112" s="10">
        <v>7.7156624999999993E-2</v>
      </c>
      <c r="AC112" s="9"/>
      <c r="AE112" s="8"/>
      <c r="AF112" s="16"/>
      <c r="AG112" s="8"/>
      <c r="AI112" s="8"/>
      <c r="AK112" s="8"/>
      <c r="AL112" s="16"/>
      <c r="AM112" s="8"/>
    </row>
    <row r="113" spans="1:39" ht="22.5" customHeight="1" x14ac:dyDescent="0.35">
      <c r="A113" s="13"/>
      <c r="B113" s="2" t="s">
        <v>11</v>
      </c>
      <c r="C113" s="6"/>
      <c r="D113" s="6"/>
      <c r="E113" s="6"/>
      <c r="F113" s="6"/>
      <c r="G113" s="6"/>
      <c r="H113" s="45"/>
      <c r="I113" s="45"/>
      <c r="J113" s="6"/>
      <c r="K113" s="6"/>
      <c r="L113" s="6"/>
      <c r="M113" s="6"/>
      <c r="N113" s="6"/>
      <c r="O113" s="6"/>
      <c r="P113" s="6"/>
      <c r="Q113" s="8"/>
      <c r="R113" s="8"/>
      <c r="S113" s="8"/>
      <c r="T113" s="8"/>
      <c r="U113" s="28"/>
      <c r="V113" s="28"/>
      <c r="W113" s="7"/>
      <c r="Y113" s="12"/>
      <c r="Z113" s="10"/>
      <c r="AA113" s="10"/>
      <c r="AB113" s="10">
        <v>6.7830000000000001E-2</v>
      </c>
      <c r="AC113" s="9"/>
      <c r="AE113" s="8"/>
      <c r="AF113" s="16"/>
      <c r="AG113" s="8"/>
      <c r="AI113" s="8"/>
      <c r="AK113" s="8"/>
      <c r="AL113" s="16"/>
      <c r="AM113" s="8"/>
    </row>
    <row r="114" spans="1:39" ht="22.5" customHeight="1" x14ac:dyDescent="0.35">
      <c r="A114" s="13"/>
      <c r="B114" s="2" t="s">
        <v>1</v>
      </c>
      <c r="C114" s="6"/>
      <c r="D114" s="6"/>
      <c r="E114" s="6"/>
      <c r="F114" s="6"/>
      <c r="G114" s="6"/>
      <c r="H114" s="45"/>
      <c r="I114" s="45"/>
      <c r="J114" s="6"/>
      <c r="K114" s="6"/>
      <c r="L114" s="6"/>
      <c r="M114" s="6"/>
      <c r="N114" s="6"/>
      <c r="O114" s="6"/>
      <c r="P114" s="6"/>
      <c r="Q114" s="8"/>
      <c r="R114" s="8"/>
      <c r="S114" s="8"/>
      <c r="T114" s="8"/>
      <c r="U114" s="28"/>
      <c r="V114" s="28"/>
      <c r="W114" s="7"/>
      <c r="Y114" s="12"/>
      <c r="Z114" s="10"/>
      <c r="AA114" s="10"/>
      <c r="AB114" s="10">
        <v>5.8503375000000003E-2</v>
      </c>
      <c r="AC114" s="9"/>
      <c r="AE114" s="8"/>
      <c r="AF114" s="16"/>
      <c r="AG114" s="8"/>
      <c r="AI114" s="8"/>
      <c r="AK114" s="8"/>
      <c r="AL114" s="16"/>
      <c r="AM114" s="8"/>
    </row>
    <row r="115" spans="1:39" ht="22.5" customHeight="1" x14ac:dyDescent="0.35">
      <c r="A115" s="13"/>
      <c r="B115" s="2" t="s">
        <v>2</v>
      </c>
      <c r="C115" s="6"/>
      <c r="D115" s="6"/>
      <c r="E115" s="6"/>
      <c r="F115" s="6"/>
      <c r="G115" s="6"/>
      <c r="H115" s="45"/>
      <c r="I115" s="45"/>
      <c r="J115" s="6"/>
      <c r="K115" s="6"/>
      <c r="L115" s="6"/>
      <c r="M115" s="6"/>
      <c r="N115" s="6"/>
      <c r="O115" s="6"/>
      <c r="P115" s="6"/>
      <c r="Q115" s="8"/>
      <c r="R115" s="8"/>
      <c r="S115" s="8"/>
      <c r="T115" s="8"/>
      <c r="U115" s="28"/>
      <c r="V115" s="28"/>
      <c r="W115" s="7"/>
      <c r="Y115" s="12"/>
      <c r="Z115" s="10"/>
      <c r="AA115" s="10"/>
      <c r="AB115" s="10">
        <v>1.5261749999999998E-2</v>
      </c>
      <c r="AC115" s="9"/>
      <c r="AE115" s="8"/>
      <c r="AF115" s="16"/>
      <c r="AG115" s="8"/>
      <c r="AI115" s="8"/>
      <c r="AK115" s="8"/>
      <c r="AL115" s="16"/>
      <c r="AM115" s="8"/>
    </row>
    <row r="116" spans="1:39" ht="22.5" customHeight="1" x14ac:dyDescent="0.35">
      <c r="A116" s="13"/>
      <c r="B116" s="2" t="s">
        <v>3</v>
      </c>
      <c r="C116" s="6"/>
      <c r="D116" s="6"/>
      <c r="E116" s="6"/>
      <c r="F116" s="6"/>
      <c r="G116" s="6"/>
      <c r="H116" s="45"/>
      <c r="I116" s="45"/>
      <c r="J116" s="6"/>
      <c r="K116" s="6"/>
      <c r="L116" s="6"/>
      <c r="M116" s="6"/>
      <c r="N116" s="6"/>
      <c r="O116" s="6"/>
      <c r="P116" s="6"/>
      <c r="Q116" s="8"/>
      <c r="R116" s="8"/>
      <c r="S116" s="8"/>
      <c r="T116" s="8"/>
      <c r="U116" s="28"/>
      <c r="V116" s="28"/>
      <c r="W116" s="7"/>
      <c r="Y116" s="12"/>
      <c r="Z116" s="10"/>
      <c r="AA116" s="10"/>
      <c r="AB116" s="10"/>
      <c r="AC116" s="9"/>
      <c r="AE116" s="8"/>
      <c r="AF116" s="16"/>
      <c r="AG116" s="8"/>
      <c r="AI116" s="8"/>
      <c r="AK116" s="8"/>
      <c r="AL116" s="16"/>
      <c r="AM116" s="8"/>
    </row>
    <row r="117" spans="1:39" ht="22.5" customHeight="1" x14ac:dyDescent="0.35">
      <c r="A117" s="13"/>
      <c r="B117" s="2" t="s">
        <v>4</v>
      </c>
      <c r="C117" s="6"/>
      <c r="D117" s="6"/>
      <c r="E117" s="6"/>
      <c r="F117" s="6"/>
      <c r="G117" s="6"/>
      <c r="H117" s="45"/>
      <c r="I117" s="45"/>
      <c r="J117" s="6"/>
      <c r="K117" s="6"/>
      <c r="L117" s="6"/>
      <c r="M117" s="6"/>
      <c r="N117" s="6"/>
      <c r="O117" s="6"/>
      <c r="P117" s="6"/>
      <c r="Q117" s="8"/>
      <c r="R117" s="8"/>
      <c r="S117" s="8"/>
      <c r="T117" s="8"/>
      <c r="U117" s="28"/>
      <c r="V117" s="28"/>
      <c r="W117" s="7"/>
      <c r="Y117" s="12"/>
      <c r="Z117" s="10"/>
      <c r="AA117" s="10"/>
      <c r="AB117" s="10"/>
      <c r="AC117" s="9"/>
      <c r="AE117" s="8"/>
      <c r="AF117" s="16"/>
      <c r="AG117" s="8"/>
      <c r="AI117" s="8"/>
      <c r="AK117" s="8"/>
      <c r="AL117" s="16"/>
      <c r="AM117" s="8"/>
    </row>
    <row r="118" spans="1:39" ht="22.5" customHeight="1" x14ac:dyDescent="0.35">
      <c r="A118" s="13"/>
      <c r="B118" s="2" t="s">
        <v>5</v>
      </c>
      <c r="C118" s="6"/>
      <c r="D118" s="6"/>
      <c r="E118" s="6"/>
      <c r="F118" s="6"/>
      <c r="G118" s="6"/>
      <c r="H118" s="45"/>
      <c r="I118" s="45"/>
      <c r="J118" s="6"/>
      <c r="K118" s="6"/>
      <c r="L118" s="6"/>
      <c r="M118" s="6"/>
      <c r="N118" s="6"/>
      <c r="O118" s="6"/>
      <c r="P118" s="6"/>
      <c r="Q118" s="8"/>
      <c r="R118" s="8"/>
      <c r="S118" s="8"/>
      <c r="T118" s="8"/>
      <c r="U118" s="28"/>
      <c r="V118" s="28"/>
      <c r="W118" s="7"/>
      <c r="Y118" s="12"/>
      <c r="Z118" s="10"/>
      <c r="AA118" s="10"/>
      <c r="AB118" s="10"/>
      <c r="AC118" s="9"/>
      <c r="AE118" s="8"/>
      <c r="AF118" s="16"/>
      <c r="AG118" s="8"/>
      <c r="AI118" s="8"/>
      <c r="AK118" s="8"/>
      <c r="AL118" s="16"/>
      <c r="AM118" s="8"/>
    </row>
    <row r="119" spans="1:39" ht="22.5" customHeight="1" x14ac:dyDescent="0.35">
      <c r="A119" s="13"/>
      <c r="B119" s="2" t="s">
        <v>6</v>
      </c>
      <c r="C119" s="6"/>
      <c r="D119" s="6"/>
      <c r="E119" s="6"/>
      <c r="F119" s="6"/>
      <c r="G119" s="6"/>
      <c r="H119" s="45"/>
      <c r="I119" s="45"/>
      <c r="J119" s="6"/>
      <c r="K119" s="6"/>
      <c r="L119" s="6"/>
      <c r="M119" s="6"/>
      <c r="N119" s="6"/>
      <c r="O119" s="6"/>
      <c r="P119" s="6"/>
      <c r="Q119" s="8"/>
      <c r="R119" s="8"/>
      <c r="S119" s="8"/>
      <c r="T119" s="8"/>
      <c r="U119" s="28"/>
      <c r="V119" s="28"/>
      <c r="W119" s="7"/>
      <c r="Y119" s="12"/>
      <c r="Z119" s="10"/>
      <c r="AA119" s="10"/>
      <c r="AB119" s="10"/>
      <c r="AC119" s="9"/>
      <c r="AE119" s="8"/>
      <c r="AF119" s="16"/>
      <c r="AG119" s="8"/>
      <c r="AI119" s="8"/>
      <c r="AK119" s="8"/>
      <c r="AL119" s="16"/>
      <c r="AM119" s="8"/>
    </row>
    <row r="120" spans="1:39" ht="22.5" customHeight="1" x14ac:dyDescent="0.35">
      <c r="A120" s="13"/>
      <c r="B120" s="2" t="s">
        <v>7</v>
      </c>
      <c r="C120" s="6"/>
      <c r="D120" s="6"/>
      <c r="E120" s="6"/>
      <c r="F120" s="6"/>
      <c r="G120" s="6"/>
      <c r="H120" s="45"/>
      <c r="I120" s="45"/>
      <c r="J120" s="6"/>
      <c r="K120" s="6"/>
      <c r="L120" s="6"/>
      <c r="M120" s="6"/>
      <c r="N120" s="6"/>
      <c r="O120" s="6"/>
      <c r="P120" s="6"/>
      <c r="Q120" s="8"/>
      <c r="R120" s="8"/>
      <c r="S120" s="8"/>
      <c r="T120" s="8"/>
      <c r="U120" s="28"/>
      <c r="V120" s="28"/>
      <c r="W120" s="7"/>
      <c r="Y120" s="12"/>
      <c r="Z120" s="10"/>
      <c r="AA120" s="10"/>
      <c r="AB120" s="10"/>
      <c r="AC120" s="9"/>
      <c r="AE120" s="8"/>
      <c r="AF120" s="16"/>
      <c r="AG120" s="8"/>
      <c r="AI120" s="8"/>
      <c r="AK120" s="8"/>
      <c r="AL120" s="16"/>
      <c r="AM120" s="8"/>
    </row>
    <row r="121" spans="1:39" ht="22.5" customHeight="1" x14ac:dyDescent="0.35">
      <c r="A121" s="13"/>
      <c r="B121" s="2" t="s">
        <v>8</v>
      </c>
      <c r="C121" s="6"/>
      <c r="D121" s="6"/>
      <c r="E121" s="6"/>
      <c r="F121" s="6"/>
      <c r="G121" s="6"/>
      <c r="H121" s="45"/>
      <c r="I121" s="45"/>
      <c r="J121" s="6"/>
      <c r="K121" s="6"/>
      <c r="L121" s="6"/>
      <c r="M121" s="6"/>
      <c r="N121" s="6"/>
      <c r="O121" s="6"/>
      <c r="P121" s="6"/>
      <c r="Q121" s="8"/>
      <c r="R121" s="8"/>
      <c r="S121" s="8"/>
      <c r="T121" s="8"/>
      <c r="U121" s="28"/>
      <c r="V121" s="28"/>
      <c r="W121" s="7"/>
      <c r="Y121" s="12"/>
      <c r="Z121" s="10"/>
      <c r="AA121" s="10"/>
      <c r="AB121" s="10"/>
      <c r="AC121" s="9"/>
      <c r="AE121" s="8"/>
      <c r="AF121" s="16"/>
      <c r="AG121" s="8"/>
      <c r="AI121" s="8"/>
      <c r="AK121" s="8"/>
      <c r="AL121" s="16"/>
      <c r="AM121" s="8"/>
    </row>
    <row r="122" spans="1:39" ht="22.5" customHeight="1" x14ac:dyDescent="0.35">
      <c r="A122" s="13"/>
      <c r="B122" s="2" t="s">
        <v>9</v>
      </c>
      <c r="C122" s="6"/>
      <c r="D122" s="6"/>
      <c r="E122" s="6"/>
      <c r="F122" s="6"/>
      <c r="G122" s="6"/>
      <c r="H122" s="45"/>
      <c r="I122" s="45"/>
      <c r="J122" s="6"/>
      <c r="K122" s="6"/>
      <c r="L122" s="6"/>
      <c r="M122" s="6"/>
      <c r="N122" s="6"/>
      <c r="O122" s="6"/>
      <c r="P122" s="6"/>
      <c r="Q122" s="8"/>
      <c r="R122" s="8"/>
      <c r="S122" s="8"/>
      <c r="T122" s="8"/>
      <c r="U122" s="28"/>
      <c r="V122" s="28"/>
      <c r="W122" s="7"/>
      <c r="Y122" s="12"/>
      <c r="Z122" s="10"/>
      <c r="AA122" s="10"/>
      <c r="AB122" s="10"/>
      <c r="AC122" s="9"/>
      <c r="AE122" s="8"/>
      <c r="AF122" s="16"/>
      <c r="AG122" s="8"/>
      <c r="AI122" s="8"/>
      <c r="AK122" s="8"/>
      <c r="AL122" s="16"/>
      <c r="AM122" s="8"/>
    </row>
    <row r="126" spans="1:39" x14ac:dyDescent="0.35">
      <c r="C126" s="14">
        <v>0.99</v>
      </c>
      <c r="J126" s="11">
        <v>0.97</v>
      </c>
      <c r="K126" s="11"/>
      <c r="L126" s="11"/>
    </row>
    <row r="127" spans="1:39" x14ac:dyDescent="0.35">
      <c r="D127">
        <v>100000000</v>
      </c>
    </row>
    <row r="129" spans="4:28" x14ac:dyDescent="0.35">
      <c r="D129" s="14">
        <v>0.995</v>
      </c>
    </row>
    <row r="132" spans="4:28" x14ac:dyDescent="0.35">
      <c r="E132">
        <v>1218581.8181818181</v>
      </c>
      <c r="H132" s="47">
        <v>1166372.7272727273</v>
      </c>
      <c r="I132" s="47">
        <v>1192582.7272727273</v>
      </c>
      <c r="J132">
        <v>1139629.9999999998</v>
      </c>
      <c r="M132">
        <v>1130522.7272727271</v>
      </c>
      <c r="N132">
        <v>1071929.0909090908</v>
      </c>
      <c r="O132">
        <v>1066205.4545454546</v>
      </c>
      <c r="P132">
        <v>1066205.4545454546</v>
      </c>
      <c r="W132">
        <v>1037217.2727272726</v>
      </c>
      <c r="X132">
        <v>994598.18181818188</v>
      </c>
      <c r="Y132">
        <v>998999.09090909082</v>
      </c>
      <c r="Z132">
        <v>967239.99999999988</v>
      </c>
      <c r="AA132">
        <v>1007964.5454545454</v>
      </c>
    </row>
    <row r="133" spans="4:28" x14ac:dyDescent="0.35">
      <c r="E133">
        <f t="shared" ref="E133:AA133" si="12">E132/100000000</f>
        <v>1.2185818181818181E-2</v>
      </c>
      <c r="H133" s="47">
        <f t="shared" si="12"/>
        <v>1.1663727272727274E-2</v>
      </c>
      <c r="I133" s="47">
        <f t="shared" si="12"/>
        <v>1.1925827272727273E-2</v>
      </c>
      <c r="J133">
        <f t="shared" si="12"/>
        <v>1.1396299999999998E-2</v>
      </c>
      <c r="M133">
        <f t="shared" si="12"/>
        <v>1.1305227272727271E-2</v>
      </c>
      <c r="N133">
        <f t="shared" si="12"/>
        <v>1.0719290909090908E-2</v>
      </c>
      <c r="O133">
        <f t="shared" ref="O133" si="13">O132/100000000</f>
        <v>1.0662054545454545E-2</v>
      </c>
      <c r="P133">
        <f t="shared" si="12"/>
        <v>1.0662054545454545E-2</v>
      </c>
      <c r="W133">
        <f t="shared" si="12"/>
        <v>1.0372172727272725E-2</v>
      </c>
      <c r="X133">
        <f t="shared" si="12"/>
        <v>9.9459818181818187E-3</v>
      </c>
      <c r="Y133">
        <f t="shared" si="12"/>
        <v>9.9899909090909074E-3</v>
      </c>
      <c r="Z133">
        <f t="shared" si="12"/>
        <v>9.6723999999999994E-3</v>
      </c>
      <c r="AA133">
        <f t="shared" si="12"/>
        <v>1.0079645454545453E-2</v>
      </c>
    </row>
    <row r="135" spans="4:28" x14ac:dyDescent="0.35">
      <c r="E135">
        <v>14690.90909090909</v>
      </c>
      <c r="H135" s="47">
        <v>8318.181818181818</v>
      </c>
      <c r="I135" s="47">
        <v>14690.90909090909</v>
      </c>
      <c r="J135">
        <v>16754.545454545452</v>
      </c>
      <c r="M135">
        <v>11427.272727272726</v>
      </c>
      <c r="O135">
        <v>9109.0909090909081</v>
      </c>
      <c r="P135">
        <v>9109.0909090909081</v>
      </c>
      <c r="W135">
        <v>15481.81818181818</v>
      </c>
      <c r="X135">
        <v>15472.727272727272</v>
      </c>
      <c r="Y135">
        <v>17481.81818181818</v>
      </c>
      <c r="Z135">
        <v>9018.181818181818</v>
      </c>
      <c r="AA135">
        <v>9018.181818181818</v>
      </c>
      <c r="AB135">
        <v>21754.545454545452</v>
      </c>
    </row>
    <row r="136" spans="4:28" x14ac:dyDescent="0.35">
      <c r="E136">
        <f t="shared" ref="E136:AB136" si="14">E135/100000000</f>
        <v>1.4690909090909091E-4</v>
      </c>
      <c r="H136" s="47">
        <f t="shared" si="14"/>
        <v>8.3181818181818183E-5</v>
      </c>
      <c r="I136" s="47">
        <f t="shared" si="14"/>
        <v>1.4690909090909091E-4</v>
      </c>
      <c r="J136">
        <f t="shared" si="14"/>
        <v>1.6754545454545453E-4</v>
      </c>
      <c r="M136">
        <f t="shared" si="14"/>
        <v>1.1427272727272726E-4</v>
      </c>
      <c r="N136">
        <f t="shared" si="14"/>
        <v>0</v>
      </c>
      <c r="O136">
        <f t="shared" ref="O136" si="15">O135/100000000</f>
        <v>9.1090909090909075E-5</v>
      </c>
      <c r="P136">
        <f t="shared" si="14"/>
        <v>9.1090909090909075E-5</v>
      </c>
      <c r="W136">
        <f t="shared" si="14"/>
        <v>1.548181818181818E-4</v>
      </c>
      <c r="X136">
        <f t="shared" si="14"/>
        <v>1.5472727272727272E-4</v>
      </c>
      <c r="Y136">
        <f t="shared" si="14"/>
        <v>1.748181818181818E-4</v>
      </c>
      <c r="Z136">
        <f t="shared" si="14"/>
        <v>9.0181818181818177E-5</v>
      </c>
      <c r="AA136">
        <f t="shared" si="14"/>
        <v>9.0181818181818177E-5</v>
      </c>
      <c r="AB136">
        <f t="shared" si="14"/>
        <v>2.1754545454545453E-4</v>
      </c>
    </row>
    <row r="138" spans="4:28" x14ac:dyDescent="0.35">
      <c r="E138">
        <v>3145.454545454545</v>
      </c>
      <c r="H138" s="47">
        <v>3145.454545454545</v>
      </c>
      <c r="I138" s="47">
        <v>3627.272727272727</v>
      </c>
      <c r="J138">
        <v>3327.272727272727</v>
      </c>
      <c r="M138">
        <v>3281.8181818181815</v>
      </c>
      <c r="O138">
        <v>3499.9999999999995</v>
      </c>
      <c r="P138">
        <v>3499.9999999999995</v>
      </c>
      <c r="W138">
        <v>3499.9999999999995</v>
      </c>
      <c r="X138">
        <v>2761.8181818181815</v>
      </c>
      <c r="Y138">
        <v>2761.8181818181815</v>
      </c>
      <c r="Z138">
        <v>2761.8181818181815</v>
      </c>
      <c r="AA138">
        <v>34.454545454545453</v>
      </c>
      <c r="AB138">
        <v>34.454545454545453</v>
      </c>
    </row>
    <row r="139" spans="4:28" x14ac:dyDescent="0.35">
      <c r="E139">
        <f t="shared" ref="E139:AB139" si="16">E138/100000000</f>
        <v>3.145454545454545E-5</v>
      </c>
      <c r="H139" s="47">
        <f t="shared" si="16"/>
        <v>3.145454545454545E-5</v>
      </c>
      <c r="I139" s="47">
        <f t="shared" si="16"/>
        <v>3.6272727272727272E-5</v>
      </c>
      <c r="J139">
        <f t="shared" si="16"/>
        <v>3.3272727272727273E-5</v>
      </c>
      <c r="M139">
        <f t="shared" si="16"/>
        <v>3.2818181818181818E-5</v>
      </c>
      <c r="N139">
        <f t="shared" si="16"/>
        <v>0</v>
      </c>
      <c r="O139">
        <f t="shared" ref="O139" si="17">O138/100000000</f>
        <v>3.4999999999999997E-5</v>
      </c>
      <c r="P139">
        <f t="shared" si="16"/>
        <v>3.4999999999999997E-5</v>
      </c>
      <c r="W139">
        <f t="shared" si="16"/>
        <v>3.4999999999999997E-5</v>
      </c>
      <c r="X139">
        <f t="shared" si="16"/>
        <v>2.7618181818181816E-5</v>
      </c>
      <c r="Y139">
        <f t="shared" si="16"/>
        <v>2.7618181818181816E-5</v>
      </c>
      <c r="Z139">
        <f t="shared" si="16"/>
        <v>2.7618181818181816E-5</v>
      </c>
      <c r="AA139">
        <f t="shared" si="16"/>
        <v>3.4454545454545451E-7</v>
      </c>
      <c r="AB139">
        <f t="shared" si="16"/>
        <v>3.4454545454545451E-7</v>
      </c>
    </row>
  </sheetData>
  <phoneticPr fontId="2" type="noConversion"/>
  <printOptions horizontalCentered="1"/>
  <pageMargins left="0.19685039370078741" right="0.11811023622047245" top="0.35433070866141736" bottom="0.35433070866141736" header="0.31496062992125984" footer="0.31496062992125984"/>
  <pageSetup paperSize="8"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9CB2-EA87-417B-9A9E-6A5D0DA8471F}">
  <dimension ref="B2:BI26"/>
  <sheetViews>
    <sheetView showGridLines="0" zoomScale="70" zoomScaleNormal="70" workbookViewId="0">
      <selection activeCell="F55" sqref="F55"/>
    </sheetView>
  </sheetViews>
  <sheetFormatPr defaultColWidth="9.453125" defaultRowHeight="14.5" outlineLevelCol="1" x14ac:dyDescent="0.35"/>
  <cols>
    <col min="1" max="2" width="9.453125" style="174"/>
    <col min="3" max="3" width="29" style="174" customWidth="1"/>
    <col min="4" max="4" width="18.453125" style="174" customWidth="1"/>
    <col min="5" max="16" width="18.453125" style="174" customWidth="1" outlineLevel="1"/>
    <col min="17" max="17" width="17.1796875" style="174" customWidth="1"/>
    <col min="18" max="29" width="18" style="174" customWidth="1" outlineLevel="1"/>
    <col min="30" max="30" width="18.1796875" style="174" customWidth="1"/>
    <col min="31" max="42" width="15.26953125" style="174" customWidth="1" outlineLevel="1"/>
    <col min="43" max="43" width="17.1796875" style="174" customWidth="1"/>
    <col min="44" max="55" width="16.26953125" style="174" customWidth="1" outlineLevel="1"/>
    <col min="56" max="56" width="18.81640625" style="174" customWidth="1"/>
    <col min="57" max="61" width="18.81640625" style="174" customWidth="1" outlineLevel="1"/>
    <col min="62" max="16384" width="9.453125" style="174"/>
  </cols>
  <sheetData>
    <row r="2" spans="2:61" ht="25.5" x14ac:dyDescent="0.35">
      <c r="C2" s="176"/>
      <c r="D2" s="393" t="s">
        <v>128</v>
      </c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4"/>
      <c r="AN2" s="394"/>
      <c r="AO2" s="394"/>
      <c r="AP2" s="394"/>
      <c r="AQ2" s="394"/>
      <c r="AR2" s="394"/>
      <c r="AS2" s="394"/>
      <c r="AT2" s="394"/>
      <c r="AU2" s="394"/>
      <c r="AV2" s="394"/>
      <c r="AW2" s="394"/>
      <c r="AX2" s="394"/>
      <c r="AY2" s="394"/>
      <c r="BD2" s="176"/>
      <c r="BE2" s="176"/>
      <c r="BF2" s="176"/>
      <c r="BG2" s="176"/>
      <c r="BH2" s="176"/>
      <c r="BI2" s="176"/>
    </row>
    <row r="5" spans="2:61" s="177" customFormat="1" ht="25.5" x14ac:dyDescent="0.35">
      <c r="C5" s="178" t="s">
        <v>129</v>
      </c>
      <c r="D5" s="388" t="s">
        <v>130</v>
      </c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91" t="s">
        <v>131</v>
      </c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92"/>
      <c r="AD5" s="391" t="s">
        <v>132</v>
      </c>
      <c r="AE5" s="389"/>
      <c r="AF5" s="389"/>
      <c r="AG5" s="389"/>
      <c r="AH5" s="389"/>
      <c r="AI5" s="389"/>
      <c r="AJ5" s="389"/>
      <c r="AK5" s="389"/>
      <c r="AL5" s="389"/>
      <c r="AM5" s="389"/>
      <c r="AN5" s="389"/>
      <c r="AO5" s="389"/>
      <c r="AP5" s="392"/>
      <c r="AQ5" s="391" t="s">
        <v>133</v>
      </c>
      <c r="AR5" s="388"/>
      <c r="AS5" s="388"/>
      <c r="AT5" s="388"/>
      <c r="AU5" s="388"/>
      <c r="AV5" s="388"/>
      <c r="AW5" s="388"/>
      <c r="AX5" s="388"/>
      <c r="AY5" s="388"/>
      <c r="AZ5" s="388"/>
      <c r="BA5" s="388"/>
      <c r="BB5" s="388"/>
      <c r="BC5" s="388"/>
      <c r="BD5" s="388" t="s">
        <v>134</v>
      </c>
      <c r="BE5" s="389"/>
      <c r="BF5" s="389"/>
      <c r="BG5" s="389"/>
      <c r="BH5" s="389"/>
      <c r="BI5" s="389"/>
    </row>
    <row r="6" spans="2:61" s="181" customFormat="1" ht="15" x14ac:dyDescent="0.35">
      <c r="B6" s="390" t="s">
        <v>135</v>
      </c>
      <c r="C6" s="179" t="s">
        <v>121</v>
      </c>
      <c r="D6" s="180" t="s">
        <v>136</v>
      </c>
      <c r="E6" s="179" t="s">
        <v>137</v>
      </c>
      <c r="F6" s="179" t="s">
        <v>138</v>
      </c>
      <c r="G6" s="179" t="s">
        <v>139</v>
      </c>
      <c r="H6" s="179" t="s">
        <v>140</v>
      </c>
      <c r="I6" s="179" t="s">
        <v>141</v>
      </c>
      <c r="J6" s="179" t="s">
        <v>142</v>
      </c>
      <c r="K6" s="179" t="s">
        <v>143</v>
      </c>
      <c r="L6" s="179" t="s">
        <v>144</v>
      </c>
      <c r="M6" s="179" t="s">
        <v>145</v>
      </c>
      <c r="N6" s="179" t="s">
        <v>146</v>
      </c>
      <c r="O6" s="179" t="s">
        <v>147</v>
      </c>
      <c r="P6" s="179" t="s">
        <v>148</v>
      </c>
      <c r="Q6" s="180" t="s">
        <v>149</v>
      </c>
      <c r="R6" s="179" t="s">
        <v>150</v>
      </c>
      <c r="S6" s="179" t="s">
        <v>151</v>
      </c>
      <c r="T6" s="179" t="s">
        <v>152</v>
      </c>
      <c r="U6" s="179" t="s">
        <v>153</v>
      </c>
      <c r="V6" s="179" t="s">
        <v>154</v>
      </c>
      <c r="W6" s="179" t="s">
        <v>155</v>
      </c>
      <c r="X6" s="179" t="s">
        <v>156</v>
      </c>
      <c r="Y6" s="179" t="s">
        <v>157</v>
      </c>
      <c r="Z6" s="179" t="s">
        <v>158</v>
      </c>
      <c r="AA6" s="179" t="s">
        <v>159</v>
      </c>
      <c r="AB6" s="179" t="s">
        <v>160</v>
      </c>
      <c r="AC6" s="179" t="s">
        <v>161</v>
      </c>
      <c r="AD6" s="180" t="s">
        <v>162</v>
      </c>
      <c r="AE6" s="179" t="s">
        <v>163</v>
      </c>
      <c r="AF6" s="179" t="s">
        <v>164</v>
      </c>
      <c r="AG6" s="179" t="s">
        <v>165</v>
      </c>
      <c r="AH6" s="179" t="s">
        <v>166</v>
      </c>
      <c r="AI6" s="179" t="s">
        <v>167</v>
      </c>
      <c r="AJ6" s="179" t="s">
        <v>168</v>
      </c>
      <c r="AK6" s="179" t="s">
        <v>169</v>
      </c>
      <c r="AL6" s="179" t="s">
        <v>170</v>
      </c>
      <c r="AM6" s="179" t="s">
        <v>171</v>
      </c>
      <c r="AN6" s="179" t="s">
        <v>172</v>
      </c>
      <c r="AO6" s="179" t="s">
        <v>173</v>
      </c>
      <c r="AP6" s="179" t="s">
        <v>174</v>
      </c>
      <c r="AQ6" s="180" t="s">
        <v>175</v>
      </c>
      <c r="AR6" s="179" t="s">
        <v>176</v>
      </c>
      <c r="AS6" s="179" t="s">
        <v>177</v>
      </c>
      <c r="AT6" s="179" t="s">
        <v>178</v>
      </c>
      <c r="AU6" s="179" t="s">
        <v>179</v>
      </c>
      <c r="AV6" s="179" t="s">
        <v>180</v>
      </c>
      <c r="AW6" s="179" t="s">
        <v>181</v>
      </c>
      <c r="AX6" s="179" t="s">
        <v>182</v>
      </c>
      <c r="AY6" s="179" t="s">
        <v>183</v>
      </c>
      <c r="AZ6" s="179" t="s">
        <v>184</v>
      </c>
      <c r="BA6" s="179" t="s">
        <v>185</v>
      </c>
      <c r="BB6" s="179" t="s">
        <v>186</v>
      </c>
      <c r="BC6" s="179" t="s">
        <v>187</v>
      </c>
      <c r="BD6" s="180" t="s">
        <v>188</v>
      </c>
      <c r="BE6" s="179" t="s">
        <v>189</v>
      </c>
      <c r="BF6" s="179" t="s">
        <v>190</v>
      </c>
      <c r="BG6" s="179" t="s">
        <v>191</v>
      </c>
      <c r="BH6" s="179" t="s">
        <v>192</v>
      </c>
      <c r="BI6" s="179" t="s">
        <v>193</v>
      </c>
    </row>
    <row r="7" spans="2:61" ht="15" x14ac:dyDescent="0.35">
      <c r="B7" s="390"/>
      <c r="C7" s="182" t="s">
        <v>122</v>
      </c>
      <c r="D7" s="183">
        <f>[1]손익계산서!B17</f>
        <v>56204422950</v>
      </c>
      <c r="E7" s="183">
        <f>[1]손익계산서!C17</f>
        <v>4054254674</v>
      </c>
      <c r="F7" s="183">
        <f>[1]손익계산서!D17</f>
        <v>4548254601</v>
      </c>
      <c r="G7" s="183">
        <f>[1]손익계산서!E17</f>
        <v>4288776467</v>
      </c>
      <c r="H7" s="183">
        <f>[1]손익계산서!F17</f>
        <v>5195904932</v>
      </c>
      <c r="I7" s="183">
        <f>[1]손익계산서!G17</f>
        <v>4597475090</v>
      </c>
      <c r="J7" s="183">
        <f>[1]손익계산서!H17</f>
        <v>4694987053</v>
      </c>
      <c r="K7" s="183">
        <f>[1]손익계산서!I17</f>
        <v>4611151304</v>
      </c>
      <c r="L7" s="183">
        <f>[1]손익계산서!J17</f>
        <v>4903612672</v>
      </c>
      <c r="M7" s="183">
        <f>[1]손익계산서!K17</f>
        <v>4582679172</v>
      </c>
      <c r="N7" s="183">
        <f>[1]손익계산서!L17</f>
        <v>4907741560</v>
      </c>
      <c r="O7" s="183">
        <f>[1]손익계산서!M17</f>
        <v>4987365630</v>
      </c>
      <c r="P7" s="183">
        <f>[1]손익계산서!N17</f>
        <v>4832219795</v>
      </c>
      <c r="Q7" s="183">
        <f>[1]손익계산서!B23</f>
        <v>61676006681</v>
      </c>
      <c r="R7" s="183">
        <f>[1]손익계산서!C23</f>
        <v>4986030017</v>
      </c>
      <c r="S7" s="183">
        <f>[1]손익계산서!D23</f>
        <v>5176059132</v>
      </c>
      <c r="T7" s="183">
        <f>[1]손익계산서!E23</f>
        <v>5174200894</v>
      </c>
      <c r="U7" s="183">
        <f>[1]손익계산서!F23</f>
        <v>4900519090</v>
      </c>
      <c r="V7" s="183">
        <f>[1]손익계산서!G23</f>
        <v>5177504349</v>
      </c>
      <c r="W7" s="183">
        <f>[1]손익계산서!H23</f>
        <v>5186761245</v>
      </c>
      <c r="X7" s="183">
        <f>[1]손익계산서!I23</f>
        <v>5416033352</v>
      </c>
      <c r="Y7" s="183">
        <f>[1]손익계산서!J23</f>
        <v>5480840704</v>
      </c>
      <c r="Z7" s="183">
        <f>[1]손익계산서!K23</f>
        <v>5332229652</v>
      </c>
      <c r="AA7" s="183">
        <f>[1]손익계산서!L23</f>
        <v>4444999785</v>
      </c>
      <c r="AB7" s="183">
        <f>[1]손익계산서!M23</f>
        <v>5617360153</v>
      </c>
      <c r="AC7" s="183">
        <f>[1]손익계산서!N23</f>
        <v>4783468308</v>
      </c>
      <c r="AD7" s="183">
        <f>[1]손익계산서!B29</f>
        <v>69199350703</v>
      </c>
      <c r="AE7" s="183">
        <f>[1]손익계산서!C29</f>
        <v>6634190128</v>
      </c>
      <c r="AF7" s="183">
        <f>[1]손익계산서!D29</f>
        <v>5012756010</v>
      </c>
      <c r="AG7" s="183">
        <f>[1]손익계산서!E29</f>
        <v>5897066709</v>
      </c>
      <c r="AH7" s="183">
        <f>[1]손익계산서!F29</f>
        <v>5491495600</v>
      </c>
      <c r="AI7" s="183">
        <f>[1]손익계산서!G29</f>
        <v>5803118945</v>
      </c>
      <c r="AJ7" s="183">
        <f>[1]손익계산서!H29</f>
        <v>5720644810</v>
      </c>
      <c r="AK7" s="183">
        <f>[1]손익계산서!I29</f>
        <v>5984157935</v>
      </c>
      <c r="AL7" s="183">
        <f>[1]손익계산서!J29</f>
        <v>5786399424</v>
      </c>
      <c r="AM7" s="183">
        <f>[1]손익계산서!K29</f>
        <v>5311299822</v>
      </c>
      <c r="AN7" s="183">
        <f>[1]손익계산서!L29</f>
        <v>5976438970</v>
      </c>
      <c r="AO7" s="183">
        <f>[1]손익계산서!M29</f>
        <v>5528110003</v>
      </c>
      <c r="AP7" s="183">
        <f>[1]손익계산서!N29</f>
        <v>6053672347</v>
      </c>
      <c r="AQ7" s="183">
        <f>[1]손익계산서!B35</f>
        <v>67737826929</v>
      </c>
      <c r="AR7" s="183">
        <f>[1]손익계산서!C35</f>
        <v>5913471713</v>
      </c>
      <c r="AS7" s="183">
        <f>[1]손익계산서!D35</f>
        <v>5752953347</v>
      </c>
      <c r="AT7" s="183">
        <f>[1]손익계산서!E35</f>
        <v>5709985367</v>
      </c>
      <c r="AU7" s="183">
        <f>[1]손익계산서!F35</f>
        <v>5478431581</v>
      </c>
      <c r="AV7" s="183">
        <f>[1]손익계산서!G35</f>
        <v>5469048973</v>
      </c>
      <c r="AW7" s="183">
        <f>[1]손익계산서!H35</f>
        <v>5448339080</v>
      </c>
      <c r="AX7" s="183">
        <f>[1]손익계산서!I35</f>
        <v>5629957338</v>
      </c>
      <c r="AY7" s="183">
        <f>[1]손익계산서!J35</f>
        <v>5448343451</v>
      </c>
      <c r="AZ7" s="183">
        <f>[1]손익계산서!K35</f>
        <v>5307582685</v>
      </c>
      <c r="BA7" s="183">
        <f>[1]손익계산서!L35</f>
        <v>5971526152</v>
      </c>
      <c r="BB7" s="183">
        <f>[1]손익계산서!M35</f>
        <v>4960535598</v>
      </c>
      <c r="BC7" s="183">
        <f>[1]손익계산서!N35</f>
        <v>6647636303</v>
      </c>
      <c r="BD7" s="183">
        <f>[1]손익계산서!B41</f>
        <v>25180692273</v>
      </c>
      <c r="BE7" s="183">
        <f>[1]손익계산서!C41</f>
        <v>4934385229</v>
      </c>
      <c r="BF7" s="183">
        <f>[1]손익계산서!D41</f>
        <v>5230421881</v>
      </c>
      <c r="BG7" s="183">
        <f>[1]손익계산서!E41</f>
        <v>4862825487</v>
      </c>
      <c r="BH7" s="183">
        <f>[1]손익계산서!F41</f>
        <v>5600427254</v>
      </c>
      <c r="BI7" s="183">
        <f>[1]손익계산서!G41</f>
        <v>4552632422</v>
      </c>
    </row>
    <row r="8" spans="2:61" ht="15" x14ac:dyDescent="0.35">
      <c r="B8" s="390"/>
      <c r="C8" s="184" t="s">
        <v>123</v>
      </c>
      <c r="D8" s="185">
        <f>D7-D9-D10</f>
        <v>35004019196</v>
      </c>
      <c r="E8" s="185">
        <f t="shared" ref="E8:BC8" si="0">E7-E9-E10</f>
        <v>2688047265</v>
      </c>
      <c r="F8" s="185">
        <f t="shared" si="0"/>
        <v>3228578196</v>
      </c>
      <c r="G8" s="185">
        <f t="shared" si="0"/>
        <v>2831042576</v>
      </c>
      <c r="H8" s="185">
        <f t="shared" si="0"/>
        <v>3794420676</v>
      </c>
      <c r="I8" s="185">
        <f t="shared" si="0"/>
        <v>2709040747</v>
      </c>
      <c r="J8" s="185">
        <f t="shared" si="0"/>
        <v>2777513829</v>
      </c>
      <c r="K8" s="185">
        <f t="shared" si="0"/>
        <v>2688651194</v>
      </c>
      <c r="L8" s="185">
        <f t="shared" si="0"/>
        <v>2916955475</v>
      </c>
      <c r="M8" s="185">
        <f t="shared" si="0"/>
        <v>2627870489</v>
      </c>
      <c r="N8" s="185">
        <f t="shared" si="0"/>
        <v>2898601684</v>
      </c>
      <c r="O8" s="185">
        <f t="shared" si="0"/>
        <v>3071855281</v>
      </c>
      <c r="P8" s="185">
        <f t="shared" si="0"/>
        <v>2771441784</v>
      </c>
      <c r="Q8" s="185">
        <f t="shared" si="0"/>
        <v>34973042740</v>
      </c>
      <c r="R8" s="185">
        <f t="shared" si="0"/>
        <v>2902281512</v>
      </c>
      <c r="S8" s="185">
        <f t="shared" si="0"/>
        <v>3088552353</v>
      </c>
      <c r="T8" s="185">
        <f t="shared" si="0"/>
        <v>3028486590</v>
      </c>
      <c r="U8" s="185">
        <f t="shared" si="0"/>
        <v>2770377259</v>
      </c>
      <c r="V8" s="185">
        <f t="shared" si="0"/>
        <v>3006632750</v>
      </c>
      <c r="W8" s="185">
        <f t="shared" si="0"/>
        <v>2993924784</v>
      </c>
      <c r="X8" s="185">
        <f t="shared" si="0"/>
        <v>3159901852</v>
      </c>
      <c r="Y8" s="185">
        <f t="shared" si="0"/>
        <v>3183740799</v>
      </c>
      <c r="Z8" s="185">
        <f t="shared" si="0"/>
        <v>3041028428</v>
      </c>
      <c r="AA8" s="185">
        <f t="shared" si="0"/>
        <v>2061403991</v>
      </c>
      <c r="AB8" s="185">
        <f t="shared" si="0"/>
        <v>3371023086</v>
      </c>
      <c r="AC8" s="185">
        <f t="shared" si="0"/>
        <v>2365689336</v>
      </c>
      <c r="AD8" s="185">
        <f t="shared" si="0"/>
        <v>41533912337</v>
      </c>
      <c r="AE8" s="185">
        <f t="shared" si="0"/>
        <v>4331232545</v>
      </c>
      <c r="AF8" s="185">
        <f t="shared" si="0"/>
        <v>2719654674</v>
      </c>
      <c r="AG8" s="185">
        <f t="shared" si="0"/>
        <v>3583140283</v>
      </c>
      <c r="AH8" s="185">
        <f t="shared" si="0"/>
        <v>3224184431</v>
      </c>
      <c r="AI8" s="185">
        <f t="shared" si="0"/>
        <v>3490919278</v>
      </c>
      <c r="AJ8" s="185">
        <f t="shared" si="0"/>
        <v>3210377676</v>
      </c>
      <c r="AK8" s="185">
        <f t="shared" si="0"/>
        <v>3697270170</v>
      </c>
      <c r="AL8" s="185">
        <f t="shared" si="0"/>
        <v>3497355755</v>
      </c>
      <c r="AM8" s="185">
        <f t="shared" si="0"/>
        <v>3061791153</v>
      </c>
      <c r="AN8" s="185">
        <f t="shared" si="0"/>
        <v>3637520183</v>
      </c>
      <c r="AO8" s="185">
        <f t="shared" si="0"/>
        <v>3282306133</v>
      </c>
      <c r="AP8" s="185">
        <f t="shared" si="0"/>
        <v>3798160056</v>
      </c>
      <c r="AQ8" s="185">
        <f t="shared" si="0"/>
        <v>46393768360</v>
      </c>
      <c r="AR8" s="185">
        <f t="shared" si="0"/>
        <v>3662191466</v>
      </c>
      <c r="AS8" s="185">
        <f t="shared" si="0"/>
        <v>3474779185</v>
      </c>
      <c r="AT8" s="185">
        <f t="shared" si="0"/>
        <v>3415176046</v>
      </c>
      <c r="AU8" s="185">
        <f t="shared" si="0"/>
        <v>3171250388</v>
      </c>
      <c r="AV8" s="185">
        <f t="shared" si="0"/>
        <v>3184720697</v>
      </c>
      <c r="AW8" s="185">
        <f t="shared" si="0"/>
        <v>3187818109</v>
      </c>
      <c r="AX8" s="185">
        <f t="shared" si="0"/>
        <v>3324205774</v>
      </c>
      <c r="AY8" s="185">
        <f t="shared" si="0"/>
        <v>3193719633</v>
      </c>
      <c r="AZ8" s="185">
        <f t="shared" si="0"/>
        <v>3025766371</v>
      </c>
      <c r="BA8" s="185">
        <f t="shared" si="0"/>
        <v>3669582078</v>
      </c>
      <c r="BB8" s="185">
        <f t="shared" si="0"/>
        <v>2722092801</v>
      </c>
      <c r="BC8" s="185">
        <f t="shared" si="0"/>
        <v>4381307702</v>
      </c>
      <c r="BD8" s="185">
        <f>BD7-BD9-BD10</f>
        <v>14364047008</v>
      </c>
      <c r="BE8" s="185">
        <f t="shared" ref="BE8:BI8" si="1">BE7-BE9-BE10</f>
        <v>2733902880</v>
      </c>
      <c r="BF8" s="185">
        <f t="shared" si="1"/>
        <v>2982716822</v>
      </c>
      <c r="BG8" s="185">
        <f t="shared" si="1"/>
        <v>2725915046</v>
      </c>
      <c r="BH8" s="185">
        <f t="shared" si="1"/>
        <v>3471927495</v>
      </c>
      <c r="BI8" s="185">
        <f t="shared" si="1"/>
        <v>2449584765</v>
      </c>
    </row>
    <row r="9" spans="2:61" s="189" customFormat="1" ht="15" x14ac:dyDescent="0.35">
      <c r="B9" s="390"/>
      <c r="C9" s="186" t="s">
        <v>124</v>
      </c>
      <c r="D9" s="187">
        <f>SUM(E9:P9)</f>
        <v>12826031032</v>
      </c>
      <c r="E9" s="187">
        <v>693128300</v>
      </c>
      <c r="F9" s="188">
        <v>669521313</v>
      </c>
      <c r="G9" s="188">
        <v>739563069</v>
      </c>
      <c r="H9" s="188">
        <v>711025554</v>
      </c>
      <c r="I9" s="188">
        <v>1188561783</v>
      </c>
      <c r="J9" s="188">
        <v>1210338454</v>
      </c>
      <c r="K9" s="188">
        <v>1213562583</v>
      </c>
      <c r="L9" s="188">
        <v>1255339113</v>
      </c>
      <c r="M9" s="188">
        <v>1240617478</v>
      </c>
      <c r="N9" s="188">
        <v>1276507405</v>
      </c>
      <c r="O9" s="188">
        <v>1318840935</v>
      </c>
      <c r="P9" s="188">
        <v>1309025045</v>
      </c>
      <c r="Q9" s="187">
        <f>SUM(R9:AC9)</f>
        <v>17102485092</v>
      </c>
      <c r="R9" s="187">
        <v>1325748963</v>
      </c>
      <c r="S9" s="187">
        <v>1330283104</v>
      </c>
      <c r="T9" s="187">
        <v>1367087601</v>
      </c>
      <c r="U9" s="187">
        <v>1357875014</v>
      </c>
      <c r="V9" s="187">
        <v>1384287882</v>
      </c>
      <c r="W9" s="187">
        <v>1400569690</v>
      </c>
      <c r="X9" s="187">
        <v>1436190511</v>
      </c>
      <c r="Y9" s="187">
        <v>1462948620</v>
      </c>
      <c r="Z9" s="187">
        <v>1461578677</v>
      </c>
      <c r="AA9" s="187">
        <v>1512881870</v>
      </c>
      <c r="AB9" s="187">
        <v>1528464021</v>
      </c>
      <c r="AC9" s="187">
        <v>1534569139</v>
      </c>
      <c r="AD9" s="187">
        <f>SUM(AE9:AP9)</f>
        <v>18815403448</v>
      </c>
      <c r="AE9" s="187">
        <v>1552742603</v>
      </c>
      <c r="AF9" s="187">
        <v>1559440938</v>
      </c>
      <c r="AG9" s="187">
        <v>1572401003</v>
      </c>
      <c r="AH9" s="187">
        <v>1547722942</v>
      </c>
      <c r="AI9" s="187">
        <v>1566484738</v>
      </c>
      <c r="AJ9" s="187">
        <v>1570847685</v>
      </c>
      <c r="AK9" s="187">
        <v>1577392926</v>
      </c>
      <c r="AL9" s="187">
        <v>1581969712</v>
      </c>
      <c r="AM9" s="187">
        <v>1557601241</v>
      </c>
      <c r="AN9" s="187">
        <v>1601414995</v>
      </c>
      <c r="AO9" s="187">
        <v>1567847090</v>
      </c>
      <c r="AP9" s="187">
        <v>1559537575</v>
      </c>
      <c r="AQ9" s="187">
        <f>SUM(AR9:AY9)</f>
        <v>12362676165</v>
      </c>
      <c r="AR9" s="187">
        <v>1557039045</v>
      </c>
      <c r="AS9" s="187">
        <v>1545274212</v>
      </c>
      <c r="AT9" s="187">
        <v>1559902372</v>
      </c>
      <c r="AU9" s="187">
        <v>1567999428</v>
      </c>
      <c r="AV9" s="187">
        <v>1545639384</v>
      </c>
      <c r="AW9" s="187">
        <v>1529052893</v>
      </c>
      <c r="AX9" s="187">
        <v>1542209015</v>
      </c>
      <c r="AY9" s="187">
        <v>1515559816</v>
      </c>
      <c r="AZ9" s="187">
        <v>1516427739</v>
      </c>
      <c r="BA9" s="187">
        <v>1515080189</v>
      </c>
      <c r="BB9" s="187">
        <v>1477018845</v>
      </c>
      <c r="BC9" s="187">
        <v>1472615996</v>
      </c>
      <c r="BD9" s="185">
        <f>SUM(BE9:BI9)</f>
        <v>6957179693</v>
      </c>
      <c r="BE9" s="187">
        <v>1406769744</v>
      </c>
      <c r="BF9" s="187">
        <v>1450544101</v>
      </c>
      <c r="BG9" s="187">
        <v>1394746599</v>
      </c>
      <c r="BH9" s="187">
        <v>1364357292</v>
      </c>
      <c r="BI9" s="187">
        <v>1340761957</v>
      </c>
    </row>
    <row r="10" spans="2:61" s="189" customFormat="1" ht="15" x14ac:dyDescent="0.35">
      <c r="B10" s="390"/>
      <c r="C10" s="186" t="s">
        <v>194</v>
      </c>
      <c r="D10" s="187">
        <f>[1]손익계산서!B16</f>
        <v>8374372722</v>
      </c>
      <c r="E10" s="187">
        <f>[1]손익계산서!C16</f>
        <v>673079109</v>
      </c>
      <c r="F10" s="187">
        <f>[1]손익계산서!D16</f>
        <v>650155092</v>
      </c>
      <c r="G10" s="187">
        <f>[1]손익계산서!E16</f>
        <v>718170822</v>
      </c>
      <c r="H10" s="187">
        <f>[1]손익계산서!F16</f>
        <v>690458702</v>
      </c>
      <c r="I10" s="187">
        <f>[1]손익계산서!G16</f>
        <v>699872560</v>
      </c>
      <c r="J10" s="187">
        <f>[1]손익계산서!H16</f>
        <v>707134770</v>
      </c>
      <c r="K10" s="187">
        <f>[1]손익계산서!I16</f>
        <v>708937527</v>
      </c>
      <c r="L10" s="187">
        <f>[1]손익계산서!J16</f>
        <v>731318084</v>
      </c>
      <c r="M10" s="187">
        <f>[1]손익계산서!K16</f>
        <v>714191205</v>
      </c>
      <c r="N10" s="187">
        <f>[1]손익계산서!L16</f>
        <v>732632471</v>
      </c>
      <c r="O10" s="187">
        <f>[1]손익계산서!M16</f>
        <v>596669414</v>
      </c>
      <c r="P10" s="187">
        <f>[1]손익계산서!N16</f>
        <v>751752966</v>
      </c>
      <c r="Q10" s="187">
        <f>[1]손익계산서!B22</f>
        <v>9600478849</v>
      </c>
      <c r="R10" s="187">
        <f>[1]손익계산서!C22</f>
        <v>757999542</v>
      </c>
      <c r="S10" s="187">
        <f>[1]손익계산서!D22</f>
        <v>757223675</v>
      </c>
      <c r="T10" s="187">
        <f>[1]손익계산서!E22</f>
        <v>778626703</v>
      </c>
      <c r="U10" s="187">
        <f>[1]손익계산서!F22</f>
        <v>772266817</v>
      </c>
      <c r="V10" s="187">
        <f>[1]손익계산서!G22</f>
        <v>786583717</v>
      </c>
      <c r="W10" s="187">
        <f>[1]손익계산서!H22</f>
        <v>792266771</v>
      </c>
      <c r="X10" s="187">
        <f>[1]손익계산서!I22</f>
        <v>819940989</v>
      </c>
      <c r="Y10" s="187">
        <f>[1]손익계산서!J22</f>
        <v>834151285</v>
      </c>
      <c r="Z10" s="187">
        <f>[1]손익계산서!K22</f>
        <v>829622547</v>
      </c>
      <c r="AA10" s="187">
        <f>[1]손익계산서!L22</f>
        <v>870713924</v>
      </c>
      <c r="AB10" s="187">
        <f>[1]손익계산서!M22</f>
        <v>717873046</v>
      </c>
      <c r="AC10" s="187">
        <f>[1]손익계산서!N22</f>
        <v>883209833</v>
      </c>
      <c r="AD10" s="187">
        <f>[1]손익계산서!B28</f>
        <v>8850034918</v>
      </c>
      <c r="AE10" s="187">
        <f>[1]손익계산서!C28</f>
        <v>750214980</v>
      </c>
      <c r="AF10" s="187">
        <f>[1]손익계산서!D28</f>
        <v>733660398</v>
      </c>
      <c r="AG10" s="187">
        <f>[1]손익계산서!E28</f>
        <v>741525423</v>
      </c>
      <c r="AH10" s="187">
        <f>[1]손익계산서!F28</f>
        <v>719588227</v>
      </c>
      <c r="AI10" s="187">
        <f>[1]손익계산서!G28</f>
        <v>745714929</v>
      </c>
      <c r="AJ10" s="187">
        <f>[1]손익계산서!H28</f>
        <v>939419449</v>
      </c>
      <c r="AK10" s="187">
        <f>[1]손익계산서!I28</f>
        <v>709494839</v>
      </c>
      <c r="AL10" s="187">
        <f>[1]손익계산서!J28</f>
        <v>707073957</v>
      </c>
      <c r="AM10" s="187">
        <f>[1]손익계산서!K28</f>
        <v>691907428</v>
      </c>
      <c r="AN10" s="187">
        <f>[1]손익계산서!L28</f>
        <v>737503792</v>
      </c>
      <c r="AO10" s="187">
        <f>[1]손익계산서!M28</f>
        <v>677956780</v>
      </c>
      <c r="AP10" s="187">
        <f>[1]손익계산서!N28</f>
        <v>695974716</v>
      </c>
      <c r="AQ10" s="187">
        <f>[1]손익계산서!B34</f>
        <v>8981382404</v>
      </c>
      <c r="AR10" s="187">
        <f>[1]손익계산서!C34</f>
        <v>694241202</v>
      </c>
      <c r="AS10" s="187">
        <f>[1]손익계산서!D34</f>
        <v>732899950</v>
      </c>
      <c r="AT10" s="187">
        <f>[1]손익계산서!E34</f>
        <v>734906949</v>
      </c>
      <c r="AU10" s="187">
        <f>[1]손익계산서!F34</f>
        <v>739181765</v>
      </c>
      <c r="AV10" s="187">
        <f>[1]손익계산서!G34</f>
        <v>738688892</v>
      </c>
      <c r="AW10" s="187">
        <f>[1]손익계산서!H34</f>
        <v>731468078</v>
      </c>
      <c r="AX10" s="187">
        <f>[1]손익계산서!I34</f>
        <v>763542549</v>
      </c>
      <c r="AY10" s="187">
        <f>[1]손익계산서!J34</f>
        <v>739064002</v>
      </c>
      <c r="AZ10" s="187">
        <f>[1]손익계산서!K34</f>
        <v>765388575</v>
      </c>
      <c r="BA10" s="187">
        <f>[1]손익계산서!L34</f>
        <v>786863885</v>
      </c>
      <c r="BB10" s="187">
        <f>[1]손익계산서!M34</f>
        <v>761423952</v>
      </c>
      <c r="BC10" s="187">
        <f>[1]손익계산서!N34</f>
        <v>793712605</v>
      </c>
      <c r="BD10" s="187">
        <f>[1]손익계산서!B40</f>
        <v>3859465572</v>
      </c>
      <c r="BE10" s="187">
        <f>[1]손익계산서!C40</f>
        <v>793712605</v>
      </c>
      <c r="BF10" s="187">
        <f>[1]손익계산서!D40</f>
        <v>797160958</v>
      </c>
      <c r="BG10" s="187">
        <f>[1]손익계산서!E40</f>
        <v>742163842</v>
      </c>
      <c r="BH10" s="187">
        <f>[1]손익계산서!F40</f>
        <v>764142467</v>
      </c>
      <c r="BI10" s="187">
        <f>[1]손익계산서!G40</f>
        <v>762285700</v>
      </c>
    </row>
    <row r="12" spans="2:61" x14ac:dyDescent="0.35">
      <c r="E12" s="189">
        <v>740387110</v>
      </c>
      <c r="F12" s="189">
        <v>715170558</v>
      </c>
      <c r="G12" s="189">
        <v>789987892</v>
      </c>
      <c r="H12" s="189">
        <v>759504594</v>
      </c>
      <c r="I12" s="189">
        <v>769859884</v>
      </c>
      <c r="J12" s="189">
        <v>777848293</v>
      </c>
      <c r="K12" s="189">
        <v>779831331</v>
      </c>
      <c r="L12" s="189">
        <v>804449996</v>
      </c>
      <c r="M12" s="189">
        <v>785610358</v>
      </c>
      <c r="N12" s="189">
        <v>805895738</v>
      </c>
      <c r="O12" s="189">
        <v>834767222</v>
      </c>
      <c r="P12" s="189">
        <v>826928237</v>
      </c>
      <c r="R12" s="189">
        <v>833799465</v>
      </c>
      <c r="S12" s="189">
        <v>832945994</v>
      </c>
      <c r="T12" s="189">
        <v>856489430</v>
      </c>
      <c r="U12" s="189">
        <v>849493517</v>
      </c>
      <c r="V12" s="189">
        <v>865242051</v>
      </c>
      <c r="W12" s="189">
        <v>871493437</v>
      </c>
      <c r="X12" s="189">
        <v>901935190</v>
      </c>
      <c r="Y12" s="189">
        <v>917566566</v>
      </c>
      <c r="Z12" s="189">
        <v>912584870</v>
      </c>
      <c r="AA12" s="189">
        <v>957785316</v>
      </c>
      <c r="AB12" s="189">
        <v>970432035</v>
      </c>
      <c r="AC12" s="189">
        <v>971530838</v>
      </c>
      <c r="AE12" s="189">
        <v>994260834</v>
      </c>
      <c r="AF12" s="189">
        <v>995865080</v>
      </c>
      <c r="AG12" s="189">
        <v>1005352128</v>
      </c>
      <c r="AH12" s="189">
        <v>1003761833</v>
      </c>
      <c r="AI12" s="189">
        <v>1029375304</v>
      </c>
      <c r="AJ12" s="189">
        <v>1033358181</v>
      </c>
      <c r="AK12" s="189">
        <v>1022968495</v>
      </c>
      <c r="AL12" s="189">
        <v>1028398120</v>
      </c>
      <c r="AM12" s="189">
        <v>1013250494</v>
      </c>
      <c r="AN12" s="189">
        <v>1046723285</v>
      </c>
      <c r="AO12" s="189">
        <v>1016997720</v>
      </c>
      <c r="AP12" s="189">
        <v>1010930908</v>
      </c>
      <c r="AR12" s="189">
        <v>1009016610</v>
      </c>
      <c r="AS12" s="189">
        <v>1003375041</v>
      </c>
      <c r="AT12" s="189">
        <v>983474016</v>
      </c>
      <c r="AU12" s="189">
        <v>995855122</v>
      </c>
      <c r="AV12" s="189">
        <v>975349943</v>
      </c>
      <c r="AW12" s="189">
        <v>965329031</v>
      </c>
      <c r="AX12" s="189">
        <v>980609194</v>
      </c>
      <c r="AY12" s="189">
        <v>957445404</v>
      </c>
    </row>
    <row r="13" spans="2:61" x14ac:dyDescent="0.35">
      <c r="D13" s="188">
        <f>SUM(E13:P13)</f>
        <v>8536582920.909091</v>
      </c>
      <c r="E13" s="189">
        <f>E12/1.1</f>
        <v>673079190.90909088</v>
      </c>
      <c r="F13" s="189">
        <f t="shared" ref="F13:P13" si="2">F12/1.1</f>
        <v>650155052.72727263</v>
      </c>
      <c r="G13" s="189">
        <f t="shared" si="2"/>
        <v>718170810.90909088</v>
      </c>
      <c r="H13" s="189">
        <f t="shared" si="2"/>
        <v>690458721.81818175</v>
      </c>
      <c r="I13" s="189">
        <f t="shared" si="2"/>
        <v>699872621.81818175</v>
      </c>
      <c r="J13" s="189">
        <f t="shared" si="2"/>
        <v>707134811.81818175</v>
      </c>
      <c r="K13" s="189">
        <f t="shared" si="2"/>
        <v>708937573.63636363</v>
      </c>
      <c r="L13" s="189">
        <f t="shared" si="2"/>
        <v>731318178.18181813</v>
      </c>
      <c r="M13" s="189">
        <f t="shared" si="2"/>
        <v>714191234.5454545</v>
      </c>
      <c r="N13" s="189">
        <f t="shared" si="2"/>
        <v>732632489.090909</v>
      </c>
      <c r="O13" s="189">
        <f t="shared" si="2"/>
        <v>758879292.72727263</v>
      </c>
      <c r="P13" s="189">
        <f t="shared" si="2"/>
        <v>751752942.72727263</v>
      </c>
      <c r="Q13" s="189">
        <f>SUM(R13:AC13)</f>
        <v>9764817008.181818</v>
      </c>
      <c r="R13" s="190">
        <f>R12/1.1</f>
        <v>757999513.63636363</v>
      </c>
      <c r="S13" s="190">
        <f t="shared" ref="S13:AP13" si="3">S12/1.1</f>
        <v>757223630.90909088</v>
      </c>
      <c r="T13" s="190">
        <f t="shared" si="3"/>
        <v>778626754.5454545</v>
      </c>
      <c r="U13" s="190">
        <f t="shared" si="3"/>
        <v>772266833.63636363</v>
      </c>
      <c r="V13" s="190">
        <f t="shared" si="3"/>
        <v>786583682.72727263</v>
      </c>
      <c r="W13" s="190">
        <f t="shared" si="3"/>
        <v>792266760.90909088</v>
      </c>
      <c r="X13" s="190">
        <f t="shared" si="3"/>
        <v>819941081.81818175</v>
      </c>
      <c r="Y13" s="190">
        <f t="shared" si="3"/>
        <v>834151423.63636363</v>
      </c>
      <c r="Z13" s="190">
        <f t="shared" si="3"/>
        <v>829622609.090909</v>
      </c>
      <c r="AA13" s="190">
        <f t="shared" si="3"/>
        <v>870713923.63636363</v>
      </c>
      <c r="AB13" s="190">
        <f t="shared" si="3"/>
        <v>882210940.90909088</v>
      </c>
      <c r="AC13" s="190">
        <f t="shared" si="3"/>
        <v>883209852.72727263</v>
      </c>
      <c r="AD13" s="189">
        <f>SUM(AE13:AP13)</f>
        <v>11092038529.090908</v>
      </c>
      <c r="AE13" s="189">
        <f t="shared" si="3"/>
        <v>903873485.45454538</v>
      </c>
      <c r="AF13" s="189">
        <f t="shared" si="3"/>
        <v>905331890.90909088</v>
      </c>
      <c r="AG13" s="189">
        <f t="shared" si="3"/>
        <v>913956479.99999988</v>
      </c>
      <c r="AH13" s="189">
        <f t="shared" si="3"/>
        <v>912510757.27272725</v>
      </c>
      <c r="AI13" s="189">
        <f t="shared" si="3"/>
        <v>935795730.90909088</v>
      </c>
      <c r="AJ13" s="189">
        <f t="shared" si="3"/>
        <v>939416528.18181813</v>
      </c>
      <c r="AK13" s="189">
        <f t="shared" si="3"/>
        <v>929971359.090909</v>
      </c>
      <c r="AL13" s="189">
        <f t="shared" si="3"/>
        <v>934907381.81818175</v>
      </c>
      <c r="AM13" s="189">
        <f t="shared" si="3"/>
        <v>921136812.72727263</v>
      </c>
      <c r="AN13" s="189">
        <f t="shared" si="3"/>
        <v>951566622.72727263</v>
      </c>
      <c r="AO13" s="189">
        <f t="shared" si="3"/>
        <v>924543381.81818175</v>
      </c>
      <c r="AP13" s="189">
        <f t="shared" si="3"/>
        <v>919028098.18181813</v>
      </c>
      <c r="AQ13" s="188">
        <f>SUM(AR13:AY13)</f>
        <v>7154958509.999999</v>
      </c>
      <c r="AR13" s="189">
        <f>AR12/1.1</f>
        <v>917287827.27272725</v>
      </c>
      <c r="AS13" s="189">
        <f t="shared" ref="AS13:AY13" si="4">AS12/1.1</f>
        <v>912159128.18181813</v>
      </c>
      <c r="AT13" s="189">
        <f t="shared" si="4"/>
        <v>894067287.27272725</v>
      </c>
      <c r="AU13" s="189">
        <f t="shared" si="4"/>
        <v>905322838.18181813</v>
      </c>
      <c r="AV13" s="189">
        <f t="shared" si="4"/>
        <v>886681766.36363626</v>
      </c>
      <c r="AW13" s="189">
        <f t="shared" si="4"/>
        <v>877571846.36363626</v>
      </c>
      <c r="AX13" s="189">
        <f t="shared" si="4"/>
        <v>891462903.63636351</v>
      </c>
      <c r="AY13" s="189">
        <f t="shared" si="4"/>
        <v>870404912.72727263</v>
      </c>
    </row>
    <row r="15" spans="2:61" s="177" customFormat="1" ht="25.5" x14ac:dyDescent="0.35">
      <c r="C15" s="178" t="s">
        <v>120</v>
      </c>
      <c r="D15" s="388" t="s">
        <v>130</v>
      </c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91" t="s">
        <v>131</v>
      </c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92"/>
      <c r="AD15" s="391" t="s">
        <v>132</v>
      </c>
      <c r="AE15" s="389"/>
      <c r="AF15" s="389"/>
      <c r="AG15" s="389"/>
      <c r="AH15" s="389"/>
      <c r="AI15" s="389"/>
      <c r="AJ15" s="389"/>
      <c r="AK15" s="389"/>
      <c r="AL15" s="389"/>
      <c r="AM15" s="389"/>
      <c r="AN15" s="389"/>
      <c r="AO15" s="389"/>
      <c r="AP15" s="392"/>
      <c r="AQ15" s="391" t="s">
        <v>195</v>
      </c>
      <c r="AR15" s="388"/>
      <c r="AS15" s="388"/>
      <c r="AT15" s="388"/>
      <c r="AU15" s="388"/>
      <c r="AV15" s="388"/>
      <c r="AW15" s="388"/>
      <c r="AX15" s="388"/>
      <c r="AY15" s="388"/>
      <c r="AZ15" s="388"/>
      <c r="BA15" s="388"/>
      <c r="BB15" s="388"/>
      <c r="BC15" s="388"/>
      <c r="BD15" s="388" t="s">
        <v>134</v>
      </c>
      <c r="BE15" s="389"/>
      <c r="BF15" s="389"/>
      <c r="BG15" s="389"/>
      <c r="BH15" s="389"/>
      <c r="BI15" s="389"/>
    </row>
    <row r="16" spans="2:61" s="181" customFormat="1" ht="15" x14ac:dyDescent="0.35">
      <c r="B16" s="174"/>
      <c r="C16" s="179" t="s">
        <v>121</v>
      </c>
      <c r="D16" s="180" t="s">
        <v>136</v>
      </c>
      <c r="E16" s="179" t="s">
        <v>137</v>
      </c>
      <c r="F16" s="179" t="s">
        <v>138</v>
      </c>
      <c r="G16" s="179" t="s">
        <v>139</v>
      </c>
      <c r="H16" s="179" t="s">
        <v>140</v>
      </c>
      <c r="I16" s="179" t="s">
        <v>141</v>
      </c>
      <c r="J16" s="179" t="s">
        <v>142</v>
      </c>
      <c r="K16" s="179" t="s">
        <v>143</v>
      </c>
      <c r="L16" s="179" t="s">
        <v>144</v>
      </c>
      <c r="M16" s="179" t="s">
        <v>145</v>
      </c>
      <c r="N16" s="179" t="s">
        <v>146</v>
      </c>
      <c r="O16" s="179" t="s">
        <v>147</v>
      </c>
      <c r="P16" s="179" t="s">
        <v>148</v>
      </c>
      <c r="Q16" s="180" t="s">
        <v>149</v>
      </c>
      <c r="R16" s="179" t="s">
        <v>150</v>
      </c>
      <c r="S16" s="179" t="s">
        <v>151</v>
      </c>
      <c r="T16" s="179" t="s">
        <v>152</v>
      </c>
      <c r="U16" s="179" t="s">
        <v>153</v>
      </c>
      <c r="V16" s="179" t="s">
        <v>154</v>
      </c>
      <c r="W16" s="179" t="s">
        <v>155</v>
      </c>
      <c r="X16" s="179" t="s">
        <v>156</v>
      </c>
      <c r="Y16" s="179" t="s">
        <v>157</v>
      </c>
      <c r="Z16" s="179" t="s">
        <v>158</v>
      </c>
      <c r="AA16" s="179" t="s">
        <v>159</v>
      </c>
      <c r="AB16" s="179" t="s">
        <v>160</v>
      </c>
      <c r="AC16" s="179" t="s">
        <v>161</v>
      </c>
      <c r="AD16" s="180" t="s">
        <v>162</v>
      </c>
      <c r="AE16" s="179" t="s">
        <v>163</v>
      </c>
      <c r="AF16" s="179" t="s">
        <v>164</v>
      </c>
      <c r="AG16" s="179" t="s">
        <v>165</v>
      </c>
      <c r="AH16" s="179" t="s">
        <v>166</v>
      </c>
      <c r="AI16" s="179" t="s">
        <v>167</v>
      </c>
      <c r="AJ16" s="179" t="s">
        <v>168</v>
      </c>
      <c r="AK16" s="179" t="s">
        <v>169</v>
      </c>
      <c r="AL16" s="179" t="s">
        <v>170</v>
      </c>
      <c r="AM16" s="179" t="s">
        <v>171</v>
      </c>
      <c r="AN16" s="179" t="s">
        <v>172</v>
      </c>
      <c r="AO16" s="179" t="s">
        <v>173</v>
      </c>
      <c r="AP16" s="179" t="s">
        <v>174</v>
      </c>
      <c r="AQ16" s="180" t="s">
        <v>175</v>
      </c>
      <c r="AR16" s="179" t="s">
        <v>176</v>
      </c>
      <c r="AS16" s="179" t="s">
        <v>177</v>
      </c>
      <c r="AT16" s="179" t="s">
        <v>178</v>
      </c>
      <c r="AU16" s="179" t="s">
        <v>179</v>
      </c>
      <c r="AV16" s="179" t="s">
        <v>180</v>
      </c>
      <c r="AW16" s="179" t="s">
        <v>181</v>
      </c>
      <c r="AX16" s="179" t="s">
        <v>182</v>
      </c>
      <c r="AY16" s="179" t="s">
        <v>183</v>
      </c>
      <c r="AZ16" s="179" t="s">
        <v>184</v>
      </c>
      <c r="BA16" s="179" t="s">
        <v>185</v>
      </c>
      <c r="BB16" s="179" t="s">
        <v>186</v>
      </c>
      <c r="BC16" s="179" t="s">
        <v>187</v>
      </c>
      <c r="BD16" s="180" t="s">
        <v>196</v>
      </c>
      <c r="BE16" s="179" t="s">
        <v>189</v>
      </c>
      <c r="BF16" s="179" t="s">
        <v>190</v>
      </c>
      <c r="BG16" s="179" t="s">
        <v>191</v>
      </c>
      <c r="BH16" s="179" t="s">
        <v>192</v>
      </c>
      <c r="BI16" s="179" t="s">
        <v>193</v>
      </c>
    </row>
    <row r="17" spans="3:61" ht="15" x14ac:dyDescent="0.35">
      <c r="C17" s="182" t="s">
        <v>122</v>
      </c>
      <c r="D17" s="191">
        <f t="shared" ref="D17:BI17" si="5">D7/100000000*1.1</f>
        <v>618.24865245000012</v>
      </c>
      <c r="E17" s="191">
        <f t="shared" si="5"/>
        <v>44.596801414000005</v>
      </c>
      <c r="F17" s="191">
        <f t="shared" si="5"/>
        <v>50.030800611000004</v>
      </c>
      <c r="G17" s="191">
        <f t="shared" si="5"/>
        <v>47.176541137000008</v>
      </c>
      <c r="H17" s="191">
        <f t="shared" si="5"/>
        <v>57.154954252000003</v>
      </c>
      <c r="I17" s="191">
        <f t="shared" si="5"/>
        <v>50.57222599</v>
      </c>
      <c r="J17" s="191">
        <f t="shared" si="5"/>
        <v>51.644857583000004</v>
      </c>
      <c r="K17" s="191">
        <f t="shared" si="5"/>
        <v>50.722664344000002</v>
      </c>
      <c r="L17" s="191">
        <f t="shared" si="5"/>
        <v>53.939739392</v>
      </c>
      <c r="M17" s="191">
        <f t="shared" si="5"/>
        <v>50.409470892000009</v>
      </c>
      <c r="N17" s="191">
        <f t="shared" si="5"/>
        <v>53.985157160000007</v>
      </c>
      <c r="O17" s="191">
        <f t="shared" si="5"/>
        <v>54.861021930000007</v>
      </c>
      <c r="P17" s="191">
        <f t="shared" si="5"/>
        <v>53.154417745000011</v>
      </c>
      <c r="Q17" s="191">
        <f t="shared" si="5"/>
        <v>678.43607349100012</v>
      </c>
      <c r="R17" s="191">
        <f t="shared" si="5"/>
        <v>54.846330187000007</v>
      </c>
      <c r="S17" s="191">
        <f t="shared" si="5"/>
        <v>56.936650452000009</v>
      </c>
      <c r="T17" s="191">
        <f t="shared" si="5"/>
        <v>56.916209834</v>
      </c>
      <c r="U17" s="191">
        <f t="shared" si="5"/>
        <v>53.905709990000005</v>
      </c>
      <c r="V17" s="191">
        <f t="shared" si="5"/>
        <v>56.952547839000005</v>
      </c>
      <c r="W17" s="191">
        <f t="shared" si="5"/>
        <v>57.05437369500001</v>
      </c>
      <c r="X17" s="191">
        <f t="shared" si="5"/>
        <v>59.576366872000008</v>
      </c>
      <c r="Y17" s="191">
        <f t="shared" si="5"/>
        <v>60.289247744000001</v>
      </c>
      <c r="Z17" s="191">
        <f t="shared" si="5"/>
        <v>58.654526172000004</v>
      </c>
      <c r="AA17" s="191">
        <f t="shared" si="5"/>
        <v>48.89499763500001</v>
      </c>
      <c r="AB17" s="191">
        <f t="shared" si="5"/>
        <v>61.790961683000006</v>
      </c>
      <c r="AC17" s="191">
        <f t="shared" si="5"/>
        <v>52.618151388000001</v>
      </c>
      <c r="AD17" s="191">
        <f t="shared" si="5"/>
        <v>761.1928577330001</v>
      </c>
      <c r="AE17" s="191">
        <f t="shared" si="5"/>
        <v>72.976091408000002</v>
      </c>
      <c r="AF17" s="191">
        <f t="shared" si="5"/>
        <v>55.140316110000001</v>
      </c>
      <c r="AG17" s="191">
        <f t="shared" si="5"/>
        <v>64.867733799000007</v>
      </c>
      <c r="AH17" s="191">
        <f t="shared" si="5"/>
        <v>60.406451600000004</v>
      </c>
      <c r="AI17" s="191">
        <f t="shared" si="5"/>
        <v>63.834308395000008</v>
      </c>
      <c r="AJ17" s="191">
        <f t="shared" si="5"/>
        <v>62.927092910000006</v>
      </c>
      <c r="AK17" s="191">
        <f t="shared" si="5"/>
        <v>65.825737285000002</v>
      </c>
      <c r="AL17" s="191">
        <f t="shared" si="5"/>
        <v>63.650393663999999</v>
      </c>
      <c r="AM17" s="191">
        <f t="shared" si="5"/>
        <v>58.424298042000004</v>
      </c>
      <c r="AN17" s="191">
        <f t="shared" si="5"/>
        <v>65.740828670000013</v>
      </c>
      <c r="AO17" s="191">
        <f t="shared" si="5"/>
        <v>60.809210032999999</v>
      </c>
      <c r="AP17" s="191">
        <f t="shared" si="5"/>
        <v>66.590395817000001</v>
      </c>
      <c r="AQ17" s="191">
        <f t="shared" si="5"/>
        <v>745.11609621900016</v>
      </c>
      <c r="AR17" s="191">
        <f t="shared" si="5"/>
        <v>65.048188843000005</v>
      </c>
      <c r="AS17" s="191">
        <f t="shared" si="5"/>
        <v>63.282486816999999</v>
      </c>
      <c r="AT17" s="191">
        <f t="shared" si="5"/>
        <v>62.80983903700001</v>
      </c>
      <c r="AU17" s="191">
        <f t="shared" si="5"/>
        <v>60.262747391000005</v>
      </c>
      <c r="AV17" s="191">
        <f t="shared" si="5"/>
        <v>60.15953870300001</v>
      </c>
      <c r="AW17" s="191">
        <f t="shared" si="5"/>
        <v>59.931729880000006</v>
      </c>
      <c r="AX17" s="191">
        <f t="shared" si="5"/>
        <v>61.929530718000002</v>
      </c>
      <c r="AY17" s="191">
        <f t="shared" si="5"/>
        <v>59.931777961000009</v>
      </c>
      <c r="AZ17" s="191">
        <f t="shared" si="5"/>
        <v>58.383409535000006</v>
      </c>
      <c r="BA17" s="191">
        <f t="shared" si="5"/>
        <v>65.686787672000008</v>
      </c>
      <c r="BB17" s="191">
        <f t="shared" si="5"/>
        <v>54.565891578000006</v>
      </c>
      <c r="BC17" s="191">
        <f t="shared" si="5"/>
        <v>73.123999333000015</v>
      </c>
      <c r="BD17" s="191">
        <f t="shared" si="5"/>
        <v>276.98761500300003</v>
      </c>
      <c r="BE17" s="191">
        <f t="shared" si="5"/>
        <v>54.278237519000008</v>
      </c>
      <c r="BF17" s="191">
        <f t="shared" si="5"/>
        <v>57.534640691000007</v>
      </c>
      <c r="BG17" s="191">
        <f t="shared" si="5"/>
        <v>53.491080357000001</v>
      </c>
      <c r="BH17" s="191">
        <f t="shared" si="5"/>
        <v>61.604699794000005</v>
      </c>
      <c r="BI17" s="191">
        <f t="shared" si="5"/>
        <v>50.078956642000001</v>
      </c>
    </row>
    <row r="18" spans="3:61" ht="15" x14ac:dyDescent="0.35">
      <c r="C18" s="184" t="s">
        <v>123</v>
      </c>
      <c r="D18" s="192">
        <f>D17-D20-D19</f>
        <v>397.87024218800013</v>
      </c>
      <c r="E18" s="192">
        <f t="shared" ref="E18:BI18" si="6">E17-E20-E19</f>
        <v>30.261648215000001</v>
      </c>
      <c r="F18" s="192">
        <f t="shared" si="6"/>
        <v>36.183881469000006</v>
      </c>
      <c r="G18" s="192">
        <f t="shared" si="6"/>
        <v>31.881031405000005</v>
      </c>
      <c r="H18" s="192">
        <f t="shared" si="6"/>
        <v>42.449652990000004</v>
      </c>
      <c r="I18" s="192">
        <f t="shared" si="6"/>
        <v>30.988009999999996</v>
      </c>
      <c r="J18" s="192">
        <f t="shared" si="6"/>
        <v>31.762990573000003</v>
      </c>
      <c r="K18" s="192">
        <f t="shared" si="6"/>
        <v>30.788725716999998</v>
      </c>
      <c r="L18" s="192">
        <f t="shared" si="6"/>
        <v>33.341849337999996</v>
      </c>
      <c r="M18" s="192">
        <f t="shared" si="6"/>
        <v>30.147192857000007</v>
      </c>
      <c r="N18" s="192">
        <f t="shared" si="6"/>
        <v>33.161125929000001</v>
      </c>
      <c r="O18" s="192">
        <f t="shared" si="6"/>
        <v>35.109249026000008</v>
      </c>
      <c r="P18" s="192">
        <f t="shared" si="6"/>
        <v>31.794884669000012</v>
      </c>
      <c r="Q18" s="192">
        <f t="shared" si="6"/>
        <v>401.80595523200014</v>
      </c>
      <c r="R18" s="192">
        <f t="shared" si="6"/>
        <v>33.250845595000001</v>
      </c>
      <c r="S18" s="192">
        <f t="shared" si="6"/>
        <v>35.304358987000008</v>
      </c>
      <c r="T18" s="192">
        <f t="shared" si="6"/>
        <v>34.680440090999994</v>
      </c>
      <c r="U18" s="192">
        <f t="shared" si="6"/>
        <v>31.832024863000004</v>
      </c>
      <c r="V18" s="192">
        <f t="shared" si="6"/>
        <v>34.457248132000004</v>
      </c>
      <c r="W18" s="192">
        <f t="shared" si="6"/>
        <v>34.333742314000006</v>
      </c>
      <c r="X18" s="192">
        <f t="shared" si="6"/>
        <v>36.195110883000005</v>
      </c>
      <c r="Y18" s="192">
        <f t="shared" si="6"/>
        <v>36.484097409</v>
      </c>
      <c r="Z18" s="192">
        <f t="shared" si="6"/>
        <v>34.912891385000002</v>
      </c>
      <c r="AA18" s="192">
        <f t="shared" si="6"/>
        <v>24.188325771000006</v>
      </c>
      <c r="AB18" s="192">
        <f t="shared" si="6"/>
        <v>38.609717967000009</v>
      </c>
      <c r="AC18" s="192">
        <f t="shared" si="6"/>
        <v>27.557151834999999</v>
      </c>
      <c r="AD18" s="192">
        <f t="shared" si="6"/>
        <v>475.68843915500003</v>
      </c>
      <c r="AE18" s="192">
        <f t="shared" si="6"/>
        <v>49.196300598000008</v>
      </c>
      <c r="AF18" s="192">
        <f t="shared" si="6"/>
        <v>31.475642351999994</v>
      </c>
      <c r="AG18" s="192">
        <f t="shared" si="6"/>
        <v>40.986944116000004</v>
      </c>
      <c r="AH18" s="192">
        <f t="shared" si="6"/>
        <v>37.013751683000002</v>
      </c>
      <c r="AI18" s="192">
        <f t="shared" si="6"/>
        <v>39.966596796000012</v>
      </c>
      <c r="AJ18" s="192">
        <f t="shared" si="6"/>
        <v>36.885002120999999</v>
      </c>
      <c r="AK18" s="192">
        <f t="shared" si="6"/>
        <v>42.247364795999999</v>
      </c>
      <c r="AL18" s="192">
        <f t="shared" si="6"/>
        <v>40.052883016999999</v>
      </c>
      <c r="AM18" s="192">
        <f t="shared" si="6"/>
        <v>35.237303924000003</v>
      </c>
      <c r="AN18" s="192">
        <f t="shared" si="6"/>
        <v>41.614137008000014</v>
      </c>
      <c r="AO18" s="192">
        <f t="shared" si="6"/>
        <v>37.673214553000001</v>
      </c>
      <c r="AP18" s="192">
        <f t="shared" si="6"/>
        <v>43.339298190999997</v>
      </c>
      <c r="AQ18" s="192">
        <f t="shared" si="6"/>
        <v>522.69412812500013</v>
      </c>
      <c r="AR18" s="192">
        <f t="shared" si="6"/>
        <v>41.841145171000008</v>
      </c>
      <c r="AS18" s="192">
        <f t="shared" si="6"/>
        <v>39.767845246999997</v>
      </c>
      <c r="AT18" s="192">
        <f t="shared" si="6"/>
        <v>39.126838878000008</v>
      </c>
      <c r="AU18" s="192">
        <f t="shared" si="6"/>
        <v>36.451753695999997</v>
      </c>
      <c r="AV18" s="192">
        <f t="shared" si="6"/>
        <v>36.577567051000003</v>
      </c>
      <c r="AW18" s="192">
        <f t="shared" si="6"/>
        <v>36.595052092000003</v>
      </c>
      <c r="AX18" s="192">
        <f t="shared" si="6"/>
        <v>38.108472528999997</v>
      </c>
      <c r="AY18" s="192">
        <f t="shared" si="6"/>
        <v>36.646475779000014</v>
      </c>
      <c r="AZ18" s="192">
        <f t="shared" si="6"/>
        <v>34.799857820000007</v>
      </c>
      <c r="BA18" s="192">
        <f t="shared" si="6"/>
        <v>41.880483047000013</v>
      </c>
      <c r="BB18" s="192">
        <f t="shared" si="6"/>
        <v>31.420039656000007</v>
      </c>
      <c r="BC18" s="192">
        <f t="shared" si="6"/>
        <v>49.667000718000011</v>
      </c>
      <c r="BD18" s="192">
        <f t="shared" si="6"/>
        <v>164.96169678100003</v>
      </c>
      <c r="BE18" s="192">
        <f t="shared" si="6"/>
        <v>31.479701424000009</v>
      </c>
      <c r="BF18" s="192">
        <f t="shared" si="6"/>
        <v>34.26042914300001</v>
      </c>
      <c r="BG18" s="192">
        <f t="shared" si="6"/>
        <v>31.379812104999999</v>
      </c>
      <c r="BH18" s="192">
        <f t="shared" si="6"/>
        <v>39.55555973700001</v>
      </c>
      <c r="BI18" s="192">
        <f t="shared" si="6"/>
        <v>28.286194371999997</v>
      </c>
    </row>
    <row r="19" spans="3:61" ht="15" x14ac:dyDescent="0.35">
      <c r="C19" s="186" t="s">
        <v>124</v>
      </c>
      <c r="D19" s="193">
        <f t="shared" ref="D19:BI19" si="7">D9/100000000</f>
        <v>128.26031032</v>
      </c>
      <c r="E19" s="193">
        <f t="shared" si="7"/>
        <v>6.9312829999999996</v>
      </c>
      <c r="F19" s="193">
        <f t="shared" si="7"/>
        <v>6.69521313</v>
      </c>
      <c r="G19" s="193">
        <f t="shared" si="7"/>
        <v>7.39563069</v>
      </c>
      <c r="H19" s="193">
        <f t="shared" si="7"/>
        <v>7.1102555399999998</v>
      </c>
      <c r="I19" s="193">
        <f t="shared" si="7"/>
        <v>11.885617829999999</v>
      </c>
      <c r="J19" s="193">
        <f t="shared" si="7"/>
        <v>12.10338454</v>
      </c>
      <c r="K19" s="193">
        <f t="shared" si="7"/>
        <v>12.13562583</v>
      </c>
      <c r="L19" s="193">
        <f t="shared" si="7"/>
        <v>12.55339113</v>
      </c>
      <c r="M19" s="193">
        <f t="shared" si="7"/>
        <v>12.406174780000001</v>
      </c>
      <c r="N19" s="193">
        <f t="shared" si="7"/>
        <v>12.765074050000001</v>
      </c>
      <c r="O19" s="193">
        <f t="shared" si="7"/>
        <v>13.188409350000001</v>
      </c>
      <c r="P19" s="193">
        <f t="shared" si="7"/>
        <v>13.090250449999999</v>
      </c>
      <c r="Q19" s="193">
        <f t="shared" si="7"/>
        <v>171.02485092000001</v>
      </c>
      <c r="R19" s="193">
        <f t="shared" si="7"/>
        <v>13.25748963</v>
      </c>
      <c r="S19" s="193">
        <f t="shared" si="7"/>
        <v>13.302831039999999</v>
      </c>
      <c r="T19" s="193">
        <f t="shared" si="7"/>
        <v>13.670876010000001</v>
      </c>
      <c r="U19" s="193">
        <f t="shared" si="7"/>
        <v>13.57875014</v>
      </c>
      <c r="V19" s="193">
        <f t="shared" si="7"/>
        <v>13.842878819999999</v>
      </c>
      <c r="W19" s="193">
        <f t="shared" si="7"/>
        <v>14.0056969</v>
      </c>
      <c r="X19" s="193">
        <f t="shared" si="7"/>
        <v>14.36190511</v>
      </c>
      <c r="Y19" s="193">
        <f t="shared" si="7"/>
        <v>14.629486200000001</v>
      </c>
      <c r="Z19" s="193">
        <f t="shared" si="7"/>
        <v>14.61578677</v>
      </c>
      <c r="AA19" s="193">
        <f t="shared" si="7"/>
        <v>15.1288187</v>
      </c>
      <c r="AB19" s="193">
        <f t="shared" si="7"/>
        <v>15.284640209999999</v>
      </c>
      <c r="AC19" s="193">
        <f t="shared" si="7"/>
        <v>15.345691390000001</v>
      </c>
      <c r="AD19" s="193">
        <f t="shared" si="7"/>
        <v>188.15403448000001</v>
      </c>
      <c r="AE19" s="193">
        <f t="shared" si="7"/>
        <v>15.527426030000001</v>
      </c>
      <c r="AF19" s="193">
        <f t="shared" si="7"/>
        <v>15.59440938</v>
      </c>
      <c r="AG19" s="193">
        <f t="shared" si="7"/>
        <v>15.724010030000001</v>
      </c>
      <c r="AH19" s="193">
        <f t="shared" si="7"/>
        <v>15.47722942</v>
      </c>
      <c r="AI19" s="193">
        <f t="shared" si="7"/>
        <v>15.664847379999999</v>
      </c>
      <c r="AJ19" s="193">
        <f t="shared" si="7"/>
        <v>15.70847685</v>
      </c>
      <c r="AK19" s="193">
        <f t="shared" si="7"/>
        <v>15.773929259999999</v>
      </c>
      <c r="AL19" s="193">
        <f t="shared" si="7"/>
        <v>15.819697120000001</v>
      </c>
      <c r="AM19" s="193">
        <f t="shared" si="7"/>
        <v>15.576012410000001</v>
      </c>
      <c r="AN19" s="193">
        <f t="shared" si="7"/>
        <v>16.01414995</v>
      </c>
      <c r="AO19" s="193">
        <f t="shared" si="7"/>
        <v>15.678470900000001</v>
      </c>
      <c r="AP19" s="193">
        <f t="shared" si="7"/>
        <v>15.595375750000001</v>
      </c>
      <c r="AQ19" s="193">
        <f t="shared" si="7"/>
        <v>123.62676165000001</v>
      </c>
      <c r="AR19" s="193">
        <f t="shared" si="7"/>
        <v>15.57039045</v>
      </c>
      <c r="AS19" s="193">
        <f t="shared" si="7"/>
        <v>15.45274212</v>
      </c>
      <c r="AT19" s="193">
        <f t="shared" si="7"/>
        <v>15.59902372</v>
      </c>
      <c r="AU19" s="193">
        <f t="shared" si="7"/>
        <v>15.679994280000001</v>
      </c>
      <c r="AV19" s="193">
        <f t="shared" si="7"/>
        <v>15.45639384</v>
      </c>
      <c r="AW19" s="193">
        <f t="shared" si="7"/>
        <v>15.290528930000001</v>
      </c>
      <c r="AX19" s="193">
        <f t="shared" si="7"/>
        <v>15.422090150000001</v>
      </c>
      <c r="AY19" s="193">
        <f t="shared" si="7"/>
        <v>15.15559816</v>
      </c>
      <c r="AZ19" s="193">
        <f t="shared" si="7"/>
        <v>15.164277390000001</v>
      </c>
      <c r="BA19" s="193">
        <f t="shared" si="7"/>
        <v>15.15080189</v>
      </c>
      <c r="BB19" s="193">
        <f t="shared" si="7"/>
        <v>14.770188449999999</v>
      </c>
      <c r="BC19" s="193">
        <f t="shared" si="7"/>
        <v>14.72615996</v>
      </c>
      <c r="BD19" s="193">
        <f t="shared" si="7"/>
        <v>69.571796930000005</v>
      </c>
      <c r="BE19" s="193">
        <f t="shared" si="7"/>
        <v>14.06769744</v>
      </c>
      <c r="BF19" s="193">
        <f t="shared" si="7"/>
        <v>14.50544101</v>
      </c>
      <c r="BG19" s="193">
        <f t="shared" si="7"/>
        <v>13.94746599</v>
      </c>
      <c r="BH19" s="193">
        <f t="shared" si="7"/>
        <v>13.64357292</v>
      </c>
      <c r="BI19" s="193">
        <f t="shared" si="7"/>
        <v>13.40761957</v>
      </c>
    </row>
    <row r="20" spans="3:61" ht="15" x14ac:dyDescent="0.35">
      <c r="C20" s="186" t="s">
        <v>125</v>
      </c>
      <c r="D20" s="192">
        <f t="shared" ref="D20:BI20" si="8">D10/100000000*1.1</f>
        <v>92.118099942000001</v>
      </c>
      <c r="E20" s="192">
        <f t="shared" si="8"/>
        <v>7.4038701990000009</v>
      </c>
      <c r="F20" s="192">
        <f t="shared" si="8"/>
        <v>7.151706012</v>
      </c>
      <c r="G20" s="192">
        <f t="shared" si="8"/>
        <v>7.8998790420000002</v>
      </c>
      <c r="H20" s="192">
        <f t="shared" si="8"/>
        <v>7.5950457220000009</v>
      </c>
      <c r="I20" s="192">
        <f t="shared" si="8"/>
        <v>7.6985981600000013</v>
      </c>
      <c r="J20" s="192">
        <f t="shared" si="8"/>
        <v>7.7784824700000001</v>
      </c>
      <c r="K20" s="192">
        <f t="shared" si="8"/>
        <v>7.7983127970000004</v>
      </c>
      <c r="L20" s="192">
        <f t="shared" si="8"/>
        <v>8.0444989240000009</v>
      </c>
      <c r="M20" s="192">
        <f t="shared" si="8"/>
        <v>7.8561032550000007</v>
      </c>
      <c r="N20" s="192">
        <f t="shared" si="8"/>
        <v>8.0589571810000002</v>
      </c>
      <c r="O20" s="192">
        <f t="shared" si="8"/>
        <v>6.5633635540000013</v>
      </c>
      <c r="P20" s="192">
        <f t="shared" si="8"/>
        <v>8.2692826260000007</v>
      </c>
      <c r="Q20" s="192">
        <f t="shared" si="8"/>
        <v>105.60526733900001</v>
      </c>
      <c r="R20" s="192">
        <f t="shared" si="8"/>
        <v>8.3379949620000016</v>
      </c>
      <c r="S20" s="192">
        <f t="shared" si="8"/>
        <v>8.3294604250000006</v>
      </c>
      <c r="T20" s="192">
        <f t="shared" si="8"/>
        <v>8.5648937330000017</v>
      </c>
      <c r="U20" s="192">
        <f t="shared" si="8"/>
        <v>8.4949349870000006</v>
      </c>
      <c r="V20" s="192">
        <f t="shared" si="8"/>
        <v>8.6524208869999999</v>
      </c>
      <c r="W20" s="192">
        <f t="shared" si="8"/>
        <v>8.7149344810000002</v>
      </c>
      <c r="X20" s="192">
        <f t="shared" si="8"/>
        <v>9.019350879000001</v>
      </c>
      <c r="Y20" s="192">
        <f t="shared" si="8"/>
        <v>9.1756641350000017</v>
      </c>
      <c r="Z20" s="192">
        <f t="shared" si="8"/>
        <v>9.1258480170000009</v>
      </c>
      <c r="AA20" s="192">
        <f t="shared" si="8"/>
        <v>9.5778531640000004</v>
      </c>
      <c r="AB20" s="192">
        <f t="shared" si="8"/>
        <v>7.8966035059999999</v>
      </c>
      <c r="AC20" s="192">
        <f t="shared" si="8"/>
        <v>9.7153081630000013</v>
      </c>
      <c r="AD20" s="192">
        <f t="shared" si="8"/>
        <v>97.350384098000006</v>
      </c>
      <c r="AE20" s="192">
        <f t="shared" si="8"/>
        <v>8.2523647800000006</v>
      </c>
      <c r="AF20" s="192">
        <f t="shared" si="8"/>
        <v>8.070264378000001</v>
      </c>
      <c r="AG20" s="192">
        <f t="shared" si="8"/>
        <v>8.156779653000001</v>
      </c>
      <c r="AH20" s="192">
        <f t="shared" si="8"/>
        <v>7.9154704970000012</v>
      </c>
      <c r="AI20" s="192">
        <f t="shared" si="8"/>
        <v>8.2028642190000003</v>
      </c>
      <c r="AJ20" s="192">
        <f t="shared" si="8"/>
        <v>10.333613939000001</v>
      </c>
      <c r="AK20" s="192">
        <f t="shared" si="8"/>
        <v>7.8044432290000003</v>
      </c>
      <c r="AL20" s="192">
        <f t="shared" si="8"/>
        <v>7.7778135270000002</v>
      </c>
      <c r="AM20" s="192">
        <f t="shared" si="8"/>
        <v>7.6109817080000006</v>
      </c>
      <c r="AN20" s="192">
        <f t="shared" si="8"/>
        <v>8.1125417120000005</v>
      </c>
      <c r="AO20" s="192">
        <f t="shared" si="8"/>
        <v>7.4575245800000003</v>
      </c>
      <c r="AP20" s="192">
        <f t="shared" si="8"/>
        <v>7.6557218760000003</v>
      </c>
      <c r="AQ20" s="192">
        <f t="shared" si="8"/>
        <v>98.795206444000002</v>
      </c>
      <c r="AR20" s="192">
        <f t="shared" si="8"/>
        <v>7.6366532220000005</v>
      </c>
      <c r="AS20" s="192">
        <f t="shared" si="8"/>
        <v>8.0618994500000003</v>
      </c>
      <c r="AT20" s="192">
        <f t="shared" si="8"/>
        <v>8.0839764390000006</v>
      </c>
      <c r="AU20" s="192">
        <f t="shared" si="8"/>
        <v>8.1309994150000016</v>
      </c>
      <c r="AV20" s="192">
        <f t="shared" si="8"/>
        <v>8.1255778119999995</v>
      </c>
      <c r="AW20" s="192">
        <f t="shared" si="8"/>
        <v>8.0461488580000005</v>
      </c>
      <c r="AX20" s="192">
        <f t="shared" si="8"/>
        <v>8.3989680390000014</v>
      </c>
      <c r="AY20" s="192">
        <f t="shared" si="8"/>
        <v>8.1297040220000003</v>
      </c>
      <c r="AZ20" s="192">
        <f t="shared" si="8"/>
        <v>8.4192743249999999</v>
      </c>
      <c r="BA20" s="192">
        <f t="shared" si="8"/>
        <v>8.6555027350000007</v>
      </c>
      <c r="BB20" s="192">
        <f t="shared" si="8"/>
        <v>8.3756634720000012</v>
      </c>
      <c r="BC20" s="192">
        <f t="shared" si="8"/>
        <v>8.7308386550000012</v>
      </c>
      <c r="BD20" s="192">
        <f t="shared" si="8"/>
        <v>42.454121292000004</v>
      </c>
      <c r="BE20" s="192">
        <f t="shared" si="8"/>
        <v>8.7308386550000012</v>
      </c>
      <c r="BF20" s="192">
        <f t="shared" si="8"/>
        <v>8.7687705380000001</v>
      </c>
      <c r="BG20" s="192">
        <f t="shared" si="8"/>
        <v>8.1638022620000008</v>
      </c>
      <c r="BH20" s="192">
        <f t="shared" si="8"/>
        <v>8.4055671370000002</v>
      </c>
      <c r="BI20" s="192">
        <f t="shared" si="8"/>
        <v>8.3851427000000012</v>
      </c>
    </row>
    <row r="23" spans="3:61" hidden="1" x14ac:dyDescent="0.35"/>
    <row r="24" spans="3:61" hidden="1" x14ac:dyDescent="0.35">
      <c r="F24" s="188">
        <v>403205657.27272725</v>
      </c>
      <c r="G24" s="188">
        <v>403205657.27272701</v>
      </c>
      <c r="H24" s="188"/>
      <c r="I24" s="188">
        <v>12998335.377175987</v>
      </c>
      <c r="J24" s="188">
        <v>1243330.8123791218</v>
      </c>
      <c r="K24" s="188">
        <v>17026627.833655715</v>
      </c>
      <c r="L24" s="188">
        <v>2650456.73114115</v>
      </c>
      <c r="M24" s="188">
        <v>15363016.382978737</v>
      </c>
      <c r="N24" s="188">
        <v>13913532.263056159</v>
      </c>
      <c r="O24" s="188">
        <v>-2252056.1315280795</v>
      </c>
      <c r="AR24" s="194">
        <v>1557039045</v>
      </c>
      <c r="AS24" s="194">
        <v>1545274212</v>
      </c>
      <c r="AT24" s="194">
        <v>1559902372</v>
      </c>
      <c r="AU24" s="194">
        <v>1567999428</v>
      </c>
      <c r="AV24" s="194">
        <v>1545639384</v>
      </c>
      <c r="AW24" s="194">
        <v>1529052893</v>
      </c>
      <c r="AX24" s="194">
        <v>1542209015</v>
      </c>
      <c r="AY24" s="194">
        <v>1515559816</v>
      </c>
      <c r="AZ24" s="194">
        <v>1516427739</v>
      </c>
      <c r="BA24" s="194">
        <v>1515080189</v>
      </c>
      <c r="BB24" s="194">
        <v>1477018845</v>
      </c>
      <c r="BC24" s="194">
        <v>1472615996</v>
      </c>
      <c r="BE24" s="194">
        <v>1406769744</v>
      </c>
      <c r="BF24" s="194">
        <v>1450544101</v>
      </c>
      <c r="BG24" s="194">
        <v>1394746599</v>
      </c>
      <c r="BH24" s="194">
        <v>1364357292</v>
      </c>
      <c r="BI24" s="194">
        <v>1340761957</v>
      </c>
    </row>
    <row r="25" spans="3:61" hidden="1" x14ac:dyDescent="0.35">
      <c r="E25" s="174" t="s">
        <v>197</v>
      </c>
      <c r="F25" s="188">
        <v>438786591</v>
      </c>
      <c r="G25" s="188">
        <v>906088888</v>
      </c>
      <c r="H25" s="188">
        <v>-19036442</v>
      </c>
      <c r="I25" s="188">
        <v>467841921.38297874</v>
      </c>
      <c r="J25" s="188">
        <v>482140090.2978723</v>
      </c>
      <c r="K25" s="188">
        <v>483507754.19148934</v>
      </c>
      <c r="L25" s="188">
        <v>502237044.80851066</v>
      </c>
      <c r="M25" s="188">
        <v>505152547.21276593</v>
      </c>
      <c r="N25" s="188">
        <v>522051865.23404253</v>
      </c>
      <c r="O25" s="188">
        <v>537356750.72340429</v>
      </c>
      <c r="P25" s="188">
        <v>534879488.97872341</v>
      </c>
    </row>
    <row r="26" spans="3:61" hidden="1" x14ac:dyDescent="0.35">
      <c r="G26" s="188">
        <f>(G25+H25)/2</f>
        <v>443526223</v>
      </c>
      <c r="H26" s="188">
        <f>G26</f>
        <v>443526223</v>
      </c>
    </row>
  </sheetData>
  <mergeCells count="12">
    <mergeCell ref="D2:AY2"/>
    <mergeCell ref="D5:P5"/>
    <mergeCell ref="Q5:AC5"/>
    <mergeCell ref="AD5:AP5"/>
    <mergeCell ref="AQ5:BC5"/>
    <mergeCell ref="BD5:BI5"/>
    <mergeCell ref="B6:B10"/>
    <mergeCell ref="D15:P15"/>
    <mergeCell ref="Q15:AC15"/>
    <mergeCell ref="AD15:AP15"/>
    <mergeCell ref="AQ15:BC15"/>
    <mergeCell ref="BD15:BI15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35CA-450D-4107-BD99-DAFA8812386D}">
  <sheetPr>
    <tabColor theme="1"/>
  </sheetPr>
  <dimension ref="C1:S31"/>
  <sheetViews>
    <sheetView showGridLines="0" zoomScale="115" zoomScaleNormal="115" workbookViewId="0">
      <selection activeCell="B28" sqref="B20:R52"/>
    </sheetView>
  </sheetViews>
  <sheetFormatPr defaultRowHeight="17.5" x14ac:dyDescent="0.5"/>
  <cols>
    <col min="1" max="2" width="8.7265625" style="48"/>
    <col min="3" max="3" width="13.08984375" style="48" customWidth="1"/>
    <col min="4" max="4" width="6.1796875" style="48" customWidth="1"/>
    <col min="5" max="5" width="23.7265625" style="48" bestFit="1" customWidth="1"/>
    <col min="6" max="6" width="9.08984375" style="48" customWidth="1"/>
    <col min="7" max="16384" width="8.7265625" style="48"/>
  </cols>
  <sheetData>
    <row r="1" spans="3:19" x14ac:dyDescent="0.5">
      <c r="F1" s="48">
        <v>15</v>
      </c>
      <c r="G1" s="48">
        <v>16</v>
      </c>
    </row>
    <row r="2" spans="3:19" x14ac:dyDescent="0.5">
      <c r="C2" s="80" t="s">
        <v>69</v>
      </c>
    </row>
    <row r="3" spans="3:19" x14ac:dyDescent="0.5">
      <c r="C3" s="395" t="s">
        <v>70</v>
      </c>
      <c r="D3" s="395"/>
      <c r="E3" s="395"/>
      <c r="F3" s="75" t="s">
        <v>57</v>
      </c>
      <c r="G3" s="75" t="s">
        <v>58</v>
      </c>
      <c r="H3" s="75" t="s">
        <v>59</v>
      </c>
      <c r="I3" s="75" t="s">
        <v>60</v>
      </c>
      <c r="J3" s="75" t="s">
        <v>61</v>
      </c>
      <c r="K3" s="75" t="s">
        <v>62</v>
      </c>
      <c r="L3" s="75" t="s">
        <v>63</v>
      </c>
      <c r="M3" s="75" t="s">
        <v>64</v>
      </c>
      <c r="N3" s="75" t="s">
        <v>65</v>
      </c>
      <c r="O3" s="75" t="s">
        <v>66</v>
      </c>
      <c r="P3" s="75" t="s">
        <v>67</v>
      </c>
      <c r="Q3" s="75" t="s">
        <v>68</v>
      </c>
    </row>
    <row r="4" spans="3:19" x14ac:dyDescent="0.5">
      <c r="C4" s="403" t="s">
        <v>42</v>
      </c>
      <c r="D4" s="404"/>
      <c r="E4" s="49" t="s">
        <v>43</v>
      </c>
      <c r="F4" s="53">
        <f>SUM(F5:F13)</f>
        <v>29.665070170862954</v>
      </c>
      <c r="G4" s="53">
        <f>SUM(G5:G13)</f>
        <v>31.917042513636385</v>
      </c>
      <c r="H4" s="53">
        <f>SUM(H5:H13)</f>
        <v>28.630084170909068</v>
      </c>
      <c r="I4" s="53">
        <f>SUM(I5:I13)</f>
        <v>36.856612645454575</v>
      </c>
      <c r="J4" s="53">
        <f>SUM(J5:J13)</f>
        <v>26.6059893709091</v>
      </c>
      <c r="K4" s="53">
        <f t="shared" ref="K4:Q4" si="0">SUM(K5:K13)</f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3">
        <f t="shared" si="0"/>
        <v>0</v>
      </c>
      <c r="Q4" s="54">
        <f t="shared" si="0"/>
        <v>0</v>
      </c>
    </row>
    <row r="5" spans="3:19" x14ac:dyDescent="0.5">
      <c r="C5" s="405"/>
      <c r="D5" s="406"/>
      <c r="E5" s="50" t="s">
        <v>44</v>
      </c>
      <c r="F5" s="55">
        <f>'관리수수료 트렌드 정리'!$C87-'관리수수료 트렌드 정리'!$AE87-'관리수수료 트렌드 정리'!$AG87</f>
        <v>2.962466090909091</v>
      </c>
      <c r="G5" s="55">
        <f>'관리수수료 트렌드 정리'!$C88-'관리수수료 트렌드 정리'!$AE88-'관리수수료 트렌드 정리'!$AG88</f>
        <v>2.9133299886490658</v>
      </c>
      <c r="H5" s="55">
        <f>'관리수수료 트렌드 정리'!$C89-'관리수수료 트렌드 정리'!$AE89-'관리수수료 트렌드 정리'!$AG89</f>
        <v>2.4573264179194485</v>
      </c>
      <c r="I5" s="55">
        <f>'관리수수료 트렌드 정리'!$C90-'관리수수료 트렌드 정리'!$AE90-'관리수수료 트렌드 정리'!$AG90</f>
        <v>2.5262770327476596</v>
      </c>
      <c r="J5" s="55">
        <f>'관리수수료 트렌드 정리'!$C91-'관리수수료 트렌드 정리'!$AE91-'관리수수료 트렌드 정리'!$AG91</f>
        <v>2.3802389409978062</v>
      </c>
      <c r="K5" s="55"/>
      <c r="L5" s="55"/>
      <c r="M5" s="55"/>
      <c r="N5" s="55"/>
      <c r="O5" s="55"/>
      <c r="P5" s="55"/>
      <c r="Q5" s="56"/>
      <c r="S5" s="48" t="s">
        <v>89</v>
      </c>
    </row>
    <row r="6" spans="3:19" x14ac:dyDescent="0.5">
      <c r="C6" s="405"/>
      <c r="D6" s="406"/>
      <c r="E6" s="50" t="s">
        <v>45</v>
      </c>
      <c r="F6" s="81">
        <f>'관리수수료 트렌드 정리'!$D87-'관리수수료 트렌드 정리'!$U87</f>
        <v>20.4028175363175</v>
      </c>
      <c r="G6" s="81">
        <f>'관리수수료 트렌드 정리'!$D88-'관리수수료 트렌드 정리'!$U88</f>
        <v>20.814095912260047</v>
      </c>
      <c r="H6" s="81">
        <f>'관리수수료 트렌드 정리'!$D89-'관리수수료 트렌드 정리'!$U89</f>
        <v>20.926437392080526</v>
      </c>
      <c r="I6" s="81">
        <f>'관리수수료 트렌드 정리'!$D90-'관리수수료 트렌드 정리'!$U90</f>
        <v>20.153445729979644</v>
      </c>
      <c r="J6" s="81">
        <f>'관리수수료 트렌드 정리'!$D91-'관리수수료 트렌드 정리'!$U91</f>
        <v>19.901025872638563</v>
      </c>
      <c r="K6" s="55"/>
      <c r="L6" s="55"/>
      <c r="M6" s="55"/>
      <c r="N6" s="55"/>
      <c r="O6" s="55"/>
      <c r="P6" s="55"/>
      <c r="Q6" s="56"/>
      <c r="S6" s="48" t="s">
        <v>79</v>
      </c>
    </row>
    <row r="7" spans="3:19" x14ac:dyDescent="0.5">
      <c r="C7" s="405"/>
      <c r="D7" s="406"/>
      <c r="E7" s="50" t="s">
        <v>46</v>
      </c>
      <c r="F7" s="83">
        <f>'관리수수료 트렌드 정리'!$F87-'관리수수료 트렌드 정리'!$T87</f>
        <v>0.47383372727272732</v>
      </c>
      <c r="G7" s="83">
        <f>'관리수수료 트렌드 정리'!$F88-'관리수수료 트렌드 정리'!$T88</f>
        <v>0.48559427272727274</v>
      </c>
      <c r="H7" s="83">
        <f>'관리수수료 트렌드 정리'!$F89-'관리수수료 트렌드 정리'!$T89</f>
        <v>0.45793709090909096</v>
      </c>
      <c r="I7" s="83">
        <f>'관리수수료 트렌드 정리'!$F90-'관리수수료 트렌드 정리'!$T90</f>
        <v>0.44099936363636361</v>
      </c>
      <c r="J7" s="83">
        <f>'관리수수료 트렌드 정리'!$F91-'관리수수료 트렌드 정리'!$T91</f>
        <v>0.42470563636363634</v>
      </c>
      <c r="K7" s="55"/>
      <c r="L7" s="55"/>
      <c r="M7" s="55"/>
      <c r="N7" s="55"/>
      <c r="O7" s="55"/>
      <c r="P7" s="55"/>
      <c r="Q7" s="56"/>
    </row>
    <row r="8" spans="3:19" x14ac:dyDescent="0.5">
      <c r="C8" s="405"/>
      <c r="D8" s="406"/>
      <c r="E8" s="50" t="s">
        <v>47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</row>
    <row r="9" spans="3:19" x14ac:dyDescent="0.5">
      <c r="C9" s="405"/>
      <c r="D9" s="406"/>
      <c r="E9" s="50" t="s">
        <v>48</v>
      </c>
      <c r="F9" s="81">
        <f>'관리수수료 트렌드 정리'!$E87-'관리수수료 트렌드 정리'!$AK87-'관리수수료 트렌드 정리'!$AM87</f>
        <v>3.8250436363636369</v>
      </c>
      <c r="G9" s="81">
        <f>'관리수수료 트렌드 정리'!$E88-'관리수수료 트렌드 정리'!$AK88-'관리수수료 트렌드 정리'!$AM88</f>
        <v>3.8708856699999998</v>
      </c>
      <c r="H9" s="81">
        <f>'관리수수료 트렌드 정리'!$E89-'관리수수료 트렌드 정리'!$AK89-'관리수수료 트렌드 정리'!$AM89</f>
        <v>3.6310316200000008</v>
      </c>
      <c r="I9" s="81">
        <f>'관리수수료 트렌드 정리'!$E90-'관리수수료 트렌드 정리'!$AK90-'관리수수료 트렌드 정리'!$AM90</f>
        <v>3.4754358490909087</v>
      </c>
      <c r="J9" s="81">
        <f>'관리수수료 트렌드 정리'!$E91-'관리수수료 트렌드 정리'!$AK91-'관리수수료 트렌드 정리'!$AM91</f>
        <v>3.3329248009090913</v>
      </c>
      <c r="K9" s="55"/>
      <c r="L9" s="55"/>
      <c r="M9" s="55"/>
      <c r="N9" s="55"/>
      <c r="O9" s="55"/>
      <c r="P9" s="55"/>
      <c r="Q9" s="56"/>
      <c r="S9" s="48" t="s">
        <v>90</v>
      </c>
    </row>
    <row r="10" spans="3:19" x14ac:dyDescent="0.5">
      <c r="C10" s="405"/>
      <c r="D10" s="406"/>
      <c r="E10" s="50" t="s">
        <v>49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6"/>
    </row>
    <row r="11" spans="3:19" x14ac:dyDescent="0.5">
      <c r="C11" s="405"/>
      <c r="D11" s="406"/>
      <c r="E11" s="51" t="s">
        <v>50</v>
      </c>
      <c r="F11" s="78">
        <f>'관리수수료 트렌드 정리'!$J87</f>
        <v>1.97286541</v>
      </c>
      <c r="G11" s="78">
        <f>'관리수수료 트렌드 정리'!$J88</f>
        <v>2.0155581499999999</v>
      </c>
      <c r="H11" s="78">
        <f>'관리수수료 트렌드 정리'!$J89</f>
        <v>1.96419572</v>
      </c>
      <c r="I11" s="78">
        <f>'관리수수료 트렌드 정리'!$J90</f>
        <v>2.0361414199999999</v>
      </c>
      <c r="J11" s="78">
        <f>'관리수수료 트렌드 정리'!$J91</f>
        <v>2.1384690100000001</v>
      </c>
      <c r="K11" s="57"/>
      <c r="L11" s="57"/>
      <c r="M11" s="57"/>
      <c r="N11" s="57"/>
      <c r="O11" s="57"/>
      <c r="P11" s="57"/>
      <c r="Q11" s="58"/>
      <c r="S11" s="48" t="s">
        <v>80</v>
      </c>
    </row>
    <row r="12" spans="3:19" x14ac:dyDescent="0.5">
      <c r="C12" s="405"/>
      <c r="D12" s="406"/>
      <c r="E12" s="52" t="s">
        <v>51</v>
      </c>
      <c r="F12" s="82">
        <f>'관리수수료 트렌드 정리'!$M87</f>
        <v>2.48</v>
      </c>
      <c r="G12" s="82">
        <f>'관리수수료 트렌드 정리'!$M88</f>
        <v>2.7195388600000001</v>
      </c>
      <c r="H12" s="82">
        <f>'관리수수료 트렌드 정리'!$M89</f>
        <v>2.5295359999999998</v>
      </c>
      <c r="I12" s="82">
        <f>'관리수수료 트렌드 정리'!$M90</f>
        <v>2.516</v>
      </c>
      <c r="J12" s="82">
        <f>'관리수수료 트렌드 정리'!$M91</f>
        <v>2.3735019500000001</v>
      </c>
      <c r="K12" s="59"/>
      <c r="L12" s="59"/>
      <c r="M12" s="59"/>
      <c r="N12" s="59"/>
      <c r="O12" s="59"/>
      <c r="P12" s="59"/>
      <c r="Q12" s="60"/>
      <c r="S12" s="48" t="s">
        <v>81</v>
      </c>
    </row>
    <row r="13" spans="3:19" x14ac:dyDescent="0.5">
      <c r="C13" s="405"/>
      <c r="D13" s="406"/>
      <c r="E13" s="50" t="s">
        <v>94</v>
      </c>
      <c r="F13" s="81">
        <f>'관리수수료 트렌드 정리'!$P87</f>
        <v>-2.45195623</v>
      </c>
      <c r="G13" s="81">
        <f>'관리수수료 트렌드 정리'!$P88</f>
        <v>-0.90196034000000003</v>
      </c>
      <c r="H13" s="81">
        <f>'관리수수료 트렌드 정리'!$P89</f>
        <v>-3.3363800700000001</v>
      </c>
      <c r="I13" s="81">
        <f>'관리수수료 트렌드 정리'!$P90</f>
        <v>5.7083132499999998</v>
      </c>
      <c r="J13" s="81">
        <f>'관리수수료 트렌드 정리'!$P91</f>
        <v>-3.9448768400000001</v>
      </c>
      <c r="K13" s="55"/>
      <c r="L13" s="55"/>
      <c r="M13" s="55"/>
      <c r="N13" s="55"/>
      <c r="O13" s="55"/>
      <c r="P13" s="55"/>
      <c r="Q13" s="56"/>
      <c r="S13" s="48" t="s">
        <v>82</v>
      </c>
    </row>
    <row r="14" spans="3:19" x14ac:dyDescent="0.5">
      <c r="C14" s="407" t="s">
        <v>52</v>
      </c>
      <c r="D14" s="407"/>
      <c r="E14" s="408"/>
      <c r="F14" s="61">
        <f>'관리수수료 트렌드 정리'!$AG87</f>
        <v>4.1399999999999997</v>
      </c>
      <c r="G14" s="61">
        <f>'관리수수료 트렌드 정리'!$AG88</f>
        <v>4.140338836363636</v>
      </c>
      <c r="H14" s="61">
        <f>'관리수수료 트렌드 정리'!$AG89</f>
        <v>3.8632196272727271</v>
      </c>
      <c r="I14" s="61">
        <f>'관리수수료 트렌드 정리'!$AG90</f>
        <v>3.6772409272727269</v>
      </c>
      <c r="J14" s="61">
        <f>'관리수수료 트렌드 정리'!$AG91</f>
        <v>3.5184740636363632</v>
      </c>
      <c r="K14" s="61"/>
      <c r="L14" s="61"/>
      <c r="M14" s="61"/>
      <c r="N14" s="61"/>
      <c r="O14" s="61"/>
      <c r="P14" s="61"/>
      <c r="Q14" s="62"/>
      <c r="S14" s="48" t="s">
        <v>83</v>
      </c>
    </row>
    <row r="15" spans="3:19" x14ac:dyDescent="0.5">
      <c r="C15" s="407" t="s">
        <v>53</v>
      </c>
      <c r="D15" s="407"/>
      <c r="E15" s="408"/>
      <c r="F15" s="61">
        <f>'관리수수료 트렌드 정리'!$AM87</f>
        <v>1.02</v>
      </c>
      <c r="G15" s="61">
        <f>'관리수수료 트렌드 정리'!$AM88</f>
        <v>1.1100000000000001</v>
      </c>
      <c r="H15" s="61">
        <f>'관리수수료 트렌드 정리'!$AM89</f>
        <v>1.2</v>
      </c>
      <c r="I15" s="61">
        <f>'관리수수료 트렌드 정리'!$AM90</f>
        <v>1.2566999909090908</v>
      </c>
      <c r="J15" s="61">
        <f>'관리수수료 트렌드 정리'!$AM91</f>
        <v>1.3244696090909089</v>
      </c>
      <c r="K15" s="61"/>
      <c r="L15" s="61"/>
      <c r="M15" s="61"/>
      <c r="N15" s="61"/>
      <c r="O15" s="61"/>
      <c r="P15" s="61"/>
      <c r="Q15" s="62"/>
      <c r="S15" s="48" t="s">
        <v>83</v>
      </c>
    </row>
    <row r="16" spans="3:19" x14ac:dyDescent="0.5">
      <c r="C16" s="409" t="s">
        <v>54</v>
      </c>
      <c r="D16" s="409"/>
      <c r="E16" s="410"/>
      <c r="F16" s="63">
        <f>'관리수수료 트렌드 정리'!$Q87</f>
        <v>7.9</v>
      </c>
      <c r="G16" s="63">
        <f>'관리수수료 트렌드 정리'!$Q88</f>
        <v>7.97160958</v>
      </c>
      <c r="H16" s="63">
        <f>'관리수수료 트렌드 정리'!$Q89</f>
        <v>7.4216384199999998</v>
      </c>
      <c r="I16" s="63">
        <f>'관리수수료 트렌드 정리'!$Q90</f>
        <v>7.6139127899999997</v>
      </c>
      <c r="J16" s="63">
        <f>'관리수수료 트렌드 정리'!$Q91</f>
        <v>7.6228569999999998</v>
      </c>
      <c r="K16" s="63"/>
      <c r="L16" s="63"/>
      <c r="M16" s="63"/>
      <c r="N16" s="63"/>
      <c r="O16" s="63"/>
      <c r="P16" s="63"/>
      <c r="Q16" s="64"/>
      <c r="S16" s="48" t="s">
        <v>84</v>
      </c>
    </row>
    <row r="17" spans="3:19" x14ac:dyDescent="0.5">
      <c r="C17" s="411" t="s">
        <v>56</v>
      </c>
      <c r="D17" s="411"/>
      <c r="E17" s="412"/>
      <c r="F17" s="65">
        <f>'관리수수료 트렌드 정리'!$R87</f>
        <v>0.60595882000000001</v>
      </c>
      <c r="G17" s="65">
        <f>'관리수수료 트렌드 정리'!$R88</f>
        <v>0.66603878000000005</v>
      </c>
      <c r="H17" s="65">
        <f>'관리수수료 트렌드 정리'!$R89</f>
        <v>0.63645967999999997</v>
      </c>
      <c r="I17" s="65">
        <f>'관리수수료 트렌드 정리'!$R90</f>
        <v>0.57387266000000003</v>
      </c>
      <c r="J17" s="65">
        <f>'관리수수료 트렌드 정리'!$R91</f>
        <v>0.69777632999999994</v>
      </c>
      <c r="K17" s="65"/>
      <c r="L17" s="65"/>
      <c r="M17" s="65"/>
      <c r="N17" s="65"/>
      <c r="O17" s="65"/>
      <c r="P17" s="65"/>
      <c r="Q17" s="66"/>
      <c r="S17" s="48" t="s">
        <v>85</v>
      </c>
    </row>
    <row r="18" spans="3:19" x14ac:dyDescent="0.5"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3:19" x14ac:dyDescent="0.5">
      <c r="C19" s="402" t="s">
        <v>71</v>
      </c>
      <c r="D19" s="402"/>
      <c r="E19" s="402"/>
      <c r="F19" s="72" t="s">
        <v>57</v>
      </c>
      <c r="G19" s="72" t="s">
        <v>58</v>
      </c>
      <c r="H19" s="72" t="s">
        <v>59</v>
      </c>
      <c r="I19" s="72" t="s">
        <v>60</v>
      </c>
      <c r="J19" s="72" t="s">
        <v>61</v>
      </c>
      <c r="K19" s="72" t="s">
        <v>62</v>
      </c>
      <c r="L19" s="72" t="s">
        <v>63</v>
      </c>
      <c r="M19" s="72" t="s">
        <v>64</v>
      </c>
      <c r="N19" s="72" t="s">
        <v>65</v>
      </c>
      <c r="O19" s="72" t="s">
        <v>66</v>
      </c>
      <c r="P19" s="72" t="s">
        <v>67</v>
      </c>
      <c r="Q19" s="73" t="s">
        <v>68</v>
      </c>
    </row>
    <row r="20" spans="3:19" x14ac:dyDescent="0.5">
      <c r="C20" s="396" t="s">
        <v>42</v>
      </c>
      <c r="D20" s="397"/>
      <c r="E20" s="67" t="s">
        <v>55</v>
      </c>
      <c r="F20" s="53">
        <f>SUM(F21:F29)</f>
        <v>6.5771840090909084</v>
      </c>
      <c r="G20" s="53">
        <f>SUM(G21:G29)</f>
        <v>7.1815229</v>
      </c>
      <c r="H20" s="53">
        <f>SUM(H21:H29)</f>
        <v>7.5357089163636353</v>
      </c>
      <c r="I20" s="53">
        <f>SUM(I21:I29)</f>
        <v>6.590360009090908</v>
      </c>
      <c r="J20" s="53">
        <f>SUM(J21:J29)</f>
        <v>6.4865683090909094</v>
      </c>
      <c r="K20" s="53">
        <f t="shared" ref="K20:Q20" si="1">SUM(K21:K29)</f>
        <v>0</v>
      </c>
      <c r="L20" s="53">
        <f t="shared" si="1"/>
        <v>0</v>
      </c>
      <c r="M20" s="53">
        <f t="shared" si="1"/>
        <v>0</v>
      </c>
      <c r="N20" s="53">
        <f t="shared" si="1"/>
        <v>0</v>
      </c>
      <c r="O20" s="53">
        <f t="shared" si="1"/>
        <v>0</v>
      </c>
      <c r="P20" s="53">
        <f t="shared" si="1"/>
        <v>0</v>
      </c>
      <c r="Q20" s="54">
        <f t="shared" si="1"/>
        <v>0</v>
      </c>
    </row>
    <row r="21" spans="3:19" x14ac:dyDescent="0.5">
      <c r="C21" s="398"/>
      <c r="D21" s="399"/>
      <c r="E21" s="74" t="s">
        <v>72</v>
      </c>
      <c r="F21" s="57">
        <f>'관리수수료 트렌드 정리'!$AE87</f>
        <v>1.997533909090909</v>
      </c>
      <c r="G21" s="57">
        <f>'관리수수료 트렌드 정리'!$AE88</f>
        <v>2.0294241181818182</v>
      </c>
      <c r="H21" s="57">
        <f>'관리수수료 트렌드 정리'!$AE89</f>
        <v>2.2323665300000002</v>
      </c>
      <c r="I21" s="57">
        <f>'관리수수료 트렌드 정리'!$AE90</f>
        <v>1.8044475454545452</v>
      </c>
      <c r="J21" s="57">
        <f>'관리수수료 트렌드 정리'!$AE91</f>
        <v>1.7026086363636364</v>
      </c>
      <c r="K21" s="57"/>
      <c r="L21" s="57"/>
      <c r="M21" s="57"/>
      <c r="N21" s="57"/>
      <c r="O21" s="57"/>
      <c r="P21" s="57"/>
      <c r="Q21" s="58"/>
      <c r="S21" s="48" t="s">
        <v>86</v>
      </c>
    </row>
    <row r="22" spans="3:19" x14ac:dyDescent="0.5">
      <c r="C22" s="398"/>
      <c r="D22" s="399"/>
      <c r="E22" s="74" t="s">
        <v>73</v>
      </c>
      <c r="F22" s="81">
        <f>'관리수수료 트렌드 정리'!$U87</f>
        <v>3.4875360999999998</v>
      </c>
      <c r="G22" s="81">
        <f>'관리수수료 트렌드 정리'!$U88</f>
        <v>3.8872113545454545</v>
      </c>
      <c r="H22" s="81">
        <f>'관리수수료 트렌드 정리'!$U89</f>
        <v>4.1244590727272721</v>
      </c>
      <c r="I22" s="81">
        <f>'관리수수료 트렌드 정리'!$U90</f>
        <v>3.6559633545454542</v>
      </c>
      <c r="J22" s="81">
        <f>'관리수수료 트렌드 정리'!$U91</f>
        <v>3.6748937363636363</v>
      </c>
      <c r="K22" s="55"/>
      <c r="L22" s="55"/>
      <c r="M22" s="55"/>
      <c r="N22" s="55"/>
      <c r="O22" s="55"/>
      <c r="P22" s="55"/>
      <c r="Q22" s="56"/>
      <c r="S22" s="48" t="s">
        <v>87</v>
      </c>
    </row>
    <row r="23" spans="3:19" x14ac:dyDescent="0.5">
      <c r="C23" s="398"/>
      <c r="D23" s="399"/>
      <c r="E23" s="74" t="s">
        <v>46</v>
      </c>
      <c r="F23" s="81">
        <f>'관리수수료 트렌드 정리'!$T87</f>
        <v>0.73715763636363629</v>
      </c>
      <c r="G23" s="81">
        <f>'관리수수료 트렌드 정리'!$T88</f>
        <v>0.8785777272727272</v>
      </c>
      <c r="H23" s="81">
        <f>'관리수수료 트렌드 정리'!$T89</f>
        <v>0.81444236363636358</v>
      </c>
      <c r="I23" s="81">
        <f>'관리수수료 트렌드 정리'!$T90</f>
        <v>0.79583690909090898</v>
      </c>
      <c r="J23" s="81">
        <f>'관리수수료 트렌드 정리'!$T91</f>
        <v>0.79464063636363624</v>
      </c>
      <c r="K23" s="55"/>
      <c r="L23" s="55"/>
      <c r="M23" s="55"/>
      <c r="N23" s="55"/>
      <c r="O23" s="55"/>
      <c r="P23" s="55"/>
      <c r="Q23" s="56"/>
      <c r="S23" s="48" t="s">
        <v>91</v>
      </c>
    </row>
    <row r="24" spans="3:19" x14ac:dyDescent="0.5">
      <c r="C24" s="398"/>
      <c r="D24" s="399"/>
      <c r="E24" s="74" t="s">
        <v>74</v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0"/>
    </row>
    <row r="25" spans="3:19" x14ac:dyDescent="0.5">
      <c r="C25" s="398"/>
      <c r="D25" s="399"/>
      <c r="E25" s="68" t="s">
        <v>75</v>
      </c>
      <c r="F25" s="81">
        <f>'관리수수료 트렌드 정리'!$AK87</f>
        <v>0.35495636363636357</v>
      </c>
      <c r="G25" s="81">
        <f>'관리수수료 트렌드 정리'!$AK88</f>
        <v>0.38630969999999998</v>
      </c>
      <c r="H25" s="81">
        <f>'관리수수료 트렌드 정리'!$AK89</f>
        <v>0.36444094999999999</v>
      </c>
      <c r="I25" s="81">
        <f>'관리수수료 트렌드 정리'!$AK90</f>
        <v>0.33411220000000003</v>
      </c>
      <c r="J25" s="81">
        <f>'관리수수료 트렌드 정리'!$AK91</f>
        <v>0.31442530000000002</v>
      </c>
      <c r="K25" s="55"/>
      <c r="L25" s="55"/>
      <c r="M25" s="55"/>
      <c r="N25" s="55"/>
      <c r="O25" s="55"/>
      <c r="P25" s="55"/>
      <c r="Q25" s="56"/>
      <c r="S25" s="48" t="s">
        <v>88</v>
      </c>
    </row>
    <row r="26" spans="3:19" x14ac:dyDescent="0.5">
      <c r="C26" s="398"/>
      <c r="D26" s="399"/>
      <c r="E26" s="69" t="s">
        <v>78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0"/>
    </row>
    <row r="27" spans="3:19" x14ac:dyDescent="0.5">
      <c r="C27" s="398"/>
      <c r="D27" s="399"/>
      <c r="E27" s="70" t="s">
        <v>76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6"/>
    </row>
    <row r="28" spans="3:19" x14ac:dyDescent="0.5">
      <c r="C28" s="398"/>
      <c r="D28" s="399"/>
      <c r="E28" s="74" t="s">
        <v>51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6"/>
    </row>
    <row r="29" spans="3:19" x14ac:dyDescent="0.5">
      <c r="C29" s="400"/>
      <c r="D29" s="401"/>
      <c r="E29" s="71" t="s">
        <v>77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</row>
    <row r="31" spans="3:19" x14ac:dyDescent="0.5">
      <c r="F31" s="79">
        <f>F4+F20+F14+F15+F16+F17</f>
        <v>49.908212999953861</v>
      </c>
      <c r="G31" s="79">
        <f t="shared" ref="G31:Q31" si="2">G4+G20+G14+G15+G16+G17</f>
        <v>52.986552610000018</v>
      </c>
      <c r="H31" s="79">
        <f t="shared" si="2"/>
        <v>49.287110814545436</v>
      </c>
      <c r="I31" s="79">
        <f t="shared" si="2"/>
        <v>56.568699022727301</v>
      </c>
      <c r="J31" s="79">
        <f t="shared" si="2"/>
        <v>46.256134682727279</v>
      </c>
      <c r="K31" s="79">
        <f t="shared" si="2"/>
        <v>0</v>
      </c>
      <c r="L31" s="79">
        <f t="shared" si="2"/>
        <v>0</v>
      </c>
      <c r="M31" s="79">
        <f t="shared" si="2"/>
        <v>0</v>
      </c>
      <c r="N31" s="79">
        <f t="shared" si="2"/>
        <v>0</v>
      </c>
      <c r="O31" s="79">
        <f t="shared" si="2"/>
        <v>0</v>
      </c>
      <c r="P31" s="79">
        <f t="shared" si="2"/>
        <v>0</v>
      </c>
      <c r="Q31" s="79">
        <f t="shared" si="2"/>
        <v>0</v>
      </c>
    </row>
  </sheetData>
  <mergeCells count="8">
    <mergeCell ref="C3:E3"/>
    <mergeCell ref="C20:D29"/>
    <mergeCell ref="C19:E19"/>
    <mergeCell ref="C4:D13"/>
    <mergeCell ref="C14:E14"/>
    <mergeCell ref="C15:E15"/>
    <mergeCell ref="C16:E16"/>
    <mergeCell ref="C17:E17"/>
  </mergeCells>
  <phoneticPr fontId="1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56EA-21E2-407C-8359-D0C7911D07D0}">
  <sheetPr>
    <tabColor theme="1"/>
  </sheetPr>
  <dimension ref="C1:S79"/>
  <sheetViews>
    <sheetView showGridLines="0" workbookViewId="0">
      <selection activeCell="J39" sqref="J39"/>
    </sheetView>
  </sheetViews>
  <sheetFormatPr defaultRowHeight="17.5" x14ac:dyDescent="0.5"/>
  <cols>
    <col min="1" max="2" width="8.7265625" style="48"/>
    <col min="3" max="3" width="13.08984375" style="48" customWidth="1"/>
    <col min="4" max="4" width="6.1796875" style="48" customWidth="1"/>
    <col min="5" max="5" width="23.7265625" style="48" bestFit="1" customWidth="1"/>
    <col min="6" max="6" width="9.08984375" style="48" customWidth="1"/>
    <col min="7" max="16384" width="8.7265625" style="48"/>
  </cols>
  <sheetData>
    <row r="1" spans="3:19" x14ac:dyDescent="0.5">
      <c r="F1" s="48">
        <v>15</v>
      </c>
      <c r="G1" s="48">
        <v>16</v>
      </c>
    </row>
    <row r="2" spans="3:19" x14ac:dyDescent="0.5">
      <c r="C2" s="80" t="s">
        <v>69</v>
      </c>
    </row>
    <row r="3" spans="3:19" x14ac:dyDescent="0.5">
      <c r="C3" s="395" t="s">
        <v>96</v>
      </c>
      <c r="D3" s="395"/>
      <c r="E3" s="395"/>
      <c r="F3" s="75" t="s">
        <v>57</v>
      </c>
      <c r="G3" s="75" t="s">
        <v>58</v>
      </c>
      <c r="H3" s="75" t="s">
        <v>59</v>
      </c>
      <c r="I3" s="75" t="s">
        <v>60</v>
      </c>
      <c r="J3" s="75" t="s">
        <v>61</v>
      </c>
      <c r="K3" s="75" t="s">
        <v>62</v>
      </c>
      <c r="L3" s="75" t="s">
        <v>63</v>
      </c>
      <c r="M3" s="75" t="s">
        <v>64</v>
      </c>
      <c r="N3" s="75" t="s">
        <v>65</v>
      </c>
      <c r="O3" s="75" t="s">
        <v>66</v>
      </c>
      <c r="P3" s="75" t="s">
        <v>67</v>
      </c>
      <c r="Q3" s="75" t="s">
        <v>68</v>
      </c>
    </row>
    <row r="4" spans="3:19" x14ac:dyDescent="0.5">
      <c r="C4" s="403" t="s">
        <v>98</v>
      </c>
      <c r="D4" s="404"/>
      <c r="E4" s="49" t="s">
        <v>43</v>
      </c>
      <c r="F4" s="53">
        <f>SUM(F5:F13)</f>
        <v>29.665070170862954</v>
      </c>
      <c r="G4" s="53">
        <f>SUM(G5:G13)</f>
        <v>31.917042513636385</v>
      </c>
      <c r="H4" s="53">
        <f>SUM(H5:H13)</f>
        <v>28.630084170909068</v>
      </c>
      <c r="I4" s="53">
        <f>SUM(I5:I13)</f>
        <v>36.856612645454575</v>
      </c>
      <c r="J4" s="53">
        <f>SUM(J5:J13)</f>
        <v>26.6059893709091</v>
      </c>
      <c r="K4" s="53">
        <f t="shared" ref="K4:Q4" si="0">SUM(K5:K13)</f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3">
        <f t="shared" si="0"/>
        <v>0</v>
      </c>
      <c r="Q4" s="54">
        <f t="shared" si="0"/>
        <v>0</v>
      </c>
    </row>
    <row r="5" spans="3:19" x14ac:dyDescent="0.5">
      <c r="C5" s="405"/>
      <c r="D5" s="406"/>
      <c r="E5" s="50" t="s">
        <v>44</v>
      </c>
      <c r="F5" s="55">
        <f>'관리수수료 트렌드 정리'!$C87-'관리수수료 트렌드 정리'!$AE87-'관리수수료 트렌드 정리'!$AG87</f>
        <v>2.962466090909091</v>
      </c>
      <c r="G5" s="55">
        <f>'관리수수료 트렌드 정리'!$C88-'관리수수료 트렌드 정리'!$AE88-'관리수수료 트렌드 정리'!$AG88</f>
        <v>2.9133299886490658</v>
      </c>
      <c r="H5" s="55">
        <f>'관리수수료 트렌드 정리'!$C89-'관리수수료 트렌드 정리'!$AE89-'관리수수료 트렌드 정리'!$AG89</f>
        <v>2.4573264179194485</v>
      </c>
      <c r="I5" s="55">
        <f>'관리수수료 트렌드 정리'!$C90-'관리수수료 트렌드 정리'!$AE90-'관리수수료 트렌드 정리'!$AG90</f>
        <v>2.5262770327476596</v>
      </c>
      <c r="J5" s="55">
        <f>'관리수수료 트렌드 정리'!$C91-'관리수수료 트렌드 정리'!$AE91-'관리수수료 트렌드 정리'!$AG91</f>
        <v>2.3802389409978062</v>
      </c>
      <c r="K5" s="55"/>
      <c r="L5" s="55"/>
      <c r="M5" s="55"/>
      <c r="N5" s="55"/>
      <c r="O5" s="55"/>
      <c r="P5" s="55"/>
      <c r="Q5" s="56"/>
      <c r="S5" s="48" t="s">
        <v>89</v>
      </c>
    </row>
    <row r="6" spans="3:19" x14ac:dyDescent="0.5">
      <c r="C6" s="405"/>
      <c r="D6" s="406"/>
      <c r="E6" s="50" t="s">
        <v>45</v>
      </c>
      <c r="F6" s="81">
        <f>'관리수수료 트렌드 정리'!$D87-'관리수수료 트렌드 정리'!$U87</f>
        <v>20.4028175363175</v>
      </c>
      <c r="G6" s="81">
        <f>'관리수수료 트렌드 정리'!$D88-'관리수수료 트렌드 정리'!$U88</f>
        <v>20.814095912260047</v>
      </c>
      <c r="H6" s="81">
        <f>'관리수수료 트렌드 정리'!$D89-'관리수수료 트렌드 정리'!$U89</f>
        <v>20.926437392080526</v>
      </c>
      <c r="I6" s="81">
        <f>'관리수수료 트렌드 정리'!$D90-'관리수수료 트렌드 정리'!$U90</f>
        <v>20.153445729979644</v>
      </c>
      <c r="J6" s="81">
        <f>'관리수수료 트렌드 정리'!$D91-'관리수수료 트렌드 정리'!$U91</f>
        <v>19.901025872638563</v>
      </c>
      <c r="K6" s="55"/>
      <c r="L6" s="55"/>
      <c r="M6" s="55"/>
      <c r="N6" s="55"/>
      <c r="O6" s="55"/>
      <c r="P6" s="55"/>
      <c r="Q6" s="56"/>
      <c r="S6" s="48" t="s">
        <v>79</v>
      </c>
    </row>
    <row r="7" spans="3:19" x14ac:dyDescent="0.5">
      <c r="C7" s="405"/>
      <c r="D7" s="406"/>
      <c r="E7" s="50" t="s">
        <v>46</v>
      </c>
      <c r="F7" s="83">
        <f>'관리수수료 트렌드 정리'!$F87-'관리수수료 트렌드 정리'!$T87</f>
        <v>0.47383372727272732</v>
      </c>
      <c r="G7" s="83">
        <f>'관리수수료 트렌드 정리'!$F88-'관리수수료 트렌드 정리'!$T88</f>
        <v>0.48559427272727274</v>
      </c>
      <c r="H7" s="83">
        <f>'관리수수료 트렌드 정리'!$F89-'관리수수료 트렌드 정리'!$T89</f>
        <v>0.45793709090909096</v>
      </c>
      <c r="I7" s="83">
        <f>'관리수수료 트렌드 정리'!$F90-'관리수수료 트렌드 정리'!$T90</f>
        <v>0.44099936363636361</v>
      </c>
      <c r="J7" s="83">
        <f>'관리수수료 트렌드 정리'!$F91-'관리수수료 트렌드 정리'!$T91</f>
        <v>0.42470563636363634</v>
      </c>
      <c r="K7" s="55"/>
      <c r="L7" s="55"/>
      <c r="M7" s="55"/>
      <c r="N7" s="55"/>
      <c r="O7" s="55"/>
      <c r="P7" s="55"/>
      <c r="Q7" s="56"/>
    </row>
    <row r="8" spans="3:19" x14ac:dyDescent="0.5">
      <c r="C8" s="405"/>
      <c r="D8" s="406"/>
      <c r="E8" s="50" t="s">
        <v>47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</row>
    <row r="9" spans="3:19" x14ac:dyDescent="0.5">
      <c r="C9" s="405"/>
      <c r="D9" s="406"/>
      <c r="E9" s="50" t="s">
        <v>48</v>
      </c>
      <c r="F9" s="81">
        <f>'관리수수료 트렌드 정리'!$E87-'관리수수료 트렌드 정리'!$AK87-'관리수수료 트렌드 정리'!$AM87</f>
        <v>3.8250436363636369</v>
      </c>
      <c r="G9" s="81">
        <f>'관리수수료 트렌드 정리'!$E88-'관리수수료 트렌드 정리'!$AK88-'관리수수료 트렌드 정리'!$AM88</f>
        <v>3.8708856699999998</v>
      </c>
      <c r="H9" s="81">
        <f>'관리수수료 트렌드 정리'!$E89-'관리수수료 트렌드 정리'!$AK89-'관리수수료 트렌드 정리'!$AM89</f>
        <v>3.6310316200000008</v>
      </c>
      <c r="I9" s="81">
        <f>'관리수수료 트렌드 정리'!$E90-'관리수수료 트렌드 정리'!$AK90-'관리수수료 트렌드 정리'!$AM90</f>
        <v>3.4754358490909087</v>
      </c>
      <c r="J9" s="81">
        <f>'관리수수료 트렌드 정리'!$E91-'관리수수료 트렌드 정리'!$AK91-'관리수수료 트렌드 정리'!$AM91</f>
        <v>3.3329248009090913</v>
      </c>
      <c r="K9" s="55"/>
      <c r="L9" s="55"/>
      <c r="M9" s="55"/>
      <c r="N9" s="55"/>
      <c r="O9" s="55"/>
      <c r="P9" s="55"/>
      <c r="Q9" s="56"/>
      <c r="S9" s="48" t="s">
        <v>90</v>
      </c>
    </row>
    <row r="10" spans="3:19" x14ac:dyDescent="0.5">
      <c r="C10" s="405"/>
      <c r="D10" s="406"/>
      <c r="E10" s="50" t="s">
        <v>49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6"/>
    </row>
    <row r="11" spans="3:19" x14ac:dyDescent="0.5">
      <c r="C11" s="405"/>
      <c r="D11" s="406"/>
      <c r="E11" s="51" t="s">
        <v>50</v>
      </c>
      <c r="F11" s="78">
        <f>'관리수수료 트렌드 정리'!$J87</f>
        <v>1.97286541</v>
      </c>
      <c r="G11" s="78">
        <f>'관리수수료 트렌드 정리'!$J88</f>
        <v>2.0155581499999999</v>
      </c>
      <c r="H11" s="78">
        <f>'관리수수료 트렌드 정리'!$J89</f>
        <v>1.96419572</v>
      </c>
      <c r="I11" s="78">
        <f>'관리수수료 트렌드 정리'!$J90</f>
        <v>2.0361414199999999</v>
      </c>
      <c r="J11" s="78">
        <f>'관리수수료 트렌드 정리'!$J91</f>
        <v>2.1384690100000001</v>
      </c>
      <c r="K11" s="57"/>
      <c r="L11" s="57"/>
      <c r="M11" s="57"/>
      <c r="N11" s="57"/>
      <c r="O11" s="57"/>
      <c r="P11" s="57"/>
      <c r="Q11" s="58"/>
      <c r="S11" s="48" t="s">
        <v>80</v>
      </c>
    </row>
    <row r="12" spans="3:19" x14ac:dyDescent="0.5">
      <c r="C12" s="405"/>
      <c r="D12" s="406"/>
      <c r="E12" s="52" t="s">
        <v>51</v>
      </c>
      <c r="F12" s="82">
        <f>'관리수수료 트렌드 정리'!$M87</f>
        <v>2.48</v>
      </c>
      <c r="G12" s="82">
        <f>'관리수수료 트렌드 정리'!$M88</f>
        <v>2.7195388600000001</v>
      </c>
      <c r="H12" s="82">
        <f>'관리수수료 트렌드 정리'!$M89</f>
        <v>2.5295359999999998</v>
      </c>
      <c r="I12" s="82">
        <f>'관리수수료 트렌드 정리'!$M90</f>
        <v>2.516</v>
      </c>
      <c r="J12" s="82">
        <f>'관리수수료 트렌드 정리'!$M91</f>
        <v>2.3735019500000001</v>
      </c>
      <c r="K12" s="59"/>
      <c r="L12" s="59"/>
      <c r="M12" s="59"/>
      <c r="N12" s="59"/>
      <c r="O12" s="59"/>
      <c r="P12" s="59"/>
      <c r="Q12" s="60"/>
      <c r="S12" s="48" t="s">
        <v>81</v>
      </c>
    </row>
    <row r="13" spans="3:19" x14ac:dyDescent="0.5">
      <c r="C13" s="405"/>
      <c r="D13" s="406"/>
      <c r="E13" s="50" t="s">
        <v>94</v>
      </c>
      <c r="F13" s="81">
        <f>'관리수수료 트렌드 정리'!$P87</f>
        <v>-2.45195623</v>
      </c>
      <c r="G13" s="81">
        <f>'관리수수료 트렌드 정리'!$P88</f>
        <v>-0.90196034000000003</v>
      </c>
      <c r="H13" s="81">
        <f>'관리수수료 트렌드 정리'!$P89</f>
        <v>-3.3363800700000001</v>
      </c>
      <c r="I13" s="81">
        <f>'관리수수료 트렌드 정리'!$P90</f>
        <v>5.7083132499999998</v>
      </c>
      <c r="J13" s="81">
        <f>'관리수수료 트렌드 정리'!$P91</f>
        <v>-3.9448768400000001</v>
      </c>
      <c r="K13" s="55"/>
      <c r="L13" s="55"/>
      <c r="M13" s="55"/>
      <c r="N13" s="55"/>
      <c r="O13" s="55"/>
      <c r="P13" s="55"/>
      <c r="Q13" s="56"/>
      <c r="S13" s="48" t="s">
        <v>82</v>
      </c>
    </row>
    <row r="14" spans="3:19" x14ac:dyDescent="0.5">
      <c r="C14" s="407" t="s">
        <v>52</v>
      </c>
      <c r="D14" s="407"/>
      <c r="E14" s="408"/>
      <c r="F14" s="61">
        <f>'관리수수료 트렌드 정리'!$AG87</f>
        <v>4.1399999999999997</v>
      </c>
      <c r="G14" s="61">
        <f>'관리수수료 트렌드 정리'!$AG88</f>
        <v>4.140338836363636</v>
      </c>
      <c r="H14" s="61">
        <f>'관리수수료 트렌드 정리'!$AG89</f>
        <v>3.8632196272727271</v>
      </c>
      <c r="I14" s="61">
        <f>'관리수수료 트렌드 정리'!$AG90</f>
        <v>3.6772409272727269</v>
      </c>
      <c r="J14" s="61">
        <f>'관리수수료 트렌드 정리'!$AG91</f>
        <v>3.5184740636363632</v>
      </c>
      <c r="K14" s="61"/>
      <c r="L14" s="61"/>
      <c r="M14" s="61"/>
      <c r="N14" s="61"/>
      <c r="O14" s="61"/>
      <c r="P14" s="61"/>
      <c r="Q14" s="62"/>
      <c r="S14" s="48" t="s">
        <v>83</v>
      </c>
    </row>
    <row r="15" spans="3:19" x14ac:dyDescent="0.5">
      <c r="C15" s="407" t="s">
        <v>53</v>
      </c>
      <c r="D15" s="407"/>
      <c r="E15" s="408"/>
      <c r="F15" s="61">
        <f>'관리수수료 트렌드 정리'!$AM87</f>
        <v>1.02</v>
      </c>
      <c r="G15" s="61">
        <f>'관리수수료 트렌드 정리'!$AM88</f>
        <v>1.1100000000000001</v>
      </c>
      <c r="H15" s="61">
        <f>'관리수수료 트렌드 정리'!$AM89</f>
        <v>1.2</v>
      </c>
      <c r="I15" s="61">
        <f>'관리수수료 트렌드 정리'!$AM90</f>
        <v>1.2566999909090908</v>
      </c>
      <c r="J15" s="61">
        <f>'관리수수료 트렌드 정리'!$AM91</f>
        <v>1.3244696090909089</v>
      </c>
      <c r="K15" s="61"/>
      <c r="L15" s="61"/>
      <c r="M15" s="61"/>
      <c r="N15" s="61"/>
      <c r="O15" s="61"/>
      <c r="P15" s="61"/>
      <c r="Q15" s="62"/>
      <c r="S15" s="48" t="s">
        <v>83</v>
      </c>
    </row>
    <row r="16" spans="3:19" x14ac:dyDescent="0.5">
      <c r="C16" s="409" t="s">
        <v>54</v>
      </c>
      <c r="D16" s="409"/>
      <c r="E16" s="410"/>
      <c r="F16" s="63">
        <f>'관리수수료 트렌드 정리'!$Q87</f>
        <v>7.9</v>
      </c>
      <c r="G16" s="63">
        <f>'관리수수료 트렌드 정리'!$Q88</f>
        <v>7.97160958</v>
      </c>
      <c r="H16" s="63">
        <f>'관리수수료 트렌드 정리'!$Q89</f>
        <v>7.4216384199999998</v>
      </c>
      <c r="I16" s="63">
        <f>'관리수수료 트렌드 정리'!$Q90</f>
        <v>7.6139127899999997</v>
      </c>
      <c r="J16" s="63">
        <f>'관리수수료 트렌드 정리'!$Q91</f>
        <v>7.6228569999999998</v>
      </c>
      <c r="K16" s="63"/>
      <c r="L16" s="63"/>
      <c r="M16" s="63"/>
      <c r="N16" s="63"/>
      <c r="O16" s="63"/>
      <c r="P16" s="63"/>
      <c r="Q16" s="64"/>
      <c r="S16" s="48" t="s">
        <v>84</v>
      </c>
    </row>
    <row r="17" spans="3:19" x14ac:dyDescent="0.5">
      <c r="C17" s="411" t="s">
        <v>56</v>
      </c>
      <c r="D17" s="411"/>
      <c r="E17" s="412"/>
      <c r="F17" s="65">
        <f>'관리수수료 트렌드 정리'!$R87</f>
        <v>0.60595882000000001</v>
      </c>
      <c r="G17" s="65">
        <f>'관리수수료 트렌드 정리'!$R88</f>
        <v>0.66603878000000005</v>
      </c>
      <c r="H17" s="65">
        <f>'관리수수료 트렌드 정리'!$R89</f>
        <v>0.63645967999999997</v>
      </c>
      <c r="I17" s="65">
        <f>'관리수수료 트렌드 정리'!$R90</f>
        <v>0.57387266000000003</v>
      </c>
      <c r="J17" s="65">
        <f>'관리수수료 트렌드 정리'!$R91</f>
        <v>0.69777632999999994</v>
      </c>
      <c r="K17" s="65"/>
      <c r="L17" s="65"/>
      <c r="M17" s="65"/>
      <c r="N17" s="65"/>
      <c r="O17" s="65"/>
      <c r="P17" s="65"/>
      <c r="Q17" s="66"/>
      <c r="S17" s="48" t="s">
        <v>85</v>
      </c>
    </row>
    <row r="18" spans="3:19" x14ac:dyDescent="0.5"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3:19" x14ac:dyDescent="0.5">
      <c r="C19" s="413" t="s">
        <v>95</v>
      </c>
      <c r="D19" s="413"/>
      <c r="E19" s="413"/>
      <c r="F19" s="85" t="s">
        <v>57</v>
      </c>
      <c r="G19" s="85" t="s">
        <v>58</v>
      </c>
      <c r="H19" s="85" t="s">
        <v>59</v>
      </c>
      <c r="I19" s="85" t="s">
        <v>60</v>
      </c>
      <c r="J19" s="85" t="s">
        <v>61</v>
      </c>
      <c r="K19" s="85" t="s">
        <v>62</v>
      </c>
      <c r="L19" s="85" t="s">
        <v>63</v>
      </c>
      <c r="M19" s="85" t="s">
        <v>64</v>
      </c>
      <c r="N19" s="85" t="s">
        <v>65</v>
      </c>
      <c r="O19" s="85" t="s">
        <v>66</v>
      </c>
      <c r="P19" s="85" t="s">
        <v>67</v>
      </c>
      <c r="Q19" s="85" t="s">
        <v>68</v>
      </c>
    </row>
    <row r="20" spans="3:19" x14ac:dyDescent="0.5">
      <c r="C20" s="403" t="s">
        <v>97</v>
      </c>
      <c r="D20" s="404"/>
      <c r="E20" s="49" t="s">
        <v>43</v>
      </c>
      <c r="F20" s="86">
        <f>SUM(F21:F29)</f>
        <v>1438997</v>
      </c>
      <c r="G20" s="86">
        <f>SUM(G21:G29)</f>
        <v>1428238</v>
      </c>
      <c r="H20" s="86">
        <f>SUM(H21:H29)</f>
        <v>1417929</v>
      </c>
      <c r="I20" s="86">
        <f>SUM(I21:I29)</f>
        <v>1419139</v>
      </c>
      <c r="J20" s="86">
        <f>SUM(J21:J29)</f>
        <v>1428753</v>
      </c>
      <c r="K20" s="86">
        <f t="shared" ref="K20:Q20" si="1">SUM(K21:K29)</f>
        <v>1417111</v>
      </c>
      <c r="L20" s="86">
        <f t="shared" si="1"/>
        <v>0</v>
      </c>
      <c r="M20" s="86">
        <f t="shared" si="1"/>
        <v>0</v>
      </c>
      <c r="N20" s="86">
        <f t="shared" si="1"/>
        <v>0</v>
      </c>
      <c r="O20" s="86">
        <f t="shared" si="1"/>
        <v>0</v>
      </c>
      <c r="P20" s="86">
        <f t="shared" si="1"/>
        <v>0</v>
      </c>
      <c r="Q20" s="87">
        <f t="shared" si="1"/>
        <v>0</v>
      </c>
    </row>
    <row r="21" spans="3:19" x14ac:dyDescent="0.5">
      <c r="C21" s="405"/>
      <c r="D21" s="406"/>
      <c r="E21" s="50" t="s">
        <v>44</v>
      </c>
      <c r="F21" s="88">
        <v>66322</v>
      </c>
      <c r="G21" s="88">
        <v>64615</v>
      </c>
      <c r="H21" s="88">
        <v>63539</v>
      </c>
      <c r="I21" s="88">
        <v>62009</v>
      </c>
      <c r="J21" s="88">
        <v>61102</v>
      </c>
      <c r="K21" s="88">
        <v>59733</v>
      </c>
      <c r="L21" s="88"/>
      <c r="M21" s="88"/>
      <c r="N21" s="88"/>
      <c r="O21" s="88"/>
      <c r="P21" s="88"/>
      <c r="Q21" s="89"/>
      <c r="S21" s="48" t="s">
        <v>89</v>
      </c>
    </row>
    <row r="22" spans="3:19" x14ac:dyDescent="0.5">
      <c r="C22" s="405"/>
      <c r="D22" s="406"/>
      <c r="E22" s="50" t="s">
        <v>45</v>
      </c>
      <c r="F22" s="90">
        <v>751971</v>
      </c>
      <c r="G22" s="90">
        <v>752950</v>
      </c>
      <c r="H22" s="90">
        <v>752266</v>
      </c>
      <c r="I22" s="90">
        <v>754111</v>
      </c>
      <c r="J22" s="90">
        <v>766608</v>
      </c>
      <c r="K22" s="88">
        <v>764910</v>
      </c>
      <c r="L22" s="88"/>
      <c r="M22" s="88"/>
      <c r="N22" s="88"/>
      <c r="O22" s="88"/>
      <c r="P22" s="88"/>
      <c r="Q22" s="89"/>
      <c r="S22" s="48" t="s">
        <v>79</v>
      </c>
    </row>
    <row r="23" spans="3:19" x14ac:dyDescent="0.5">
      <c r="C23" s="405"/>
      <c r="D23" s="406"/>
      <c r="E23" s="50" t="s">
        <v>46</v>
      </c>
      <c r="F23" s="91">
        <v>26924</v>
      </c>
      <c r="G23" s="91">
        <v>26456</v>
      </c>
      <c r="H23" s="91">
        <v>25615</v>
      </c>
      <c r="I23" s="91">
        <v>25136</v>
      </c>
      <c r="J23" s="91">
        <v>24622</v>
      </c>
      <c r="K23" s="88">
        <v>24074</v>
      </c>
      <c r="L23" s="88"/>
      <c r="M23" s="88"/>
      <c r="N23" s="88"/>
      <c r="O23" s="88"/>
      <c r="P23" s="88"/>
      <c r="Q23" s="89"/>
    </row>
    <row r="24" spans="3:19" x14ac:dyDescent="0.5">
      <c r="C24" s="405"/>
      <c r="D24" s="406"/>
      <c r="E24" s="50" t="s">
        <v>47</v>
      </c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9"/>
    </row>
    <row r="25" spans="3:19" x14ac:dyDescent="0.5">
      <c r="C25" s="405"/>
      <c r="D25" s="406"/>
      <c r="E25" s="50" t="s">
        <v>48</v>
      </c>
      <c r="F25" s="90">
        <v>107127</v>
      </c>
      <c r="G25" s="90">
        <v>102207</v>
      </c>
      <c r="H25" s="90">
        <v>99447</v>
      </c>
      <c r="I25" s="90">
        <v>96649</v>
      </c>
      <c r="J25" s="90">
        <v>93912</v>
      </c>
      <c r="K25" s="88">
        <v>91452</v>
      </c>
      <c r="L25" s="88"/>
      <c r="M25" s="88"/>
      <c r="N25" s="88"/>
      <c r="O25" s="88"/>
      <c r="P25" s="88"/>
      <c r="Q25" s="89"/>
      <c r="S25" s="48" t="s">
        <v>90</v>
      </c>
    </row>
    <row r="26" spans="3:19" x14ac:dyDescent="0.5">
      <c r="C26" s="405"/>
      <c r="D26" s="406"/>
      <c r="E26" s="50" t="s">
        <v>49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9"/>
    </row>
    <row r="27" spans="3:19" x14ac:dyDescent="0.5">
      <c r="C27" s="405"/>
      <c r="D27" s="406"/>
      <c r="E27" s="51" t="s">
        <v>50</v>
      </c>
      <c r="F27" s="92">
        <v>357535</v>
      </c>
      <c r="G27" s="92">
        <v>354197</v>
      </c>
      <c r="H27" s="92">
        <v>348912</v>
      </c>
      <c r="I27" s="92">
        <v>353944</v>
      </c>
      <c r="J27" s="92">
        <v>355534</v>
      </c>
      <c r="K27" s="93">
        <v>351173</v>
      </c>
      <c r="L27" s="93"/>
      <c r="M27" s="93"/>
      <c r="N27" s="93"/>
      <c r="O27" s="93"/>
      <c r="P27" s="93"/>
      <c r="Q27" s="94"/>
      <c r="S27" s="48" t="s">
        <v>80</v>
      </c>
    </row>
    <row r="28" spans="3:19" x14ac:dyDescent="0.5">
      <c r="C28" s="405"/>
      <c r="D28" s="406"/>
      <c r="E28" s="52" t="s">
        <v>51</v>
      </c>
      <c r="F28" s="95">
        <v>129118</v>
      </c>
      <c r="G28" s="95">
        <v>127813</v>
      </c>
      <c r="H28" s="95">
        <v>128150</v>
      </c>
      <c r="I28" s="95">
        <v>127290</v>
      </c>
      <c r="J28" s="95">
        <v>126975</v>
      </c>
      <c r="K28" s="96">
        <v>125769</v>
      </c>
      <c r="L28" s="96"/>
      <c r="M28" s="96"/>
      <c r="N28" s="96"/>
      <c r="O28" s="96"/>
      <c r="P28" s="96"/>
      <c r="Q28" s="97"/>
      <c r="S28" s="48" t="s">
        <v>81</v>
      </c>
    </row>
    <row r="29" spans="3:19" x14ac:dyDescent="0.5">
      <c r="C29" s="405"/>
      <c r="D29" s="406"/>
      <c r="E29" s="50" t="s">
        <v>94</v>
      </c>
      <c r="F29" s="90">
        <f>'관리수수료 트렌드 정리'!$P103</f>
        <v>0</v>
      </c>
      <c r="G29" s="90">
        <f>'관리수수료 트렌드 정리'!$P104</f>
        <v>0</v>
      </c>
      <c r="H29" s="90">
        <f>'관리수수료 트렌드 정리'!$P105</f>
        <v>0</v>
      </c>
      <c r="I29" s="90">
        <f>'관리수수료 트렌드 정리'!$P106</f>
        <v>0</v>
      </c>
      <c r="J29" s="90">
        <f>'관리수수료 트렌드 정리'!$P107</f>
        <v>0</v>
      </c>
      <c r="K29" s="88"/>
      <c r="L29" s="88"/>
      <c r="M29" s="88"/>
      <c r="N29" s="88"/>
      <c r="O29" s="88"/>
      <c r="P29" s="88"/>
      <c r="Q29" s="89"/>
      <c r="S29" s="48" t="s">
        <v>82</v>
      </c>
    </row>
    <row r="30" spans="3:19" x14ac:dyDescent="0.5">
      <c r="C30" s="407" t="s">
        <v>52</v>
      </c>
      <c r="D30" s="407"/>
      <c r="E30" s="408"/>
      <c r="F30" s="98">
        <v>582656</v>
      </c>
      <c r="G30" s="98">
        <v>559407</v>
      </c>
      <c r="H30" s="98">
        <v>541478</v>
      </c>
      <c r="I30" s="98">
        <v>523578</v>
      </c>
      <c r="J30" s="98">
        <v>505468</v>
      </c>
      <c r="K30" s="98">
        <v>486487</v>
      </c>
      <c r="L30" s="98"/>
      <c r="M30" s="98"/>
      <c r="N30" s="98"/>
      <c r="O30" s="98"/>
      <c r="P30" s="98"/>
      <c r="Q30" s="99"/>
      <c r="S30" s="48" t="s">
        <v>83</v>
      </c>
    </row>
    <row r="31" spans="3:19" x14ac:dyDescent="0.5">
      <c r="C31" s="407" t="s">
        <v>53</v>
      </c>
      <c r="D31" s="407"/>
      <c r="E31" s="408"/>
      <c r="F31" s="98">
        <v>139462</v>
      </c>
      <c r="G31" s="98">
        <v>156756</v>
      </c>
      <c r="H31" s="98">
        <v>164695</v>
      </c>
      <c r="I31" s="98">
        <v>176809</v>
      </c>
      <c r="J31" s="98">
        <v>204044</v>
      </c>
      <c r="K31" s="98">
        <v>216044</v>
      </c>
      <c r="L31" s="98"/>
      <c r="M31" s="98"/>
      <c r="N31" s="98"/>
      <c r="O31" s="98"/>
      <c r="P31" s="98"/>
      <c r="Q31" s="99"/>
      <c r="S31" s="48" t="s">
        <v>83</v>
      </c>
    </row>
    <row r="32" spans="3:19" x14ac:dyDescent="0.5">
      <c r="C32" s="409" t="s">
        <v>54</v>
      </c>
      <c r="D32" s="409"/>
      <c r="E32" s="410"/>
      <c r="F32" s="100">
        <f>'관리수수료 트렌드 정리'!$Q103</f>
        <v>0</v>
      </c>
      <c r="G32" s="100">
        <f>'관리수수료 트렌드 정리'!$Q104</f>
        <v>0</v>
      </c>
      <c r="H32" s="100">
        <f>'관리수수료 트렌드 정리'!$Q105</f>
        <v>0</v>
      </c>
      <c r="I32" s="100">
        <f>'관리수수료 트렌드 정리'!$Q106</f>
        <v>0</v>
      </c>
      <c r="J32" s="100">
        <f>'관리수수료 트렌드 정리'!$Q107</f>
        <v>0</v>
      </c>
      <c r="K32" s="100"/>
      <c r="L32" s="100"/>
      <c r="M32" s="100"/>
      <c r="N32" s="100"/>
      <c r="O32" s="100"/>
      <c r="P32" s="100"/>
      <c r="Q32" s="101"/>
      <c r="S32" s="48" t="s">
        <v>84</v>
      </c>
    </row>
    <row r="33" spans="3:19" x14ac:dyDescent="0.5">
      <c r="C33" s="411" t="s">
        <v>56</v>
      </c>
      <c r="D33" s="411"/>
      <c r="E33" s="412"/>
      <c r="F33" s="102">
        <f>'관리수수료 트렌드 정리'!$R103</f>
        <v>0</v>
      </c>
      <c r="G33" s="102">
        <f>'관리수수료 트렌드 정리'!$R104</f>
        <v>0</v>
      </c>
      <c r="H33" s="102">
        <f>'관리수수료 트렌드 정리'!$R105</f>
        <v>0</v>
      </c>
      <c r="I33" s="102">
        <f>'관리수수료 트렌드 정리'!$R106</f>
        <v>0</v>
      </c>
      <c r="J33" s="102">
        <f>'관리수수료 트렌드 정리'!$R107</f>
        <v>0</v>
      </c>
      <c r="K33" s="102"/>
      <c r="L33" s="102"/>
      <c r="M33" s="102"/>
      <c r="N33" s="102"/>
      <c r="O33" s="102"/>
      <c r="P33" s="102"/>
      <c r="Q33" s="103"/>
      <c r="S33" s="48" t="s">
        <v>85</v>
      </c>
    </row>
    <row r="34" spans="3:19" x14ac:dyDescent="0.5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</row>
    <row r="35" spans="3:19" x14ac:dyDescent="0.5">
      <c r="C35" s="413" t="s">
        <v>101</v>
      </c>
      <c r="D35" s="413"/>
      <c r="E35" s="413"/>
      <c r="F35" s="85" t="s">
        <v>57</v>
      </c>
      <c r="G35" s="85" t="s">
        <v>58</v>
      </c>
      <c r="H35" s="85" t="s">
        <v>59</v>
      </c>
      <c r="I35" s="85" t="s">
        <v>60</v>
      </c>
      <c r="J35" s="85" t="s">
        <v>61</v>
      </c>
      <c r="K35" s="85" t="s">
        <v>62</v>
      </c>
      <c r="L35" s="85" t="s">
        <v>63</v>
      </c>
      <c r="M35" s="85" t="s">
        <v>64</v>
      </c>
      <c r="N35" s="85" t="s">
        <v>65</v>
      </c>
      <c r="O35" s="85" t="s">
        <v>66</v>
      </c>
      <c r="P35" s="85" t="s">
        <v>67</v>
      </c>
      <c r="Q35" s="85" t="s">
        <v>68</v>
      </c>
    </row>
    <row r="36" spans="3:19" x14ac:dyDescent="0.5">
      <c r="C36" s="403" t="s">
        <v>99</v>
      </c>
      <c r="D36" s="404"/>
      <c r="E36" s="49" t="s">
        <v>43</v>
      </c>
      <c r="F36" s="122"/>
      <c r="G36" s="122"/>
      <c r="H36" s="122"/>
      <c r="I36" s="122"/>
      <c r="J36" s="122"/>
      <c r="K36" s="122"/>
      <c r="L36" s="122">
        <f t="shared" ref="L36:Q36" si="2">SUM(L37:L45)</f>
        <v>0</v>
      </c>
      <c r="M36" s="122">
        <f t="shared" si="2"/>
        <v>0</v>
      </c>
      <c r="N36" s="122">
        <f t="shared" si="2"/>
        <v>0</v>
      </c>
      <c r="O36" s="122">
        <f t="shared" si="2"/>
        <v>0</v>
      </c>
      <c r="P36" s="122">
        <f t="shared" si="2"/>
        <v>0</v>
      </c>
      <c r="Q36" s="123">
        <f t="shared" si="2"/>
        <v>0</v>
      </c>
    </row>
    <row r="37" spans="3:19" x14ac:dyDescent="0.5">
      <c r="C37" s="405"/>
      <c r="D37" s="406"/>
      <c r="E37" s="50" t="s">
        <v>44</v>
      </c>
      <c r="F37" s="124">
        <f>IFERROR(#REF!/F5*100000000,0)</f>
        <v>0</v>
      </c>
      <c r="G37" s="124">
        <f>IFERROR(G21/F21-1,0)</f>
        <v>-2.5738065800187004E-2</v>
      </c>
      <c r="H37" s="124">
        <f t="shared" ref="H37:K37" si="3">IFERROR(H21/G21-1,0)</f>
        <v>-1.6652480074286102E-2</v>
      </c>
      <c r="I37" s="124">
        <f t="shared" si="3"/>
        <v>-2.4079699082453332E-2</v>
      </c>
      <c r="J37" s="124">
        <f t="shared" si="3"/>
        <v>-1.4626908997081078E-2</v>
      </c>
      <c r="K37" s="124">
        <f t="shared" si="3"/>
        <v>-2.2405158587280316E-2</v>
      </c>
      <c r="L37" s="124"/>
      <c r="M37" s="124"/>
      <c r="N37" s="124"/>
      <c r="O37" s="124"/>
      <c r="P37" s="124"/>
      <c r="Q37" s="125"/>
      <c r="S37" s="48" t="s">
        <v>89</v>
      </c>
    </row>
    <row r="38" spans="3:19" x14ac:dyDescent="0.5">
      <c r="C38" s="405"/>
      <c r="D38" s="406"/>
      <c r="E38" s="50" t="s">
        <v>45</v>
      </c>
      <c r="F38" s="126">
        <f t="shared" ref="F38" si="4">IFERROR(#REF!/F6*100000000,0)</f>
        <v>0</v>
      </c>
      <c r="G38" s="126">
        <f t="shared" ref="G38:K38" si="5">IFERROR(G22/F22-1,0)</f>
        <v>1.3019119088368836E-3</v>
      </c>
      <c r="H38" s="126">
        <f t="shared" si="5"/>
        <v>-9.0842685437275694E-4</v>
      </c>
      <c r="I38" s="126">
        <f t="shared" si="5"/>
        <v>2.4525899083569502E-3</v>
      </c>
      <c r="J38" s="126">
        <f t="shared" si="5"/>
        <v>1.6571830937355481E-2</v>
      </c>
      <c r="K38" s="124">
        <f t="shared" si="5"/>
        <v>-2.2149521006824546E-3</v>
      </c>
      <c r="L38" s="124"/>
      <c r="M38" s="124"/>
      <c r="N38" s="124"/>
      <c r="O38" s="124"/>
      <c r="P38" s="124"/>
      <c r="Q38" s="125"/>
      <c r="S38" s="48" t="s">
        <v>79</v>
      </c>
    </row>
    <row r="39" spans="3:19" x14ac:dyDescent="0.5">
      <c r="C39" s="405"/>
      <c r="D39" s="406"/>
      <c r="E39" s="50" t="s">
        <v>46</v>
      </c>
      <c r="F39" s="127">
        <f t="shared" ref="F39" si="6">IFERROR(#REF!/F7*100000000,0)</f>
        <v>0</v>
      </c>
      <c r="G39" s="127">
        <f t="shared" ref="G39:K39" si="7">IFERROR(G23/F23-1,0)</f>
        <v>-1.738226117961672E-2</v>
      </c>
      <c r="H39" s="127">
        <f t="shared" si="7"/>
        <v>-3.1788630178409383E-2</v>
      </c>
      <c r="I39" s="127">
        <f t="shared" si="7"/>
        <v>-1.8699980480187395E-2</v>
      </c>
      <c r="J39" s="127">
        <f t="shared" si="7"/>
        <v>-2.0448758752387053E-2</v>
      </c>
      <c r="K39" s="124">
        <f t="shared" si="7"/>
        <v>-2.2256518560636818E-2</v>
      </c>
      <c r="L39" s="124"/>
      <c r="M39" s="124"/>
      <c r="N39" s="124"/>
      <c r="O39" s="124"/>
      <c r="P39" s="124"/>
      <c r="Q39" s="125"/>
    </row>
    <row r="40" spans="3:19" x14ac:dyDescent="0.5">
      <c r="C40" s="405"/>
      <c r="D40" s="406"/>
      <c r="E40" s="50" t="s">
        <v>47</v>
      </c>
      <c r="F40" s="124">
        <f t="shared" ref="F40" si="8">IFERROR(#REF!/F8*100000000,0)</f>
        <v>0</v>
      </c>
      <c r="G40" s="124">
        <f t="shared" ref="G40:K40" si="9">IFERROR(G24/F24-1,0)</f>
        <v>0</v>
      </c>
      <c r="H40" s="124">
        <f t="shared" si="9"/>
        <v>0</v>
      </c>
      <c r="I40" s="124">
        <f t="shared" si="9"/>
        <v>0</v>
      </c>
      <c r="J40" s="124">
        <f t="shared" si="9"/>
        <v>0</v>
      </c>
      <c r="K40" s="124">
        <f t="shared" si="9"/>
        <v>0</v>
      </c>
      <c r="L40" s="124"/>
      <c r="M40" s="124"/>
      <c r="N40" s="124"/>
      <c r="O40" s="124"/>
      <c r="P40" s="124"/>
      <c r="Q40" s="125"/>
    </row>
    <row r="41" spans="3:19" x14ac:dyDescent="0.5">
      <c r="C41" s="405"/>
      <c r="D41" s="406"/>
      <c r="E41" s="50" t="s">
        <v>48</v>
      </c>
      <c r="F41" s="126">
        <f t="shared" ref="F41" si="10">IFERROR(#REF!/F9*100000000,0)</f>
        <v>0</v>
      </c>
      <c r="G41" s="126">
        <f t="shared" ref="G41:K41" si="11">IFERROR(G25/F25-1,0)</f>
        <v>-4.5926797165980582E-2</v>
      </c>
      <c r="H41" s="126">
        <f t="shared" si="11"/>
        <v>-2.7004021250990662E-2</v>
      </c>
      <c r="I41" s="126">
        <f t="shared" si="11"/>
        <v>-2.8135589811658424E-2</v>
      </c>
      <c r="J41" s="126">
        <f t="shared" si="11"/>
        <v>-2.8318968639096109E-2</v>
      </c>
      <c r="K41" s="124">
        <f t="shared" si="11"/>
        <v>-2.6194735497061084E-2</v>
      </c>
      <c r="L41" s="124"/>
      <c r="M41" s="124"/>
      <c r="N41" s="124"/>
      <c r="O41" s="124"/>
      <c r="P41" s="124"/>
      <c r="Q41" s="125"/>
      <c r="S41" s="48" t="s">
        <v>90</v>
      </c>
    </row>
    <row r="42" spans="3:19" x14ac:dyDescent="0.5">
      <c r="C42" s="405"/>
      <c r="D42" s="406"/>
      <c r="E42" s="50" t="s">
        <v>49</v>
      </c>
      <c r="F42" s="124">
        <f t="shared" ref="F42" si="12">IFERROR(#REF!/F10*100000000,0)</f>
        <v>0</v>
      </c>
      <c r="G42" s="124">
        <f t="shared" ref="G42:K42" si="13">IFERROR(G26/F26-1,0)</f>
        <v>0</v>
      </c>
      <c r="H42" s="124">
        <f t="shared" si="13"/>
        <v>0</v>
      </c>
      <c r="I42" s="124">
        <f t="shared" si="13"/>
        <v>0</v>
      </c>
      <c r="J42" s="124">
        <f t="shared" si="13"/>
        <v>0</v>
      </c>
      <c r="K42" s="124">
        <f t="shared" si="13"/>
        <v>0</v>
      </c>
      <c r="L42" s="124"/>
      <c r="M42" s="124"/>
      <c r="N42" s="124"/>
      <c r="O42" s="124"/>
      <c r="P42" s="124"/>
      <c r="Q42" s="125"/>
    </row>
    <row r="43" spans="3:19" x14ac:dyDescent="0.5">
      <c r="C43" s="405"/>
      <c r="D43" s="406"/>
      <c r="E43" s="51" t="s">
        <v>50</v>
      </c>
      <c r="F43" s="128">
        <f t="shared" ref="F43" si="14">IFERROR(#REF!/F11*100000000,0)</f>
        <v>0</v>
      </c>
      <c r="G43" s="128">
        <f t="shared" ref="G43:K43" si="15">IFERROR(G27/F27-1,0)</f>
        <v>-9.3361489084984317E-3</v>
      </c>
      <c r="H43" s="128">
        <f t="shared" si="15"/>
        <v>-1.4921074994988626E-2</v>
      </c>
      <c r="I43" s="128">
        <f t="shared" si="15"/>
        <v>1.4421974595313358E-2</v>
      </c>
      <c r="J43" s="128">
        <f t="shared" si="15"/>
        <v>4.4922360599417566E-3</v>
      </c>
      <c r="K43" s="129">
        <f t="shared" si="15"/>
        <v>-1.2266056129652814E-2</v>
      </c>
      <c r="L43" s="129"/>
      <c r="M43" s="129"/>
      <c r="N43" s="129"/>
      <c r="O43" s="129"/>
      <c r="P43" s="129"/>
      <c r="Q43" s="130"/>
      <c r="S43" s="48" t="s">
        <v>80</v>
      </c>
    </row>
    <row r="44" spans="3:19" x14ac:dyDescent="0.5">
      <c r="C44" s="405"/>
      <c r="D44" s="406"/>
      <c r="E44" s="52" t="s">
        <v>51</v>
      </c>
      <c r="F44" s="131">
        <f t="shared" ref="F44" si="16">IFERROR(#REF!/F12*100000000,0)</f>
        <v>0</v>
      </c>
      <c r="G44" s="131">
        <f t="shared" ref="G44:K44" si="17">IFERROR(G28/F28-1,0)</f>
        <v>-1.0107033875989435E-2</v>
      </c>
      <c r="H44" s="131">
        <f t="shared" si="17"/>
        <v>2.6366645020459156E-3</v>
      </c>
      <c r="I44" s="131">
        <f t="shared" si="17"/>
        <v>-6.7108856808427708E-3</v>
      </c>
      <c r="J44" s="131">
        <f t="shared" si="17"/>
        <v>-2.474664152722128E-3</v>
      </c>
      <c r="K44" s="132">
        <f t="shared" si="17"/>
        <v>-9.4979326639101913E-3</v>
      </c>
      <c r="L44" s="132"/>
      <c r="M44" s="132"/>
      <c r="N44" s="132"/>
      <c r="O44" s="132"/>
      <c r="P44" s="132"/>
      <c r="Q44" s="133"/>
      <c r="S44" s="48" t="s">
        <v>81</v>
      </c>
    </row>
    <row r="45" spans="3:19" x14ac:dyDescent="0.5">
      <c r="C45" s="405"/>
      <c r="D45" s="406"/>
      <c r="E45" s="50" t="s">
        <v>94</v>
      </c>
      <c r="F45" s="126">
        <f t="shared" ref="F45" si="18">IFERROR(#REF!/F13*100000000,0)</f>
        <v>0</v>
      </c>
      <c r="G45" s="126">
        <f t="shared" ref="G45:K45" si="19">IFERROR(G29/F29-1,0)</f>
        <v>0</v>
      </c>
      <c r="H45" s="126">
        <f t="shared" si="19"/>
        <v>0</v>
      </c>
      <c r="I45" s="126">
        <f t="shared" si="19"/>
        <v>0</v>
      </c>
      <c r="J45" s="126">
        <f t="shared" si="19"/>
        <v>0</v>
      </c>
      <c r="K45" s="124">
        <f t="shared" si="19"/>
        <v>0</v>
      </c>
      <c r="L45" s="124"/>
      <c r="M45" s="124"/>
      <c r="N45" s="124"/>
      <c r="O45" s="124"/>
      <c r="P45" s="124"/>
      <c r="Q45" s="125"/>
      <c r="S45" s="48" t="s">
        <v>82</v>
      </c>
    </row>
    <row r="46" spans="3:19" x14ac:dyDescent="0.5">
      <c r="C46" s="407" t="s">
        <v>52</v>
      </c>
      <c r="D46" s="407"/>
      <c r="E46" s="408"/>
      <c r="F46" s="134">
        <f t="shared" ref="F46" si="20">IFERROR(#REF!/F14*100000000,0)</f>
        <v>0</v>
      </c>
      <c r="G46" s="134">
        <f t="shared" ref="G46:K46" si="21">IFERROR(G30/F30-1,0)</f>
        <v>-3.9901760215290016E-2</v>
      </c>
      <c r="H46" s="134">
        <f t="shared" si="21"/>
        <v>-3.2050010099980875E-2</v>
      </c>
      <c r="I46" s="134">
        <f t="shared" si="21"/>
        <v>-3.3057668086238001E-2</v>
      </c>
      <c r="J46" s="134">
        <f t="shared" si="21"/>
        <v>-3.4588924668339738E-2</v>
      </c>
      <c r="K46" s="134">
        <f t="shared" si="21"/>
        <v>-3.755133856149151E-2</v>
      </c>
      <c r="L46" s="134"/>
      <c r="M46" s="134"/>
      <c r="N46" s="134"/>
      <c r="O46" s="134"/>
      <c r="P46" s="134"/>
      <c r="Q46" s="135"/>
      <c r="S46" s="48" t="s">
        <v>83</v>
      </c>
    </row>
    <row r="47" spans="3:19" x14ac:dyDescent="0.5">
      <c r="C47" s="407" t="s">
        <v>53</v>
      </c>
      <c r="D47" s="407"/>
      <c r="E47" s="408"/>
      <c r="F47" s="134">
        <f t="shared" ref="F47" si="22">IFERROR(#REF!/F15*100000000,0)</f>
        <v>0</v>
      </c>
      <c r="G47" s="134">
        <f t="shared" ref="G47:K47" si="23">IFERROR(G31/F31-1,0)</f>
        <v>0.12400510533335241</v>
      </c>
      <c r="H47" s="134">
        <f t="shared" si="23"/>
        <v>5.064558932353469E-2</v>
      </c>
      <c r="I47" s="134">
        <f t="shared" si="23"/>
        <v>7.3554145541758986E-2</v>
      </c>
      <c r="J47" s="134">
        <f t="shared" si="23"/>
        <v>0.15403627643389184</v>
      </c>
      <c r="K47" s="134">
        <f t="shared" si="23"/>
        <v>5.8810844719766386E-2</v>
      </c>
      <c r="L47" s="134"/>
      <c r="M47" s="134"/>
      <c r="N47" s="134"/>
      <c r="O47" s="134"/>
      <c r="P47" s="134"/>
      <c r="Q47" s="135"/>
      <c r="S47" s="48" t="s">
        <v>83</v>
      </c>
    </row>
    <row r="48" spans="3:19" x14ac:dyDescent="0.5">
      <c r="C48" s="409" t="s">
        <v>54</v>
      </c>
      <c r="D48" s="409"/>
      <c r="E48" s="410"/>
      <c r="F48" s="136">
        <f t="shared" ref="F48" si="24">IFERROR(#REF!/F16*100000000,0)</f>
        <v>0</v>
      </c>
      <c r="G48" s="136">
        <f t="shared" ref="G48:K48" si="25">IFERROR(G32/F32-1,0)</f>
        <v>0</v>
      </c>
      <c r="H48" s="136">
        <f t="shared" si="25"/>
        <v>0</v>
      </c>
      <c r="I48" s="136">
        <f t="shared" si="25"/>
        <v>0</v>
      </c>
      <c r="J48" s="136">
        <f t="shared" si="25"/>
        <v>0</v>
      </c>
      <c r="K48" s="136">
        <f t="shared" si="25"/>
        <v>0</v>
      </c>
      <c r="L48" s="136"/>
      <c r="M48" s="136"/>
      <c r="N48" s="136"/>
      <c r="O48" s="136"/>
      <c r="P48" s="136"/>
      <c r="Q48" s="137"/>
      <c r="S48" s="48" t="s">
        <v>84</v>
      </c>
    </row>
    <row r="49" spans="3:19" x14ac:dyDescent="0.5">
      <c r="C49" s="411" t="s">
        <v>56</v>
      </c>
      <c r="D49" s="411"/>
      <c r="E49" s="412"/>
      <c r="F49" s="138">
        <f t="shared" ref="F49" si="26">IFERROR(F1/F17*100000000,0)</f>
        <v>2475415738.6470585</v>
      </c>
      <c r="G49" s="138">
        <f t="shared" ref="G49:K49" si="27">IFERROR(G33/F33-1,0)</f>
        <v>0</v>
      </c>
      <c r="H49" s="138">
        <f t="shared" si="27"/>
        <v>0</v>
      </c>
      <c r="I49" s="138">
        <f t="shared" si="27"/>
        <v>0</v>
      </c>
      <c r="J49" s="138">
        <f t="shared" si="27"/>
        <v>0</v>
      </c>
      <c r="K49" s="138">
        <f t="shared" si="27"/>
        <v>0</v>
      </c>
      <c r="L49" s="138"/>
      <c r="M49" s="138"/>
      <c r="N49" s="138"/>
      <c r="O49" s="138"/>
      <c r="P49" s="138"/>
      <c r="Q49" s="139"/>
      <c r="S49" s="48" t="s">
        <v>85</v>
      </c>
    </row>
    <row r="50" spans="3:19" x14ac:dyDescent="0.5"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3:19" x14ac:dyDescent="0.5">
      <c r="C51" s="413" t="s">
        <v>100</v>
      </c>
      <c r="D51" s="413"/>
      <c r="E51" s="413"/>
      <c r="F51" s="85" t="s">
        <v>57</v>
      </c>
      <c r="G51" s="85" t="s">
        <v>58</v>
      </c>
      <c r="H51" s="85" t="s">
        <v>59</v>
      </c>
      <c r="I51" s="85" t="s">
        <v>60</v>
      </c>
      <c r="J51" s="85" t="s">
        <v>61</v>
      </c>
      <c r="K51" s="85" t="s">
        <v>62</v>
      </c>
      <c r="L51" s="85" t="s">
        <v>63</v>
      </c>
      <c r="M51" s="85" t="s">
        <v>64</v>
      </c>
      <c r="N51" s="85" t="s">
        <v>65</v>
      </c>
      <c r="O51" s="85" t="s">
        <v>66</v>
      </c>
      <c r="P51" s="85" t="s">
        <v>67</v>
      </c>
      <c r="Q51" s="85" t="s">
        <v>68</v>
      </c>
    </row>
    <row r="52" spans="3:19" x14ac:dyDescent="0.5">
      <c r="C52" s="403" t="s">
        <v>99</v>
      </c>
      <c r="D52" s="404"/>
      <c r="E52" s="49" t="s">
        <v>43</v>
      </c>
      <c r="F52" s="104"/>
      <c r="G52" s="104"/>
      <c r="H52" s="104"/>
      <c r="I52" s="104"/>
      <c r="J52" s="104"/>
      <c r="K52" s="104"/>
      <c r="L52" s="104">
        <f t="shared" ref="L52:Q52" si="28">SUM(L53:L61)</f>
        <v>0</v>
      </c>
      <c r="M52" s="104">
        <f t="shared" si="28"/>
        <v>0</v>
      </c>
      <c r="N52" s="104">
        <f t="shared" si="28"/>
        <v>0</v>
      </c>
      <c r="O52" s="104">
        <f t="shared" si="28"/>
        <v>0</v>
      </c>
      <c r="P52" s="104">
        <f t="shared" si="28"/>
        <v>0</v>
      </c>
      <c r="Q52" s="105">
        <f t="shared" si="28"/>
        <v>0</v>
      </c>
    </row>
    <row r="53" spans="3:19" x14ac:dyDescent="0.5">
      <c r="C53" s="405"/>
      <c r="D53" s="406"/>
      <c r="E53" s="50" t="s">
        <v>44</v>
      </c>
      <c r="F53" s="106">
        <f>IFERROR(F5/F21*100000000,0)</f>
        <v>4466.7924533474425</v>
      </c>
      <c r="G53" s="106">
        <f t="shared" ref="G53:K53" si="29">IFERROR(G5/G21*100000000,0)</f>
        <v>4508.7518202415313</v>
      </c>
      <c r="H53" s="106">
        <f t="shared" si="29"/>
        <v>3867.4301105139339</v>
      </c>
      <c r="I53" s="106">
        <f t="shared" si="29"/>
        <v>4074.0489811925036</v>
      </c>
      <c r="J53" s="106">
        <f t="shared" si="29"/>
        <v>3895.5172351114629</v>
      </c>
      <c r="K53" s="106">
        <f t="shared" si="29"/>
        <v>0</v>
      </c>
      <c r="L53" s="106"/>
      <c r="M53" s="106"/>
      <c r="N53" s="106"/>
      <c r="O53" s="106"/>
      <c r="P53" s="106"/>
      <c r="Q53" s="107"/>
      <c r="S53" s="48" t="s">
        <v>89</v>
      </c>
    </row>
    <row r="54" spans="3:19" x14ac:dyDescent="0.5">
      <c r="C54" s="405"/>
      <c r="D54" s="406"/>
      <c r="E54" s="50" t="s">
        <v>45</v>
      </c>
      <c r="F54" s="108">
        <f t="shared" ref="F54:K54" si="30">IFERROR(F6/F22*100000000,0)</f>
        <v>2713.2452629579466</v>
      </c>
      <c r="G54" s="108">
        <f t="shared" si="30"/>
        <v>2764.3397187409587</v>
      </c>
      <c r="H54" s="108">
        <f t="shared" si="30"/>
        <v>2781.7869466492607</v>
      </c>
      <c r="I54" s="108">
        <f t="shared" si="30"/>
        <v>2672.4773581050595</v>
      </c>
      <c r="J54" s="108">
        <f t="shared" si="30"/>
        <v>2595.9846326464844</v>
      </c>
      <c r="K54" s="106">
        <f t="shared" si="30"/>
        <v>0</v>
      </c>
      <c r="L54" s="106"/>
      <c r="M54" s="106"/>
      <c r="N54" s="106"/>
      <c r="O54" s="106"/>
      <c r="P54" s="106"/>
      <c r="Q54" s="107"/>
      <c r="S54" s="48" t="s">
        <v>79</v>
      </c>
    </row>
    <row r="55" spans="3:19" x14ac:dyDescent="0.5">
      <c r="C55" s="405"/>
      <c r="D55" s="406"/>
      <c r="E55" s="50" t="s">
        <v>46</v>
      </c>
      <c r="F55" s="109">
        <f t="shared" ref="F55:K55" si="31">IFERROR(F7/F23*100000000,0)</f>
        <v>1759.8935049499603</v>
      </c>
      <c r="G55" s="109">
        <f t="shared" si="31"/>
        <v>1835.4788052890563</v>
      </c>
      <c r="H55" s="109">
        <f t="shared" si="31"/>
        <v>1787.7692403243839</v>
      </c>
      <c r="I55" s="109">
        <f t="shared" si="31"/>
        <v>1754.4532289798044</v>
      </c>
      <c r="J55" s="109">
        <f t="shared" si="31"/>
        <v>1724.9030800245159</v>
      </c>
      <c r="K55" s="106">
        <f t="shared" si="31"/>
        <v>0</v>
      </c>
      <c r="L55" s="106"/>
      <c r="M55" s="106"/>
      <c r="N55" s="106"/>
      <c r="O55" s="106"/>
      <c r="P55" s="106"/>
      <c r="Q55" s="107"/>
    </row>
    <row r="56" spans="3:19" x14ac:dyDescent="0.5">
      <c r="C56" s="405"/>
      <c r="D56" s="406"/>
      <c r="E56" s="50" t="s">
        <v>47</v>
      </c>
      <c r="F56" s="106">
        <f t="shared" ref="F56:K56" si="32">IFERROR(F8/F24*100000000,0)</f>
        <v>0</v>
      </c>
      <c r="G56" s="106">
        <f t="shared" si="32"/>
        <v>0</v>
      </c>
      <c r="H56" s="106">
        <f t="shared" si="32"/>
        <v>0</v>
      </c>
      <c r="I56" s="106">
        <f t="shared" si="32"/>
        <v>0</v>
      </c>
      <c r="J56" s="106">
        <f t="shared" si="32"/>
        <v>0</v>
      </c>
      <c r="K56" s="106">
        <f t="shared" si="32"/>
        <v>0</v>
      </c>
      <c r="L56" s="106"/>
      <c r="M56" s="106"/>
      <c r="N56" s="106"/>
      <c r="O56" s="106"/>
      <c r="P56" s="106"/>
      <c r="Q56" s="107"/>
    </row>
    <row r="57" spans="3:19" x14ac:dyDescent="0.5">
      <c r="C57" s="405"/>
      <c r="D57" s="406"/>
      <c r="E57" s="50" t="s">
        <v>48</v>
      </c>
      <c r="F57" s="108">
        <f t="shared" ref="F57:K57" si="33">IFERROR(F9/F25*100000000,0)</f>
        <v>3570.5691715101111</v>
      </c>
      <c r="G57" s="108">
        <f t="shared" si="33"/>
        <v>3787.2999598853307</v>
      </c>
      <c r="H57" s="108">
        <f t="shared" si="33"/>
        <v>3651.2228825404491</v>
      </c>
      <c r="I57" s="108">
        <f t="shared" si="33"/>
        <v>3595.9356528167996</v>
      </c>
      <c r="J57" s="108">
        <f t="shared" si="33"/>
        <v>3548.9871378621383</v>
      </c>
      <c r="K57" s="106">
        <f t="shared" si="33"/>
        <v>0</v>
      </c>
      <c r="L57" s="106"/>
      <c r="M57" s="106"/>
      <c r="N57" s="106"/>
      <c r="O57" s="106"/>
      <c r="P57" s="106"/>
      <c r="Q57" s="107"/>
      <c r="S57" s="48" t="s">
        <v>90</v>
      </c>
    </row>
    <row r="58" spans="3:19" x14ac:dyDescent="0.5">
      <c r="C58" s="405"/>
      <c r="D58" s="406"/>
      <c r="E58" s="50" t="s">
        <v>49</v>
      </c>
      <c r="F58" s="106">
        <f t="shared" ref="F58:K58" si="34">IFERROR(F10/F26*100000000,0)</f>
        <v>0</v>
      </c>
      <c r="G58" s="106">
        <f t="shared" si="34"/>
        <v>0</v>
      </c>
      <c r="H58" s="106">
        <f t="shared" si="34"/>
        <v>0</v>
      </c>
      <c r="I58" s="106">
        <f t="shared" si="34"/>
        <v>0</v>
      </c>
      <c r="J58" s="106">
        <f t="shared" si="34"/>
        <v>0</v>
      </c>
      <c r="K58" s="106">
        <f t="shared" si="34"/>
        <v>0</v>
      </c>
      <c r="L58" s="106"/>
      <c r="M58" s="106"/>
      <c r="N58" s="106"/>
      <c r="O58" s="106"/>
      <c r="P58" s="106"/>
      <c r="Q58" s="107"/>
    </row>
    <row r="59" spans="3:19" x14ac:dyDescent="0.5">
      <c r="C59" s="405"/>
      <c r="D59" s="406"/>
      <c r="E59" s="51" t="s">
        <v>50</v>
      </c>
      <c r="F59" s="110">
        <f t="shared" ref="F59:K59" si="35">IFERROR(F11/F27*100000000,0)</f>
        <v>551.79644230634767</v>
      </c>
      <c r="G59" s="110">
        <f t="shared" si="35"/>
        <v>569.05003430294437</v>
      </c>
      <c r="H59" s="110">
        <f t="shared" si="35"/>
        <v>562.948743522722</v>
      </c>
      <c r="I59" s="110">
        <f t="shared" si="35"/>
        <v>575.27219560156414</v>
      </c>
      <c r="J59" s="110">
        <f t="shared" si="35"/>
        <v>601.48087384047665</v>
      </c>
      <c r="K59" s="111">
        <f t="shared" si="35"/>
        <v>0</v>
      </c>
      <c r="L59" s="111"/>
      <c r="M59" s="111"/>
      <c r="N59" s="111"/>
      <c r="O59" s="111"/>
      <c r="P59" s="111"/>
      <c r="Q59" s="112"/>
      <c r="S59" s="48" t="s">
        <v>80</v>
      </c>
    </row>
    <row r="60" spans="3:19" x14ac:dyDescent="0.5">
      <c r="C60" s="405"/>
      <c r="D60" s="406"/>
      <c r="E60" s="52" t="s">
        <v>51</v>
      </c>
      <c r="F60" s="113">
        <f t="shared" ref="F60:K60" si="36">IFERROR(F12/F28*100000000,0)</f>
        <v>1920.7236791152279</v>
      </c>
      <c r="G60" s="113">
        <f t="shared" si="36"/>
        <v>2127.7482415716713</v>
      </c>
      <c r="H60" s="113">
        <f t="shared" si="36"/>
        <v>1973.8868513460786</v>
      </c>
      <c r="I60" s="113">
        <f t="shared" si="36"/>
        <v>1976.5888915075811</v>
      </c>
      <c r="J60" s="113">
        <f t="shared" si="36"/>
        <v>1869.26713920063</v>
      </c>
      <c r="K60" s="114">
        <f t="shared" si="36"/>
        <v>0</v>
      </c>
      <c r="L60" s="114"/>
      <c r="M60" s="114"/>
      <c r="N60" s="114"/>
      <c r="O60" s="114"/>
      <c r="P60" s="114"/>
      <c r="Q60" s="115"/>
      <c r="S60" s="48" t="s">
        <v>81</v>
      </c>
    </row>
    <row r="61" spans="3:19" x14ac:dyDescent="0.5">
      <c r="C61" s="405"/>
      <c r="D61" s="406"/>
      <c r="E61" s="50" t="s">
        <v>94</v>
      </c>
      <c r="F61" s="108">
        <f t="shared" ref="F61:K61" si="37">IFERROR(F13/F29*100000000,0)</f>
        <v>0</v>
      </c>
      <c r="G61" s="108">
        <f t="shared" si="37"/>
        <v>0</v>
      </c>
      <c r="H61" s="108">
        <f t="shared" si="37"/>
        <v>0</v>
      </c>
      <c r="I61" s="108">
        <f t="shared" si="37"/>
        <v>0</v>
      </c>
      <c r="J61" s="108">
        <f t="shared" si="37"/>
        <v>0</v>
      </c>
      <c r="K61" s="106">
        <f t="shared" si="37"/>
        <v>0</v>
      </c>
      <c r="L61" s="106"/>
      <c r="M61" s="106"/>
      <c r="N61" s="106"/>
      <c r="O61" s="106"/>
      <c r="P61" s="106"/>
      <c r="Q61" s="107"/>
      <c r="S61" s="48" t="s">
        <v>82</v>
      </c>
    </row>
    <row r="62" spans="3:19" x14ac:dyDescent="0.5">
      <c r="C62" s="407" t="s">
        <v>52</v>
      </c>
      <c r="D62" s="407"/>
      <c r="E62" s="408"/>
      <c r="F62" s="116">
        <f t="shared" ref="F62:K62" si="38">IFERROR(F14/F30*100000000,0)</f>
        <v>710.53932337434082</v>
      </c>
      <c r="G62" s="116">
        <f t="shared" si="38"/>
        <v>740.12996554630809</v>
      </c>
      <c r="H62" s="116">
        <f t="shared" si="38"/>
        <v>713.45828034984379</v>
      </c>
      <c r="I62" s="116">
        <f t="shared" si="38"/>
        <v>702.3291519645071</v>
      </c>
      <c r="J62" s="116">
        <f t="shared" si="38"/>
        <v>696.08245499939915</v>
      </c>
      <c r="K62" s="116">
        <f t="shared" si="38"/>
        <v>0</v>
      </c>
      <c r="L62" s="116"/>
      <c r="M62" s="116"/>
      <c r="N62" s="116"/>
      <c r="O62" s="116"/>
      <c r="P62" s="116"/>
      <c r="Q62" s="117"/>
      <c r="S62" s="48" t="s">
        <v>83</v>
      </c>
    </row>
    <row r="63" spans="3:19" x14ac:dyDescent="0.5">
      <c r="C63" s="407" t="s">
        <v>53</v>
      </c>
      <c r="D63" s="407"/>
      <c r="E63" s="408"/>
      <c r="F63" s="116">
        <f t="shared" ref="F63:K63" si="39">IFERROR(F15/F31*100000000,0)</f>
        <v>731.38202521116864</v>
      </c>
      <c r="G63" s="116">
        <f t="shared" si="39"/>
        <v>708.10686672280485</v>
      </c>
      <c r="H63" s="116">
        <f t="shared" si="39"/>
        <v>728.61956950727097</v>
      </c>
      <c r="I63" s="116">
        <f t="shared" si="39"/>
        <v>710.76698070182556</v>
      </c>
      <c r="J63" s="116">
        <f t="shared" si="39"/>
        <v>649.10980430245877</v>
      </c>
      <c r="K63" s="116">
        <f t="shared" si="39"/>
        <v>0</v>
      </c>
      <c r="L63" s="116"/>
      <c r="M63" s="116"/>
      <c r="N63" s="116"/>
      <c r="O63" s="116"/>
      <c r="P63" s="116"/>
      <c r="Q63" s="117"/>
      <c r="S63" s="48" t="s">
        <v>83</v>
      </c>
    </row>
    <row r="64" spans="3:19" x14ac:dyDescent="0.5">
      <c r="C64" s="409" t="s">
        <v>54</v>
      </c>
      <c r="D64" s="409"/>
      <c r="E64" s="410"/>
      <c r="F64" s="118">
        <f t="shared" ref="F64:K64" si="40">IFERROR(F16/F32*100000000,0)</f>
        <v>0</v>
      </c>
      <c r="G64" s="118">
        <f t="shared" si="40"/>
        <v>0</v>
      </c>
      <c r="H64" s="118">
        <f t="shared" si="40"/>
        <v>0</v>
      </c>
      <c r="I64" s="118">
        <f t="shared" si="40"/>
        <v>0</v>
      </c>
      <c r="J64" s="118">
        <f t="shared" si="40"/>
        <v>0</v>
      </c>
      <c r="K64" s="118">
        <f t="shared" si="40"/>
        <v>0</v>
      </c>
      <c r="L64" s="118"/>
      <c r="M64" s="118"/>
      <c r="N64" s="118"/>
      <c r="O64" s="118"/>
      <c r="P64" s="118"/>
      <c r="Q64" s="119"/>
      <c r="S64" s="48" t="s">
        <v>84</v>
      </c>
    </row>
    <row r="65" spans="3:19" x14ac:dyDescent="0.5">
      <c r="C65" s="411" t="s">
        <v>56</v>
      </c>
      <c r="D65" s="411"/>
      <c r="E65" s="412"/>
      <c r="F65" s="120">
        <f t="shared" ref="F65:K65" si="41">IFERROR(F17/F33*100000000,0)</f>
        <v>0</v>
      </c>
      <c r="G65" s="120">
        <f t="shared" si="41"/>
        <v>0</v>
      </c>
      <c r="H65" s="120">
        <f t="shared" si="41"/>
        <v>0</v>
      </c>
      <c r="I65" s="120">
        <f t="shared" si="41"/>
        <v>0</v>
      </c>
      <c r="J65" s="120">
        <f t="shared" si="41"/>
        <v>0</v>
      </c>
      <c r="K65" s="120">
        <f t="shared" si="41"/>
        <v>0</v>
      </c>
      <c r="L65" s="120"/>
      <c r="M65" s="120"/>
      <c r="N65" s="120"/>
      <c r="O65" s="120"/>
      <c r="P65" s="120"/>
      <c r="Q65" s="121"/>
      <c r="S65" s="48" t="s">
        <v>85</v>
      </c>
    </row>
    <row r="66" spans="3:19" x14ac:dyDescent="0.5"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3:19" x14ac:dyDescent="0.5">
      <c r="C67" s="402" t="s">
        <v>71</v>
      </c>
      <c r="D67" s="402"/>
      <c r="E67" s="402"/>
      <c r="F67" s="72" t="s">
        <v>57</v>
      </c>
      <c r="G67" s="72" t="s">
        <v>58</v>
      </c>
      <c r="H67" s="72" t="s">
        <v>59</v>
      </c>
      <c r="I67" s="72" t="s">
        <v>60</v>
      </c>
      <c r="J67" s="72" t="s">
        <v>61</v>
      </c>
      <c r="K67" s="72" t="s">
        <v>62</v>
      </c>
      <c r="L67" s="72" t="s">
        <v>63</v>
      </c>
      <c r="M67" s="72" t="s">
        <v>64</v>
      </c>
      <c r="N67" s="72" t="s">
        <v>65</v>
      </c>
      <c r="O67" s="72" t="s">
        <v>66</v>
      </c>
      <c r="P67" s="72" t="s">
        <v>67</v>
      </c>
      <c r="Q67" s="73" t="s">
        <v>68</v>
      </c>
    </row>
    <row r="68" spans="3:19" x14ac:dyDescent="0.5">
      <c r="C68" s="396" t="s">
        <v>42</v>
      </c>
      <c r="D68" s="397"/>
      <c r="E68" s="67" t="s">
        <v>55</v>
      </c>
      <c r="F68" s="53">
        <f>SUM(F69:F77)</f>
        <v>6.5771840090909084</v>
      </c>
      <c r="G68" s="53">
        <f>SUM(G69:G77)</f>
        <v>7.1815229</v>
      </c>
      <c r="H68" s="53">
        <f>SUM(H69:H77)</f>
        <v>7.5357089163636353</v>
      </c>
      <c r="I68" s="53">
        <f>SUM(I69:I77)</f>
        <v>6.590360009090908</v>
      </c>
      <c r="J68" s="53">
        <f>SUM(J69:J77)</f>
        <v>6.4865683090909094</v>
      </c>
      <c r="K68" s="53">
        <f t="shared" ref="K68:Q68" si="42">SUM(K69:K77)</f>
        <v>0</v>
      </c>
      <c r="L68" s="53">
        <f t="shared" si="42"/>
        <v>0</v>
      </c>
      <c r="M68" s="53">
        <f t="shared" si="42"/>
        <v>0</v>
      </c>
      <c r="N68" s="53">
        <f t="shared" si="42"/>
        <v>0</v>
      </c>
      <c r="O68" s="53">
        <f t="shared" si="42"/>
        <v>0</v>
      </c>
      <c r="P68" s="53">
        <f t="shared" si="42"/>
        <v>0</v>
      </c>
      <c r="Q68" s="54">
        <f t="shared" si="42"/>
        <v>0</v>
      </c>
    </row>
    <row r="69" spans="3:19" x14ac:dyDescent="0.5">
      <c r="C69" s="398"/>
      <c r="D69" s="399"/>
      <c r="E69" s="74" t="s">
        <v>72</v>
      </c>
      <c r="F69" s="57">
        <f>'관리수수료 트렌드 정리'!$AE87</f>
        <v>1.997533909090909</v>
      </c>
      <c r="G69" s="57">
        <f>'관리수수료 트렌드 정리'!$AE88</f>
        <v>2.0294241181818182</v>
      </c>
      <c r="H69" s="57">
        <f>'관리수수료 트렌드 정리'!$AE89</f>
        <v>2.2323665300000002</v>
      </c>
      <c r="I69" s="57">
        <f>'관리수수료 트렌드 정리'!$AE90</f>
        <v>1.8044475454545452</v>
      </c>
      <c r="J69" s="57">
        <f>'관리수수료 트렌드 정리'!$AE91</f>
        <v>1.7026086363636364</v>
      </c>
      <c r="K69" s="57"/>
      <c r="L69" s="57"/>
      <c r="M69" s="57"/>
      <c r="N69" s="57"/>
      <c r="O69" s="57"/>
      <c r="P69" s="57"/>
      <c r="Q69" s="58"/>
      <c r="S69" s="48" t="s">
        <v>86</v>
      </c>
    </row>
    <row r="70" spans="3:19" x14ac:dyDescent="0.5">
      <c r="C70" s="398"/>
      <c r="D70" s="399"/>
      <c r="E70" s="74" t="s">
        <v>73</v>
      </c>
      <c r="F70" s="81">
        <f>'관리수수료 트렌드 정리'!$U87</f>
        <v>3.4875360999999998</v>
      </c>
      <c r="G70" s="81">
        <f>'관리수수료 트렌드 정리'!$U88</f>
        <v>3.8872113545454545</v>
      </c>
      <c r="H70" s="81">
        <f>'관리수수료 트렌드 정리'!$U89</f>
        <v>4.1244590727272721</v>
      </c>
      <c r="I70" s="81">
        <f>'관리수수료 트렌드 정리'!$U90</f>
        <v>3.6559633545454542</v>
      </c>
      <c r="J70" s="81">
        <f>'관리수수료 트렌드 정리'!$U91</f>
        <v>3.6748937363636363</v>
      </c>
      <c r="K70" s="55"/>
      <c r="L70" s="55"/>
      <c r="M70" s="55"/>
      <c r="N70" s="55"/>
      <c r="O70" s="55"/>
      <c r="P70" s="55"/>
      <c r="Q70" s="56"/>
      <c r="S70" s="48" t="s">
        <v>87</v>
      </c>
    </row>
    <row r="71" spans="3:19" x14ac:dyDescent="0.5">
      <c r="C71" s="398"/>
      <c r="D71" s="399"/>
      <c r="E71" s="74" t="s">
        <v>46</v>
      </c>
      <c r="F71" s="81">
        <f>'관리수수료 트렌드 정리'!$T87</f>
        <v>0.73715763636363629</v>
      </c>
      <c r="G71" s="81">
        <f>'관리수수료 트렌드 정리'!$T88</f>
        <v>0.8785777272727272</v>
      </c>
      <c r="H71" s="81">
        <f>'관리수수료 트렌드 정리'!$T89</f>
        <v>0.81444236363636358</v>
      </c>
      <c r="I71" s="81">
        <f>'관리수수료 트렌드 정리'!$T90</f>
        <v>0.79583690909090898</v>
      </c>
      <c r="J71" s="81">
        <f>'관리수수료 트렌드 정리'!$T91</f>
        <v>0.79464063636363624</v>
      </c>
      <c r="K71" s="55"/>
      <c r="L71" s="55"/>
      <c r="M71" s="55"/>
      <c r="N71" s="55"/>
      <c r="O71" s="55"/>
      <c r="P71" s="55"/>
      <c r="Q71" s="56"/>
      <c r="S71" s="48" t="s">
        <v>91</v>
      </c>
    </row>
    <row r="72" spans="3:19" x14ac:dyDescent="0.5">
      <c r="C72" s="398"/>
      <c r="D72" s="399"/>
      <c r="E72" s="74" t="s">
        <v>74</v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60"/>
    </row>
    <row r="73" spans="3:19" x14ac:dyDescent="0.5">
      <c r="C73" s="398"/>
      <c r="D73" s="399"/>
      <c r="E73" s="68" t="s">
        <v>75</v>
      </c>
      <c r="F73" s="81">
        <f>'관리수수료 트렌드 정리'!$AK87</f>
        <v>0.35495636363636357</v>
      </c>
      <c r="G73" s="81">
        <f>'관리수수료 트렌드 정리'!$AK88</f>
        <v>0.38630969999999998</v>
      </c>
      <c r="H73" s="81">
        <f>'관리수수료 트렌드 정리'!$AK89</f>
        <v>0.36444094999999999</v>
      </c>
      <c r="I73" s="81">
        <f>'관리수수료 트렌드 정리'!$AK90</f>
        <v>0.33411220000000003</v>
      </c>
      <c r="J73" s="81">
        <f>'관리수수료 트렌드 정리'!$AK91</f>
        <v>0.31442530000000002</v>
      </c>
      <c r="K73" s="55"/>
      <c r="L73" s="55"/>
      <c r="M73" s="55"/>
      <c r="N73" s="55"/>
      <c r="O73" s="55"/>
      <c r="P73" s="55"/>
      <c r="Q73" s="56"/>
      <c r="S73" s="48" t="s">
        <v>88</v>
      </c>
    </row>
    <row r="74" spans="3:19" x14ac:dyDescent="0.5">
      <c r="C74" s="398"/>
      <c r="D74" s="399"/>
      <c r="E74" s="69" t="s">
        <v>78</v>
      </c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60"/>
    </row>
    <row r="75" spans="3:19" x14ac:dyDescent="0.5">
      <c r="C75" s="398"/>
      <c r="D75" s="399"/>
      <c r="E75" s="70" t="s">
        <v>76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6"/>
    </row>
    <row r="76" spans="3:19" x14ac:dyDescent="0.5">
      <c r="C76" s="398"/>
      <c r="D76" s="399"/>
      <c r="E76" s="74" t="s">
        <v>51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6"/>
    </row>
    <row r="77" spans="3:19" x14ac:dyDescent="0.5">
      <c r="C77" s="400"/>
      <c r="D77" s="401"/>
      <c r="E77" s="71" t="s">
        <v>77</v>
      </c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60"/>
    </row>
    <row r="79" spans="3:19" x14ac:dyDescent="0.5">
      <c r="F79" s="79">
        <f>F4+F68+F14+F15+F16+F17</f>
        <v>49.908212999953861</v>
      </c>
      <c r="G79" s="79">
        <f t="shared" ref="G79:Q79" si="43">G4+G68+G14+G15+G16+G17</f>
        <v>52.986552610000018</v>
      </c>
      <c r="H79" s="79">
        <f t="shared" si="43"/>
        <v>49.287110814545436</v>
      </c>
      <c r="I79" s="79">
        <f t="shared" si="43"/>
        <v>56.568699022727301</v>
      </c>
      <c r="J79" s="79">
        <f t="shared" si="43"/>
        <v>46.256134682727279</v>
      </c>
      <c r="K79" s="79">
        <f t="shared" si="43"/>
        <v>0</v>
      </c>
      <c r="L79" s="79">
        <f t="shared" si="43"/>
        <v>0</v>
      </c>
      <c r="M79" s="79">
        <f t="shared" si="43"/>
        <v>0</v>
      </c>
      <c r="N79" s="79">
        <f t="shared" si="43"/>
        <v>0</v>
      </c>
      <c r="O79" s="79">
        <f t="shared" si="43"/>
        <v>0</v>
      </c>
      <c r="P79" s="79">
        <f t="shared" si="43"/>
        <v>0</v>
      </c>
      <c r="Q79" s="79">
        <f t="shared" si="43"/>
        <v>0</v>
      </c>
    </row>
  </sheetData>
  <mergeCells count="26">
    <mergeCell ref="C3:E3"/>
    <mergeCell ref="C4:D13"/>
    <mergeCell ref="C14:E14"/>
    <mergeCell ref="C15:E15"/>
    <mergeCell ref="C16:E16"/>
    <mergeCell ref="C46:E46"/>
    <mergeCell ref="C47:E47"/>
    <mergeCell ref="C48:E48"/>
    <mergeCell ref="C49:E49"/>
    <mergeCell ref="C17:E17"/>
    <mergeCell ref="C67:E67"/>
    <mergeCell ref="C68:D77"/>
    <mergeCell ref="C64:E64"/>
    <mergeCell ref="C65:E65"/>
    <mergeCell ref="C19:E19"/>
    <mergeCell ref="C20:D29"/>
    <mergeCell ref="C30:E30"/>
    <mergeCell ref="C31:E31"/>
    <mergeCell ref="C32:E32"/>
    <mergeCell ref="C33:E33"/>
    <mergeCell ref="C51:E51"/>
    <mergeCell ref="C52:D61"/>
    <mergeCell ref="C62:E62"/>
    <mergeCell ref="C63:E63"/>
    <mergeCell ref="C35:E35"/>
    <mergeCell ref="C36:D45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8F3D-0980-44B2-A4D2-D11A67B0E310}">
  <sheetPr>
    <tabColor theme="1"/>
  </sheetPr>
  <dimension ref="C1:S79"/>
  <sheetViews>
    <sheetView showGridLines="0" topLeftCell="A49" workbookViewId="0">
      <selection activeCell="B28" sqref="B20:R61"/>
    </sheetView>
  </sheetViews>
  <sheetFormatPr defaultRowHeight="17.5" x14ac:dyDescent="0.5"/>
  <cols>
    <col min="1" max="2" width="8.7265625" style="48"/>
    <col min="3" max="3" width="13.08984375" style="48" customWidth="1"/>
    <col min="4" max="4" width="6.1796875" style="48" customWidth="1"/>
    <col min="5" max="5" width="23.7265625" style="48" bestFit="1" customWidth="1"/>
    <col min="6" max="6" width="9.08984375" style="48" customWidth="1"/>
    <col min="7" max="16384" width="8.7265625" style="48"/>
  </cols>
  <sheetData>
    <row r="1" spans="3:19" x14ac:dyDescent="0.5">
      <c r="F1" s="48">
        <v>15</v>
      </c>
      <c r="G1" s="48">
        <v>16</v>
      </c>
    </row>
    <row r="2" spans="3:19" x14ac:dyDescent="0.5">
      <c r="C2" s="80" t="s">
        <v>69</v>
      </c>
    </row>
    <row r="3" spans="3:19" x14ac:dyDescent="0.5">
      <c r="C3" s="395" t="s">
        <v>96</v>
      </c>
      <c r="D3" s="395"/>
      <c r="E3" s="395"/>
      <c r="F3" s="75" t="s">
        <v>57</v>
      </c>
      <c r="G3" s="75" t="s">
        <v>58</v>
      </c>
      <c r="H3" s="75" t="s">
        <v>59</v>
      </c>
      <c r="I3" s="75" t="s">
        <v>60</v>
      </c>
      <c r="J3" s="75" t="s">
        <v>61</v>
      </c>
      <c r="K3" s="75" t="s">
        <v>62</v>
      </c>
      <c r="L3" s="75" t="s">
        <v>63</v>
      </c>
      <c r="M3" s="75" t="s">
        <v>64</v>
      </c>
      <c r="N3" s="75" t="s">
        <v>65</v>
      </c>
      <c r="O3" s="75" t="s">
        <v>66</v>
      </c>
      <c r="P3" s="75" t="s">
        <v>67</v>
      </c>
      <c r="Q3" s="75" t="s">
        <v>68</v>
      </c>
    </row>
    <row r="4" spans="3:19" x14ac:dyDescent="0.5">
      <c r="C4" s="403" t="s">
        <v>98</v>
      </c>
      <c r="D4" s="404"/>
      <c r="E4" s="49" t="s">
        <v>43</v>
      </c>
      <c r="F4" s="53">
        <f>SUM(F5:F13)</f>
        <v>29.665070170862954</v>
      </c>
      <c r="G4" s="53">
        <f>SUM(G5:G13)</f>
        <v>31.917042513636385</v>
      </c>
      <c r="H4" s="53">
        <f>SUM(H5:H13)</f>
        <v>28.630084170909068</v>
      </c>
      <c r="I4" s="53">
        <f>SUM(I5:I13)</f>
        <v>36.856612645454575</v>
      </c>
      <c r="J4" s="53">
        <f>SUM(J5:J13)</f>
        <v>26.6059893709091</v>
      </c>
      <c r="K4" s="53">
        <f t="shared" ref="K4:Q4" si="0">SUM(K5:K13)</f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3">
        <f t="shared" si="0"/>
        <v>0</v>
      </c>
      <c r="Q4" s="54">
        <f t="shared" si="0"/>
        <v>0</v>
      </c>
    </row>
    <row r="5" spans="3:19" x14ac:dyDescent="0.5">
      <c r="C5" s="405"/>
      <c r="D5" s="406"/>
      <c r="E5" s="50" t="s">
        <v>44</v>
      </c>
      <c r="F5" s="55">
        <f>'관리수수료 트렌드 정리'!$C87-'관리수수료 트렌드 정리'!$AE87-'관리수수료 트렌드 정리'!$AG87</f>
        <v>2.962466090909091</v>
      </c>
      <c r="G5" s="55">
        <f>'관리수수료 트렌드 정리'!$C88-'관리수수료 트렌드 정리'!$AE88-'관리수수료 트렌드 정리'!$AG88</f>
        <v>2.9133299886490658</v>
      </c>
      <c r="H5" s="55">
        <f>'관리수수료 트렌드 정리'!$C89-'관리수수료 트렌드 정리'!$AE89-'관리수수료 트렌드 정리'!$AG89</f>
        <v>2.4573264179194485</v>
      </c>
      <c r="I5" s="55">
        <f>'관리수수료 트렌드 정리'!$C90-'관리수수료 트렌드 정리'!$AE90-'관리수수료 트렌드 정리'!$AG90</f>
        <v>2.5262770327476596</v>
      </c>
      <c r="J5" s="55">
        <f>'관리수수료 트렌드 정리'!$C91-'관리수수료 트렌드 정리'!$AE91-'관리수수료 트렌드 정리'!$AG91</f>
        <v>2.3802389409978062</v>
      </c>
      <c r="K5" s="55"/>
      <c r="L5" s="55"/>
      <c r="M5" s="55"/>
      <c r="N5" s="55"/>
      <c r="O5" s="55"/>
      <c r="P5" s="55"/>
      <c r="Q5" s="56"/>
      <c r="S5" s="48" t="s">
        <v>89</v>
      </c>
    </row>
    <row r="6" spans="3:19" x14ac:dyDescent="0.5">
      <c r="C6" s="405"/>
      <c r="D6" s="406"/>
      <c r="E6" s="50" t="s">
        <v>45</v>
      </c>
      <c r="F6" s="81">
        <f>'관리수수료 트렌드 정리'!$D87-'관리수수료 트렌드 정리'!$U87</f>
        <v>20.4028175363175</v>
      </c>
      <c r="G6" s="81">
        <f>'관리수수료 트렌드 정리'!$D88-'관리수수료 트렌드 정리'!$U88</f>
        <v>20.814095912260047</v>
      </c>
      <c r="H6" s="81">
        <f>'관리수수료 트렌드 정리'!$D89-'관리수수료 트렌드 정리'!$U89</f>
        <v>20.926437392080526</v>
      </c>
      <c r="I6" s="81">
        <f>'관리수수료 트렌드 정리'!$D90-'관리수수료 트렌드 정리'!$U90</f>
        <v>20.153445729979644</v>
      </c>
      <c r="J6" s="81">
        <f>'관리수수료 트렌드 정리'!$D91-'관리수수료 트렌드 정리'!$U91</f>
        <v>19.901025872638563</v>
      </c>
      <c r="K6" s="55"/>
      <c r="L6" s="55"/>
      <c r="M6" s="55"/>
      <c r="N6" s="55"/>
      <c r="O6" s="55"/>
      <c r="P6" s="55"/>
      <c r="Q6" s="56"/>
      <c r="S6" s="48" t="s">
        <v>79</v>
      </c>
    </row>
    <row r="7" spans="3:19" x14ac:dyDescent="0.5">
      <c r="C7" s="405"/>
      <c r="D7" s="406"/>
      <c r="E7" s="50" t="s">
        <v>46</v>
      </c>
      <c r="F7" s="83">
        <f>'관리수수료 트렌드 정리'!$F87-'관리수수료 트렌드 정리'!$T87</f>
        <v>0.47383372727272732</v>
      </c>
      <c r="G7" s="83">
        <f>'관리수수료 트렌드 정리'!$F88-'관리수수료 트렌드 정리'!$T88</f>
        <v>0.48559427272727274</v>
      </c>
      <c r="H7" s="83">
        <f>'관리수수료 트렌드 정리'!$F89-'관리수수료 트렌드 정리'!$T89</f>
        <v>0.45793709090909096</v>
      </c>
      <c r="I7" s="83">
        <f>'관리수수료 트렌드 정리'!$F90-'관리수수료 트렌드 정리'!$T90</f>
        <v>0.44099936363636361</v>
      </c>
      <c r="J7" s="83">
        <f>'관리수수료 트렌드 정리'!$F91-'관리수수료 트렌드 정리'!$T91</f>
        <v>0.42470563636363634</v>
      </c>
      <c r="K7" s="55"/>
      <c r="L7" s="55"/>
      <c r="M7" s="55"/>
      <c r="N7" s="55"/>
      <c r="O7" s="55"/>
      <c r="P7" s="55"/>
      <c r="Q7" s="56"/>
    </row>
    <row r="8" spans="3:19" x14ac:dyDescent="0.5">
      <c r="C8" s="405"/>
      <c r="D8" s="406"/>
      <c r="E8" s="50" t="s">
        <v>47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</row>
    <row r="9" spans="3:19" x14ac:dyDescent="0.5">
      <c r="C9" s="405"/>
      <c r="D9" s="406"/>
      <c r="E9" s="50" t="s">
        <v>48</v>
      </c>
      <c r="F9" s="81">
        <f>'관리수수료 트렌드 정리'!$E87-'관리수수료 트렌드 정리'!$AK87-'관리수수료 트렌드 정리'!$AM87</f>
        <v>3.8250436363636369</v>
      </c>
      <c r="G9" s="81">
        <f>'관리수수료 트렌드 정리'!$E88-'관리수수료 트렌드 정리'!$AK88-'관리수수료 트렌드 정리'!$AM88</f>
        <v>3.8708856699999998</v>
      </c>
      <c r="H9" s="81">
        <f>'관리수수료 트렌드 정리'!$E89-'관리수수료 트렌드 정리'!$AK89-'관리수수료 트렌드 정리'!$AM89</f>
        <v>3.6310316200000008</v>
      </c>
      <c r="I9" s="81">
        <f>'관리수수료 트렌드 정리'!$E90-'관리수수료 트렌드 정리'!$AK90-'관리수수료 트렌드 정리'!$AM90</f>
        <v>3.4754358490909087</v>
      </c>
      <c r="J9" s="81">
        <f>'관리수수료 트렌드 정리'!$E91-'관리수수료 트렌드 정리'!$AK91-'관리수수료 트렌드 정리'!$AM91</f>
        <v>3.3329248009090913</v>
      </c>
      <c r="K9" s="55"/>
      <c r="L9" s="55"/>
      <c r="M9" s="55"/>
      <c r="N9" s="55"/>
      <c r="O9" s="55"/>
      <c r="P9" s="55"/>
      <c r="Q9" s="56"/>
      <c r="S9" s="48" t="s">
        <v>90</v>
      </c>
    </row>
    <row r="10" spans="3:19" x14ac:dyDescent="0.5">
      <c r="C10" s="405"/>
      <c r="D10" s="406"/>
      <c r="E10" s="50" t="s">
        <v>49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6"/>
    </row>
    <row r="11" spans="3:19" x14ac:dyDescent="0.5">
      <c r="C11" s="405"/>
      <c r="D11" s="406"/>
      <c r="E11" s="51" t="s">
        <v>50</v>
      </c>
      <c r="F11" s="78">
        <f>'관리수수료 트렌드 정리'!$J87</f>
        <v>1.97286541</v>
      </c>
      <c r="G11" s="78">
        <f>'관리수수료 트렌드 정리'!$J88</f>
        <v>2.0155581499999999</v>
      </c>
      <c r="H11" s="78">
        <f>'관리수수료 트렌드 정리'!$J89</f>
        <v>1.96419572</v>
      </c>
      <c r="I11" s="78">
        <f>'관리수수료 트렌드 정리'!$J90</f>
        <v>2.0361414199999999</v>
      </c>
      <c r="J11" s="78">
        <f>'관리수수료 트렌드 정리'!$J91</f>
        <v>2.1384690100000001</v>
      </c>
      <c r="K11" s="57"/>
      <c r="L11" s="57"/>
      <c r="M11" s="57"/>
      <c r="N11" s="57"/>
      <c r="O11" s="57"/>
      <c r="P11" s="57"/>
      <c r="Q11" s="58"/>
      <c r="S11" s="48" t="s">
        <v>80</v>
      </c>
    </row>
    <row r="12" spans="3:19" x14ac:dyDescent="0.5">
      <c r="C12" s="405"/>
      <c r="D12" s="406"/>
      <c r="E12" s="52" t="s">
        <v>51</v>
      </c>
      <c r="F12" s="82">
        <f>'관리수수료 트렌드 정리'!$M87</f>
        <v>2.48</v>
      </c>
      <c r="G12" s="82">
        <f>'관리수수료 트렌드 정리'!$M88</f>
        <v>2.7195388600000001</v>
      </c>
      <c r="H12" s="82">
        <f>'관리수수료 트렌드 정리'!$M89</f>
        <v>2.5295359999999998</v>
      </c>
      <c r="I12" s="82">
        <f>'관리수수료 트렌드 정리'!$M90</f>
        <v>2.516</v>
      </c>
      <c r="J12" s="82">
        <f>'관리수수료 트렌드 정리'!$M91</f>
        <v>2.3735019500000001</v>
      </c>
      <c r="K12" s="59"/>
      <c r="L12" s="59"/>
      <c r="M12" s="59"/>
      <c r="N12" s="59"/>
      <c r="O12" s="59"/>
      <c r="P12" s="59"/>
      <c r="Q12" s="60"/>
      <c r="S12" s="48" t="s">
        <v>81</v>
      </c>
    </row>
    <row r="13" spans="3:19" x14ac:dyDescent="0.5">
      <c r="C13" s="405"/>
      <c r="D13" s="406"/>
      <c r="E13" s="50" t="s">
        <v>94</v>
      </c>
      <c r="F13" s="81">
        <f>'관리수수료 트렌드 정리'!$P87</f>
        <v>-2.45195623</v>
      </c>
      <c r="G13" s="81">
        <f>'관리수수료 트렌드 정리'!$P88</f>
        <v>-0.90196034000000003</v>
      </c>
      <c r="H13" s="81">
        <f>'관리수수료 트렌드 정리'!$P89</f>
        <v>-3.3363800700000001</v>
      </c>
      <c r="I13" s="81">
        <f>'관리수수료 트렌드 정리'!$P90</f>
        <v>5.7083132499999998</v>
      </c>
      <c r="J13" s="81">
        <f>'관리수수료 트렌드 정리'!$P91</f>
        <v>-3.9448768400000001</v>
      </c>
      <c r="K13" s="55"/>
      <c r="L13" s="55"/>
      <c r="M13" s="55"/>
      <c r="N13" s="55"/>
      <c r="O13" s="55"/>
      <c r="P13" s="55"/>
      <c r="Q13" s="56"/>
      <c r="S13" s="48" t="s">
        <v>82</v>
      </c>
    </row>
    <row r="14" spans="3:19" x14ac:dyDescent="0.5">
      <c r="C14" s="407" t="s">
        <v>52</v>
      </c>
      <c r="D14" s="407"/>
      <c r="E14" s="408"/>
      <c r="F14" s="61">
        <f>'관리수수료 트렌드 정리'!$AG87</f>
        <v>4.1399999999999997</v>
      </c>
      <c r="G14" s="61">
        <f>'관리수수료 트렌드 정리'!$AG88</f>
        <v>4.140338836363636</v>
      </c>
      <c r="H14" s="61">
        <f>'관리수수료 트렌드 정리'!$AG89</f>
        <v>3.8632196272727271</v>
      </c>
      <c r="I14" s="61">
        <f>'관리수수료 트렌드 정리'!$AG90</f>
        <v>3.6772409272727269</v>
      </c>
      <c r="J14" s="61">
        <f>'관리수수료 트렌드 정리'!$AG91</f>
        <v>3.5184740636363632</v>
      </c>
      <c r="K14" s="61"/>
      <c r="L14" s="61"/>
      <c r="M14" s="61"/>
      <c r="N14" s="61"/>
      <c r="O14" s="61"/>
      <c r="P14" s="61"/>
      <c r="Q14" s="62"/>
      <c r="S14" s="48" t="s">
        <v>83</v>
      </c>
    </row>
    <row r="15" spans="3:19" x14ac:dyDescent="0.5">
      <c r="C15" s="407" t="s">
        <v>53</v>
      </c>
      <c r="D15" s="407"/>
      <c r="E15" s="408"/>
      <c r="F15" s="61">
        <f>'관리수수료 트렌드 정리'!$AM87</f>
        <v>1.02</v>
      </c>
      <c r="G15" s="61">
        <f>'관리수수료 트렌드 정리'!$AM88</f>
        <v>1.1100000000000001</v>
      </c>
      <c r="H15" s="61">
        <f>'관리수수료 트렌드 정리'!$AM89</f>
        <v>1.2</v>
      </c>
      <c r="I15" s="61">
        <f>'관리수수료 트렌드 정리'!$AM90</f>
        <v>1.2566999909090908</v>
      </c>
      <c r="J15" s="61">
        <f>'관리수수료 트렌드 정리'!$AM91</f>
        <v>1.3244696090909089</v>
      </c>
      <c r="K15" s="61"/>
      <c r="L15" s="61"/>
      <c r="M15" s="61"/>
      <c r="N15" s="61"/>
      <c r="O15" s="61"/>
      <c r="P15" s="61"/>
      <c r="Q15" s="62"/>
      <c r="S15" s="48" t="s">
        <v>83</v>
      </c>
    </row>
    <row r="16" spans="3:19" x14ac:dyDescent="0.5">
      <c r="C16" s="409" t="s">
        <v>54</v>
      </c>
      <c r="D16" s="409"/>
      <c r="E16" s="410"/>
      <c r="F16" s="63">
        <f>'관리수수료 트렌드 정리'!$Q87</f>
        <v>7.9</v>
      </c>
      <c r="G16" s="63">
        <f>'관리수수료 트렌드 정리'!$Q88</f>
        <v>7.97160958</v>
      </c>
      <c r="H16" s="63">
        <f>'관리수수료 트렌드 정리'!$Q89</f>
        <v>7.4216384199999998</v>
      </c>
      <c r="I16" s="63">
        <f>'관리수수료 트렌드 정리'!$Q90</f>
        <v>7.6139127899999997</v>
      </c>
      <c r="J16" s="63">
        <f>'관리수수료 트렌드 정리'!$Q91</f>
        <v>7.6228569999999998</v>
      </c>
      <c r="K16" s="63"/>
      <c r="L16" s="63"/>
      <c r="M16" s="63"/>
      <c r="N16" s="63"/>
      <c r="O16" s="63"/>
      <c r="P16" s="63"/>
      <c r="Q16" s="64"/>
      <c r="S16" s="48" t="s">
        <v>84</v>
      </c>
    </row>
    <row r="17" spans="3:19" x14ac:dyDescent="0.5">
      <c r="C17" s="411" t="s">
        <v>56</v>
      </c>
      <c r="D17" s="411"/>
      <c r="E17" s="412"/>
      <c r="F17" s="65">
        <f>'관리수수료 트렌드 정리'!$R87</f>
        <v>0.60595882000000001</v>
      </c>
      <c r="G17" s="65">
        <f>'관리수수료 트렌드 정리'!$R88</f>
        <v>0.66603878000000005</v>
      </c>
      <c r="H17" s="65">
        <f>'관리수수료 트렌드 정리'!$R89</f>
        <v>0.63645967999999997</v>
      </c>
      <c r="I17" s="65">
        <f>'관리수수료 트렌드 정리'!$R90</f>
        <v>0.57387266000000003</v>
      </c>
      <c r="J17" s="65">
        <f>'관리수수료 트렌드 정리'!$R91</f>
        <v>0.69777632999999994</v>
      </c>
      <c r="K17" s="65"/>
      <c r="L17" s="65"/>
      <c r="M17" s="65"/>
      <c r="N17" s="65"/>
      <c r="O17" s="65"/>
      <c r="P17" s="65"/>
      <c r="Q17" s="66"/>
      <c r="S17" s="48" t="s">
        <v>85</v>
      </c>
    </row>
    <row r="18" spans="3:19" x14ac:dyDescent="0.5"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3:19" x14ac:dyDescent="0.5">
      <c r="C19" s="413" t="s">
        <v>95</v>
      </c>
      <c r="D19" s="413"/>
      <c r="E19" s="413"/>
      <c r="F19" s="85" t="s">
        <v>57</v>
      </c>
      <c r="G19" s="85" t="s">
        <v>58</v>
      </c>
      <c r="H19" s="85" t="s">
        <v>59</v>
      </c>
      <c r="I19" s="85" t="s">
        <v>60</v>
      </c>
      <c r="J19" s="85" t="s">
        <v>61</v>
      </c>
      <c r="K19" s="85" t="s">
        <v>62</v>
      </c>
      <c r="L19" s="85" t="s">
        <v>63</v>
      </c>
      <c r="M19" s="85" t="s">
        <v>64</v>
      </c>
      <c r="N19" s="85" t="s">
        <v>65</v>
      </c>
      <c r="O19" s="85" t="s">
        <v>66</v>
      </c>
      <c r="P19" s="85" t="s">
        <v>67</v>
      </c>
      <c r="Q19" s="85" t="s">
        <v>68</v>
      </c>
    </row>
    <row r="20" spans="3:19" x14ac:dyDescent="0.5">
      <c r="C20" s="403" t="s">
        <v>97</v>
      </c>
      <c r="D20" s="404"/>
      <c r="E20" s="49" t="s">
        <v>43</v>
      </c>
      <c r="F20" s="86">
        <f>SUM(F21:F29)</f>
        <v>1438997</v>
      </c>
      <c r="G20" s="86">
        <f>SUM(G21:G29)</f>
        <v>1428238</v>
      </c>
      <c r="H20" s="86">
        <f>SUM(H21:H29)</f>
        <v>1417929</v>
      </c>
      <c r="I20" s="86">
        <f>SUM(I21:I29)</f>
        <v>1419139</v>
      </c>
      <c r="J20" s="86">
        <f>SUM(J21:J29)</f>
        <v>1428753</v>
      </c>
      <c r="K20" s="86">
        <f t="shared" ref="K20:Q20" si="1">SUM(K21:K29)</f>
        <v>1417111</v>
      </c>
      <c r="L20" s="86">
        <f t="shared" si="1"/>
        <v>0</v>
      </c>
      <c r="M20" s="86">
        <f t="shared" si="1"/>
        <v>0</v>
      </c>
      <c r="N20" s="86">
        <f t="shared" si="1"/>
        <v>0</v>
      </c>
      <c r="O20" s="86">
        <f t="shared" si="1"/>
        <v>0</v>
      </c>
      <c r="P20" s="86">
        <f t="shared" si="1"/>
        <v>0</v>
      </c>
      <c r="Q20" s="87">
        <f t="shared" si="1"/>
        <v>0</v>
      </c>
    </row>
    <row r="21" spans="3:19" x14ac:dyDescent="0.5">
      <c r="C21" s="405"/>
      <c r="D21" s="406"/>
      <c r="E21" s="50" t="s">
        <v>44</v>
      </c>
      <c r="F21" s="88">
        <v>66322</v>
      </c>
      <c r="G21" s="88">
        <v>64615</v>
      </c>
      <c r="H21" s="88">
        <v>63539</v>
      </c>
      <c r="I21" s="88">
        <v>62009</v>
      </c>
      <c r="J21" s="88">
        <v>61102</v>
      </c>
      <c r="K21" s="88">
        <v>59733</v>
      </c>
      <c r="L21" s="88"/>
      <c r="M21" s="88"/>
      <c r="N21" s="88"/>
      <c r="O21" s="88"/>
      <c r="P21" s="88"/>
      <c r="Q21" s="89"/>
      <c r="S21" s="48" t="s">
        <v>89</v>
      </c>
    </row>
    <row r="22" spans="3:19" x14ac:dyDescent="0.5">
      <c r="C22" s="405"/>
      <c r="D22" s="406"/>
      <c r="E22" s="50" t="s">
        <v>45</v>
      </c>
      <c r="F22" s="90">
        <v>751971</v>
      </c>
      <c r="G22" s="90">
        <v>752950</v>
      </c>
      <c r="H22" s="90">
        <v>752266</v>
      </c>
      <c r="I22" s="90">
        <v>754111</v>
      </c>
      <c r="J22" s="90">
        <v>766608</v>
      </c>
      <c r="K22" s="88">
        <v>764910</v>
      </c>
      <c r="L22" s="88"/>
      <c r="M22" s="88"/>
      <c r="N22" s="88"/>
      <c r="O22" s="88"/>
      <c r="P22" s="88"/>
      <c r="Q22" s="89"/>
      <c r="S22" s="48" t="s">
        <v>79</v>
      </c>
    </row>
    <row r="23" spans="3:19" x14ac:dyDescent="0.5">
      <c r="C23" s="405"/>
      <c r="D23" s="406"/>
      <c r="E23" s="50" t="s">
        <v>46</v>
      </c>
      <c r="F23" s="91">
        <v>26924</v>
      </c>
      <c r="G23" s="91">
        <v>26456</v>
      </c>
      <c r="H23" s="91">
        <v>25615</v>
      </c>
      <c r="I23" s="91">
        <v>25136</v>
      </c>
      <c r="J23" s="91">
        <v>24622</v>
      </c>
      <c r="K23" s="88">
        <v>24074</v>
      </c>
      <c r="L23" s="88"/>
      <c r="M23" s="88"/>
      <c r="N23" s="88"/>
      <c r="O23" s="88"/>
      <c r="P23" s="88"/>
      <c r="Q23" s="89"/>
    </row>
    <row r="24" spans="3:19" x14ac:dyDescent="0.5">
      <c r="C24" s="405"/>
      <c r="D24" s="406"/>
      <c r="E24" s="50" t="s">
        <v>47</v>
      </c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9"/>
    </row>
    <row r="25" spans="3:19" x14ac:dyDescent="0.5">
      <c r="C25" s="405"/>
      <c r="D25" s="406"/>
      <c r="E25" s="50" t="s">
        <v>48</v>
      </c>
      <c r="F25" s="90">
        <v>107127</v>
      </c>
      <c r="G25" s="90">
        <v>102207</v>
      </c>
      <c r="H25" s="90">
        <v>99447</v>
      </c>
      <c r="I25" s="90">
        <v>96649</v>
      </c>
      <c r="J25" s="90">
        <v>93912</v>
      </c>
      <c r="K25" s="88">
        <v>91452</v>
      </c>
      <c r="L25" s="88"/>
      <c r="M25" s="88"/>
      <c r="N25" s="88"/>
      <c r="O25" s="88"/>
      <c r="P25" s="88"/>
      <c r="Q25" s="89"/>
      <c r="S25" s="48" t="s">
        <v>90</v>
      </c>
    </row>
    <row r="26" spans="3:19" x14ac:dyDescent="0.5">
      <c r="C26" s="405"/>
      <c r="D26" s="406"/>
      <c r="E26" s="50" t="s">
        <v>49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9"/>
    </row>
    <row r="27" spans="3:19" x14ac:dyDescent="0.5">
      <c r="C27" s="405"/>
      <c r="D27" s="406"/>
      <c r="E27" s="51" t="s">
        <v>50</v>
      </c>
      <c r="F27" s="92">
        <v>357535</v>
      </c>
      <c r="G27" s="92">
        <v>354197</v>
      </c>
      <c r="H27" s="92">
        <v>348912</v>
      </c>
      <c r="I27" s="92">
        <v>353944</v>
      </c>
      <c r="J27" s="92">
        <v>355534</v>
      </c>
      <c r="K27" s="93">
        <v>351173</v>
      </c>
      <c r="L27" s="93"/>
      <c r="M27" s="93"/>
      <c r="N27" s="93"/>
      <c r="O27" s="93"/>
      <c r="P27" s="93"/>
      <c r="Q27" s="94"/>
      <c r="S27" s="48" t="s">
        <v>80</v>
      </c>
    </row>
    <row r="28" spans="3:19" x14ac:dyDescent="0.5">
      <c r="C28" s="405"/>
      <c r="D28" s="406"/>
      <c r="E28" s="52" t="s">
        <v>51</v>
      </c>
      <c r="F28" s="95">
        <v>129118</v>
      </c>
      <c r="G28" s="95">
        <v>127813</v>
      </c>
      <c r="H28" s="95">
        <v>128150</v>
      </c>
      <c r="I28" s="95">
        <v>127290</v>
      </c>
      <c r="J28" s="95">
        <v>126975</v>
      </c>
      <c r="K28" s="96">
        <v>125769</v>
      </c>
      <c r="L28" s="96"/>
      <c r="M28" s="96"/>
      <c r="N28" s="96"/>
      <c r="O28" s="96"/>
      <c r="P28" s="96"/>
      <c r="Q28" s="97"/>
      <c r="S28" s="48" t="s">
        <v>81</v>
      </c>
    </row>
    <row r="29" spans="3:19" x14ac:dyDescent="0.5">
      <c r="C29" s="405"/>
      <c r="D29" s="406"/>
      <c r="E29" s="50" t="s">
        <v>94</v>
      </c>
      <c r="F29" s="90">
        <f>'관리수수료 트렌드 정리'!$P103</f>
        <v>0</v>
      </c>
      <c r="G29" s="90">
        <f>'관리수수료 트렌드 정리'!$P104</f>
        <v>0</v>
      </c>
      <c r="H29" s="90">
        <f>'관리수수료 트렌드 정리'!$P105</f>
        <v>0</v>
      </c>
      <c r="I29" s="90">
        <f>'관리수수료 트렌드 정리'!$P106</f>
        <v>0</v>
      </c>
      <c r="J29" s="90">
        <f>'관리수수료 트렌드 정리'!$P107</f>
        <v>0</v>
      </c>
      <c r="K29" s="88"/>
      <c r="L29" s="88"/>
      <c r="M29" s="88"/>
      <c r="N29" s="88"/>
      <c r="O29" s="88"/>
      <c r="P29" s="88"/>
      <c r="Q29" s="89"/>
      <c r="S29" s="48" t="s">
        <v>82</v>
      </c>
    </row>
    <row r="30" spans="3:19" x14ac:dyDescent="0.5">
      <c r="C30" s="407" t="s">
        <v>52</v>
      </c>
      <c r="D30" s="407"/>
      <c r="E30" s="408"/>
      <c r="F30" s="98">
        <v>582656</v>
      </c>
      <c r="G30" s="98">
        <v>559407</v>
      </c>
      <c r="H30" s="98">
        <v>541478</v>
      </c>
      <c r="I30" s="98">
        <v>523578</v>
      </c>
      <c r="J30" s="98">
        <v>505468</v>
      </c>
      <c r="K30" s="98">
        <v>486487</v>
      </c>
      <c r="L30" s="98"/>
      <c r="M30" s="98"/>
      <c r="N30" s="98"/>
      <c r="O30" s="98"/>
      <c r="P30" s="98"/>
      <c r="Q30" s="99"/>
      <c r="S30" s="48" t="s">
        <v>83</v>
      </c>
    </row>
    <row r="31" spans="3:19" x14ac:dyDescent="0.5">
      <c r="C31" s="407" t="s">
        <v>53</v>
      </c>
      <c r="D31" s="407"/>
      <c r="E31" s="408"/>
      <c r="F31" s="98">
        <v>139462</v>
      </c>
      <c r="G31" s="98">
        <v>156756</v>
      </c>
      <c r="H31" s="98">
        <v>164695</v>
      </c>
      <c r="I31" s="98">
        <v>176809</v>
      </c>
      <c r="J31" s="98">
        <v>204044</v>
      </c>
      <c r="K31" s="98">
        <v>216044</v>
      </c>
      <c r="L31" s="98"/>
      <c r="M31" s="98"/>
      <c r="N31" s="98"/>
      <c r="O31" s="98"/>
      <c r="P31" s="98"/>
      <c r="Q31" s="99"/>
      <c r="S31" s="48" t="s">
        <v>83</v>
      </c>
    </row>
    <row r="32" spans="3:19" x14ac:dyDescent="0.5">
      <c r="C32" s="409" t="s">
        <v>54</v>
      </c>
      <c r="D32" s="409"/>
      <c r="E32" s="410"/>
      <c r="F32" s="100">
        <f>'관리수수료 트렌드 정리'!$Q103</f>
        <v>0</v>
      </c>
      <c r="G32" s="100">
        <f>'관리수수료 트렌드 정리'!$Q104</f>
        <v>0</v>
      </c>
      <c r="H32" s="100">
        <f>'관리수수료 트렌드 정리'!$Q105</f>
        <v>0</v>
      </c>
      <c r="I32" s="100">
        <f>'관리수수료 트렌드 정리'!$Q106</f>
        <v>0</v>
      </c>
      <c r="J32" s="100">
        <f>'관리수수료 트렌드 정리'!$Q107</f>
        <v>0</v>
      </c>
      <c r="K32" s="100"/>
      <c r="L32" s="100"/>
      <c r="M32" s="100"/>
      <c r="N32" s="100"/>
      <c r="O32" s="100"/>
      <c r="P32" s="100"/>
      <c r="Q32" s="101"/>
      <c r="S32" s="48" t="s">
        <v>84</v>
      </c>
    </row>
    <row r="33" spans="3:19" x14ac:dyDescent="0.5">
      <c r="C33" s="411" t="s">
        <v>56</v>
      </c>
      <c r="D33" s="411"/>
      <c r="E33" s="412"/>
      <c r="F33" s="102">
        <f>'관리수수료 트렌드 정리'!$R103</f>
        <v>0</v>
      </c>
      <c r="G33" s="102">
        <f>'관리수수료 트렌드 정리'!$R104</f>
        <v>0</v>
      </c>
      <c r="H33" s="102">
        <f>'관리수수료 트렌드 정리'!$R105</f>
        <v>0</v>
      </c>
      <c r="I33" s="102">
        <f>'관리수수료 트렌드 정리'!$R106</f>
        <v>0</v>
      </c>
      <c r="J33" s="102">
        <f>'관리수수료 트렌드 정리'!$R107</f>
        <v>0</v>
      </c>
      <c r="K33" s="102"/>
      <c r="L33" s="102"/>
      <c r="M33" s="102"/>
      <c r="N33" s="102"/>
      <c r="O33" s="102"/>
      <c r="P33" s="102"/>
      <c r="Q33" s="103"/>
      <c r="S33" s="48" t="s">
        <v>85</v>
      </c>
    </row>
    <row r="34" spans="3:19" x14ac:dyDescent="0.5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</row>
    <row r="35" spans="3:19" x14ac:dyDescent="0.5">
      <c r="C35" s="413" t="s">
        <v>101</v>
      </c>
      <c r="D35" s="413"/>
      <c r="E35" s="413"/>
      <c r="F35" s="85" t="s">
        <v>57</v>
      </c>
      <c r="G35" s="85" t="s">
        <v>58</v>
      </c>
      <c r="H35" s="85" t="s">
        <v>59</v>
      </c>
      <c r="I35" s="85" t="s">
        <v>60</v>
      </c>
      <c r="J35" s="85" t="s">
        <v>61</v>
      </c>
      <c r="K35" s="85" t="s">
        <v>62</v>
      </c>
      <c r="L35" s="85" t="s">
        <v>63</v>
      </c>
      <c r="M35" s="85" t="s">
        <v>64</v>
      </c>
      <c r="N35" s="85" t="s">
        <v>65</v>
      </c>
      <c r="O35" s="85" t="s">
        <v>66</v>
      </c>
      <c r="P35" s="85" t="s">
        <v>67</v>
      </c>
      <c r="Q35" s="85" t="s">
        <v>68</v>
      </c>
    </row>
    <row r="36" spans="3:19" x14ac:dyDescent="0.5">
      <c r="C36" s="403" t="s">
        <v>99</v>
      </c>
      <c r="D36" s="404"/>
      <c r="E36" s="49" t="s">
        <v>43</v>
      </c>
      <c r="F36" s="122"/>
      <c r="G36" s="122"/>
      <c r="H36" s="122"/>
      <c r="I36" s="122"/>
      <c r="J36" s="122"/>
      <c r="K36" s="122"/>
      <c r="L36" s="122">
        <f t="shared" ref="L36:Q36" si="2">SUM(L37:L45)</f>
        <v>0</v>
      </c>
      <c r="M36" s="122">
        <f t="shared" si="2"/>
        <v>0</v>
      </c>
      <c r="N36" s="122">
        <f t="shared" si="2"/>
        <v>0</v>
      </c>
      <c r="O36" s="122">
        <f t="shared" si="2"/>
        <v>0</v>
      </c>
      <c r="P36" s="122">
        <f t="shared" si="2"/>
        <v>0</v>
      </c>
      <c r="Q36" s="123">
        <f t="shared" si="2"/>
        <v>0</v>
      </c>
    </row>
    <row r="37" spans="3:19" x14ac:dyDescent="0.5">
      <c r="C37" s="405"/>
      <c r="D37" s="406"/>
      <c r="E37" s="50" t="s">
        <v>44</v>
      </c>
      <c r="F37" s="124">
        <f>IFERROR(#REF!/F5*100000000,0)</f>
        <v>0</v>
      </c>
      <c r="G37" s="124">
        <f>IFERROR(G21/F21-1,0)</f>
        <v>-2.5738065800187004E-2</v>
      </c>
      <c r="H37" s="124">
        <f t="shared" ref="H37:K37" si="3">IFERROR(H21/G21-1,0)</f>
        <v>-1.6652480074286102E-2</v>
      </c>
      <c r="I37" s="124">
        <f t="shared" si="3"/>
        <v>-2.4079699082453332E-2</v>
      </c>
      <c r="J37" s="124">
        <f t="shared" si="3"/>
        <v>-1.4626908997081078E-2</v>
      </c>
      <c r="K37" s="124">
        <f t="shared" si="3"/>
        <v>-2.2405158587280316E-2</v>
      </c>
      <c r="L37" s="124"/>
      <c r="M37" s="124"/>
      <c r="N37" s="124"/>
      <c r="O37" s="124"/>
      <c r="P37" s="124"/>
      <c r="Q37" s="125"/>
      <c r="S37" s="48" t="s">
        <v>89</v>
      </c>
    </row>
    <row r="38" spans="3:19" x14ac:dyDescent="0.5">
      <c r="C38" s="405"/>
      <c r="D38" s="406"/>
      <c r="E38" s="50" t="s">
        <v>45</v>
      </c>
      <c r="F38" s="126">
        <f t="shared" ref="F38:F48" si="4">IFERROR(#REF!/F6*100000000,0)</f>
        <v>0</v>
      </c>
      <c r="G38" s="126">
        <f t="shared" ref="G38:K49" si="5">IFERROR(G22/F22-1,0)</f>
        <v>1.3019119088368836E-3</v>
      </c>
      <c r="H38" s="126">
        <f t="shared" si="5"/>
        <v>-9.0842685437275694E-4</v>
      </c>
      <c r="I38" s="126">
        <f t="shared" si="5"/>
        <v>2.4525899083569502E-3</v>
      </c>
      <c r="J38" s="126">
        <f t="shared" si="5"/>
        <v>1.6571830937355481E-2</v>
      </c>
      <c r="K38" s="124">
        <f t="shared" si="5"/>
        <v>-2.2149521006824546E-3</v>
      </c>
      <c r="L38" s="124"/>
      <c r="M38" s="124"/>
      <c r="N38" s="124"/>
      <c r="O38" s="124"/>
      <c r="P38" s="124"/>
      <c r="Q38" s="125"/>
      <c r="S38" s="48" t="s">
        <v>79</v>
      </c>
    </row>
    <row r="39" spans="3:19" x14ac:dyDescent="0.5">
      <c r="C39" s="405"/>
      <c r="D39" s="406"/>
      <c r="E39" s="50" t="s">
        <v>46</v>
      </c>
      <c r="F39" s="127">
        <f t="shared" si="4"/>
        <v>0</v>
      </c>
      <c r="G39" s="127">
        <f t="shared" si="5"/>
        <v>-1.738226117961672E-2</v>
      </c>
      <c r="H39" s="127">
        <f t="shared" si="5"/>
        <v>-3.1788630178409383E-2</v>
      </c>
      <c r="I39" s="127">
        <f t="shared" si="5"/>
        <v>-1.8699980480187395E-2</v>
      </c>
      <c r="J39" s="127">
        <f t="shared" si="5"/>
        <v>-2.0448758752387053E-2</v>
      </c>
      <c r="K39" s="124">
        <f t="shared" si="5"/>
        <v>-2.2256518560636818E-2</v>
      </c>
      <c r="L39" s="124"/>
      <c r="M39" s="124"/>
      <c r="N39" s="124"/>
      <c r="O39" s="124"/>
      <c r="P39" s="124"/>
      <c r="Q39" s="125"/>
    </row>
    <row r="40" spans="3:19" x14ac:dyDescent="0.5">
      <c r="C40" s="405"/>
      <c r="D40" s="406"/>
      <c r="E40" s="50" t="s">
        <v>47</v>
      </c>
      <c r="F40" s="124">
        <f t="shared" si="4"/>
        <v>0</v>
      </c>
      <c r="G40" s="124">
        <f t="shared" si="5"/>
        <v>0</v>
      </c>
      <c r="H40" s="124">
        <f t="shared" si="5"/>
        <v>0</v>
      </c>
      <c r="I40" s="124">
        <f t="shared" si="5"/>
        <v>0</v>
      </c>
      <c r="J40" s="124">
        <f t="shared" si="5"/>
        <v>0</v>
      </c>
      <c r="K40" s="124">
        <f t="shared" si="5"/>
        <v>0</v>
      </c>
      <c r="L40" s="124"/>
      <c r="M40" s="124"/>
      <c r="N40" s="124"/>
      <c r="O40" s="124"/>
      <c r="P40" s="124"/>
      <c r="Q40" s="125"/>
    </row>
    <row r="41" spans="3:19" x14ac:dyDescent="0.5">
      <c r="C41" s="405"/>
      <c r="D41" s="406"/>
      <c r="E41" s="50" t="s">
        <v>48</v>
      </c>
      <c r="F41" s="126">
        <f t="shared" si="4"/>
        <v>0</v>
      </c>
      <c r="G41" s="126">
        <f t="shared" si="5"/>
        <v>-4.5926797165980582E-2</v>
      </c>
      <c r="H41" s="126">
        <f t="shared" si="5"/>
        <v>-2.7004021250990662E-2</v>
      </c>
      <c r="I41" s="126">
        <f t="shared" si="5"/>
        <v>-2.8135589811658424E-2</v>
      </c>
      <c r="J41" s="126">
        <f t="shared" si="5"/>
        <v>-2.8318968639096109E-2</v>
      </c>
      <c r="K41" s="124">
        <f t="shared" si="5"/>
        <v>-2.6194735497061084E-2</v>
      </c>
      <c r="L41" s="124"/>
      <c r="M41" s="124"/>
      <c r="N41" s="124"/>
      <c r="O41" s="124"/>
      <c r="P41" s="124"/>
      <c r="Q41" s="125"/>
      <c r="S41" s="48" t="s">
        <v>90</v>
      </c>
    </row>
    <row r="42" spans="3:19" x14ac:dyDescent="0.5">
      <c r="C42" s="405"/>
      <c r="D42" s="406"/>
      <c r="E42" s="50" t="s">
        <v>49</v>
      </c>
      <c r="F42" s="124">
        <f t="shared" si="4"/>
        <v>0</v>
      </c>
      <c r="G42" s="124">
        <f t="shared" si="5"/>
        <v>0</v>
      </c>
      <c r="H42" s="124">
        <f t="shared" si="5"/>
        <v>0</v>
      </c>
      <c r="I42" s="124">
        <f t="shared" si="5"/>
        <v>0</v>
      </c>
      <c r="J42" s="124">
        <f t="shared" si="5"/>
        <v>0</v>
      </c>
      <c r="K42" s="124">
        <f t="shared" si="5"/>
        <v>0</v>
      </c>
      <c r="L42" s="124"/>
      <c r="M42" s="124"/>
      <c r="N42" s="124"/>
      <c r="O42" s="124"/>
      <c r="P42" s="124"/>
      <c r="Q42" s="125"/>
    </row>
    <row r="43" spans="3:19" x14ac:dyDescent="0.5">
      <c r="C43" s="405"/>
      <c r="D43" s="406"/>
      <c r="E43" s="51" t="s">
        <v>50</v>
      </c>
      <c r="F43" s="128">
        <f t="shared" si="4"/>
        <v>0</v>
      </c>
      <c r="G43" s="128">
        <f t="shared" si="5"/>
        <v>-9.3361489084984317E-3</v>
      </c>
      <c r="H43" s="128">
        <f t="shared" si="5"/>
        <v>-1.4921074994988626E-2</v>
      </c>
      <c r="I43" s="128">
        <f t="shared" si="5"/>
        <v>1.4421974595313358E-2</v>
      </c>
      <c r="J43" s="128">
        <f t="shared" si="5"/>
        <v>4.4922360599417566E-3</v>
      </c>
      <c r="K43" s="129">
        <f t="shared" si="5"/>
        <v>-1.2266056129652814E-2</v>
      </c>
      <c r="L43" s="129"/>
      <c r="M43" s="129"/>
      <c r="N43" s="129"/>
      <c r="O43" s="129"/>
      <c r="P43" s="129"/>
      <c r="Q43" s="130"/>
      <c r="S43" s="48" t="s">
        <v>80</v>
      </c>
    </row>
    <row r="44" spans="3:19" x14ac:dyDescent="0.5">
      <c r="C44" s="405"/>
      <c r="D44" s="406"/>
      <c r="E44" s="52" t="s">
        <v>51</v>
      </c>
      <c r="F44" s="131">
        <f t="shared" si="4"/>
        <v>0</v>
      </c>
      <c r="G44" s="131">
        <f t="shared" si="5"/>
        <v>-1.0107033875989435E-2</v>
      </c>
      <c r="H44" s="131">
        <f t="shared" si="5"/>
        <v>2.6366645020459156E-3</v>
      </c>
      <c r="I44" s="131">
        <f t="shared" si="5"/>
        <v>-6.7108856808427708E-3</v>
      </c>
      <c r="J44" s="131">
        <f t="shared" si="5"/>
        <v>-2.474664152722128E-3</v>
      </c>
      <c r="K44" s="132">
        <f t="shared" si="5"/>
        <v>-9.4979326639101913E-3</v>
      </c>
      <c r="L44" s="132"/>
      <c r="M44" s="132"/>
      <c r="N44" s="132"/>
      <c r="O44" s="132"/>
      <c r="P44" s="132"/>
      <c r="Q44" s="133"/>
      <c r="S44" s="48" t="s">
        <v>81</v>
      </c>
    </row>
    <row r="45" spans="3:19" x14ac:dyDescent="0.5">
      <c r="C45" s="405"/>
      <c r="D45" s="406"/>
      <c r="E45" s="50" t="s">
        <v>94</v>
      </c>
      <c r="F45" s="126">
        <f t="shared" si="4"/>
        <v>0</v>
      </c>
      <c r="G45" s="126">
        <f t="shared" si="5"/>
        <v>0</v>
      </c>
      <c r="H45" s="126">
        <f t="shared" si="5"/>
        <v>0</v>
      </c>
      <c r="I45" s="126">
        <f t="shared" si="5"/>
        <v>0</v>
      </c>
      <c r="J45" s="126">
        <f t="shared" si="5"/>
        <v>0</v>
      </c>
      <c r="K45" s="124">
        <f t="shared" si="5"/>
        <v>0</v>
      </c>
      <c r="L45" s="124"/>
      <c r="M45" s="124"/>
      <c r="N45" s="124"/>
      <c r="O45" s="124"/>
      <c r="P45" s="124"/>
      <c r="Q45" s="125"/>
      <c r="S45" s="48" t="s">
        <v>82</v>
      </c>
    </row>
    <row r="46" spans="3:19" x14ac:dyDescent="0.5">
      <c r="C46" s="407" t="s">
        <v>52</v>
      </c>
      <c r="D46" s="407"/>
      <c r="E46" s="408"/>
      <c r="F46" s="134">
        <f t="shared" si="4"/>
        <v>0</v>
      </c>
      <c r="G46" s="134">
        <f t="shared" si="5"/>
        <v>-3.9901760215290016E-2</v>
      </c>
      <c r="H46" s="134">
        <f t="shared" si="5"/>
        <v>-3.2050010099980875E-2</v>
      </c>
      <c r="I46" s="134">
        <f t="shared" si="5"/>
        <v>-3.3057668086238001E-2</v>
      </c>
      <c r="J46" s="134">
        <f t="shared" si="5"/>
        <v>-3.4588924668339738E-2</v>
      </c>
      <c r="K46" s="134">
        <f t="shared" si="5"/>
        <v>-3.755133856149151E-2</v>
      </c>
      <c r="L46" s="134"/>
      <c r="M46" s="134"/>
      <c r="N46" s="134"/>
      <c r="O46" s="134"/>
      <c r="P46" s="134"/>
      <c r="Q46" s="135"/>
      <c r="S46" s="48" t="s">
        <v>83</v>
      </c>
    </row>
    <row r="47" spans="3:19" x14ac:dyDescent="0.5">
      <c r="C47" s="407" t="s">
        <v>53</v>
      </c>
      <c r="D47" s="407"/>
      <c r="E47" s="408"/>
      <c r="F47" s="134">
        <f t="shared" si="4"/>
        <v>0</v>
      </c>
      <c r="G47" s="134">
        <f t="shared" si="5"/>
        <v>0.12400510533335241</v>
      </c>
      <c r="H47" s="134">
        <f t="shared" si="5"/>
        <v>5.064558932353469E-2</v>
      </c>
      <c r="I47" s="134">
        <f t="shared" si="5"/>
        <v>7.3554145541758986E-2</v>
      </c>
      <c r="J47" s="134">
        <f t="shared" si="5"/>
        <v>0.15403627643389184</v>
      </c>
      <c r="K47" s="134">
        <f t="shared" si="5"/>
        <v>5.8810844719766386E-2</v>
      </c>
      <c r="L47" s="134"/>
      <c r="M47" s="134"/>
      <c r="N47" s="134"/>
      <c r="O47" s="134"/>
      <c r="P47" s="134"/>
      <c r="Q47" s="135"/>
      <c r="S47" s="48" t="s">
        <v>83</v>
      </c>
    </row>
    <row r="48" spans="3:19" x14ac:dyDescent="0.5">
      <c r="C48" s="409" t="s">
        <v>54</v>
      </c>
      <c r="D48" s="409"/>
      <c r="E48" s="410"/>
      <c r="F48" s="136">
        <f t="shared" si="4"/>
        <v>0</v>
      </c>
      <c r="G48" s="136">
        <f t="shared" si="5"/>
        <v>0</v>
      </c>
      <c r="H48" s="136">
        <f t="shared" si="5"/>
        <v>0</v>
      </c>
      <c r="I48" s="136">
        <f t="shared" si="5"/>
        <v>0</v>
      </c>
      <c r="J48" s="136">
        <f t="shared" si="5"/>
        <v>0</v>
      </c>
      <c r="K48" s="136">
        <f t="shared" si="5"/>
        <v>0</v>
      </c>
      <c r="L48" s="136"/>
      <c r="M48" s="136"/>
      <c r="N48" s="136"/>
      <c r="O48" s="136"/>
      <c r="P48" s="136"/>
      <c r="Q48" s="137"/>
      <c r="S48" s="48" t="s">
        <v>84</v>
      </c>
    </row>
    <row r="49" spans="3:19" x14ac:dyDescent="0.5">
      <c r="C49" s="411" t="s">
        <v>56</v>
      </c>
      <c r="D49" s="411"/>
      <c r="E49" s="412"/>
      <c r="F49" s="138">
        <f t="shared" ref="F49" si="6">IFERROR(F1/F17*100000000,0)</f>
        <v>2475415738.6470585</v>
      </c>
      <c r="G49" s="138">
        <f t="shared" si="5"/>
        <v>0</v>
      </c>
      <c r="H49" s="138">
        <f t="shared" si="5"/>
        <v>0</v>
      </c>
      <c r="I49" s="138">
        <f t="shared" si="5"/>
        <v>0</v>
      </c>
      <c r="J49" s="138">
        <f t="shared" si="5"/>
        <v>0</v>
      </c>
      <c r="K49" s="138">
        <f t="shared" si="5"/>
        <v>0</v>
      </c>
      <c r="L49" s="138"/>
      <c r="M49" s="138"/>
      <c r="N49" s="138"/>
      <c r="O49" s="138"/>
      <c r="P49" s="138"/>
      <c r="Q49" s="139"/>
      <c r="S49" s="48" t="s">
        <v>85</v>
      </c>
    </row>
    <row r="50" spans="3:19" x14ac:dyDescent="0.5"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3:19" x14ac:dyDescent="0.5">
      <c r="C51" s="413" t="s">
        <v>100</v>
      </c>
      <c r="D51" s="413"/>
      <c r="E51" s="413"/>
      <c r="F51" s="85" t="s">
        <v>57</v>
      </c>
      <c r="G51" s="85" t="s">
        <v>58</v>
      </c>
      <c r="H51" s="85" t="s">
        <v>59</v>
      </c>
      <c r="I51" s="85" t="s">
        <v>60</v>
      </c>
      <c r="J51" s="85" t="s">
        <v>61</v>
      </c>
      <c r="K51" s="85" t="s">
        <v>62</v>
      </c>
      <c r="L51" s="85" t="s">
        <v>63</v>
      </c>
      <c r="M51" s="85" t="s">
        <v>64</v>
      </c>
      <c r="N51" s="85" t="s">
        <v>65</v>
      </c>
      <c r="O51" s="85" t="s">
        <v>66</v>
      </c>
      <c r="P51" s="85" t="s">
        <v>67</v>
      </c>
      <c r="Q51" s="85" t="s">
        <v>68</v>
      </c>
    </row>
    <row r="52" spans="3:19" x14ac:dyDescent="0.5">
      <c r="C52" s="403" t="s">
        <v>99</v>
      </c>
      <c r="D52" s="404"/>
      <c r="E52" s="49" t="s">
        <v>43</v>
      </c>
      <c r="F52" s="104"/>
      <c r="G52" s="104"/>
      <c r="H52" s="104"/>
      <c r="I52" s="104"/>
      <c r="J52" s="104"/>
      <c r="K52" s="104"/>
      <c r="L52" s="104">
        <f t="shared" ref="L52:Q52" si="7">SUM(L53:L61)</f>
        <v>0</v>
      </c>
      <c r="M52" s="104">
        <f t="shared" si="7"/>
        <v>0</v>
      </c>
      <c r="N52" s="104">
        <f t="shared" si="7"/>
        <v>0</v>
      </c>
      <c r="O52" s="104">
        <f t="shared" si="7"/>
        <v>0</v>
      </c>
      <c r="P52" s="104">
        <f t="shared" si="7"/>
        <v>0</v>
      </c>
      <c r="Q52" s="105">
        <f t="shared" si="7"/>
        <v>0</v>
      </c>
    </row>
    <row r="53" spans="3:19" x14ac:dyDescent="0.5">
      <c r="C53" s="405"/>
      <c r="D53" s="406"/>
      <c r="E53" s="50" t="s">
        <v>44</v>
      </c>
      <c r="F53" s="106">
        <f>IFERROR(F5/F21*100000000,0)</f>
        <v>4466.7924533474425</v>
      </c>
      <c r="G53" s="106">
        <f t="shared" ref="G53:K53" si="8">IFERROR(G5/G21*100000000,0)</f>
        <v>4508.7518202415313</v>
      </c>
      <c r="H53" s="106">
        <f t="shared" si="8"/>
        <v>3867.4301105139339</v>
      </c>
      <c r="I53" s="106">
        <f t="shared" si="8"/>
        <v>4074.0489811925036</v>
      </c>
      <c r="J53" s="106">
        <f t="shared" si="8"/>
        <v>3895.5172351114629</v>
      </c>
      <c r="K53" s="106">
        <f t="shared" si="8"/>
        <v>0</v>
      </c>
      <c r="L53" s="106"/>
      <c r="M53" s="106"/>
      <c r="N53" s="106"/>
      <c r="O53" s="106"/>
      <c r="P53" s="106"/>
      <c r="Q53" s="107"/>
      <c r="S53" s="48" t="s">
        <v>89</v>
      </c>
    </row>
    <row r="54" spans="3:19" x14ac:dyDescent="0.5">
      <c r="C54" s="405"/>
      <c r="D54" s="406"/>
      <c r="E54" s="50" t="s">
        <v>45</v>
      </c>
      <c r="F54" s="108">
        <f t="shared" ref="F54:K65" si="9">IFERROR(F6/F22*100000000,0)</f>
        <v>2713.2452629579466</v>
      </c>
      <c r="G54" s="108">
        <f t="shared" si="9"/>
        <v>2764.3397187409587</v>
      </c>
      <c r="H54" s="108">
        <f t="shared" si="9"/>
        <v>2781.7869466492607</v>
      </c>
      <c r="I54" s="108">
        <f t="shared" si="9"/>
        <v>2672.4773581050595</v>
      </c>
      <c r="J54" s="108">
        <f t="shared" si="9"/>
        <v>2595.9846326464844</v>
      </c>
      <c r="K54" s="106">
        <f t="shared" si="9"/>
        <v>0</v>
      </c>
      <c r="L54" s="106"/>
      <c r="M54" s="106"/>
      <c r="N54" s="106"/>
      <c r="O54" s="106"/>
      <c r="P54" s="106"/>
      <c r="Q54" s="107"/>
      <c r="S54" s="48" t="s">
        <v>79</v>
      </c>
    </row>
    <row r="55" spans="3:19" x14ac:dyDescent="0.5">
      <c r="C55" s="405"/>
      <c r="D55" s="406"/>
      <c r="E55" s="50" t="s">
        <v>46</v>
      </c>
      <c r="F55" s="109">
        <f t="shared" si="9"/>
        <v>1759.8935049499603</v>
      </c>
      <c r="G55" s="109">
        <f t="shared" si="9"/>
        <v>1835.4788052890563</v>
      </c>
      <c r="H55" s="109">
        <f t="shared" si="9"/>
        <v>1787.7692403243839</v>
      </c>
      <c r="I55" s="109">
        <f t="shared" si="9"/>
        <v>1754.4532289798044</v>
      </c>
      <c r="J55" s="109">
        <f t="shared" si="9"/>
        <v>1724.9030800245159</v>
      </c>
      <c r="K55" s="106">
        <f t="shared" si="9"/>
        <v>0</v>
      </c>
      <c r="L55" s="106"/>
      <c r="M55" s="106"/>
      <c r="N55" s="106"/>
      <c r="O55" s="106"/>
      <c r="P55" s="106"/>
      <c r="Q55" s="107"/>
    </row>
    <row r="56" spans="3:19" x14ac:dyDescent="0.5">
      <c r="C56" s="405"/>
      <c r="D56" s="406"/>
      <c r="E56" s="50" t="s">
        <v>47</v>
      </c>
      <c r="F56" s="106">
        <f t="shared" si="9"/>
        <v>0</v>
      </c>
      <c r="G56" s="106">
        <f t="shared" si="9"/>
        <v>0</v>
      </c>
      <c r="H56" s="106">
        <f t="shared" si="9"/>
        <v>0</v>
      </c>
      <c r="I56" s="106">
        <f t="shared" si="9"/>
        <v>0</v>
      </c>
      <c r="J56" s="106">
        <f t="shared" si="9"/>
        <v>0</v>
      </c>
      <c r="K56" s="106">
        <f t="shared" si="9"/>
        <v>0</v>
      </c>
      <c r="L56" s="106"/>
      <c r="M56" s="106"/>
      <c r="N56" s="106"/>
      <c r="O56" s="106"/>
      <c r="P56" s="106"/>
      <c r="Q56" s="107"/>
    </row>
    <row r="57" spans="3:19" x14ac:dyDescent="0.5">
      <c r="C57" s="405"/>
      <c r="D57" s="406"/>
      <c r="E57" s="50" t="s">
        <v>48</v>
      </c>
      <c r="F57" s="108">
        <f t="shared" si="9"/>
        <v>3570.5691715101111</v>
      </c>
      <c r="G57" s="108">
        <f t="shared" si="9"/>
        <v>3787.2999598853307</v>
      </c>
      <c r="H57" s="108">
        <f t="shared" si="9"/>
        <v>3651.2228825404491</v>
      </c>
      <c r="I57" s="108">
        <f t="shared" si="9"/>
        <v>3595.9356528167996</v>
      </c>
      <c r="J57" s="108">
        <f t="shared" si="9"/>
        <v>3548.9871378621383</v>
      </c>
      <c r="K57" s="106">
        <f t="shared" si="9"/>
        <v>0</v>
      </c>
      <c r="L57" s="106"/>
      <c r="M57" s="106"/>
      <c r="N57" s="106"/>
      <c r="O57" s="106"/>
      <c r="P57" s="106"/>
      <c r="Q57" s="107"/>
      <c r="S57" s="48" t="s">
        <v>90</v>
      </c>
    </row>
    <row r="58" spans="3:19" x14ac:dyDescent="0.5">
      <c r="C58" s="405"/>
      <c r="D58" s="406"/>
      <c r="E58" s="50" t="s">
        <v>49</v>
      </c>
      <c r="F58" s="106">
        <f t="shared" si="9"/>
        <v>0</v>
      </c>
      <c r="G58" s="106">
        <f t="shared" si="9"/>
        <v>0</v>
      </c>
      <c r="H58" s="106">
        <f t="shared" si="9"/>
        <v>0</v>
      </c>
      <c r="I58" s="106">
        <f t="shared" si="9"/>
        <v>0</v>
      </c>
      <c r="J58" s="106">
        <f t="shared" si="9"/>
        <v>0</v>
      </c>
      <c r="K58" s="106">
        <f t="shared" si="9"/>
        <v>0</v>
      </c>
      <c r="L58" s="106"/>
      <c r="M58" s="106"/>
      <c r="N58" s="106"/>
      <c r="O58" s="106"/>
      <c r="P58" s="106"/>
      <c r="Q58" s="107"/>
    </row>
    <row r="59" spans="3:19" x14ac:dyDescent="0.5">
      <c r="C59" s="405"/>
      <c r="D59" s="406"/>
      <c r="E59" s="51" t="s">
        <v>50</v>
      </c>
      <c r="F59" s="110">
        <f t="shared" si="9"/>
        <v>551.79644230634767</v>
      </c>
      <c r="G59" s="110">
        <f t="shared" si="9"/>
        <v>569.05003430294437</v>
      </c>
      <c r="H59" s="110">
        <f t="shared" si="9"/>
        <v>562.948743522722</v>
      </c>
      <c r="I59" s="110">
        <f t="shared" si="9"/>
        <v>575.27219560156414</v>
      </c>
      <c r="J59" s="110">
        <f t="shared" si="9"/>
        <v>601.48087384047665</v>
      </c>
      <c r="K59" s="111">
        <f t="shared" si="9"/>
        <v>0</v>
      </c>
      <c r="L59" s="111"/>
      <c r="M59" s="111"/>
      <c r="N59" s="111"/>
      <c r="O59" s="111"/>
      <c r="P59" s="111"/>
      <c r="Q59" s="112"/>
      <c r="S59" s="48" t="s">
        <v>80</v>
      </c>
    </row>
    <row r="60" spans="3:19" x14ac:dyDescent="0.5">
      <c r="C60" s="405"/>
      <c r="D60" s="406"/>
      <c r="E60" s="52" t="s">
        <v>51</v>
      </c>
      <c r="F60" s="113">
        <f t="shared" si="9"/>
        <v>1920.7236791152279</v>
      </c>
      <c r="G60" s="113">
        <f t="shared" si="9"/>
        <v>2127.7482415716713</v>
      </c>
      <c r="H60" s="113">
        <f t="shared" si="9"/>
        <v>1973.8868513460786</v>
      </c>
      <c r="I60" s="113">
        <f t="shared" si="9"/>
        <v>1976.5888915075811</v>
      </c>
      <c r="J60" s="113">
        <f t="shared" si="9"/>
        <v>1869.26713920063</v>
      </c>
      <c r="K60" s="114">
        <f t="shared" si="9"/>
        <v>0</v>
      </c>
      <c r="L60" s="114"/>
      <c r="M60" s="114"/>
      <c r="N60" s="114"/>
      <c r="O60" s="114"/>
      <c r="P60" s="114"/>
      <c r="Q60" s="115"/>
      <c r="S60" s="48" t="s">
        <v>81</v>
      </c>
    </row>
    <row r="61" spans="3:19" x14ac:dyDescent="0.5">
      <c r="C61" s="405"/>
      <c r="D61" s="406"/>
      <c r="E61" s="50" t="s">
        <v>94</v>
      </c>
      <c r="F61" s="108">
        <f t="shared" si="9"/>
        <v>0</v>
      </c>
      <c r="G61" s="108">
        <f t="shared" si="9"/>
        <v>0</v>
      </c>
      <c r="H61" s="108">
        <f t="shared" si="9"/>
        <v>0</v>
      </c>
      <c r="I61" s="108">
        <f t="shared" si="9"/>
        <v>0</v>
      </c>
      <c r="J61" s="108">
        <f t="shared" si="9"/>
        <v>0</v>
      </c>
      <c r="K61" s="106">
        <f t="shared" si="9"/>
        <v>0</v>
      </c>
      <c r="L61" s="106"/>
      <c r="M61" s="106"/>
      <c r="N61" s="106"/>
      <c r="O61" s="106"/>
      <c r="P61" s="106"/>
      <c r="Q61" s="107"/>
      <c r="S61" s="48" t="s">
        <v>82</v>
      </c>
    </row>
    <row r="62" spans="3:19" x14ac:dyDescent="0.5">
      <c r="C62" s="407" t="s">
        <v>52</v>
      </c>
      <c r="D62" s="407"/>
      <c r="E62" s="408"/>
      <c r="F62" s="116">
        <f t="shared" si="9"/>
        <v>710.53932337434082</v>
      </c>
      <c r="G62" s="116">
        <f t="shared" si="9"/>
        <v>740.12996554630809</v>
      </c>
      <c r="H62" s="116">
        <f t="shared" si="9"/>
        <v>713.45828034984379</v>
      </c>
      <c r="I62" s="116">
        <f t="shared" si="9"/>
        <v>702.3291519645071</v>
      </c>
      <c r="J62" s="116">
        <f t="shared" si="9"/>
        <v>696.08245499939915</v>
      </c>
      <c r="K62" s="116">
        <f t="shared" si="9"/>
        <v>0</v>
      </c>
      <c r="L62" s="116"/>
      <c r="M62" s="116"/>
      <c r="N62" s="116"/>
      <c r="O62" s="116"/>
      <c r="P62" s="116"/>
      <c r="Q62" s="117"/>
      <c r="S62" s="48" t="s">
        <v>83</v>
      </c>
    </row>
    <row r="63" spans="3:19" x14ac:dyDescent="0.5">
      <c r="C63" s="407" t="s">
        <v>53</v>
      </c>
      <c r="D63" s="407"/>
      <c r="E63" s="408"/>
      <c r="F63" s="116">
        <f t="shared" si="9"/>
        <v>731.38202521116864</v>
      </c>
      <c r="G63" s="116">
        <f t="shared" si="9"/>
        <v>708.10686672280485</v>
      </c>
      <c r="H63" s="116">
        <f t="shared" si="9"/>
        <v>728.61956950727097</v>
      </c>
      <c r="I63" s="116">
        <f t="shared" si="9"/>
        <v>710.76698070182556</v>
      </c>
      <c r="J63" s="116">
        <f t="shared" si="9"/>
        <v>649.10980430245877</v>
      </c>
      <c r="K63" s="116">
        <f t="shared" si="9"/>
        <v>0</v>
      </c>
      <c r="L63" s="116"/>
      <c r="M63" s="116"/>
      <c r="N63" s="116"/>
      <c r="O63" s="116"/>
      <c r="P63" s="116"/>
      <c r="Q63" s="117"/>
      <c r="S63" s="48" t="s">
        <v>83</v>
      </c>
    </row>
    <row r="64" spans="3:19" x14ac:dyDescent="0.5">
      <c r="C64" s="409" t="s">
        <v>54</v>
      </c>
      <c r="D64" s="409"/>
      <c r="E64" s="410"/>
      <c r="F64" s="118">
        <f t="shared" si="9"/>
        <v>0</v>
      </c>
      <c r="G64" s="118">
        <f t="shared" si="9"/>
        <v>0</v>
      </c>
      <c r="H64" s="118">
        <f t="shared" si="9"/>
        <v>0</v>
      </c>
      <c r="I64" s="118">
        <f t="shared" si="9"/>
        <v>0</v>
      </c>
      <c r="J64" s="118">
        <f t="shared" si="9"/>
        <v>0</v>
      </c>
      <c r="K64" s="118">
        <f t="shared" si="9"/>
        <v>0</v>
      </c>
      <c r="L64" s="118"/>
      <c r="M64" s="118"/>
      <c r="N64" s="118"/>
      <c r="O64" s="118"/>
      <c r="P64" s="118"/>
      <c r="Q64" s="119"/>
      <c r="S64" s="48" t="s">
        <v>84</v>
      </c>
    </row>
    <row r="65" spans="3:19" x14ac:dyDescent="0.5">
      <c r="C65" s="411" t="s">
        <v>56</v>
      </c>
      <c r="D65" s="411"/>
      <c r="E65" s="412"/>
      <c r="F65" s="120">
        <f t="shared" si="9"/>
        <v>0</v>
      </c>
      <c r="G65" s="120">
        <f t="shared" si="9"/>
        <v>0</v>
      </c>
      <c r="H65" s="120">
        <f t="shared" si="9"/>
        <v>0</v>
      </c>
      <c r="I65" s="120">
        <f t="shared" si="9"/>
        <v>0</v>
      </c>
      <c r="J65" s="120">
        <f t="shared" si="9"/>
        <v>0</v>
      </c>
      <c r="K65" s="120">
        <f t="shared" si="9"/>
        <v>0</v>
      </c>
      <c r="L65" s="120"/>
      <c r="M65" s="120"/>
      <c r="N65" s="120"/>
      <c r="O65" s="120"/>
      <c r="P65" s="120"/>
      <c r="Q65" s="121"/>
      <c r="S65" s="48" t="s">
        <v>85</v>
      </c>
    </row>
    <row r="66" spans="3:19" x14ac:dyDescent="0.5"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3:19" x14ac:dyDescent="0.5">
      <c r="C67" s="402" t="s">
        <v>71</v>
      </c>
      <c r="D67" s="402"/>
      <c r="E67" s="402"/>
      <c r="F67" s="72" t="s">
        <v>57</v>
      </c>
      <c r="G67" s="72" t="s">
        <v>58</v>
      </c>
      <c r="H67" s="72" t="s">
        <v>59</v>
      </c>
      <c r="I67" s="72" t="s">
        <v>60</v>
      </c>
      <c r="J67" s="72" t="s">
        <v>61</v>
      </c>
      <c r="K67" s="72" t="s">
        <v>62</v>
      </c>
      <c r="L67" s="72" t="s">
        <v>63</v>
      </c>
      <c r="M67" s="72" t="s">
        <v>64</v>
      </c>
      <c r="N67" s="72" t="s">
        <v>65</v>
      </c>
      <c r="O67" s="72" t="s">
        <v>66</v>
      </c>
      <c r="P67" s="72" t="s">
        <v>67</v>
      </c>
      <c r="Q67" s="73" t="s">
        <v>68</v>
      </c>
    </row>
    <row r="68" spans="3:19" x14ac:dyDescent="0.5">
      <c r="C68" s="396" t="s">
        <v>42</v>
      </c>
      <c r="D68" s="397"/>
      <c r="E68" s="67" t="s">
        <v>55</v>
      </c>
      <c r="F68" s="53">
        <f>SUM(F69:F77)</f>
        <v>6.5771840090909084</v>
      </c>
      <c r="G68" s="53">
        <f>SUM(G69:G77)</f>
        <v>7.1815229</v>
      </c>
      <c r="H68" s="53">
        <f>SUM(H69:H77)</f>
        <v>7.5357089163636353</v>
      </c>
      <c r="I68" s="53">
        <f>SUM(I69:I77)</f>
        <v>6.590360009090908</v>
      </c>
      <c r="J68" s="53">
        <f>SUM(J69:J77)</f>
        <v>6.4865683090909094</v>
      </c>
      <c r="K68" s="53">
        <f t="shared" ref="K68:Q68" si="10">SUM(K69:K77)</f>
        <v>0</v>
      </c>
      <c r="L68" s="53">
        <f t="shared" si="10"/>
        <v>0</v>
      </c>
      <c r="M68" s="53">
        <f t="shared" si="10"/>
        <v>0</v>
      </c>
      <c r="N68" s="53">
        <f t="shared" si="10"/>
        <v>0</v>
      </c>
      <c r="O68" s="53">
        <f t="shared" si="10"/>
        <v>0</v>
      </c>
      <c r="P68" s="53">
        <f t="shared" si="10"/>
        <v>0</v>
      </c>
      <c r="Q68" s="54">
        <f t="shared" si="10"/>
        <v>0</v>
      </c>
    </row>
    <row r="69" spans="3:19" x14ac:dyDescent="0.5">
      <c r="C69" s="398"/>
      <c r="D69" s="399"/>
      <c r="E69" s="74" t="s">
        <v>72</v>
      </c>
      <c r="F69" s="57">
        <f>'관리수수료 트렌드 정리'!$AE87</f>
        <v>1.997533909090909</v>
      </c>
      <c r="G69" s="57">
        <f>'관리수수료 트렌드 정리'!$AE88</f>
        <v>2.0294241181818182</v>
      </c>
      <c r="H69" s="57">
        <f>'관리수수료 트렌드 정리'!$AE89</f>
        <v>2.2323665300000002</v>
      </c>
      <c r="I69" s="57">
        <f>'관리수수료 트렌드 정리'!$AE90</f>
        <v>1.8044475454545452</v>
      </c>
      <c r="J69" s="57">
        <f>'관리수수료 트렌드 정리'!$AE91</f>
        <v>1.7026086363636364</v>
      </c>
      <c r="K69" s="57"/>
      <c r="L69" s="57"/>
      <c r="M69" s="57"/>
      <c r="N69" s="57"/>
      <c r="O69" s="57"/>
      <c r="P69" s="57"/>
      <c r="Q69" s="58"/>
      <c r="S69" s="48" t="s">
        <v>86</v>
      </c>
    </row>
    <row r="70" spans="3:19" x14ac:dyDescent="0.5">
      <c r="C70" s="398"/>
      <c r="D70" s="399"/>
      <c r="E70" s="74" t="s">
        <v>73</v>
      </c>
      <c r="F70" s="81">
        <f>'관리수수료 트렌드 정리'!$U87</f>
        <v>3.4875360999999998</v>
      </c>
      <c r="G70" s="81">
        <f>'관리수수료 트렌드 정리'!$U88</f>
        <v>3.8872113545454545</v>
      </c>
      <c r="H70" s="81">
        <f>'관리수수료 트렌드 정리'!$U89</f>
        <v>4.1244590727272721</v>
      </c>
      <c r="I70" s="81">
        <f>'관리수수료 트렌드 정리'!$U90</f>
        <v>3.6559633545454542</v>
      </c>
      <c r="J70" s="81">
        <f>'관리수수료 트렌드 정리'!$U91</f>
        <v>3.6748937363636363</v>
      </c>
      <c r="K70" s="55"/>
      <c r="L70" s="55"/>
      <c r="M70" s="55"/>
      <c r="N70" s="55"/>
      <c r="O70" s="55"/>
      <c r="P70" s="55"/>
      <c r="Q70" s="56"/>
      <c r="S70" s="48" t="s">
        <v>87</v>
      </c>
    </row>
    <row r="71" spans="3:19" x14ac:dyDescent="0.5">
      <c r="C71" s="398"/>
      <c r="D71" s="399"/>
      <c r="E71" s="74" t="s">
        <v>46</v>
      </c>
      <c r="F71" s="81">
        <f>'관리수수료 트렌드 정리'!$T87</f>
        <v>0.73715763636363629</v>
      </c>
      <c r="G71" s="81">
        <f>'관리수수료 트렌드 정리'!$T88</f>
        <v>0.8785777272727272</v>
      </c>
      <c r="H71" s="81">
        <f>'관리수수료 트렌드 정리'!$T89</f>
        <v>0.81444236363636358</v>
      </c>
      <c r="I71" s="81">
        <f>'관리수수료 트렌드 정리'!$T90</f>
        <v>0.79583690909090898</v>
      </c>
      <c r="J71" s="81">
        <f>'관리수수료 트렌드 정리'!$T91</f>
        <v>0.79464063636363624</v>
      </c>
      <c r="K71" s="55"/>
      <c r="L71" s="55"/>
      <c r="M71" s="55"/>
      <c r="N71" s="55"/>
      <c r="O71" s="55"/>
      <c r="P71" s="55"/>
      <c r="Q71" s="56"/>
      <c r="S71" s="48" t="s">
        <v>91</v>
      </c>
    </row>
    <row r="72" spans="3:19" x14ac:dyDescent="0.5">
      <c r="C72" s="398"/>
      <c r="D72" s="399"/>
      <c r="E72" s="74" t="s">
        <v>74</v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60"/>
    </row>
    <row r="73" spans="3:19" x14ac:dyDescent="0.5">
      <c r="C73" s="398"/>
      <c r="D73" s="399"/>
      <c r="E73" s="68" t="s">
        <v>75</v>
      </c>
      <c r="F73" s="81">
        <f>'관리수수료 트렌드 정리'!$AK87</f>
        <v>0.35495636363636357</v>
      </c>
      <c r="G73" s="81">
        <f>'관리수수료 트렌드 정리'!$AK88</f>
        <v>0.38630969999999998</v>
      </c>
      <c r="H73" s="81">
        <f>'관리수수료 트렌드 정리'!$AK89</f>
        <v>0.36444094999999999</v>
      </c>
      <c r="I73" s="81">
        <f>'관리수수료 트렌드 정리'!$AK90</f>
        <v>0.33411220000000003</v>
      </c>
      <c r="J73" s="81">
        <f>'관리수수료 트렌드 정리'!$AK91</f>
        <v>0.31442530000000002</v>
      </c>
      <c r="K73" s="55"/>
      <c r="L73" s="55"/>
      <c r="M73" s="55"/>
      <c r="N73" s="55"/>
      <c r="O73" s="55"/>
      <c r="P73" s="55"/>
      <c r="Q73" s="56"/>
      <c r="S73" s="48" t="s">
        <v>88</v>
      </c>
    </row>
    <row r="74" spans="3:19" x14ac:dyDescent="0.5">
      <c r="C74" s="398"/>
      <c r="D74" s="399"/>
      <c r="E74" s="69" t="s">
        <v>78</v>
      </c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60"/>
    </row>
    <row r="75" spans="3:19" x14ac:dyDescent="0.5">
      <c r="C75" s="398"/>
      <c r="D75" s="399"/>
      <c r="E75" s="70" t="s">
        <v>76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6"/>
    </row>
    <row r="76" spans="3:19" x14ac:dyDescent="0.5">
      <c r="C76" s="398"/>
      <c r="D76" s="399"/>
      <c r="E76" s="74" t="s">
        <v>51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6"/>
    </row>
    <row r="77" spans="3:19" x14ac:dyDescent="0.5">
      <c r="C77" s="400"/>
      <c r="D77" s="401"/>
      <c r="E77" s="71" t="s">
        <v>77</v>
      </c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60"/>
    </row>
    <row r="79" spans="3:19" x14ac:dyDescent="0.5">
      <c r="F79" s="79">
        <f>F4+F68+F14+F15+F16+F17</f>
        <v>49.908212999953861</v>
      </c>
      <c r="G79" s="79">
        <f t="shared" ref="G79:Q79" si="11">G4+G68+G14+G15+G16+G17</f>
        <v>52.986552610000018</v>
      </c>
      <c r="H79" s="79">
        <f t="shared" si="11"/>
        <v>49.287110814545436</v>
      </c>
      <c r="I79" s="79">
        <f t="shared" si="11"/>
        <v>56.568699022727301</v>
      </c>
      <c r="J79" s="79">
        <f t="shared" si="11"/>
        <v>46.256134682727279</v>
      </c>
      <c r="K79" s="79">
        <f t="shared" si="11"/>
        <v>0</v>
      </c>
      <c r="L79" s="79">
        <f t="shared" si="11"/>
        <v>0</v>
      </c>
      <c r="M79" s="79">
        <f t="shared" si="11"/>
        <v>0</v>
      </c>
      <c r="N79" s="79">
        <f t="shared" si="11"/>
        <v>0</v>
      </c>
      <c r="O79" s="79">
        <f t="shared" si="11"/>
        <v>0</v>
      </c>
      <c r="P79" s="79">
        <f t="shared" si="11"/>
        <v>0</v>
      </c>
      <c r="Q79" s="79">
        <f t="shared" si="11"/>
        <v>0</v>
      </c>
    </row>
  </sheetData>
  <mergeCells count="26">
    <mergeCell ref="C17:E17"/>
    <mergeCell ref="C3:E3"/>
    <mergeCell ref="C4:D13"/>
    <mergeCell ref="C14:E14"/>
    <mergeCell ref="C15:E15"/>
    <mergeCell ref="C16:E16"/>
    <mergeCell ref="C49:E49"/>
    <mergeCell ref="C19:E19"/>
    <mergeCell ref="C20:D29"/>
    <mergeCell ref="C30:E30"/>
    <mergeCell ref="C31:E31"/>
    <mergeCell ref="C32:E32"/>
    <mergeCell ref="C33:E33"/>
    <mergeCell ref="C35:E35"/>
    <mergeCell ref="C36:D45"/>
    <mergeCell ref="C46:E46"/>
    <mergeCell ref="C47:E47"/>
    <mergeCell ref="C48:E48"/>
    <mergeCell ref="C67:E67"/>
    <mergeCell ref="C68:D77"/>
    <mergeCell ref="C51:E51"/>
    <mergeCell ref="C52:D61"/>
    <mergeCell ref="C62:E62"/>
    <mergeCell ref="C63:E63"/>
    <mergeCell ref="C64:E64"/>
    <mergeCell ref="C65:E6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10</vt:i4>
      </vt:variant>
    </vt:vector>
  </HeadingPairs>
  <TitlesOfParts>
    <vt:vector size="28" baseType="lpstr">
      <vt:lpstr>종합</vt:lpstr>
      <vt:lpstr>종합(E)</vt:lpstr>
      <vt:lpstr>소매</vt:lpstr>
      <vt:lpstr>소매 (E)</vt:lpstr>
      <vt:lpstr>도매</vt:lpstr>
      <vt:lpstr>도매(E)</vt:lpstr>
      <vt:lpstr>디지털</vt:lpstr>
      <vt:lpstr>디지털(E)</vt:lpstr>
      <vt:lpstr>디지털 보고서</vt:lpstr>
      <vt:lpstr>B2B</vt:lpstr>
      <vt:lpstr>B2B(E)</vt:lpstr>
      <vt:lpstr>소상공인</vt:lpstr>
      <vt:lpstr>소상공인(E)</vt:lpstr>
      <vt:lpstr>관리수수료 트렌드 정리</vt:lpstr>
      <vt:lpstr>최근 5개년 관리수수료 트렌드</vt:lpstr>
      <vt:lpstr>(참고) 연결용</vt:lpstr>
      <vt:lpstr>(참고) 연결용 (가입자 무선)</vt:lpstr>
      <vt:lpstr>(참고) 연결용 (가입자 포함) (2)</vt:lpstr>
      <vt:lpstr>B2B!Print_Area</vt:lpstr>
      <vt:lpstr>'B2B(E)'!Print_Area</vt:lpstr>
      <vt:lpstr>도매!Print_Area</vt:lpstr>
      <vt:lpstr>'도매(E)'!Print_Area</vt:lpstr>
      <vt:lpstr>디지털!Print_Area</vt:lpstr>
      <vt:lpstr>'디지털(E)'!Print_Area</vt:lpstr>
      <vt:lpstr>소매!Print_Area</vt:lpstr>
      <vt:lpstr>'소매 (E)'!Print_Area</vt:lpstr>
      <vt:lpstr>소상공인!Print_Area</vt:lpstr>
      <vt:lpstr>'소상공인(E)'!Print_Area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KTMNS</dc:creator>
  <cp:lastModifiedBy>kt m&amp;s</cp:lastModifiedBy>
  <cp:lastPrinted>2026-01-21T23:53:56Z</cp:lastPrinted>
  <dcterms:created xsi:type="dcterms:W3CDTF">2020-06-11T06:47:05Z</dcterms:created>
  <dcterms:modified xsi:type="dcterms:W3CDTF">2026-01-22T07:20:46Z</dcterms:modified>
</cp:coreProperties>
</file>