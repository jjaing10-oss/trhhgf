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heckCompatibility="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2194BCF-8952-4A3A-ADBC-350B23BDE4E3}" xr6:coauthVersionLast="47" xr6:coauthVersionMax="47" xr10:uidLastSave="{00000000-0000-0000-0000-000000000000}"/>
  <bookViews>
    <workbookView xWindow="-110" yWindow="-110" windowWidth="25820" windowHeight="15500" tabRatio="800" activeTab="1" xr2:uid="{00000000-000D-0000-FFFF-FFFF00000000}"/>
  </bookViews>
  <sheets>
    <sheet name="종합" sheetId="58" r:id="rId1"/>
    <sheet name="1월" sheetId="49" r:id="rId2"/>
    <sheet name="2월" sheetId="16" r:id="rId3"/>
    <sheet name="3월" sheetId="60" r:id="rId4"/>
    <sheet name="4월" sheetId="61" r:id="rId5"/>
    <sheet name="5월" sheetId="67" r:id="rId6"/>
    <sheet name="6월" sheetId="68" r:id="rId7"/>
    <sheet name="7월" sheetId="69" r:id="rId8"/>
    <sheet name="8월" sheetId="70" r:id="rId9"/>
    <sheet name="9월" sheetId="71" r:id="rId10"/>
    <sheet name="10월" sheetId="73" r:id="rId11"/>
    <sheet name="11월" sheetId="74" r:id="rId12"/>
    <sheet name="12월" sheetId="75" r:id="rId13"/>
    <sheet name="유통플랫폼" sheetId="62" state="hidden" r:id="rId14"/>
    <sheet name="플랫폼1" sheetId="63" state="hidden" r:id="rId15"/>
    <sheet name="플랫폼2" sheetId="64" state="hidden" r:id="rId16"/>
    <sheet name="모바일" sheetId="65" state="hidden" r:id="rId17"/>
    <sheet name="※ 유심" sheetId="72" state="hidden" r:id="rId18"/>
  </sheets>
  <externalReferences>
    <externalReference r:id="rId19"/>
  </externalReferences>
  <definedNames>
    <definedName name="_xlnm._FilterDatabase" localSheetId="10" hidden="1">'10월'!$A$274:$O$284</definedName>
    <definedName name="_xlnm._FilterDatabase" localSheetId="11" hidden="1">'11월'!$A$274:$O$284</definedName>
    <definedName name="_xlnm._FilterDatabase" localSheetId="12" hidden="1">'12월'!$A$274:$O$284</definedName>
    <definedName name="_xlnm._FilterDatabase" localSheetId="1" hidden="1">'1월'!$A$3:$O$261</definedName>
    <definedName name="_xlnm._FilterDatabase" localSheetId="2" hidden="1">'2월'!$A$274:$O$284</definedName>
    <definedName name="_xlnm._FilterDatabase" localSheetId="3" hidden="1">'3월'!$A$274:$O$284</definedName>
    <definedName name="_xlnm._FilterDatabase" localSheetId="4" hidden="1">'4월'!$A$274:$O$284</definedName>
    <definedName name="_xlnm._FilterDatabase" localSheetId="5" hidden="1">'5월'!$A$274:$O$284</definedName>
    <definedName name="_xlnm._FilterDatabase" localSheetId="6" hidden="1">'6월'!$A$274:$O$284</definedName>
    <definedName name="_xlnm._FilterDatabase" localSheetId="7" hidden="1">'7월'!$A$274:$O$284</definedName>
    <definedName name="_xlnm._FilterDatabase" localSheetId="8" hidden="1">'8월'!$A$274:$O$284</definedName>
    <definedName name="_xlnm._FilterDatabase" localSheetId="9" hidden="1">'9월'!$A$274:$O$284</definedName>
    <definedName name="_xlnm._FilterDatabase" localSheetId="16" hidden="1">모바일!$A$1:$C$76</definedName>
    <definedName name="_xlnm._FilterDatabase" localSheetId="13" hidden="1">유통플랫폼!$H$1:$K$120</definedName>
    <definedName name="_xlnm._FilterDatabase" localSheetId="0" hidden="1">종합!$A$2:$T$261</definedName>
    <definedName name="_xlnm._FilterDatabase" localSheetId="15" hidden="1">플랫폼2!$N$1:$N$105</definedName>
    <definedName name="_xlnm.Print_Area" localSheetId="10">'10월'!$A$1:$M$239</definedName>
    <definedName name="_xlnm.Print_Area" localSheetId="11">'11월'!$A$1:$M$239</definedName>
    <definedName name="_xlnm.Print_Area" localSheetId="12">'12월'!$A$1:$M$239</definedName>
    <definedName name="_xlnm.Print_Area" localSheetId="1">'1월'!$A$1:$O$239</definedName>
    <definedName name="_xlnm.Print_Area" localSheetId="2">'2월'!$A$1:$M$239</definedName>
    <definedName name="_xlnm.Print_Area" localSheetId="3">'3월'!$A$1:$M$239</definedName>
    <definedName name="_xlnm.Print_Area" localSheetId="4">'4월'!$A$1:$M$239</definedName>
    <definedName name="_xlnm.Print_Area" localSheetId="5">'5월'!$A$1:$M$239</definedName>
    <definedName name="_xlnm.Print_Area" localSheetId="6">'6월'!$A$1:$M$239</definedName>
    <definedName name="_xlnm.Print_Area" localSheetId="7">'7월'!$A$1:$M$239</definedName>
    <definedName name="_xlnm.Print_Area" localSheetId="8">'8월'!$A$1:$M$239</definedName>
    <definedName name="_xlnm.Print_Area" localSheetId="9">'9월'!$A$1:$M$239</definedName>
    <definedName name="_xlnm.Print_Area" localSheetId="0">종합!$A$1:$L$238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86" i="49" l="1"/>
  <c r="G286" i="49"/>
  <c r="G264" i="49"/>
  <c r="G25" i="49"/>
  <c r="G18" i="49"/>
  <c r="G17" i="49"/>
  <c r="G16" i="49"/>
  <c r="G15" i="49"/>
  <c r="G14" i="49"/>
  <c r="G4" i="49"/>
  <c r="G3" i="49"/>
  <c r="G27" i="49" s="1"/>
  <c r="G28" i="49"/>
  <c r="G63" i="49" s="1"/>
  <c r="G30" i="49"/>
  <c r="G29" i="49"/>
  <c r="F272" i="49" l="1"/>
  <c r="S261" i="58"/>
  <c r="R261" i="58"/>
  <c r="Q261" i="58"/>
  <c r="P261" i="58"/>
  <c r="O261" i="58"/>
  <c r="T260" i="58"/>
  <c r="S260" i="58"/>
  <c r="R260" i="58"/>
  <c r="Q260" i="58"/>
  <c r="P260" i="58"/>
  <c r="O260" i="58"/>
  <c r="T259" i="58"/>
  <c r="S259" i="58"/>
  <c r="R259" i="58"/>
  <c r="Q259" i="58"/>
  <c r="P259" i="58"/>
  <c r="O259" i="58"/>
  <c r="T258" i="58"/>
  <c r="S258" i="58"/>
  <c r="R258" i="58"/>
  <c r="Q258" i="58"/>
  <c r="P258" i="58"/>
  <c r="O258" i="58"/>
  <c r="T257" i="58"/>
  <c r="S257" i="58"/>
  <c r="R257" i="58"/>
  <c r="Q257" i="58"/>
  <c r="P257" i="58"/>
  <c r="O257" i="58"/>
  <c r="T256" i="58"/>
  <c r="S256" i="58"/>
  <c r="R256" i="58"/>
  <c r="Q256" i="58"/>
  <c r="P256" i="58"/>
  <c r="O256" i="58"/>
  <c r="T255" i="58"/>
  <c r="S255" i="58"/>
  <c r="R255" i="58"/>
  <c r="Q255" i="58"/>
  <c r="P255" i="58"/>
  <c r="O255" i="58"/>
  <c r="T254" i="58"/>
  <c r="S254" i="58"/>
  <c r="R254" i="58"/>
  <c r="Q254" i="58"/>
  <c r="P254" i="58"/>
  <c r="O254" i="58"/>
  <c r="T253" i="58"/>
  <c r="S253" i="58"/>
  <c r="R253" i="58"/>
  <c r="Q253" i="58"/>
  <c r="P253" i="58"/>
  <c r="O253" i="58"/>
  <c r="T252" i="58"/>
  <c r="S252" i="58"/>
  <c r="R252" i="58"/>
  <c r="Q252" i="58"/>
  <c r="P252" i="58"/>
  <c r="O252" i="58"/>
  <c r="T251" i="58"/>
  <c r="S251" i="58"/>
  <c r="R251" i="58"/>
  <c r="Q251" i="58"/>
  <c r="P251" i="58"/>
  <c r="O251" i="58"/>
  <c r="T250" i="58"/>
  <c r="S250" i="58"/>
  <c r="R250" i="58"/>
  <c r="Q250" i="58"/>
  <c r="P250" i="58"/>
  <c r="O250" i="58"/>
  <c r="T249" i="58"/>
  <c r="S249" i="58"/>
  <c r="R249" i="58"/>
  <c r="Q249" i="58"/>
  <c r="P249" i="58"/>
  <c r="O249" i="58"/>
  <c r="T248" i="58"/>
  <c r="S248" i="58"/>
  <c r="R248" i="58"/>
  <c r="Q248" i="58"/>
  <c r="P248" i="58"/>
  <c r="O248" i="58"/>
  <c r="T247" i="58"/>
  <c r="S247" i="58"/>
  <c r="R247" i="58"/>
  <c r="Q247" i="58"/>
  <c r="P247" i="58"/>
  <c r="O247" i="58"/>
  <c r="T246" i="58"/>
  <c r="S246" i="58"/>
  <c r="R246" i="58"/>
  <c r="Q246" i="58"/>
  <c r="P246" i="58"/>
  <c r="O246" i="58"/>
  <c r="T245" i="58"/>
  <c r="S245" i="58"/>
  <c r="R245" i="58"/>
  <c r="Q245" i="58"/>
  <c r="P245" i="58"/>
  <c r="O245" i="58"/>
  <c r="T244" i="58"/>
  <c r="S244" i="58"/>
  <c r="R244" i="58"/>
  <c r="Q244" i="58"/>
  <c r="P244" i="58"/>
  <c r="O244" i="58"/>
  <c r="T243" i="58"/>
  <c r="S243" i="58"/>
  <c r="R243" i="58"/>
  <c r="Q243" i="58"/>
  <c r="P243" i="58"/>
  <c r="O243" i="58"/>
  <c r="T242" i="58"/>
  <c r="S242" i="58"/>
  <c r="R242" i="58"/>
  <c r="Q242" i="58"/>
  <c r="P242" i="58"/>
  <c r="O242" i="58"/>
  <c r="T241" i="58"/>
  <c r="S241" i="58"/>
  <c r="R241" i="58"/>
  <c r="Q241" i="58"/>
  <c r="P241" i="58"/>
  <c r="O241" i="58"/>
  <c r="T240" i="58"/>
  <c r="S240" i="58"/>
  <c r="R240" i="58"/>
  <c r="Q240" i="58"/>
  <c r="P240" i="58"/>
  <c r="O240" i="58"/>
  <c r="T238" i="58"/>
  <c r="S238" i="58"/>
  <c r="R238" i="58"/>
  <c r="Q238" i="58"/>
  <c r="P238" i="58"/>
  <c r="O238" i="58"/>
  <c r="T237" i="58"/>
  <c r="S237" i="58"/>
  <c r="R237" i="58"/>
  <c r="Q237" i="58"/>
  <c r="P237" i="58"/>
  <c r="O237" i="58"/>
  <c r="T236" i="58"/>
  <c r="S236" i="58"/>
  <c r="R236" i="58"/>
  <c r="Q236" i="58"/>
  <c r="P236" i="58"/>
  <c r="O236" i="58"/>
  <c r="T235" i="58"/>
  <c r="S235" i="58"/>
  <c r="R235" i="58"/>
  <c r="Q235" i="58"/>
  <c r="P235" i="58"/>
  <c r="O235" i="58"/>
  <c r="T234" i="58"/>
  <c r="S234" i="58"/>
  <c r="R234" i="58"/>
  <c r="Q234" i="58"/>
  <c r="P234" i="58"/>
  <c r="O234" i="58"/>
  <c r="T233" i="58"/>
  <c r="S233" i="58"/>
  <c r="R233" i="58"/>
  <c r="Q233" i="58"/>
  <c r="P233" i="58"/>
  <c r="O233" i="58"/>
  <c r="T232" i="58"/>
  <c r="S232" i="58"/>
  <c r="R232" i="58"/>
  <c r="Q232" i="58"/>
  <c r="P232" i="58"/>
  <c r="O232" i="58"/>
  <c r="T231" i="58"/>
  <c r="S231" i="58"/>
  <c r="R231" i="58"/>
  <c r="Q231" i="58"/>
  <c r="P231" i="58"/>
  <c r="O231" i="58"/>
  <c r="T230" i="58"/>
  <c r="S230" i="58"/>
  <c r="R230" i="58"/>
  <c r="Q230" i="58"/>
  <c r="P230" i="58"/>
  <c r="O230" i="58"/>
  <c r="T229" i="58"/>
  <c r="S229" i="58"/>
  <c r="R229" i="58"/>
  <c r="Q229" i="58"/>
  <c r="P229" i="58"/>
  <c r="O229" i="58"/>
  <c r="T228" i="58"/>
  <c r="S228" i="58"/>
  <c r="R228" i="58"/>
  <c r="Q228" i="58"/>
  <c r="P228" i="58"/>
  <c r="O228" i="58"/>
  <c r="T227" i="58"/>
  <c r="S227" i="58"/>
  <c r="R227" i="58"/>
  <c r="Q227" i="58"/>
  <c r="P227" i="58"/>
  <c r="O227" i="58"/>
  <c r="T226" i="58"/>
  <c r="S226" i="58"/>
  <c r="R226" i="58"/>
  <c r="Q226" i="58"/>
  <c r="P226" i="58"/>
  <c r="O226" i="58"/>
  <c r="T225" i="58"/>
  <c r="S225" i="58"/>
  <c r="R225" i="58"/>
  <c r="Q225" i="58"/>
  <c r="P225" i="58"/>
  <c r="O225" i="58"/>
  <c r="T224" i="58"/>
  <c r="S224" i="58"/>
  <c r="R224" i="58"/>
  <c r="Q224" i="58"/>
  <c r="P224" i="58"/>
  <c r="O224" i="58"/>
  <c r="T223" i="58"/>
  <c r="S223" i="58"/>
  <c r="R223" i="58"/>
  <c r="Q223" i="58"/>
  <c r="P223" i="58"/>
  <c r="O223" i="58"/>
  <c r="T222" i="58"/>
  <c r="S222" i="58"/>
  <c r="R222" i="58"/>
  <c r="Q222" i="58"/>
  <c r="P222" i="58"/>
  <c r="O222" i="58"/>
  <c r="T221" i="58"/>
  <c r="S221" i="58"/>
  <c r="R221" i="58"/>
  <c r="Q221" i="58"/>
  <c r="P221" i="58"/>
  <c r="O221" i="58"/>
  <c r="T220" i="58"/>
  <c r="S220" i="58"/>
  <c r="R220" i="58"/>
  <c r="Q220" i="58"/>
  <c r="P220" i="58"/>
  <c r="O220" i="58"/>
  <c r="T219" i="58"/>
  <c r="S219" i="58"/>
  <c r="R219" i="58"/>
  <c r="Q219" i="58"/>
  <c r="P219" i="58"/>
  <c r="O219" i="58"/>
  <c r="T218" i="58"/>
  <c r="S218" i="58"/>
  <c r="R218" i="58"/>
  <c r="Q218" i="58"/>
  <c r="P218" i="58"/>
  <c r="O218" i="58"/>
  <c r="T217" i="58"/>
  <c r="S217" i="58"/>
  <c r="R217" i="58"/>
  <c r="Q217" i="58"/>
  <c r="P217" i="58"/>
  <c r="O217" i="58"/>
  <c r="T216" i="58"/>
  <c r="S216" i="58"/>
  <c r="R216" i="58"/>
  <c r="Q216" i="58"/>
  <c r="P216" i="58"/>
  <c r="O216" i="58"/>
  <c r="T215" i="58"/>
  <c r="S215" i="58"/>
  <c r="R215" i="58"/>
  <c r="Q215" i="58"/>
  <c r="P215" i="58"/>
  <c r="O215" i="58"/>
  <c r="T214" i="58"/>
  <c r="S214" i="58"/>
  <c r="R214" i="58"/>
  <c r="Q214" i="58"/>
  <c r="P214" i="58"/>
  <c r="O214" i="58"/>
  <c r="T213" i="58"/>
  <c r="S213" i="58"/>
  <c r="R213" i="58"/>
  <c r="Q213" i="58"/>
  <c r="P213" i="58"/>
  <c r="O213" i="58"/>
  <c r="T212" i="58"/>
  <c r="S212" i="58"/>
  <c r="R212" i="58"/>
  <c r="Q212" i="58"/>
  <c r="P212" i="58"/>
  <c r="O212" i="58"/>
  <c r="T211" i="58"/>
  <c r="S211" i="58"/>
  <c r="R211" i="58"/>
  <c r="Q211" i="58"/>
  <c r="P211" i="58"/>
  <c r="O211" i="58"/>
  <c r="T210" i="58"/>
  <c r="S210" i="58"/>
  <c r="R210" i="58"/>
  <c r="Q210" i="58"/>
  <c r="P210" i="58"/>
  <c r="O210" i="58"/>
  <c r="T209" i="58"/>
  <c r="S209" i="58"/>
  <c r="R209" i="58"/>
  <c r="Q209" i="58"/>
  <c r="P209" i="58"/>
  <c r="O209" i="58"/>
  <c r="T208" i="58"/>
  <c r="S208" i="58"/>
  <c r="R208" i="58"/>
  <c r="Q208" i="58"/>
  <c r="P208" i="58"/>
  <c r="O208" i="58"/>
  <c r="T207" i="58"/>
  <c r="S207" i="58"/>
  <c r="R207" i="58"/>
  <c r="Q207" i="58"/>
  <c r="P207" i="58"/>
  <c r="O207" i="58"/>
  <c r="T206" i="58"/>
  <c r="S206" i="58"/>
  <c r="R206" i="58"/>
  <c r="Q206" i="58"/>
  <c r="P206" i="58"/>
  <c r="O206" i="58"/>
  <c r="T205" i="58"/>
  <c r="S205" i="58"/>
  <c r="R205" i="58"/>
  <c r="Q205" i="58"/>
  <c r="P205" i="58"/>
  <c r="O205" i="58"/>
  <c r="S204" i="58"/>
  <c r="R204" i="58"/>
  <c r="Q204" i="58"/>
  <c r="P204" i="58"/>
  <c r="O204" i="58"/>
  <c r="T203" i="58"/>
  <c r="S203" i="58"/>
  <c r="R203" i="58"/>
  <c r="Q203" i="58"/>
  <c r="P203" i="58"/>
  <c r="O203" i="58"/>
  <c r="S202" i="58"/>
  <c r="R202" i="58"/>
  <c r="Q202" i="58"/>
  <c r="P202" i="58"/>
  <c r="O202" i="58"/>
  <c r="T201" i="58"/>
  <c r="S201" i="58"/>
  <c r="R201" i="58"/>
  <c r="Q201" i="58"/>
  <c r="P201" i="58"/>
  <c r="O201" i="58"/>
  <c r="T200" i="58"/>
  <c r="S200" i="58"/>
  <c r="R200" i="58"/>
  <c r="Q200" i="58"/>
  <c r="P200" i="58"/>
  <c r="O200" i="58"/>
  <c r="T199" i="58"/>
  <c r="S199" i="58"/>
  <c r="R199" i="58"/>
  <c r="Q199" i="58"/>
  <c r="P199" i="58"/>
  <c r="O199" i="58"/>
  <c r="T198" i="58"/>
  <c r="S198" i="58"/>
  <c r="R198" i="58"/>
  <c r="Q198" i="58"/>
  <c r="P198" i="58"/>
  <c r="O198" i="58"/>
  <c r="T197" i="58"/>
  <c r="S197" i="58"/>
  <c r="R197" i="58"/>
  <c r="Q197" i="58"/>
  <c r="P197" i="58"/>
  <c r="O197" i="58"/>
  <c r="T196" i="58"/>
  <c r="S196" i="58"/>
  <c r="R196" i="58"/>
  <c r="Q196" i="58"/>
  <c r="P196" i="58"/>
  <c r="O196" i="58"/>
  <c r="S195" i="58"/>
  <c r="R195" i="58"/>
  <c r="Q195" i="58"/>
  <c r="P195" i="58"/>
  <c r="O195" i="58"/>
  <c r="S194" i="58"/>
  <c r="R194" i="58"/>
  <c r="Q194" i="58"/>
  <c r="P194" i="58"/>
  <c r="O194" i="58"/>
  <c r="T193" i="58"/>
  <c r="S193" i="58"/>
  <c r="R193" i="58"/>
  <c r="Q193" i="58"/>
  <c r="P193" i="58"/>
  <c r="O193" i="58"/>
  <c r="T192" i="58"/>
  <c r="S192" i="58"/>
  <c r="R192" i="58"/>
  <c r="Q192" i="58"/>
  <c r="P192" i="58"/>
  <c r="O192" i="58"/>
  <c r="T191" i="58"/>
  <c r="S191" i="58"/>
  <c r="R191" i="58"/>
  <c r="Q191" i="58"/>
  <c r="P191" i="58"/>
  <c r="O191" i="58"/>
  <c r="T190" i="58"/>
  <c r="S190" i="58"/>
  <c r="R190" i="58"/>
  <c r="Q190" i="58"/>
  <c r="P190" i="58"/>
  <c r="O190" i="58"/>
  <c r="T189" i="58"/>
  <c r="S189" i="58"/>
  <c r="R189" i="58"/>
  <c r="Q189" i="58"/>
  <c r="P189" i="58"/>
  <c r="O189" i="58"/>
  <c r="T188" i="58"/>
  <c r="S188" i="58"/>
  <c r="R188" i="58"/>
  <c r="Q188" i="58"/>
  <c r="P188" i="58"/>
  <c r="O188" i="58"/>
  <c r="T187" i="58"/>
  <c r="S187" i="58"/>
  <c r="R187" i="58"/>
  <c r="Q187" i="58"/>
  <c r="P187" i="58"/>
  <c r="O187" i="58"/>
  <c r="T186" i="58"/>
  <c r="S186" i="58"/>
  <c r="R186" i="58"/>
  <c r="Q186" i="58"/>
  <c r="P186" i="58"/>
  <c r="O186" i="58"/>
  <c r="T185" i="58"/>
  <c r="S185" i="58"/>
  <c r="R185" i="58"/>
  <c r="Q185" i="58"/>
  <c r="P185" i="58"/>
  <c r="O185" i="58"/>
  <c r="T184" i="58"/>
  <c r="S184" i="58"/>
  <c r="R184" i="58"/>
  <c r="Q184" i="58"/>
  <c r="P184" i="58"/>
  <c r="O184" i="58"/>
  <c r="T183" i="58"/>
  <c r="S183" i="58"/>
  <c r="R183" i="58"/>
  <c r="Q183" i="58"/>
  <c r="P183" i="58"/>
  <c r="O183" i="58"/>
  <c r="S182" i="58"/>
  <c r="R182" i="58"/>
  <c r="Q182" i="58"/>
  <c r="P182" i="58"/>
  <c r="O182" i="58"/>
  <c r="T181" i="58"/>
  <c r="S181" i="58"/>
  <c r="R181" i="58"/>
  <c r="Q181" i="58"/>
  <c r="P181" i="58"/>
  <c r="O181" i="58"/>
  <c r="T180" i="58"/>
  <c r="S180" i="58"/>
  <c r="R180" i="58"/>
  <c r="Q180" i="58"/>
  <c r="P180" i="58"/>
  <c r="O180" i="58"/>
  <c r="T179" i="58"/>
  <c r="S179" i="58"/>
  <c r="R179" i="58"/>
  <c r="Q179" i="58"/>
  <c r="P179" i="58"/>
  <c r="O179" i="58"/>
  <c r="T178" i="58"/>
  <c r="S178" i="58"/>
  <c r="R178" i="58"/>
  <c r="Q178" i="58"/>
  <c r="P178" i="58"/>
  <c r="O178" i="58"/>
  <c r="T177" i="58"/>
  <c r="S177" i="58"/>
  <c r="R177" i="58"/>
  <c r="Q177" i="58"/>
  <c r="P177" i="58"/>
  <c r="O177" i="58"/>
  <c r="T176" i="58"/>
  <c r="S176" i="58"/>
  <c r="R176" i="58"/>
  <c r="Q176" i="58"/>
  <c r="P176" i="58"/>
  <c r="O176" i="58"/>
  <c r="T175" i="58"/>
  <c r="S175" i="58"/>
  <c r="R175" i="58"/>
  <c r="Q175" i="58"/>
  <c r="P175" i="58"/>
  <c r="O175" i="58"/>
  <c r="S174" i="58"/>
  <c r="R174" i="58"/>
  <c r="Q174" i="58"/>
  <c r="P174" i="58"/>
  <c r="O174" i="58"/>
  <c r="T173" i="58"/>
  <c r="S173" i="58"/>
  <c r="R173" i="58"/>
  <c r="Q173" i="58"/>
  <c r="P173" i="58"/>
  <c r="O173" i="58"/>
  <c r="T172" i="58"/>
  <c r="S172" i="58"/>
  <c r="R172" i="58"/>
  <c r="Q172" i="58"/>
  <c r="P172" i="58"/>
  <c r="O172" i="58"/>
  <c r="T171" i="58"/>
  <c r="S171" i="58"/>
  <c r="R171" i="58"/>
  <c r="Q171" i="58"/>
  <c r="P171" i="58"/>
  <c r="O171" i="58"/>
  <c r="T170" i="58"/>
  <c r="S170" i="58"/>
  <c r="R170" i="58"/>
  <c r="Q170" i="58"/>
  <c r="P170" i="58"/>
  <c r="O170" i="58"/>
  <c r="T169" i="58"/>
  <c r="S169" i="58"/>
  <c r="R169" i="58"/>
  <c r="Q169" i="58"/>
  <c r="P169" i="58"/>
  <c r="O169" i="58"/>
  <c r="T168" i="58"/>
  <c r="S168" i="58"/>
  <c r="R168" i="58"/>
  <c r="Q168" i="58"/>
  <c r="P168" i="58"/>
  <c r="O168" i="58"/>
  <c r="T167" i="58"/>
  <c r="S167" i="58"/>
  <c r="R167" i="58"/>
  <c r="Q167" i="58"/>
  <c r="P167" i="58"/>
  <c r="O167" i="58"/>
  <c r="T166" i="58"/>
  <c r="S166" i="58"/>
  <c r="R166" i="58"/>
  <c r="Q166" i="58"/>
  <c r="P166" i="58"/>
  <c r="O166" i="58"/>
  <c r="T165" i="58"/>
  <c r="S165" i="58"/>
  <c r="R165" i="58"/>
  <c r="Q165" i="58"/>
  <c r="P165" i="58"/>
  <c r="O165" i="58"/>
  <c r="T164" i="58"/>
  <c r="S164" i="58"/>
  <c r="R164" i="58"/>
  <c r="Q164" i="58"/>
  <c r="P164" i="58"/>
  <c r="O164" i="58"/>
  <c r="T163" i="58"/>
  <c r="S163" i="58"/>
  <c r="R163" i="58"/>
  <c r="Q163" i="58"/>
  <c r="P163" i="58"/>
  <c r="O163" i="58"/>
  <c r="T162" i="58"/>
  <c r="S162" i="58"/>
  <c r="R162" i="58"/>
  <c r="Q162" i="58"/>
  <c r="P162" i="58"/>
  <c r="O162" i="58"/>
  <c r="T161" i="58"/>
  <c r="S161" i="58"/>
  <c r="R161" i="58"/>
  <c r="Q161" i="58"/>
  <c r="P161" i="58"/>
  <c r="O161" i="58"/>
  <c r="T160" i="58"/>
  <c r="S160" i="58"/>
  <c r="R160" i="58"/>
  <c r="Q160" i="58"/>
  <c r="P160" i="58"/>
  <c r="O160" i="58"/>
  <c r="T159" i="58"/>
  <c r="S159" i="58"/>
  <c r="R159" i="58"/>
  <c r="Q159" i="58"/>
  <c r="P159" i="58"/>
  <c r="O159" i="58"/>
  <c r="T158" i="58"/>
  <c r="S158" i="58"/>
  <c r="R158" i="58"/>
  <c r="Q158" i="58"/>
  <c r="P158" i="58"/>
  <c r="O158" i="58"/>
  <c r="T157" i="58"/>
  <c r="S157" i="58"/>
  <c r="R157" i="58"/>
  <c r="Q157" i="58"/>
  <c r="P157" i="58"/>
  <c r="O157" i="58"/>
  <c r="T156" i="58"/>
  <c r="S156" i="58"/>
  <c r="R156" i="58"/>
  <c r="Q156" i="58"/>
  <c r="P156" i="58"/>
  <c r="O156" i="58"/>
  <c r="T155" i="58"/>
  <c r="S155" i="58"/>
  <c r="R155" i="58"/>
  <c r="Q155" i="58"/>
  <c r="P155" i="58"/>
  <c r="O155" i="58"/>
  <c r="T154" i="58"/>
  <c r="S154" i="58"/>
  <c r="R154" i="58"/>
  <c r="Q154" i="58"/>
  <c r="P154" i="58"/>
  <c r="O154" i="58"/>
  <c r="T153" i="58"/>
  <c r="S153" i="58"/>
  <c r="R153" i="58"/>
  <c r="Q153" i="58"/>
  <c r="P153" i="58"/>
  <c r="O153" i="58"/>
  <c r="T152" i="58"/>
  <c r="S152" i="58"/>
  <c r="R152" i="58"/>
  <c r="Q152" i="58"/>
  <c r="P152" i="58"/>
  <c r="O152" i="58"/>
  <c r="T151" i="58"/>
  <c r="S151" i="58"/>
  <c r="R151" i="58"/>
  <c r="Q151" i="58"/>
  <c r="P151" i="58"/>
  <c r="O151" i="58"/>
  <c r="T150" i="58"/>
  <c r="S150" i="58"/>
  <c r="R150" i="58"/>
  <c r="Q150" i="58"/>
  <c r="P150" i="58"/>
  <c r="O150" i="58"/>
  <c r="T149" i="58"/>
  <c r="S149" i="58"/>
  <c r="R149" i="58"/>
  <c r="Q149" i="58"/>
  <c r="P149" i="58"/>
  <c r="O149" i="58"/>
  <c r="T148" i="58"/>
  <c r="S148" i="58"/>
  <c r="R148" i="58"/>
  <c r="Q148" i="58"/>
  <c r="P148" i="58"/>
  <c r="O148" i="58"/>
  <c r="T147" i="58"/>
  <c r="S147" i="58"/>
  <c r="R147" i="58"/>
  <c r="Q147" i="58"/>
  <c r="P147" i="58"/>
  <c r="O147" i="58"/>
  <c r="T146" i="58"/>
  <c r="S146" i="58"/>
  <c r="R146" i="58"/>
  <c r="Q146" i="58"/>
  <c r="P146" i="58"/>
  <c r="O146" i="58"/>
  <c r="T145" i="58"/>
  <c r="S145" i="58"/>
  <c r="R145" i="58"/>
  <c r="Q145" i="58"/>
  <c r="P145" i="58"/>
  <c r="O145" i="58"/>
  <c r="T144" i="58"/>
  <c r="S144" i="58"/>
  <c r="R144" i="58"/>
  <c r="Q144" i="58"/>
  <c r="P144" i="58"/>
  <c r="O144" i="58"/>
  <c r="T143" i="58"/>
  <c r="S143" i="58"/>
  <c r="R143" i="58"/>
  <c r="Q143" i="58"/>
  <c r="P143" i="58"/>
  <c r="O143" i="58"/>
  <c r="T142" i="58"/>
  <c r="S142" i="58"/>
  <c r="R142" i="58"/>
  <c r="Q142" i="58"/>
  <c r="P142" i="58"/>
  <c r="O142" i="58"/>
  <c r="T141" i="58"/>
  <c r="S141" i="58"/>
  <c r="R141" i="58"/>
  <c r="Q141" i="58"/>
  <c r="P141" i="58"/>
  <c r="O141" i="58"/>
  <c r="T140" i="58"/>
  <c r="S140" i="58"/>
  <c r="R140" i="58"/>
  <c r="Q140" i="58"/>
  <c r="P140" i="58"/>
  <c r="O140" i="58"/>
  <c r="T139" i="58"/>
  <c r="S139" i="58"/>
  <c r="R139" i="58"/>
  <c r="Q139" i="58"/>
  <c r="P139" i="58"/>
  <c r="O139" i="58"/>
  <c r="T138" i="58"/>
  <c r="S138" i="58"/>
  <c r="R138" i="58"/>
  <c r="Q138" i="58"/>
  <c r="P138" i="58"/>
  <c r="O138" i="58"/>
  <c r="T137" i="58"/>
  <c r="S137" i="58"/>
  <c r="R137" i="58"/>
  <c r="Q137" i="58"/>
  <c r="P137" i="58"/>
  <c r="O137" i="58"/>
  <c r="T136" i="58"/>
  <c r="S136" i="58"/>
  <c r="R136" i="58"/>
  <c r="Q136" i="58"/>
  <c r="P136" i="58"/>
  <c r="O136" i="58"/>
  <c r="T135" i="58"/>
  <c r="S135" i="58"/>
  <c r="R135" i="58"/>
  <c r="Q135" i="58"/>
  <c r="P135" i="58"/>
  <c r="O135" i="58"/>
  <c r="S134" i="58"/>
  <c r="R134" i="58"/>
  <c r="Q134" i="58"/>
  <c r="P134" i="58"/>
  <c r="O134" i="58"/>
  <c r="S133" i="58"/>
  <c r="R133" i="58"/>
  <c r="Q133" i="58"/>
  <c r="P133" i="58"/>
  <c r="O133" i="58"/>
  <c r="T132" i="58"/>
  <c r="S132" i="58"/>
  <c r="R132" i="58"/>
  <c r="Q132" i="58"/>
  <c r="P132" i="58"/>
  <c r="O132" i="58"/>
  <c r="T131" i="58"/>
  <c r="S131" i="58"/>
  <c r="R131" i="58"/>
  <c r="Q131" i="58"/>
  <c r="P131" i="58"/>
  <c r="O131" i="58"/>
  <c r="Q130" i="58"/>
  <c r="P130" i="58"/>
  <c r="O130" i="58"/>
  <c r="T129" i="58"/>
  <c r="S129" i="58"/>
  <c r="R129" i="58"/>
  <c r="Q129" i="58"/>
  <c r="P129" i="58"/>
  <c r="O129" i="58"/>
  <c r="T128" i="58"/>
  <c r="S128" i="58"/>
  <c r="R128" i="58"/>
  <c r="Q128" i="58"/>
  <c r="P128" i="58"/>
  <c r="O128" i="58"/>
  <c r="T127" i="58"/>
  <c r="S127" i="58"/>
  <c r="R127" i="58"/>
  <c r="Q127" i="58"/>
  <c r="P127" i="58"/>
  <c r="O127" i="58"/>
  <c r="T126" i="58"/>
  <c r="S126" i="58"/>
  <c r="R126" i="58"/>
  <c r="Q126" i="58"/>
  <c r="P126" i="58"/>
  <c r="O126" i="58"/>
  <c r="T125" i="58"/>
  <c r="S125" i="58"/>
  <c r="R125" i="58"/>
  <c r="Q125" i="58"/>
  <c r="P125" i="58"/>
  <c r="O125" i="58"/>
  <c r="T124" i="58"/>
  <c r="S124" i="58"/>
  <c r="R124" i="58"/>
  <c r="Q124" i="58"/>
  <c r="P124" i="58"/>
  <c r="O124" i="58"/>
  <c r="T123" i="58"/>
  <c r="S123" i="58"/>
  <c r="R123" i="58"/>
  <c r="Q123" i="58"/>
  <c r="P123" i="58"/>
  <c r="O123" i="58"/>
  <c r="T122" i="58"/>
  <c r="S122" i="58"/>
  <c r="R122" i="58"/>
  <c r="Q122" i="58"/>
  <c r="P122" i="58"/>
  <c r="O122" i="58"/>
  <c r="T121" i="58"/>
  <c r="S121" i="58"/>
  <c r="R121" i="58"/>
  <c r="Q121" i="58"/>
  <c r="P121" i="58"/>
  <c r="O121" i="58"/>
  <c r="T120" i="58"/>
  <c r="S120" i="58"/>
  <c r="R120" i="58"/>
  <c r="Q120" i="58"/>
  <c r="P120" i="58"/>
  <c r="O120" i="58"/>
  <c r="T119" i="58"/>
  <c r="S119" i="58"/>
  <c r="R119" i="58"/>
  <c r="Q119" i="58"/>
  <c r="P119" i="58"/>
  <c r="O119" i="58"/>
  <c r="T118" i="58"/>
  <c r="S118" i="58"/>
  <c r="R118" i="58"/>
  <c r="Q118" i="58"/>
  <c r="P118" i="58"/>
  <c r="O118" i="58"/>
  <c r="T117" i="58"/>
  <c r="S117" i="58"/>
  <c r="R117" i="58"/>
  <c r="Q117" i="58"/>
  <c r="P117" i="58"/>
  <c r="O117" i="58"/>
  <c r="T116" i="58"/>
  <c r="S116" i="58"/>
  <c r="R116" i="58"/>
  <c r="Q116" i="58"/>
  <c r="P116" i="58"/>
  <c r="O116" i="58"/>
  <c r="Q115" i="58"/>
  <c r="P115" i="58"/>
  <c r="O115" i="58"/>
  <c r="T114" i="58"/>
  <c r="S114" i="58"/>
  <c r="R114" i="58"/>
  <c r="Q114" i="58"/>
  <c r="P114" i="58"/>
  <c r="O114" i="58"/>
  <c r="T113" i="58"/>
  <c r="S113" i="58"/>
  <c r="R113" i="58"/>
  <c r="Q113" i="58"/>
  <c r="P113" i="58"/>
  <c r="O113" i="58"/>
  <c r="T112" i="58"/>
  <c r="S112" i="58"/>
  <c r="R112" i="58"/>
  <c r="Q112" i="58"/>
  <c r="P112" i="58"/>
  <c r="O112" i="58"/>
  <c r="T111" i="58"/>
  <c r="S111" i="58"/>
  <c r="R111" i="58"/>
  <c r="Q111" i="58"/>
  <c r="P111" i="58"/>
  <c r="O111" i="58"/>
  <c r="T110" i="58"/>
  <c r="S110" i="58"/>
  <c r="R110" i="58"/>
  <c r="Q110" i="58"/>
  <c r="P110" i="58"/>
  <c r="O110" i="58"/>
  <c r="T109" i="58"/>
  <c r="S109" i="58"/>
  <c r="R109" i="58"/>
  <c r="Q109" i="58"/>
  <c r="P109" i="58"/>
  <c r="O109" i="58"/>
  <c r="T108" i="58"/>
  <c r="S108" i="58"/>
  <c r="R108" i="58"/>
  <c r="Q108" i="58"/>
  <c r="P108" i="58"/>
  <c r="O108" i="58"/>
  <c r="Q107" i="58"/>
  <c r="P107" i="58"/>
  <c r="T106" i="58"/>
  <c r="S106" i="58"/>
  <c r="R106" i="58"/>
  <c r="Q106" i="58"/>
  <c r="P106" i="58"/>
  <c r="O106" i="58"/>
  <c r="T105" i="58"/>
  <c r="S105" i="58"/>
  <c r="R105" i="58"/>
  <c r="Q105" i="58"/>
  <c r="P105" i="58"/>
  <c r="O105" i="58"/>
  <c r="T104" i="58"/>
  <c r="S104" i="58"/>
  <c r="R104" i="58"/>
  <c r="Q104" i="58"/>
  <c r="P104" i="58"/>
  <c r="O104" i="58"/>
  <c r="T103" i="58"/>
  <c r="S103" i="58"/>
  <c r="R103" i="58"/>
  <c r="Q103" i="58"/>
  <c r="P103" i="58"/>
  <c r="O103" i="58"/>
  <c r="T102" i="58"/>
  <c r="S102" i="58"/>
  <c r="R102" i="58"/>
  <c r="Q102" i="58"/>
  <c r="P102" i="58"/>
  <c r="O102" i="58"/>
  <c r="T101" i="58"/>
  <c r="S101" i="58"/>
  <c r="R101" i="58"/>
  <c r="Q101" i="58"/>
  <c r="P101" i="58"/>
  <c r="O101" i="58"/>
  <c r="T100" i="58"/>
  <c r="S100" i="58"/>
  <c r="R100" i="58"/>
  <c r="Q100" i="58"/>
  <c r="P100" i="58"/>
  <c r="O100" i="58"/>
  <c r="T99" i="58"/>
  <c r="S99" i="58"/>
  <c r="R99" i="58"/>
  <c r="Q99" i="58"/>
  <c r="P99" i="58"/>
  <c r="O99" i="58"/>
  <c r="T98" i="58"/>
  <c r="S98" i="58"/>
  <c r="R98" i="58"/>
  <c r="Q98" i="58"/>
  <c r="P98" i="58"/>
  <c r="O98" i="58"/>
  <c r="T97" i="58"/>
  <c r="S97" i="58"/>
  <c r="R97" i="58"/>
  <c r="Q97" i="58"/>
  <c r="P97" i="58"/>
  <c r="O97" i="58"/>
  <c r="T96" i="58"/>
  <c r="S96" i="58"/>
  <c r="R96" i="58"/>
  <c r="Q96" i="58"/>
  <c r="P96" i="58"/>
  <c r="O96" i="58"/>
  <c r="T95" i="58"/>
  <c r="S95" i="58"/>
  <c r="R95" i="58"/>
  <c r="Q95" i="58"/>
  <c r="P95" i="58"/>
  <c r="O95" i="58"/>
  <c r="T94" i="58"/>
  <c r="S94" i="58"/>
  <c r="R94" i="58"/>
  <c r="Q94" i="58"/>
  <c r="P94" i="58"/>
  <c r="O94" i="58"/>
  <c r="T93" i="58"/>
  <c r="S93" i="58"/>
  <c r="R93" i="58"/>
  <c r="Q93" i="58"/>
  <c r="P93" i="58"/>
  <c r="O93" i="58"/>
  <c r="T92" i="58"/>
  <c r="S92" i="58"/>
  <c r="R92" i="58"/>
  <c r="Q92" i="58"/>
  <c r="P92" i="58"/>
  <c r="O92" i="58"/>
  <c r="T91" i="58"/>
  <c r="S91" i="58"/>
  <c r="R91" i="58"/>
  <c r="Q91" i="58"/>
  <c r="P91" i="58"/>
  <c r="O91" i="58"/>
  <c r="T90" i="58"/>
  <c r="S90" i="58"/>
  <c r="R90" i="58"/>
  <c r="Q90" i="58"/>
  <c r="P90" i="58"/>
  <c r="O90" i="58"/>
  <c r="T89" i="58"/>
  <c r="S89" i="58"/>
  <c r="R89" i="58"/>
  <c r="Q89" i="58"/>
  <c r="P89" i="58"/>
  <c r="O89" i="58"/>
  <c r="T88" i="58"/>
  <c r="S88" i="58"/>
  <c r="R88" i="58"/>
  <c r="Q88" i="58"/>
  <c r="P88" i="58"/>
  <c r="O88" i="58"/>
  <c r="T87" i="58"/>
  <c r="S87" i="58"/>
  <c r="R87" i="58"/>
  <c r="Q87" i="58"/>
  <c r="P87" i="58"/>
  <c r="O87" i="58"/>
  <c r="T86" i="58"/>
  <c r="S86" i="58"/>
  <c r="R86" i="58"/>
  <c r="Q86" i="58"/>
  <c r="P86" i="58"/>
  <c r="O86" i="58"/>
  <c r="T85" i="58"/>
  <c r="S85" i="58"/>
  <c r="R85" i="58"/>
  <c r="Q85" i="58"/>
  <c r="P85" i="58"/>
  <c r="O85" i="58"/>
  <c r="T84" i="58"/>
  <c r="S84" i="58"/>
  <c r="R84" i="58"/>
  <c r="Q84" i="58"/>
  <c r="P84" i="58"/>
  <c r="O84" i="58"/>
  <c r="T83" i="58"/>
  <c r="S83" i="58"/>
  <c r="R83" i="58"/>
  <c r="Q83" i="58"/>
  <c r="P83" i="58"/>
  <c r="O83" i="58"/>
  <c r="T82" i="58"/>
  <c r="S82" i="58"/>
  <c r="R82" i="58"/>
  <c r="Q82" i="58"/>
  <c r="P82" i="58"/>
  <c r="O82" i="58"/>
  <c r="T81" i="58"/>
  <c r="S81" i="58"/>
  <c r="R81" i="58"/>
  <c r="Q81" i="58"/>
  <c r="P81" i="58"/>
  <c r="O81" i="58"/>
  <c r="T80" i="58"/>
  <c r="S80" i="58"/>
  <c r="R80" i="58"/>
  <c r="Q80" i="58"/>
  <c r="P80" i="58"/>
  <c r="O80" i="58"/>
  <c r="T79" i="58"/>
  <c r="S79" i="58"/>
  <c r="R79" i="58"/>
  <c r="Q79" i="58"/>
  <c r="P79" i="58"/>
  <c r="O79" i="58"/>
  <c r="T78" i="58"/>
  <c r="S78" i="58"/>
  <c r="R78" i="58"/>
  <c r="Q78" i="58"/>
  <c r="P78" i="58"/>
  <c r="O78" i="58"/>
  <c r="T77" i="58"/>
  <c r="S77" i="58"/>
  <c r="R77" i="58"/>
  <c r="Q77" i="58"/>
  <c r="P77" i="58"/>
  <c r="O77" i="58"/>
  <c r="T76" i="58"/>
  <c r="S76" i="58"/>
  <c r="R76" i="58"/>
  <c r="Q76" i="58"/>
  <c r="P76" i="58"/>
  <c r="O76" i="58"/>
  <c r="T75" i="58"/>
  <c r="S75" i="58"/>
  <c r="R75" i="58"/>
  <c r="Q75" i="58"/>
  <c r="P75" i="58"/>
  <c r="O75" i="58"/>
  <c r="T74" i="58"/>
  <c r="S74" i="58"/>
  <c r="R74" i="58"/>
  <c r="Q74" i="58"/>
  <c r="P74" i="58"/>
  <c r="O74" i="58"/>
  <c r="T73" i="58"/>
  <c r="S73" i="58"/>
  <c r="R73" i="58"/>
  <c r="Q73" i="58"/>
  <c r="P73" i="58"/>
  <c r="O73" i="58"/>
  <c r="T72" i="58"/>
  <c r="S72" i="58"/>
  <c r="R72" i="58"/>
  <c r="Q72" i="58"/>
  <c r="P72" i="58"/>
  <c r="O72" i="58"/>
  <c r="T71" i="58"/>
  <c r="S71" i="58"/>
  <c r="R71" i="58"/>
  <c r="Q71" i="58"/>
  <c r="P71" i="58"/>
  <c r="O71" i="58"/>
  <c r="S70" i="58"/>
  <c r="R70" i="58"/>
  <c r="Q70" i="58"/>
  <c r="P70" i="58"/>
  <c r="O70" i="58"/>
  <c r="T69" i="58"/>
  <c r="S69" i="58"/>
  <c r="R69" i="58"/>
  <c r="Q69" i="58"/>
  <c r="P69" i="58"/>
  <c r="O69" i="58"/>
  <c r="T68" i="58"/>
  <c r="S68" i="58"/>
  <c r="R68" i="58"/>
  <c r="Q68" i="58"/>
  <c r="P68" i="58"/>
  <c r="O68" i="58"/>
  <c r="T67" i="58"/>
  <c r="S67" i="58"/>
  <c r="R67" i="58"/>
  <c r="Q67" i="58"/>
  <c r="P67" i="58"/>
  <c r="O67" i="58"/>
  <c r="T66" i="58"/>
  <c r="S66" i="58"/>
  <c r="R66" i="58"/>
  <c r="Q66" i="58"/>
  <c r="P66" i="58"/>
  <c r="O66" i="58"/>
  <c r="T65" i="58"/>
  <c r="S65" i="58"/>
  <c r="R65" i="58"/>
  <c r="Q65" i="58"/>
  <c r="P65" i="58"/>
  <c r="O65" i="58"/>
  <c r="T64" i="58"/>
  <c r="S64" i="58"/>
  <c r="R64" i="58"/>
  <c r="Q64" i="58"/>
  <c r="P64" i="58"/>
  <c r="O64" i="58"/>
  <c r="T63" i="58"/>
  <c r="S63" i="58"/>
  <c r="R63" i="58"/>
  <c r="Q63" i="58"/>
  <c r="P63" i="58"/>
  <c r="O63" i="58"/>
  <c r="T62" i="58"/>
  <c r="S62" i="58"/>
  <c r="R62" i="58"/>
  <c r="Q62" i="58"/>
  <c r="P62" i="58"/>
  <c r="O62" i="58"/>
  <c r="T61" i="58"/>
  <c r="S61" i="58"/>
  <c r="R61" i="58"/>
  <c r="Q61" i="58"/>
  <c r="P61" i="58"/>
  <c r="O61" i="58"/>
  <c r="Q60" i="58"/>
  <c r="P60" i="58"/>
  <c r="O60" i="58"/>
  <c r="T59" i="58"/>
  <c r="S59" i="58"/>
  <c r="R59" i="58"/>
  <c r="Q59" i="58"/>
  <c r="P59" i="58"/>
  <c r="O59" i="58"/>
  <c r="T58" i="58"/>
  <c r="S58" i="58"/>
  <c r="R58" i="58"/>
  <c r="Q58" i="58"/>
  <c r="P58" i="58"/>
  <c r="O58" i="58"/>
  <c r="T57" i="58"/>
  <c r="S57" i="58"/>
  <c r="R57" i="58"/>
  <c r="Q57" i="58"/>
  <c r="P57" i="58"/>
  <c r="O57" i="58"/>
  <c r="T56" i="58"/>
  <c r="S56" i="58"/>
  <c r="R56" i="58"/>
  <c r="Q56" i="58"/>
  <c r="P56" i="58"/>
  <c r="O56" i="58"/>
  <c r="T55" i="58"/>
  <c r="S55" i="58"/>
  <c r="R55" i="58"/>
  <c r="Q55" i="58"/>
  <c r="P55" i="58"/>
  <c r="O55" i="58"/>
  <c r="T54" i="58"/>
  <c r="S54" i="58"/>
  <c r="R54" i="58"/>
  <c r="Q54" i="58"/>
  <c r="P54" i="58"/>
  <c r="O54" i="58"/>
  <c r="T53" i="58"/>
  <c r="S53" i="58"/>
  <c r="R53" i="58"/>
  <c r="Q53" i="58"/>
  <c r="P53" i="58"/>
  <c r="O53" i="58"/>
  <c r="T52" i="58"/>
  <c r="S52" i="58"/>
  <c r="R52" i="58"/>
  <c r="Q52" i="58"/>
  <c r="P52" i="58"/>
  <c r="O52" i="58"/>
  <c r="T51" i="58"/>
  <c r="S51" i="58"/>
  <c r="R51" i="58"/>
  <c r="Q51" i="58"/>
  <c r="P51" i="58"/>
  <c r="O51" i="58"/>
  <c r="S50" i="58"/>
  <c r="R50" i="58"/>
  <c r="Q50" i="58"/>
  <c r="P50" i="58"/>
  <c r="O50" i="58"/>
  <c r="T49" i="58"/>
  <c r="S49" i="58"/>
  <c r="R49" i="58"/>
  <c r="Q49" i="58"/>
  <c r="P49" i="58"/>
  <c r="O49" i="58"/>
  <c r="T48" i="58"/>
  <c r="S48" i="58"/>
  <c r="R48" i="58"/>
  <c r="Q48" i="58"/>
  <c r="P48" i="58"/>
  <c r="O48" i="58"/>
  <c r="T47" i="58"/>
  <c r="S47" i="58"/>
  <c r="R47" i="58"/>
  <c r="Q47" i="58"/>
  <c r="P47" i="58"/>
  <c r="O47" i="58"/>
  <c r="T46" i="58"/>
  <c r="S46" i="58"/>
  <c r="R46" i="58"/>
  <c r="Q46" i="58"/>
  <c r="P46" i="58"/>
  <c r="O46" i="58"/>
  <c r="T45" i="58"/>
  <c r="S45" i="58"/>
  <c r="R45" i="58"/>
  <c r="Q45" i="58"/>
  <c r="P45" i="58"/>
  <c r="O45" i="58"/>
  <c r="T44" i="58"/>
  <c r="S44" i="58"/>
  <c r="R44" i="58"/>
  <c r="Q44" i="58"/>
  <c r="P44" i="58"/>
  <c r="O44" i="58"/>
  <c r="T43" i="58"/>
  <c r="S43" i="58"/>
  <c r="R43" i="58"/>
  <c r="Q43" i="58"/>
  <c r="P43" i="58"/>
  <c r="O43" i="58"/>
  <c r="T42" i="58"/>
  <c r="S42" i="58"/>
  <c r="R42" i="58"/>
  <c r="Q42" i="58"/>
  <c r="P42" i="58"/>
  <c r="O42" i="58"/>
  <c r="T41" i="58"/>
  <c r="S41" i="58"/>
  <c r="R41" i="58"/>
  <c r="Q41" i="58"/>
  <c r="P41" i="58"/>
  <c r="O41" i="58"/>
  <c r="T40" i="58"/>
  <c r="S40" i="58"/>
  <c r="R40" i="58"/>
  <c r="Q40" i="58"/>
  <c r="P40" i="58"/>
  <c r="O40" i="58"/>
  <c r="T39" i="58"/>
  <c r="S39" i="58"/>
  <c r="R39" i="58"/>
  <c r="Q39" i="58"/>
  <c r="P39" i="58"/>
  <c r="O39" i="58"/>
  <c r="T38" i="58"/>
  <c r="S38" i="58"/>
  <c r="R38" i="58"/>
  <c r="Q38" i="58"/>
  <c r="P38" i="58"/>
  <c r="O38" i="58"/>
  <c r="T37" i="58"/>
  <c r="S37" i="58"/>
  <c r="R37" i="58"/>
  <c r="Q37" i="58"/>
  <c r="P37" i="58"/>
  <c r="O37" i="58"/>
  <c r="T36" i="58"/>
  <c r="S36" i="58"/>
  <c r="R36" i="58"/>
  <c r="Q36" i="58"/>
  <c r="P36" i="58"/>
  <c r="O36" i="58"/>
  <c r="T35" i="58"/>
  <c r="S35" i="58"/>
  <c r="R35" i="58"/>
  <c r="Q35" i="58"/>
  <c r="P35" i="58"/>
  <c r="O35" i="58"/>
  <c r="T34" i="58"/>
  <c r="S34" i="58"/>
  <c r="R34" i="58"/>
  <c r="Q34" i="58"/>
  <c r="P34" i="58"/>
  <c r="O34" i="58"/>
  <c r="T33" i="58"/>
  <c r="S33" i="58"/>
  <c r="R33" i="58"/>
  <c r="Q33" i="58"/>
  <c r="P33" i="58"/>
  <c r="O33" i="58"/>
  <c r="T32" i="58"/>
  <c r="S32" i="58"/>
  <c r="R32" i="58"/>
  <c r="Q32" i="58"/>
  <c r="P32" i="58"/>
  <c r="O32" i="58"/>
  <c r="T31" i="58"/>
  <c r="S31" i="58"/>
  <c r="R31" i="58"/>
  <c r="Q31" i="58"/>
  <c r="P31" i="58"/>
  <c r="O31" i="58"/>
  <c r="T30" i="58"/>
  <c r="S30" i="58"/>
  <c r="R30" i="58"/>
  <c r="Q30" i="58"/>
  <c r="P30" i="58"/>
  <c r="O30" i="58"/>
  <c r="T29" i="58"/>
  <c r="S29" i="58"/>
  <c r="R29" i="58"/>
  <c r="Q29" i="58"/>
  <c r="P29" i="58"/>
  <c r="O29" i="58"/>
  <c r="T28" i="58"/>
  <c r="S28" i="58"/>
  <c r="R28" i="58"/>
  <c r="Q28" i="58"/>
  <c r="P28" i="58"/>
  <c r="O28" i="58"/>
  <c r="T27" i="58"/>
  <c r="S27" i="58"/>
  <c r="R27" i="58"/>
  <c r="Q27" i="58"/>
  <c r="P27" i="58"/>
  <c r="O27" i="58"/>
  <c r="T26" i="58"/>
  <c r="S26" i="58"/>
  <c r="R26" i="58"/>
  <c r="Q26" i="58"/>
  <c r="P26" i="58"/>
  <c r="O26" i="58"/>
  <c r="T25" i="58"/>
  <c r="S25" i="58"/>
  <c r="R25" i="58"/>
  <c r="Q25" i="58"/>
  <c r="P25" i="58"/>
  <c r="O25" i="58"/>
  <c r="T24" i="58"/>
  <c r="S24" i="58"/>
  <c r="R24" i="58"/>
  <c r="Q24" i="58"/>
  <c r="P24" i="58"/>
  <c r="O24" i="58"/>
  <c r="T23" i="58"/>
  <c r="S23" i="58"/>
  <c r="R23" i="58"/>
  <c r="Q23" i="58"/>
  <c r="P23" i="58"/>
  <c r="O23" i="58"/>
  <c r="T22" i="58"/>
  <c r="S22" i="58"/>
  <c r="R22" i="58"/>
  <c r="Q22" i="58"/>
  <c r="P22" i="58"/>
  <c r="O22" i="58"/>
  <c r="T21" i="58"/>
  <c r="S21" i="58"/>
  <c r="R21" i="58"/>
  <c r="Q21" i="58"/>
  <c r="P21" i="58"/>
  <c r="O21" i="58"/>
  <c r="T20" i="58"/>
  <c r="S20" i="58"/>
  <c r="R20" i="58"/>
  <c r="Q20" i="58"/>
  <c r="P20" i="58"/>
  <c r="O20" i="58"/>
  <c r="T19" i="58"/>
  <c r="S19" i="58"/>
  <c r="R19" i="58"/>
  <c r="Q19" i="58"/>
  <c r="P19" i="58"/>
  <c r="O19" i="58"/>
  <c r="T18" i="58"/>
  <c r="S18" i="58"/>
  <c r="R18" i="58"/>
  <c r="Q18" i="58"/>
  <c r="P18" i="58"/>
  <c r="O18" i="58"/>
  <c r="T17" i="58"/>
  <c r="S17" i="58"/>
  <c r="R17" i="58"/>
  <c r="Q17" i="58"/>
  <c r="P17" i="58"/>
  <c r="O17" i="58"/>
  <c r="T16" i="58"/>
  <c r="S16" i="58"/>
  <c r="R16" i="58"/>
  <c r="Q16" i="58"/>
  <c r="P16" i="58"/>
  <c r="O16" i="58"/>
  <c r="T15" i="58"/>
  <c r="S15" i="58"/>
  <c r="R15" i="58"/>
  <c r="Q15" i="58"/>
  <c r="P15" i="58"/>
  <c r="O15" i="58"/>
  <c r="T14" i="58"/>
  <c r="S14" i="58"/>
  <c r="R14" i="58"/>
  <c r="Q14" i="58"/>
  <c r="P14" i="58"/>
  <c r="O14" i="58"/>
  <c r="T13" i="58"/>
  <c r="S13" i="58"/>
  <c r="R13" i="58"/>
  <c r="Q13" i="58"/>
  <c r="P13" i="58"/>
  <c r="O13" i="58"/>
  <c r="T12" i="58"/>
  <c r="S12" i="58"/>
  <c r="R12" i="58"/>
  <c r="Q12" i="58"/>
  <c r="P12" i="58"/>
  <c r="O12" i="58"/>
  <c r="T11" i="58"/>
  <c r="S11" i="58"/>
  <c r="R11" i="58"/>
  <c r="Q11" i="58"/>
  <c r="P11" i="58"/>
  <c r="O11" i="58"/>
  <c r="T10" i="58"/>
  <c r="S10" i="58"/>
  <c r="R10" i="58"/>
  <c r="Q10" i="58"/>
  <c r="P10" i="58"/>
  <c r="O10" i="58"/>
  <c r="S9" i="58"/>
  <c r="R9" i="58"/>
  <c r="Q9" i="58"/>
  <c r="P9" i="58"/>
  <c r="O9" i="58"/>
  <c r="T8" i="58"/>
  <c r="S8" i="58"/>
  <c r="R8" i="58"/>
  <c r="Q8" i="58"/>
  <c r="P8" i="58"/>
  <c r="O8" i="58"/>
  <c r="T7" i="58"/>
  <c r="S7" i="58"/>
  <c r="R7" i="58"/>
  <c r="Q7" i="58"/>
  <c r="P7" i="58"/>
  <c r="O7" i="58"/>
  <c r="T6" i="58"/>
  <c r="S6" i="58"/>
  <c r="R6" i="58"/>
  <c r="Q6" i="58"/>
  <c r="P6" i="58"/>
  <c r="O6" i="58"/>
  <c r="T5" i="58"/>
  <c r="S5" i="58"/>
  <c r="R5" i="58"/>
  <c r="Q5" i="58"/>
  <c r="P5" i="58"/>
  <c r="O5" i="58"/>
  <c r="T4" i="58"/>
  <c r="S4" i="58"/>
  <c r="R4" i="58"/>
  <c r="Q4" i="58"/>
  <c r="P4" i="58"/>
  <c r="O4" i="58"/>
  <c r="T3" i="58"/>
  <c r="S3" i="58"/>
  <c r="R3" i="58"/>
  <c r="Q3" i="58"/>
  <c r="P3" i="58"/>
  <c r="O3" i="58"/>
  <c r="Q105" i="64"/>
  <c r="O105" i="64"/>
  <c r="M105" i="64"/>
  <c r="L105" i="64"/>
  <c r="Q104" i="64"/>
  <c r="M104" i="64" s="1"/>
  <c r="O104" i="64"/>
  <c r="L104" i="64"/>
  <c r="Q103" i="64"/>
  <c r="M103" i="64" s="1"/>
  <c r="O103" i="64"/>
  <c r="L103" i="64"/>
  <c r="Q102" i="64"/>
  <c r="M102" i="64" s="1"/>
  <c r="O102" i="64"/>
  <c r="L102" i="64"/>
  <c r="Q101" i="64"/>
  <c r="O101" i="64"/>
  <c r="M101" i="64"/>
  <c r="L101" i="64"/>
  <c r="Q100" i="64"/>
  <c r="M100" i="64" s="1"/>
  <c r="O100" i="64"/>
  <c r="L100" i="64"/>
  <c r="J100" i="64"/>
  <c r="Q99" i="64"/>
  <c r="O99" i="64"/>
  <c r="M99" i="64"/>
  <c r="L99" i="64"/>
  <c r="J99" i="64"/>
  <c r="Q98" i="64"/>
  <c r="M98" i="64" s="1"/>
  <c r="O98" i="64"/>
  <c r="L98" i="64"/>
  <c r="J98" i="64"/>
  <c r="Q97" i="64"/>
  <c r="M97" i="64" s="1"/>
  <c r="O97" i="64"/>
  <c r="L97" i="64"/>
  <c r="J97" i="64"/>
  <c r="Q96" i="64"/>
  <c r="O96" i="64"/>
  <c r="M96" i="64"/>
  <c r="L96" i="64"/>
  <c r="J96" i="64"/>
  <c r="Q95" i="64"/>
  <c r="M95" i="64" s="1"/>
  <c r="O95" i="64"/>
  <c r="L95" i="64"/>
  <c r="J95" i="64"/>
  <c r="Q94" i="64"/>
  <c r="M94" i="64" s="1"/>
  <c r="O94" i="64"/>
  <c r="L94" i="64"/>
  <c r="Q93" i="64"/>
  <c r="O93" i="64"/>
  <c r="M93" i="64"/>
  <c r="L93" i="64"/>
  <c r="J93" i="64"/>
  <c r="Q92" i="64"/>
  <c r="O92" i="64"/>
  <c r="M92" i="64"/>
  <c r="L92" i="64"/>
  <c r="J92" i="64"/>
  <c r="Q91" i="64"/>
  <c r="O91" i="64"/>
  <c r="M91" i="64"/>
  <c r="L91" i="64"/>
  <c r="J91" i="64"/>
  <c r="Q90" i="64"/>
  <c r="M90" i="64" s="1"/>
  <c r="O90" i="64"/>
  <c r="L90" i="64"/>
  <c r="J90" i="64"/>
  <c r="Q89" i="64"/>
  <c r="O89" i="64"/>
  <c r="M89" i="64"/>
  <c r="L89" i="64"/>
  <c r="J89" i="64"/>
  <c r="Q88" i="64"/>
  <c r="M88" i="64" s="1"/>
  <c r="O88" i="64"/>
  <c r="L88" i="64"/>
  <c r="J88" i="64"/>
  <c r="Q87" i="64"/>
  <c r="M87" i="64" s="1"/>
  <c r="O87" i="64"/>
  <c r="L87" i="64"/>
  <c r="J87" i="64"/>
  <c r="Q86" i="64"/>
  <c r="O86" i="64"/>
  <c r="M86" i="64"/>
  <c r="L86" i="64"/>
  <c r="J86" i="64"/>
  <c r="Q85" i="64"/>
  <c r="M85" i="64" s="1"/>
  <c r="O85" i="64"/>
  <c r="L85" i="64"/>
  <c r="J85" i="64"/>
  <c r="Q84" i="64"/>
  <c r="M84" i="64" s="1"/>
  <c r="O84" i="64"/>
  <c r="L84" i="64"/>
  <c r="J84" i="64"/>
  <c r="Q83" i="64"/>
  <c r="O83" i="64"/>
  <c r="M83" i="64"/>
  <c r="L83" i="64"/>
  <c r="J83" i="64"/>
  <c r="Q82" i="64"/>
  <c r="O82" i="64"/>
  <c r="M82" i="64"/>
  <c r="L82" i="64"/>
  <c r="J82" i="64"/>
  <c r="Q81" i="64"/>
  <c r="M81" i="64" s="1"/>
  <c r="O81" i="64"/>
  <c r="L81" i="64"/>
  <c r="J81" i="64"/>
  <c r="Q80" i="64"/>
  <c r="O80" i="64"/>
  <c r="M80" i="64"/>
  <c r="L80" i="64"/>
  <c r="J80" i="64"/>
  <c r="Q79" i="64"/>
  <c r="M79" i="64" s="1"/>
  <c r="O79" i="64"/>
  <c r="L79" i="64"/>
  <c r="J79" i="64"/>
  <c r="Q78" i="64"/>
  <c r="O78" i="64"/>
  <c r="M78" i="64"/>
  <c r="L78" i="64"/>
  <c r="J78" i="64"/>
  <c r="Q77" i="64"/>
  <c r="O77" i="64"/>
  <c r="M77" i="64"/>
  <c r="L77" i="64"/>
  <c r="J77" i="64"/>
  <c r="Q76" i="64"/>
  <c r="O76" i="64"/>
  <c r="M76" i="64"/>
  <c r="L76" i="64"/>
  <c r="J76" i="64"/>
  <c r="Q75" i="64"/>
  <c r="O75" i="64"/>
  <c r="M75" i="64"/>
  <c r="L75" i="64"/>
  <c r="J75" i="64"/>
  <c r="Q74" i="64"/>
  <c r="M74" i="64" s="1"/>
  <c r="O74" i="64"/>
  <c r="L74" i="64"/>
  <c r="J74" i="64"/>
  <c r="Q73" i="64"/>
  <c r="O73" i="64"/>
  <c r="M73" i="64"/>
  <c r="L73" i="64"/>
  <c r="J73" i="64"/>
  <c r="Q72" i="64"/>
  <c r="M72" i="64" s="1"/>
  <c r="O72" i="64"/>
  <c r="L72" i="64"/>
  <c r="J72" i="64"/>
  <c r="Q71" i="64"/>
  <c r="M71" i="64" s="1"/>
  <c r="O71" i="64"/>
  <c r="L71" i="64"/>
  <c r="J71" i="64"/>
  <c r="Q70" i="64"/>
  <c r="O70" i="64"/>
  <c r="M70" i="64"/>
  <c r="L70" i="64"/>
  <c r="J70" i="64"/>
  <c r="Q69" i="64"/>
  <c r="M69" i="64" s="1"/>
  <c r="O69" i="64"/>
  <c r="L69" i="64"/>
  <c r="J69" i="64"/>
  <c r="Q68" i="64"/>
  <c r="M68" i="64" s="1"/>
  <c r="O68" i="64"/>
  <c r="L68" i="64"/>
  <c r="J68" i="64"/>
  <c r="Q67" i="64"/>
  <c r="O67" i="64"/>
  <c r="M67" i="64"/>
  <c r="L67" i="64"/>
  <c r="J67" i="64"/>
  <c r="Q66" i="64"/>
  <c r="O66" i="64"/>
  <c r="M66" i="64"/>
  <c r="L66" i="64"/>
  <c r="J66" i="64"/>
  <c r="Q65" i="64"/>
  <c r="M65" i="64" s="1"/>
  <c r="O65" i="64"/>
  <c r="L65" i="64"/>
  <c r="J65" i="64"/>
  <c r="Q64" i="64"/>
  <c r="O64" i="64"/>
  <c r="M64" i="64"/>
  <c r="L64" i="64"/>
  <c r="J64" i="64"/>
  <c r="Q63" i="64"/>
  <c r="M63" i="64" s="1"/>
  <c r="O63" i="64"/>
  <c r="L63" i="64"/>
  <c r="J63" i="64"/>
  <c r="Q62" i="64"/>
  <c r="O62" i="64"/>
  <c r="M62" i="64"/>
  <c r="L62" i="64"/>
  <c r="J62" i="64"/>
  <c r="Q61" i="64"/>
  <c r="O61" i="64"/>
  <c r="M61" i="64"/>
  <c r="L61" i="64"/>
  <c r="J61" i="64"/>
  <c r="Q60" i="64"/>
  <c r="O60" i="64"/>
  <c r="M60" i="64"/>
  <c r="L60" i="64"/>
  <c r="J60" i="64"/>
  <c r="Q59" i="64"/>
  <c r="O59" i="64"/>
  <c r="M59" i="64"/>
  <c r="L59" i="64"/>
  <c r="J59" i="64"/>
  <c r="Q58" i="64"/>
  <c r="M58" i="64" s="1"/>
  <c r="O58" i="64"/>
  <c r="L58" i="64"/>
  <c r="J58" i="64"/>
  <c r="Q57" i="64"/>
  <c r="O57" i="64"/>
  <c r="M57" i="64"/>
  <c r="L57" i="64"/>
  <c r="J57" i="64"/>
  <c r="Q56" i="64"/>
  <c r="M56" i="64" s="1"/>
  <c r="O56" i="64"/>
  <c r="L56" i="64"/>
  <c r="J56" i="64"/>
  <c r="Q55" i="64"/>
  <c r="M55" i="64" s="1"/>
  <c r="O55" i="64"/>
  <c r="L55" i="64"/>
  <c r="J55" i="64"/>
  <c r="Q54" i="64"/>
  <c r="O54" i="64"/>
  <c r="M54" i="64"/>
  <c r="L54" i="64"/>
  <c r="J54" i="64"/>
  <c r="Q53" i="64"/>
  <c r="M53" i="64" s="1"/>
  <c r="O53" i="64"/>
  <c r="L53" i="64"/>
  <c r="J53" i="64"/>
  <c r="Q52" i="64"/>
  <c r="M52" i="64" s="1"/>
  <c r="O52" i="64"/>
  <c r="L52" i="64"/>
  <c r="J52" i="64"/>
  <c r="Q51" i="64"/>
  <c r="O51" i="64"/>
  <c r="M51" i="64"/>
  <c r="L51" i="64"/>
  <c r="J51" i="64"/>
  <c r="Q50" i="64"/>
  <c r="O50" i="64"/>
  <c r="M50" i="64"/>
  <c r="L50" i="64"/>
  <c r="J50" i="64"/>
  <c r="Q49" i="64"/>
  <c r="M49" i="64" s="1"/>
  <c r="O49" i="64"/>
  <c r="L49" i="64"/>
  <c r="J49" i="64"/>
  <c r="Q48" i="64"/>
  <c r="O48" i="64"/>
  <c r="M48" i="64"/>
  <c r="L48" i="64"/>
  <c r="J48" i="64"/>
  <c r="Q47" i="64"/>
  <c r="M47" i="64" s="1"/>
  <c r="O47" i="64"/>
  <c r="L47" i="64"/>
  <c r="J47" i="64"/>
  <c r="Q46" i="64"/>
  <c r="O46" i="64"/>
  <c r="M46" i="64"/>
  <c r="L46" i="64"/>
  <c r="J46" i="64"/>
  <c r="Q45" i="64"/>
  <c r="O45" i="64"/>
  <c r="M45" i="64"/>
  <c r="L45" i="64"/>
  <c r="J45" i="64"/>
  <c r="Q44" i="64"/>
  <c r="O44" i="64"/>
  <c r="M44" i="64"/>
  <c r="L44" i="64"/>
  <c r="J44" i="64"/>
  <c r="Q43" i="64"/>
  <c r="O43" i="64"/>
  <c r="M43" i="64"/>
  <c r="L43" i="64"/>
  <c r="J43" i="64"/>
  <c r="Q42" i="64"/>
  <c r="M42" i="64" s="1"/>
  <c r="O42" i="64"/>
  <c r="L42" i="64"/>
  <c r="J42" i="64"/>
  <c r="Q41" i="64"/>
  <c r="O41" i="64"/>
  <c r="M41" i="64"/>
  <c r="L41" i="64"/>
  <c r="J41" i="64"/>
  <c r="Q40" i="64"/>
  <c r="M40" i="64" s="1"/>
  <c r="O40" i="64"/>
  <c r="L40" i="64"/>
  <c r="J40" i="64"/>
  <c r="Q39" i="64"/>
  <c r="M39" i="64" s="1"/>
  <c r="O39" i="64"/>
  <c r="L39" i="64"/>
  <c r="J39" i="64"/>
  <c r="Q38" i="64"/>
  <c r="O38" i="64"/>
  <c r="M38" i="64"/>
  <c r="L38" i="64"/>
  <c r="J38" i="64"/>
  <c r="Q37" i="64"/>
  <c r="M37" i="64" s="1"/>
  <c r="O37" i="64"/>
  <c r="L37" i="64"/>
  <c r="J37" i="64"/>
  <c r="Q36" i="64"/>
  <c r="M36" i="64" s="1"/>
  <c r="O36" i="64"/>
  <c r="L36" i="64"/>
  <c r="J36" i="64"/>
  <c r="Q35" i="64"/>
  <c r="O35" i="64"/>
  <c r="M35" i="64"/>
  <c r="L35" i="64"/>
  <c r="J35" i="64"/>
  <c r="Q34" i="64"/>
  <c r="O34" i="64"/>
  <c r="M34" i="64"/>
  <c r="L34" i="64"/>
  <c r="J34" i="64"/>
  <c r="Q33" i="64"/>
  <c r="M33" i="64" s="1"/>
  <c r="O33" i="64"/>
  <c r="L33" i="64"/>
  <c r="J33" i="64"/>
  <c r="Q32" i="64"/>
  <c r="O32" i="64"/>
  <c r="M32" i="64"/>
  <c r="L32" i="64"/>
  <c r="J32" i="64"/>
  <c r="Q31" i="64"/>
  <c r="M31" i="64" s="1"/>
  <c r="O31" i="64"/>
  <c r="L31" i="64"/>
  <c r="J31" i="64"/>
  <c r="Q30" i="64"/>
  <c r="O30" i="64"/>
  <c r="M30" i="64"/>
  <c r="L30" i="64"/>
  <c r="J30" i="64"/>
  <c r="Q29" i="64"/>
  <c r="O29" i="64"/>
  <c r="M29" i="64"/>
  <c r="L29" i="64"/>
  <c r="J29" i="64"/>
  <c r="Q28" i="64"/>
  <c r="O28" i="64"/>
  <c r="M28" i="64"/>
  <c r="L28" i="64"/>
  <c r="J28" i="64"/>
  <c r="Q27" i="64"/>
  <c r="O27" i="64"/>
  <c r="M27" i="64"/>
  <c r="L27" i="64"/>
  <c r="J27" i="64"/>
  <c r="Q26" i="64"/>
  <c r="M26" i="64" s="1"/>
  <c r="O26" i="64"/>
  <c r="L26" i="64"/>
  <c r="J26" i="64"/>
  <c r="Q25" i="64"/>
  <c r="O25" i="64"/>
  <c r="M25" i="64"/>
  <c r="L25" i="64"/>
  <c r="J25" i="64"/>
  <c r="Q24" i="64"/>
  <c r="M24" i="64" s="1"/>
  <c r="O24" i="64"/>
  <c r="L24" i="64"/>
  <c r="J24" i="64"/>
  <c r="Q23" i="64"/>
  <c r="M23" i="64" s="1"/>
  <c r="O23" i="64"/>
  <c r="L23" i="64"/>
  <c r="J23" i="64"/>
  <c r="Q22" i="64"/>
  <c r="O22" i="64"/>
  <c r="M22" i="64"/>
  <c r="L22" i="64"/>
  <c r="J22" i="64"/>
  <c r="Q21" i="64"/>
  <c r="M21" i="64" s="1"/>
  <c r="O21" i="64"/>
  <c r="L21" i="64"/>
  <c r="J21" i="64"/>
  <c r="Q20" i="64"/>
  <c r="M20" i="64" s="1"/>
  <c r="O20" i="64"/>
  <c r="L20" i="64"/>
  <c r="J20" i="64"/>
  <c r="Q19" i="64"/>
  <c r="O19" i="64"/>
  <c r="M19" i="64"/>
  <c r="L19" i="64"/>
  <c r="J19" i="64"/>
  <c r="Q18" i="64"/>
  <c r="O18" i="64"/>
  <c r="M18" i="64"/>
  <c r="L18" i="64"/>
  <c r="J18" i="64"/>
  <c r="Q17" i="64"/>
  <c r="M17" i="64" s="1"/>
  <c r="O17" i="64"/>
  <c r="L17" i="64"/>
  <c r="J17" i="64"/>
  <c r="Q16" i="64"/>
  <c r="O16" i="64"/>
  <c r="M16" i="64"/>
  <c r="L16" i="64"/>
  <c r="J16" i="64"/>
  <c r="Q15" i="64"/>
  <c r="M15" i="64" s="1"/>
  <c r="O15" i="64"/>
  <c r="L15" i="64"/>
  <c r="J15" i="64"/>
  <c r="Q14" i="64"/>
  <c r="O14" i="64"/>
  <c r="M14" i="64"/>
  <c r="L14" i="64"/>
  <c r="J14" i="64"/>
  <c r="Q13" i="64"/>
  <c r="O13" i="64"/>
  <c r="M13" i="64"/>
  <c r="L13" i="64"/>
  <c r="J13" i="64"/>
  <c r="Q12" i="64"/>
  <c r="O12" i="64"/>
  <c r="M12" i="64"/>
  <c r="L12" i="64"/>
  <c r="J12" i="64"/>
  <c r="Q11" i="64"/>
  <c r="O11" i="64"/>
  <c r="M11" i="64"/>
  <c r="L11" i="64"/>
  <c r="J11" i="64"/>
  <c r="Q10" i="64"/>
  <c r="M10" i="64" s="1"/>
  <c r="O10" i="64"/>
  <c r="L10" i="64"/>
  <c r="J10" i="64"/>
  <c r="Q9" i="64"/>
  <c r="O9" i="64"/>
  <c r="M9" i="64"/>
  <c r="L9" i="64"/>
  <c r="J9" i="64"/>
  <c r="Q8" i="64"/>
  <c r="M8" i="64" s="1"/>
  <c r="O8" i="64"/>
  <c r="L8" i="64"/>
  <c r="J8" i="64"/>
  <c r="Q7" i="64"/>
  <c r="M7" i="64" s="1"/>
  <c r="O7" i="64"/>
  <c r="L7" i="64"/>
  <c r="J7" i="64"/>
  <c r="Q6" i="64"/>
  <c r="O6" i="64"/>
  <c r="M6" i="64"/>
  <c r="L6" i="64"/>
  <c r="J6" i="64"/>
  <c r="Q5" i="64"/>
  <c r="M5" i="64" s="1"/>
  <c r="O5" i="64"/>
  <c r="L5" i="64"/>
  <c r="J5" i="64"/>
  <c r="Q4" i="64"/>
  <c r="M4" i="64" s="1"/>
  <c r="O4" i="64"/>
  <c r="L4" i="64"/>
  <c r="J4" i="64"/>
  <c r="Q3" i="64"/>
  <c r="O3" i="64"/>
  <c r="M3" i="64"/>
  <c r="L3" i="64"/>
  <c r="J3" i="64"/>
  <c r="K104" i="65"/>
  <c r="N104" i="65" s="1"/>
  <c r="S104" i="65" s="1"/>
  <c r="N103" i="65"/>
  <c r="S103" i="65" s="1"/>
  <c r="M103" i="65"/>
  <c r="R103" i="65" s="1"/>
  <c r="K103" i="65"/>
  <c r="L103" i="65" s="1"/>
  <c r="O103" i="65" s="1"/>
  <c r="K102" i="65"/>
  <c r="N102" i="65" s="1"/>
  <c r="S102" i="65" s="1"/>
  <c r="K101" i="65"/>
  <c r="N101" i="65" s="1"/>
  <c r="S101" i="65" s="1"/>
  <c r="K100" i="65"/>
  <c r="S99" i="65"/>
  <c r="K99" i="65"/>
  <c r="N99" i="65" s="1"/>
  <c r="H99" i="65"/>
  <c r="K98" i="65"/>
  <c r="N98" i="65" s="1"/>
  <c r="S98" i="65" s="1"/>
  <c r="H98" i="65"/>
  <c r="K97" i="65"/>
  <c r="M97" i="65" s="1"/>
  <c r="R97" i="65" s="1"/>
  <c r="H97" i="65"/>
  <c r="K96" i="65"/>
  <c r="N96" i="65" s="1"/>
  <c r="S96" i="65" s="1"/>
  <c r="H96" i="65"/>
  <c r="K95" i="65"/>
  <c r="M95" i="65" s="1"/>
  <c r="R95" i="65" s="1"/>
  <c r="H95" i="65"/>
  <c r="K94" i="65"/>
  <c r="H94" i="65"/>
  <c r="N93" i="65"/>
  <c r="S93" i="65" s="1"/>
  <c r="M93" i="65"/>
  <c r="R93" i="65" s="1"/>
  <c r="K93" i="65"/>
  <c r="L93" i="65" s="1"/>
  <c r="H93" i="65"/>
  <c r="K92" i="65"/>
  <c r="N92" i="65" s="1"/>
  <c r="S92" i="65" s="1"/>
  <c r="H92" i="65"/>
  <c r="K91" i="65"/>
  <c r="L91" i="65" s="1"/>
  <c r="H91" i="65"/>
  <c r="S90" i="65"/>
  <c r="R90" i="65"/>
  <c r="N90" i="65"/>
  <c r="K90" i="65"/>
  <c r="M90" i="65" s="1"/>
  <c r="H90" i="65"/>
  <c r="K89" i="65"/>
  <c r="M89" i="65" s="1"/>
  <c r="R89" i="65" s="1"/>
  <c r="H89" i="65"/>
  <c r="K88" i="65"/>
  <c r="N88" i="65" s="1"/>
  <c r="S88" i="65" s="1"/>
  <c r="H88" i="65"/>
  <c r="K87" i="65"/>
  <c r="M87" i="65" s="1"/>
  <c r="R87" i="65" s="1"/>
  <c r="H87" i="65"/>
  <c r="K86" i="65"/>
  <c r="H86" i="65"/>
  <c r="T85" i="65"/>
  <c r="S85" i="65"/>
  <c r="R85" i="65"/>
  <c r="N85" i="65"/>
  <c r="M85" i="65"/>
  <c r="K85" i="65"/>
  <c r="L85" i="65" s="1"/>
  <c r="Q85" i="65" s="1"/>
  <c r="H85" i="65"/>
  <c r="K84" i="65"/>
  <c r="H84" i="65"/>
  <c r="K83" i="65"/>
  <c r="L83" i="65" s="1"/>
  <c r="H83" i="65"/>
  <c r="K82" i="65"/>
  <c r="N82" i="65" s="1"/>
  <c r="S82" i="65" s="1"/>
  <c r="H82" i="65"/>
  <c r="N81" i="65"/>
  <c r="S81" i="65" s="1"/>
  <c r="K81" i="65"/>
  <c r="M81" i="65" s="1"/>
  <c r="R81" i="65" s="1"/>
  <c r="H81" i="65"/>
  <c r="K80" i="65"/>
  <c r="N80" i="65" s="1"/>
  <c r="S80" i="65" s="1"/>
  <c r="H80" i="65"/>
  <c r="K79" i="65"/>
  <c r="M79" i="65" s="1"/>
  <c r="R79" i="65" s="1"/>
  <c r="H79" i="65"/>
  <c r="K78" i="65"/>
  <c r="H78" i="65"/>
  <c r="N77" i="65"/>
  <c r="S77" i="65" s="1"/>
  <c r="M77" i="65"/>
  <c r="R77" i="65" s="1"/>
  <c r="K77" i="65"/>
  <c r="L77" i="65" s="1"/>
  <c r="H77" i="65"/>
  <c r="K76" i="65"/>
  <c r="N76" i="65" s="1"/>
  <c r="S76" i="65" s="1"/>
  <c r="H76" i="65"/>
  <c r="K75" i="65"/>
  <c r="L75" i="65" s="1"/>
  <c r="H75" i="65"/>
  <c r="N74" i="65"/>
  <c r="S74" i="65" s="1"/>
  <c r="K74" i="65"/>
  <c r="M74" i="65" s="1"/>
  <c r="R74" i="65" s="1"/>
  <c r="H74" i="65"/>
  <c r="K73" i="65"/>
  <c r="M73" i="65" s="1"/>
  <c r="R73" i="65" s="1"/>
  <c r="H73" i="65"/>
  <c r="K72" i="65"/>
  <c r="N72" i="65" s="1"/>
  <c r="S72" i="65" s="1"/>
  <c r="H72" i="65"/>
  <c r="K71" i="65"/>
  <c r="L71" i="65" s="1"/>
  <c r="H71" i="65"/>
  <c r="K70" i="65"/>
  <c r="H70" i="65"/>
  <c r="S69" i="65"/>
  <c r="R69" i="65"/>
  <c r="T69" i="65" s="1"/>
  <c r="N69" i="65"/>
  <c r="M69" i="65"/>
  <c r="K69" i="65"/>
  <c r="L69" i="65" s="1"/>
  <c r="Q69" i="65" s="1"/>
  <c r="H69" i="65"/>
  <c r="K68" i="65"/>
  <c r="H68" i="65"/>
  <c r="S67" i="65"/>
  <c r="K67" i="65"/>
  <c r="N67" i="65" s="1"/>
  <c r="H67" i="65"/>
  <c r="K66" i="65"/>
  <c r="H66" i="65"/>
  <c r="N65" i="65"/>
  <c r="S65" i="65" s="1"/>
  <c r="M65" i="65"/>
  <c r="R65" i="65" s="1"/>
  <c r="L65" i="65"/>
  <c r="K65" i="65"/>
  <c r="H65" i="65"/>
  <c r="K64" i="65"/>
  <c r="N64" i="65" s="1"/>
  <c r="S64" i="65" s="1"/>
  <c r="H64" i="65"/>
  <c r="K63" i="65"/>
  <c r="M63" i="65" s="1"/>
  <c r="R63" i="65" s="1"/>
  <c r="H63" i="65"/>
  <c r="K62" i="65"/>
  <c r="H62" i="65"/>
  <c r="N61" i="65"/>
  <c r="S61" i="65" s="1"/>
  <c r="M61" i="65"/>
  <c r="R61" i="65" s="1"/>
  <c r="K61" i="65"/>
  <c r="L61" i="65" s="1"/>
  <c r="H61" i="65"/>
  <c r="K60" i="65"/>
  <c r="N60" i="65" s="1"/>
  <c r="S60" i="65" s="1"/>
  <c r="H60" i="65"/>
  <c r="K59" i="65"/>
  <c r="H59" i="65"/>
  <c r="N58" i="65"/>
  <c r="S58" i="65" s="1"/>
  <c r="K58" i="65"/>
  <c r="M58" i="65" s="1"/>
  <c r="R58" i="65" s="1"/>
  <c r="H58" i="65"/>
  <c r="K57" i="65"/>
  <c r="M57" i="65" s="1"/>
  <c r="R57" i="65" s="1"/>
  <c r="H57" i="65"/>
  <c r="K56" i="65"/>
  <c r="N56" i="65" s="1"/>
  <c r="S56" i="65" s="1"/>
  <c r="H56" i="65"/>
  <c r="K55" i="65"/>
  <c r="M55" i="65" s="1"/>
  <c r="R55" i="65" s="1"/>
  <c r="H55" i="65"/>
  <c r="K54" i="65"/>
  <c r="L54" i="65" s="1"/>
  <c r="H54" i="65"/>
  <c r="S53" i="65"/>
  <c r="R53" i="65"/>
  <c r="T53" i="65" s="1"/>
  <c r="N53" i="65"/>
  <c r="M53" i="65"/>
  <c r="K53" i="65"/>
  <c r="L53" i="65" s="1"/>
  <c r="Q53" i="65" s="1"/>
  <c r="H53" i="65"/>
  <c r="K52" i="65"/>
  <c r="H52" i="65"/>
  <c r="K51" i="65"/>
  <c r="L51" i="65" s="1"/>
  <c r="H51" i="65"/>
  <c r="K50" i="65"/>
  <c r="H50" i="65"/>
  <c r="N49" i="65"/>
  <c r="S49" i="65" s="1"/>
  <c r="M49" i="65"/>
  <c r="R49" i="65" s="1"/>
  <c r="L49" i="65"/>
  <c r="K49" i="65"/>
  <c r="H49" i="65"/>
  <c r="K48" i="65"/>
  <c r="N48" i="65" s="1"/>
  <c r="S48" i="65" s="1"/>
  <c r="H48" i="65"/>
  <c r="N47" i="65"/>
  <c r="S47" i="65" s="1"/>
  <c r="M47" i="65"/>
  <c r="R47" i="65" s="1"/>
  <c r="L47" i="65"/>
  <c r="Q47" i="65" s="1"/>
  <c r="T47" i="65" s="1"/>
  <c r="K47" i="65"/>
  <c r="H47" i="65"/>
  <c r="K46" i="65"/>
  <c r="H46" i="65"/>
  <c r="O45" i="65"/>
  <c r="N45" i="65"/>
  <c r="S45" i="65" s="1"/>
  <c r="M45" i="65"/>
  <c r="R45" i="65" s="1"/>
  <c r="K45" i="65"/>
  <c r="L45" i="65" s="1"/>
  <c r="Q45" i="65" s="1"/>
  <c r="T45" i="65" s="1"/>
  <c r="H45" i="65"/>
  <c r="K44" i="65"/>
  <c r="N44" i="65" s="1"/>
  <c r="S44" i="65" s="1"/>
  <c r="H44" i="65"/>
  <c r="K43" i="65"/>
  <c r="L43" i="65" s="1"/>
  <c r="H43" i="65"/>
  <c r="K42" i="65"/>
  <c r="N42" i="65" s="1"/>
  <c r="S42" i="65" s="1"/>
  <c r="H42" i="65"/>
  <c r="K41" i="65"/>
  <c r="M41" i="65" s="1"/>
  <c r="R41" i="65" s="1"/>
  <c r="H41" i="65"/>
  <c r="S40" i="65"/>
  <c r="K40" i="65"/>
  <c r="N40" i="65" s="1"/>
  <c r="H40" i="65"/>
  <c r="K39" i="65"/>
  <c r="H39" i="65"/>
  <c r="K38" i="65"/>
  <c r="N38" i="65" s="1"/>
  <c r="S38" i="65" s="1"/>
  <c r="H38" i="65"/>
  <c r="Q37" i="65"/>
  <c r="N37" i="65"/>
  <c r="S37" i="65" s="1"/>
  <c r="M37" i="65"/>
  <c r="O37" i="65" s="1"/>
  <c r="L37" i="65"/>
  <c r="K37" i="65"/>
  <c r="H37" i="65"/>
  <c r="N36" i="65"/>
  <c r="S36" i="65" s="1"/>
  <c r="M36" i="65"/>
  <c r="R36" i="65" s="1"/>
  <c r="K36" i="65"/>
  <c r="L36" i="65" s="1"/>
  <c r="Q36" i="65" s="1"/>
  <c r="T36" i="65" s="1"/>
  <c r="H36" i="65"/>
  <c r="K35" i="65"/>
  <c r="H35" i="65"/>
  <c r="R34" i="65"/>
  <c r="N34" i="65"/>
  <c r="S34" i="65" s="1"/>
  <c r="M34" i="65"/>
  <c r="L34" i="65"/>
  <c r="Q34" i="65" s="1"/>
  <c r="T34" i="65" s="1"/>
  <c r="K34" i="65"/>
  <c r="H34" i="65"/>
  <c r="K33" i="65"/>
  <c r="N33" i="65" s="1"/>
  <c r="S33" i="65" s="1"/>
  <c r="H33" i="65"/>
  <c r="K32" i="65"/>
  <c r="N32" i="65" s="1"/>
  <c r="S32" i="65" s="1"/>
  <c r="H32" i="65"/>
  <c r="K31" i="65"/>
  <c r="M31" i="65" s="1"/>
  <c r="R31" i="65" s="1"/>
  <c r="H31" i="65"/>
  <c r="K30" i="65"/>
  <c r="N30" i="65" s="1"/>
  <c r="S30" i="65" s="1"/>
  <c r="H30" i="65"/>
  <c r="S29" i="65"/>
  <c r="N29" i="65"/>
  <c r="M29" i="65"/>
  <c r="R29" i="65" s="1"/>
  <c r="K29" i="65"/>
  <c r="L29" i="65" s="1"/>
  <c r="Q29" i="65" s="1"/>
  <c r="T29" i="65" s="1"/>
  <c r="H29" i="65"/>
  <c r="K28" i="65"/>
  <c r="L28" i="65" s="1"/>
  <c r="H28" i="65"/>
  <c r="K27" i="65"/>
  <c r="H27" i="65"/>
  <c r="K26" i="65"/>
  <c r="N26" i="65" s="1"/>
  <c r="S26" i="65" s="1"/>
  <c r="H26" i="65"/>
  <c r="N25" i="65"/>
  <c r="S25" i="65" s="1"/>
  <c r="K25" i="65"/>
  <c r="M25" i="65" s="1"/>
  <c r="R25" i="65" s="1"/>
  <c r="H25" i="65"/>
  <c r="K24" i="65"/>
  <c r="N24" i="65" s="1"/>
  <c r="S24" i="65" s="1"/>
  <c r="H24" i="65"/>
  <c r="S23" i="65"/>
  <c r="K23" i="65"/>
  <c r="N23" i="65" s="1"/>
  <c r="H23" i="65"/>
  <c r="K22" i="65"/>
  <c r="N22" i="65" s="1"/>
  <c r="S22" i="65" s="1"/>
  <c r="H22" i="65"/>
  <c r="R21" i="65"/>
  <c r="Q21" i="65"/>
  <c r="N21" i="65"/>
  <c r="S21" i="65" s="1"/>
  <c r="M21" i="65"/>
  <c r="K21" i="65"/>
  <c r="L21" i="65" s="1"/>
  <c r="H21" i="65"/>
  <c r="K20" i="65"/>
  <c r="M20" i="65" s="1"/>
  <c r="R20" i="65" s="1"/>
  <c r="H20" i="65"/>
  <c r="K19" i="65"/>
  <c r="H19" i="65"/>
  <c r="K18" i="65"/>
  <c r="N18" i="65" s="1"/>
  <c r="S18" i="65" s="1"/>
  <c r="H18" i="65"/>
  <c r="K17" i="65"/>
  <c r="N17" i="65" s="1"/>
  <c r="S17" i="65" s="1"/>
  <c r="H17" i="65"/>
  <c r="K16" i="65"/>
  <c r="N16" i="65" s="1"/>
  <c r="S16" i="65" s="1"/>
  <c r="H16" i="65"/>
  <c r="K15" i="65"/>
  <c r="N15" i="65" s="1"/>
  <c r="S15" i="65" s="1"/>
  <c r="H15" i="65"/>
  <c r="K14" i="65"/>
  <c r="N14" i="65" s="1"/>
  <c r="S14" i="65" s="1"/>
  <c r="H14" i="65"/>
  <c r="N13" i="65"/>
  <c r="S13" i="65" s="1"/>
  <c r="M13" i="65"/>
  <c r="R13" i="65" s="1"/>
  <c r="K13" i="65"/>
  <c r="L13" i="65" s="1"/>
  <c r="Q13" i="65" s="1"/>
  <c r="T13" i="65" s="1"/>
  <c r="H13" i="65"/>
  <c r="K12" i="65"/>
  <c r="N12" i="65" s="1"/>
  <c r="S12" i="65" s="1"/>
  <c r="H12" i="65"/>
  <c r="K11" i="65"/>
  <c r="H11" i="65"/>
  <c r="K10" i="65"/>
  <c r="N10" i="65" s="1"/>
  <c r="S10" i="65" s="1"/>
  <c r="H10" i="65"/>
  <c r="K9" i="65"/>
  <c r="H9" i="65"/>
  <c r="S8" i="65"/>
  <c r="K8" i="65"/>
  <c r="N8" i="65" s="1"/>
  <c r="H8" i="65"/>
  <c r="K7" i="65"/>
  <c r="L7" i="65" s="1"/>
  <c r="H7" i="65"/>
  <c r="M6" i="65"/>
  <c r="R6" i="65" s="1"/>
  <c r="L6" i="65"/>
  <c r="K6" i="65"/>
  <c r="N6" i="65" s="1"/>
  <c r="S6" i="65" s="1"/>
  <c r="H6" i="65"/>
  <c r="N5" i="65"/>
  <c r="S5" i="65" s="1"/>
  <c r="M5" i="65"/>
  <c r="R5" i="65" s="1"/>
  <c r="K5" i="65"/>
  <c r="L5" i="65" s="1"/>
  <c r="Q5" i="65" s="1"/>
  <c r="T5" i="65" s="1"/>
  <c r="H5" i="65"/>
  <c r="R4" i="65"/>
  <c r="Q4" i="65"/>
  <c r="T4" i="65" s="1"/>
  <c r="O4" i="65"/>
  <c r="N4" i="65"/>
  <c r="S4" i="65" s="1"/>
  <c r="M4" i="65"/>
  <c r="L4" i="65"/>
  <c r="K4" i="65"/>
  <c r="H4" i="65"/>
  <c r="K3" i="65"/>
  <c r="H3" i="65"/>
  <c r="Q7" i="65" l="1"/>
  <c r="Q54" i="65"/>
  <c r="Q28" i="65"/>
  <c r="T21" i="65"/>
  <c r="N86" i="65"/>
  <c r="S86" i="65" s="1"/>
  <c r="M86" i="65"/>
  <c r="R86" i="65" s="1"/>
  <c r="L86" i="65"/>
  <c r="L17" i="65"/>
  <c r="N70" i="65"/>
  <c r="S70" i="65" s="1"/>
  <c r="M70" i="65"/>
  <c r="R70" i="65" s="1"/>
  <c r="L70" i="65"/>
  <c r="L95" i="65"/>
  <c r="N28" i="65"/>
  <c r="S28" i="65" s="1"/>
  <c r="N95" i="65"/>
  <c r="S95" i="65" s="1"/>
  <c r="M17" i="65"/>
  <c r="R17" i="65" s="1"/>
  <c r="L79" i="65"/>
  <c r="O36" i="65"/>
  <c r="O47" i="65"/>
  <c r="N63" i="65"/>
  <c r="S63" i="65" s="1"/>
  <c r="Q6" i="65"/>
  <c r="T6" i="65" s="1"/>
  <c r="O6" i="65"/>
  <c r="N97" i="65"/>
  <c r="S97" i="65" s="1"/>
  <c r="L38" i="65"/>
  <c r="M28" i="65"/>
  <c r="R28" i="65" s="1"/>
  <c r="M38" i="65"/>
  <c r="R38" i="65" s="1"/>
  <c r="O13" i="65"/>
  <c r="N39" i="65"/>
  <c r="S39" i="65" s="1"/>
  <c r="M39" i="65"/>
  <c r="R39" i="65" s="1"/>
  <c r="L39" i="65"/>
  <c r="L15" i="65"/>
  <c r="O93" i="65"/>
  <c r="Q93" i="65"/>
  <c r="T93" i="65" s="1"/>
  <c r="N54" i="65"/>
  <c r="S54" i="65" s="1"/>
  <c r="M54" i="65"/>
  <c r="R54" i="65" s="1"/>
  <c r="M100" i="65"/>
  <c r="R100" i="65" s="1"/>
  <c r="N100" i="65"/>
  <c r="S100" i="65" s="1"/>
  <c r="O21" i="65"/>
  <c r="M9" i="65"/>
  <c r="R9" i="65" s="1"/>
  <c r="L9" i="65"/>
  <c r="N9" i="65"/>
  <c r="S9" i="65" s="1"/>
  <c r="L63" i="65"/>
  <c r="N79" i="65"/>
  <c r="S79" i="65" s="1"/>
  <c r="L102" i="65"/>
  <c r="M52" i="65"/>
  <c r="R52" i="65" s="1"/>
  <c r="N52" i="65"/>
  <c r="S52" i="65" s="1"/>
  <c r="N68" i="65"/>
  <c r="S68" i="65" s="1"/>
  <c r="M68" i="65"/>
  <c r="R68" i="65" s="1"/>
  <c r="L97" i="65"/>
  <c r="L19" i="65"/>
  <c r="N19" i="65"/>
  <c r="S19" i="65" s="1"/>
  <c r="M19" i="65"/>
  <c r="R19" i="65" s="1"/>
  <c r="L26" i="65"/>
  <c r="L52" i="65"/>
  <c r="M15" i="65"/>
  <c r="R15" i="65" s="1"/>
  <c r="L30" i="65"/>
  <c r="N11" i="65"/>
  <c r="S11" i="65" s="1"/>
  <c r="M11" i="65"/>
  <c r="R11" i="65" s="1"/>
  <c r="L11" i="65"/>
  <c r="M30" i="65"/>
  <c r="R30" i="65" s="1"/>
  <c r="O34" i="65"/>
  <c r="L81" i="65"/>
  <c r="N50" i="65"/>
  <c r="S50" i="65" s="1"/>
  <c r="M50" i="65"/>
  <c r="R50" i="65" s="1"/>
  <c r="L50" i="65"/>
  <c r="M66" i="65"/>
  <c r="R66" i="65" s="1"/>
  <c r="L66" i="65"/>
  <c r="N66" i="65"/>
  <c r="S66" i="65" s="1"/>
  <c r="L100" i="65"/>
  <c r="Q71" i="65"/>
  <c r="N84" i="65"/>
  <c r="S84" i="65" s="1"/>
  <c r="M84" i="65"/>
  <c r="R84" i="65" s="1"/>
  <c r="L84" i="65"/>
  <c r="M102" i="65"/>
  <c r="R102" i="65" s="1"/>
  <c r="L68" i="65"/>
  <c r="M26" i="65"/>
  <c r="R26" i="65" s="1"/>
  <c r="N7" i="65"/>
  <c r="S7" i="65" s="1"/>
  <c r="M7" i="65"/>
  <c r="R7" i="65" s="1"/>
  <c r="Q49" i="65"/>
  <c r="T49" i="65" s="1"/>
  <c r="O49" i="65"/>
  <c r="Q61" i="65"/>
  <c r="T61" i="65" s="1"/>
  <c r="O61" i="65"/>
  <c r="Q65" i="65"/>
  <c r="T65" i="65" s="1"/>
  <c r="O65" i="65"/>
  <c r="Q77" i="65"/>
  <c r="T77" i="65" s="1"/>
  <c r="O77" i="65"/>
  <c r="L59" i="65"/>
  <c r="N59" i="65"/>
  <c r="S59" i="65" s="1"/>
  <c r="M59" i="65"/>
  <c r="R59" i="65" s="1"/>
  <c r="Q75" i="65"/>
  <c r="T75" i="65" s="1"/>
  <c r="N20" i="65"/>
  <c r="S20" i="65" s="1"/>
  <c r="L31" i="65"/>
  <c r="L55" i="65"/>
  <c r="L87" i="65"/>
  <c r="L82" i="65"/>
  <c r="Q91" i="65"/>
  <c r="L33" i="65"/>
  <c r="L12" i="65"/>
  <c r="N31" i="65"/>
  <c r="S31" i="65" s="1"/>
  <c r="M33" i="65"/>
  <c r="R33" i="65" s="1"/>
  <c r="N46" i="65"/>
  <c r="S46" i="65" s="1"/>
  <c r="M46" i="65"/>
  <c r="R46" i="65" s="1"/>
  <c r="N55" i="65"/>
  <c r="S55" i="65" s="1"/>
  <c r="N57" i="65"/>
  <c r="S57" i="65" s="1"/>
  <c r="N71" i="65"/>
  <c r="S71" i="65" s="1"/>
  <c r="N73" i="65"/>
  <c r="S73" i="65" s="1"/>
  <c r="N87" i="65"/>
  <c r="S87" i="65" s="1"/>
  <c r="N89" i="65"/>
  <c r="S89" i="65" s="1"/>
  <c r="O5" i="65"/>
  <c r="L10" i="65"/>
  <c r="M12" i="65"/>
  <c r="R12" i="65" s="1"/>
  <c r="L14" i="65"/>
  <c r="R37" i="65"/>
  <c r="T37" i="65" s="1"/>
  <c r="L44" i="65"/>
  <c r="L46" i="65"/>
  <c r="M62" i="65"/>
  <c r="R62" i="65" s="1"/>
  <c r="N62" i="65"/>
  <c r="S62" i="65" s="1"/>
  <c r="M78" i="65"/>
  <c r="R78" i="65" s="1"/>
  <c r="N78" i="65"/>
  <c r="S78" i="65" s="1"/>
  <c r="N94" i="65"/>
  <c r="S94" i="65" s="1"/>
  <c r="M94" i="65"/>
  <c r="R94" i="65" s="1"/>
  <c r="L98" i="65"/>
  <c r="L41" i="65"/>
  <c r="L18" i="65"/>
  <c r="L22" i="65"/>
  <c r="M18" i="65"/>
  <c r="R18" i="65" s="1"/>
  <c r="L35" i="65"/>
  <c r="N35" i="65"/>
  <c r="S35" i="65" s="1"/>
  <c r="M35" i="65"/>
  <c r="R35" i="65" s="1"/>
  <c r="L57" i="65"/>
  <c r="L73" i="65"/>
  <c r="L89" i="65"/>
  <c r="M71" i="65"/>
  <c r="R71" i="65" s="1"/>
  <c r="M10" i="65"/>
  <c r="R10" i="65" s="1"/>
  <c r="M14" i="65"/>
  <c r="R14" i="65" s="1"/>
  <c r="L23" i="65"/>
  <c r="L27" i="65"/>
  <c r="N27" i="65"/>
  <c r="S27" i="65" s="1"/>
  <c r="M27" i="65"/>
  <c r="R27" i="65" s="1"/>
  <c r="O29" i="65"/>
  <c r="L42" i="65"/>
  <c r="M44" i="65"/>
  <c r="R44" i="65" s="1"/>
  <c r="L60" i="65"/>
  <c r="L62" i="65"/>
  <c r="L76" i="65"/>
  <c r="L78" i="65"/>
  <c r="L92" i="65"/>
  <c r="L94" i="65"/>
  <c r="Q43" i="65"/>
  <c r="T43" i="65" s="1"/>
  <c r="O43" i="65"/>
  <c r="L20" i="65"/>
  <c r="M98" i="65"/>
  <c r="R98" i="65" s="1"/>
  <c r="L3" i="65"/>
  <c r="M3" i="65"/>
  <c r="R3" i="65" s="1"/>
  <c r="N3" i="65"/>
  <c r="S3" i="65" s="1"/>
  <c r="M22" i="65"/>
  <c r="R22" i="65" s="1"/>
  <c r="N41" i="65"/>
  <c r="S41" i="65" s="1"/>
  <c r="Q103" i="65"/>
  <c r="T103" i="65" s="1"/>
  <c r="M23" i="65"/>
  <c r="R23" i="65" s="1"/>
  <c r="L25" i="65"/>
  <c r="M42" i="65"/>
  <c r="R42" i="65" s="1"/>
  <c r="O53" i="65"/>
  <c r="L58" i="65"/>
  <c r="M60" i="65"/>
  <c r="R60" i="65" s="1"/>
  <c r="O69" i="65"/>
  <c r="L74" i="65"/>
  <c r="M76" i="65"/>
  <c r="R76" i="65" s="1"/>
  <c r="O85" i="65"/>
  <c r="L90" i="65"/>
  <c r="M92" i="65"/>
  <c r="R92" i="65" s="1"/>
  <c r="L104" i="65"/>
  <c r="M82" i="65"/>
  <c r="R82" i="65" s="1"/>
  <c r="Q51" i="65"/>
  <c r="O51" i="65"/>
  <c r="Q83" i="65"/>
  <c r="M104" i="65"/>
  <c r="R104" i="65" s="1"/>
  <c r="L99" i="65"/>
  <c r="M43" i="65"/>
  <c r="R43" i="65" s="1"/>
  <c r="M51" i="65"/>
  <c r="R51" i="65" s="1"/>
  <c r="M67" i="65"/>
  <c r="R67" i="65" s="1"/>
  <c r="M75" i="65"/>
  <c r="R75" i="65" s="1"/>
  <c r="M83" i="65"/>
  <c r="R83" i="65" s="1"/>
  <c r="M91" i="65"/>
  <c r="R91" i="65" s="1"/>
  <c r="M99" i="65"/>
  <c r="R99" i="65" s="1"/>
  <c r="L67" i="65"/>
  <c r="L8" i="65"/>
  <c r="L16" i="65"/>
  <c r="L24" i="65"/>
  <c r="L32" i="65"/>
  <c r="L40" i="65"/>
  <c r="N43" i="65"/>
  <c r="S43" i="65" s="1"/>
  <c r="L48" i="65"/>
  <c r="N51" i="65"/>
  <c r="S51" i="65" s="1"/>
  <c r="L56" i="65"/>
  <c r="L64" i="65"/>
  <c r="L72" i="65"/>
  <c r="N75" i="65"/>
  <c r="S75" i="65" s="1"/>
  <c r="L80" i="65"/>
  <c r="N83" i="65"/>
  <c r="S83" i="65" s="1"/>
  <c r="L88" i="65"/>
  <c r="N91" i="65"/>
  <c r="S91" i="65" s="1"/>
  <c r="L96" i="65"/>
  <c r="L101" i="65"/>
  <c r="M8" i="65"/>
  <c r="R8" i="65" s="1"/>
  <c r="M16" i="65"/>
  <c r="R16" i="65" s="1"/>
  <c r="M24" i="65"/>
  <c r="R24" i="65" s="1"/>
  <c r="M32" i="65"/>
  <c r="R32" i="65" s="1"/>
  <c r="M40" i="65"/>
  <c r="R40" i="65" s="1"/>
  <c r="M48" i="65"/>
  <c r="R48" i="65" s="1"/>
  <c r="M56" i="65"/>
  <c r="R56" i="65" s="1"/>
  <c r="M64" i="65"/>
  <c r="R64" i="65" s="1"/>
  <c r="M72" i="65"/>
  <c r="R72" i="65" s="1"/>
  <c r="M80" i="65"/>
  <c r="R80" i="65" s="1"/>
  <c r="M88" i="65"/>
  <c r="R88" i="65" s="1"/>
  <c r="M96" i="65"/>
  <c r="R96" i="65" s="1"/>
  <c r="M101" i="65"/>
  <c r="R101" i="65" s="1"/>
  <c r="Q67" i="65" l="1"/>
  <c r="T67" i="65" s="1"/>
  <c r="O67" i="65"/>
  <c r="O98" i="65"/>
  <c r="Q98" i="65"/>
  <c r="T98" i="65" s="1"/>
  <c r="O81" i="65"/>
  <c r="Q81" i="65"/>
  <c r="T81" i="65" s="1"/>
  <c r="Q39" i="65"/>
  <c r="T39" i="65" s="1"/>
  <c r="O39" i="65"/>
  <c r="Q88" i="65"/>
  <c r="T88" i="65" s="1"/>
  <c r="O88" i="65"/>
  <c r="O90" i="65"/>
  <c r="Q90" i="65"/>
  <c r="T90" i="65" s="1"/>
  <c r="Q3" i="65"/>
  <c r="T3" i="65" s="1"/>
  <c r="O3" i="65"/>
  <c r="Q27" i="65"/>
  <c r="T27" i="65" s="1"/>
  <c r="O27" i="65"/>
  <c r="O75" i="65"/>
  <c r="Q95" i="65"/>
  <c r="T95" i="65" s="1"/>
  <c r="O95" i="65"/>
  <c r="Q68" i="65"/>
  <c r="T68" i="65" s="1"/>
  <c r="O68" i="65"/>
  <c r="O64" i="65"/>
  <c r="Q64" i="65"/>
  <c r="T64" i="65" s="1"/>
  <c r="Q94" i="65"/>
  <c r="T94" i="65" s="1"/>
  <c r="O94" i="65"/>
  <c r="O89" i="65"/>
  <c r="Q89" i="65"/>
  <c r="T89" i="65" s="1"/>
  <c r="Q30" i="65"/>
  <c r="T30" i="65" s="1"/>
  <c r="O30" i="65"/>
  <c r="Q9" i="65"/>
  <c r="T9" i="65" s="1"/>
  <c r="O9" i="65"/>
  <c r="Q38" i="65"/>
  <c r="T38" i="65" s="1"/>
  <c r="O38" i="65"/>
  <c r="Q86" i="65"/>
  <c r="T86" i="65" s="1"/>
  <c r="O86" i="65"/>
  <c r="O56" i="65"/>
  <c r="Q56" i="65"/>
  <c r="T56" i="65" s="1"/>
  <c r="O58" i="65"/>
  <c r="Q58" i="65"/>
  <c r="T58" i="65" s="1"/>
  <c r="Q92" i="65"/>
  <c r="T92" i="65" s="1"/>
  <c r="O92" i="65"/>
  <c r="O73" i="65"/>
  <c r="Q73" i="65"/>
  <c r="T73" i="65" s="1"/>
  <c r="Q46" i="65"/>
  <c r="T46" i="65" s="1"/>
  <c r="O46" i="65"/>
  <c r="O71" i="65"/>
  <c r="Q70" i="65"/>
  <c r="T70" i="65" s="1"/>
  <c r="O70" i="65"/>
  <c r="O80" i="65"/>
  <c r="Q80" i="65"/>
  <c r="T80" i="65" s="1"/>
  <c r="O20" i="65"/>
  <c r="Q20" i="65"/>
  <c r="T20" i="65" s="1"/>
  <c r="O84" i="65"/>
  <c r="Q84" i="65"/>
  <c r="T84" i="65" s="1"/>
  <c r="Q59" i="65"/>
  <c r="T59" i="65" s="1"/>
  <c r="O59" i="65"/>
  <c r="Q17" i="65"/>
  <c r="T17" i="65" s="1"/>
  <c r="O17" i="65"/>
  <c r="Q99" i="65"/>
  <c r="T99" i="65" s="1"/>
  <c r="O99" i="65"/>
  <c r="Q78" i="65"/>
  <c r="T78" i="65" s="1"/>
  <c r="O78" i="65"/>
  <c r="O57" i="65"/>
  <c r="Q57" i="65"/>
  <c r="T57" i="65" s="1"/>
  <c r="O44" i="65"/>
  <c r="Q44" i="65"/>
  <c r="T44" i="65" s="1"/>
  <c r="Q12" i="65"/>
  <c r="T12" i="65" s="1"/>
  <c r="O12" i="65"/>
  <c r="T71" i="65"/>
  <c r="Q52" i="65"/>
  <c r="T52" i="65" s="1"/>
  <c r="O52" i="65"/>
  <c r="Q102" i="65"/>
  <c r="T102" i="65" s="1"/>
  <c r="O102" i="65"/>
  <c r="O48" i="65"/>
  <c r="Q48" i="65"/>
  <c r="T48" i="65" s="1"/>
  <c r="Q76" i="65"/>
  <c r="T76" i="65" s="1"/>
  <c r="O76" i="65"/>
  <c r="Q33" i="65"/>
  <c r="T33" i="65" s="1"/>
  <c r="O33" i="65"/>
  <c r="Q100" i="65"/>
  <c r="T100" i="65" s="1"/>
  <c r="O100" i="65"/>
  <c r="Q26" i="65"/>
  <c r="T26" i="65" s="1"/>
  <c r="O26" i="65"/>
  <c r="O83" i="65"/>
  <c r="Q25" i="65"/>
  <c r="T25" i="65" s="1"/>
  <c r="O25" i="65"/>
  <c r="Q62" i="65"/>
  <c r="T62" i="65" s="1"/>
  <c r="O62" i="65"/>
  <c r="Q14" i="65"/>
  <c r="T14" i="65" s="1"/>
  <c r="O14" i="65"/>
  <c r="O91" i="65"/>
  <c r="O28" i="65"/>
  <c r="O63" i="65"/>
  <c r="Q63" i="65"/>
  <c r="T63" i="65" s="1"/>
  <c r="Q72" i="65"/>
  <c r="T72" i="65" s="1"/>
  <c r="O72" i="65"/>
  <c r="Q40" i="65"/>
  <c r="T40" i="65" s="1"/>
  <c r="O40" i="65"/>
  <c r="T83" i="65"/>
  <c r="Q60" i="65"/>
  <c r="T60" i="65" s="1"/>
  <c r="O60" i="65"/>
  <c r="Q35" i="65"/>
  <c r="T35" i="65" s="1"/>
  <c r="O35" i="65"/>
  <c r="T91" i="65"/>
  <c r="Q66" i="65"/>
  <c r="T66" i="65" s="1"/>
  <c r="O66" i="65"/>
  <c r="T28" i="65"/>
  <c r="Q11" i="65"/>
  <c r="T11" i="65" s="1"/>
  <c r="O11" i="65"/>
  <c r="Q19" i="65"/>
  <c r="T19" i="65" s="1"/>
  <c r="O19" i="65"/>
  <c r="O54" i="65"/>
  <c r="O32" i="65"/>
  <c r="Q32" i="65"/>
  <c r="T32" i="65" s="1"/>
  <c r="O10" i="65"/>
  <c r="Q10" i="65"/>
  <c r="T10" i="65" s="1"/>
  <c r="O82" i="65"/>
  <c r="Q82" i="65"/>
  <c r="T82" i="65" s="1"/>
  <c r="Q24" i="65"/>
  <c r="T24" i="65" s="1"/>
  <c r="O24" i="65"/>
  <c r="T51" i="65"/>
  <c r="O42" i="65"/>
  <c r="Q42" i="65"/>
  <c r="T42" i="65" s="1"/>
  <c r="Q22" i="65"/>
  <c r="T22" i="65" s="1"/>
  <c r="O22" i="65"/>
  <c r="Q87" i="65"/>
  <c r="T87" i="65" s="1"/>
  <c r="O87" i="65"/>
  <c r="O50" i="65"/>
  <c r="Q50" i="65"/>
  <c r="T50" i="65" s="1"/>
  <c r="Q97" i="65"/>
  <c r="T97" i="65" s="1"/>
  <c r="O97" i="65"/>
  <c r="Q79" i="65"/>
  <c r="T79" i="65" s="1"/>
  <c r="O79" i="65"/>
  <c r="T54" i="65"/>
  <c r="Q101" i="65"/>
  <c r="T101" i="65" s="1"/>
  <c r="O101" i="65"/>
  <c r="Q16" i="65"/>
  <c r="T16" i="65" s="1"/>
  <c r="O16" i="65"/>
  <c r="O18" i="65"/>
  <c r="Q18" i="65"/>
  <c r="T18" i="65" s="1"/>
  <c r="Q55" i="65"/>
  <c r="T55" i="65" s="1"/>
  <c r="O55" i="65"/>
  <c r="T7" i="65"/>
  <c r="Q23" i="65"/>
  <c r="T23" i="65" s="1"/>
  <c r="O23" i="65"/>
  <c r="O74" i="65"/>
  <c r="Q74" i="65"/>
  <c r="T74" i="65" s="1"/>
  <c r="O96" i="65"/>
  <c r="Q96" i="65"/>
  <c r="T96" i="65" s="1"/>
  <c r="O8" i="65"/>
  <c r="Q8" i="65"/>
  <c r="T8" i="65" s="1"/>
  <c r="O104" i="65"/>
  <c r="Q104" i="65"/>
  <c r="T104" i="65" s="1"/>
  <c r="Q41" i="65"/>
  <c r="T41" i="65" s="1"/>
  <c r="O41" i="65"/>
  <c r="Q31" i="65"/>
  <c r="T31" i="65" s="1"/>
  <c r="O31" i="65"/>
  <c r="Q15" i="65"/>
  <c r="T15" i="65" s="1"/>
  <c r="O15" i="65"/>
  <c r="O7" i="65"/>
  <c r="B4" i="58" l="1"/>
  <c r="C4" i="58"/>
  <c r="D4" i="58"/>
  <c r="E4" i="58"/>
  <c r="F4" i="58"/>
  <c r="G4" i="58"/>
  <c r="I4" i="58"/>
  <c r="J4" i="58"/>
  <c r="K4" i="58"/>
  <c r="L4" i="58"/>
  <c r="M4" i="58"/>
  <c r="B5" i="58"/>
  <c r="C5" i="58"/>
  <c r="D5" i="58"/>
  <c r="E5" i="58"/>
  <c r="F5" i="58"/>
  <c r="G5" i="58"/>
  <c r="I5" i="58"/>
  <c r="J5" i="58"/>
  <c r="K5" i="58"/>
  <c r="L5" i="58"/>
  <c r="M5" i="58"/>
  <c r="B6" i="58"/>
  <c r="C6" i="58"/>
  <c r="D6" i="58"/>
  <c r="E6" i="58"/>
  <c r="F6" i="58"/>
  <c r="G6" i="58"/>
  <c r="I6" i="58"/>
  <c r="J6" i="58"/>
  <c r="K6" i="58"/>
  <c r="L6" i="58"/>
  <c r="M6" i="58"/>
  <c r="B7" i="58"/>
  <c r="C7" i="58"/>
  <c r="D7" i="58"/>
  <c r="E7" i="58"/>
  <c r="F7" i="58"/>
  <c r="G7" i="58"/>
  <c r="I7" i="58"/>
  <c r="J7" i="58"/>
  <c r="K7" i="58"/>
  <c r="L7" i="58"/>
  <c r="M7" i="58"/>
  <c r="B8" i="58"/>
  <c r="C8" i="58"/>
  <c r="D8" i="58"/>
  <c r="E8" i="58"/>
  <c r="F8" i="58"/>
  <c r="G8" i="58"/>
  <c r="I8" i="58"/>
  <c r="J8" i="58"/>
  <c r="K8" i="58"/>
  <c r="L8" i="58"/>
  <c r="M8" i="58"/>
  <c r="B9" i="58"/>
  <c r="C9" i="58"/>
  <c r="D9" i="58"/>
  <c r="E9" i="58"/>
  <c r="F9" i="58"/>
  <c r="G9" i="58"/>
  <c r="I9" i="58"/>
  <c r="J9" i="58"/>
  <c r="K9" i="58"/>
  <c r="L9" i="58"/>
  <c r="M9" i="58"/>
  <c r="B10" i="58"/>
  <c r="C10" i="58"/>
  <c r="D10" i="58"/>
  <c r="E10" i="58"/>
  <c r="F10" i="58"/>
  <c r="G10" i="58"/>
  <c r="I10" i="58"/>
  <c r="J10" i="58"/>
  <c r="K10" i="58"/>
  <c r="L10" i="58"/>
  <c r="M10" i="58"/>
  <c r="B11" i="58"/>
  <c r="C11" i="58"/>
  <c r="D11" i="58"/>
  <c r="E11" i="58"/>
  <c r="F11" i="58"/>
  <c r="G11" i="58"/>
  <c r="I11" i="58"/>
  <c r="J11" i="58"/>
  <c r="K11" i="58"/>
  <c r="L11" i="58"/>
  <c r="M11" i="58"/>
  <c r="B12" i="58"/>
  <c r="C12" i="58"/>
  <c r="D12" i="58"/>
  <c r="E12" i="58"/>
  <c r="F12" i="58"/>
  <c r="G12" i="58"/>
  <c r="I12" i="58"/>
  <c r="J12" i="58"/>
  <c r="K12" i="58"/>
  <c r="L12" i="58"/>
  <c r="M12" i="58"/>
  <c r="B13" i="58"/>
  <c r="C13" i="58"/>
  <c r="D13" i="58"/>
  <c r="E13" i="58"/>
  <c r="F13" i="58"/>
  <c r="G13" i="58"/>
  <c r="I13" i="58"/>
  <c r="J13" i="58"/>
  <c r="K13" i="58"/>
  <c r="L13" i="58"/>
  <c r="M13" i="58"/>
  <c r="B14" i="58"/>
  <c r="C14" i="58"/>
  <c r="D14" i="58"/>
  <c r="E14" i="58"/>
  <c r="F14" i="58"/>
  <c r="G14" i="58"/>
  <c r="I14" i="58"/>
  <c r="J14" i="58"/>
  <c r="K14" i="58"/>
  <c r="L14" i="58"/>
  <c r="M14" i="58"/>
  <c r="B15" i="58"/>
  <c r="C15" i="58"/>
  <c r="D15" i="58"/>
  <c r="E15" i="58"/>
  <c r="F15" i="58"/>
  <c r="G15" i="58"/>
  <c r="I15" i="58"/>
  <c r="J15" i="58"/>
  <c r="K15" i="58"/>
  <c r="L15" i="58"/>
  <c r="M15" i="58"/>
  <c r="B16" i="58"/>
  <c r="C16" i="58"/>
  <c r="D16" i="58"/>
  <c r="E16" i="58"/>
  <c r="F16" i="58"/>
  <c r="G16" i="58"/>
  <c r="I16" i="58"/>
  <c r="J16" i="58"/>
  <c r="K16" i="58"/>
  <c r="L16" i="58"/>
  <c r="M16" i="58"/>
  <c r="B17" i="58"/>
  <c r="C17" i="58"/>
  <c r="D17" i="58"/>
  <c r="E17" i="58"/>
  <c r="F17" i="58"/>
  <c r="G17" i="58"/>
  <c r="I17" i="58"/>
  <c r="J17" i="58"/>
  <c r="K17" i="58"/>
  <c r="L17" i="58"/>
  <c r="M17" i="58"/>
  <c r="B18" i="58"/>
  <c r="C18" i="58"/>
  <c r="D18" i="58"/>
  <c r="E18" i="58"/>
  <c r="F18" i="58"/>
  <c r="G18" i="58"/>
  <c r="I18" i="58"/>
  <c r="J18" i="58"/>
  <c r="K18" i="58"/>
  <c r="L18" i="58"/>
  <c r="M18" i="58"/>
  <c r="B19" i="58"/>
  <c r="C19" i="58"/>
  <c r="D19" i="58"/>
  <c r="E19" i="58"/>
  <c r="F19" i="58"/>
  <c r="G19" i="58"/>
  <c r="I19" i="58"/>
  <c r="J19" i="58"/>
  <c r="K19" i="58"/>
  <c r="L19" i="58"/>
  <c r="M19" i="58"/>
  <c r="B20" i="58"/>
  <c r="C20" i="58"/>
  <c r="D20" i="58"/>
  <c r="E20" i="58"/>
  <c r="F20" i="58"/>
  <c r="G20" i="58"/>
  <c r="I20" i="58"/>
  <c r="J20" i="58"/>
  <c r="K20" i="58"/>
  <c r="L20" i="58"/>
  <c r="M20" i="58"/>
  <c r="B21" i="58"/>
  <c r="C21" i="58"/>
  <c r="D21" i="58"/>
  <c r="E21" i="58"/>
  <c r="F21" i="58"/>
  <c r="G21" i="58"/>
  <c r="I21" i="58"/>
  <c r="J21" i="58"/>
  <c r="K21" i="58"/>
  <c r="L21" i="58"/>
  <c r="M21" i="58"/>
  <c r="B22" i="58"/>
  <c r="C22" i="58"/>
  <c r="D22" i="58"/>
  <c r="E22" i="58"/>
  <c r="F22" i="58"/>
  <c r="G22" i="58"/>
  <c r="I22" i="58"/>
  <c r="J22" i="58"/>
  <c r="K22" i="58"/>
  <c r="L22" i="58"/>
  <c r="M22" i="58"/>
  <c r="B23" i="58"/>
  <c r="C23" i="58"/>
  <c r="D23" i="58"/>
  <c r="E23" i="58"/>
  <c r="F23" i="58"/>
  <c r="G23" i="58"/>
  <c r="I23" i="58"/>
  <c r="J23" i="58"/>
  <c r="K23" i="58"/>
  <c r="L23" i="58"/>
  <c r="M23" i="58"/>
  <c r="B24" i="58"/>
  <c r="C24" i="58"/>
  <c r="D24" i="58"/>
  <c r="E24" i="58"/>
  <c r="F24" i="58"/>
  <c r="G24" i="58"/>
  <c r="I24" i="58"/>
  <c r="J24" i="58"/>
  <c r="K24" i="58"/>
  <c r="L24" i="58"/>
  <c r="M24" i="58"/>
  <c r="B25" i="58"/>
  <c r="C25" i="58"/>
  <c r="D25" i="58"/>
  <c r="E25" i="58"/>
  <c r="F25" i="58"/>
  <c r="G25" i="58"/>
  <c r="I25" i="58"/>
  <c r="J25" i="58"/>
  <c r="K25" i="58"/>
  <c r="L25" i="58"/>
  <c r="M25" i="58"/>
  <c r="B26" i="58"/>
  <c r="C26" i="58"/>
  <c r="D26" i="58"/>
  <c r="E26" i="58"/>
  <c r="F26" i="58"/>
  <c r="G26" i="58"/>
  <c r="I26" i="58"/>
  <c r="J26" i="58"/>
  <c r="K26" i="58"/>
  <c r="L26" i="58"/>
  <c r="M26" i="58"/>
  <c r="B27" i="58"/>
  <c r="C27" i="58"/>
  <c r="D27" i="58"/>
  <c r="E27" i="58"/>
  <c r="F27" i="58"/>
  <c r="G27" i="58"/>
  <c r="I27" i="58"/>
  <c r="J27" i="58"/>
  <c r="K27" i="58"/>
  <c r="L27" i="58"/>
  <c r="M27" i="58"/>
  <c r="B28" i="58"/>
  <c r="C28" i="58"/>
  <c r="D28" i="58"/>
  <c r="E28" i="58"/>
  <c r="F28" i="58"/>
  <c r="G28" i="58"/>
  <c r="I28" i="58"/>
  <c r="J28" i="58"/>
  <c r="K28" i="58"/>
  <c r="L28" i="58"/>
  <c r="M28" i="58"/>
  <c r="B29" i="58"/>
  <c r="C29" i="58"/>
  <c r="D29" i="58"/>
  <c r="E29" i="58"/>
  <c r="F29" i="58"/>
  <c r="G29" i="58"/>
  <c r="I29" i="58"/>
  <c r="J29" i="58"/>
  <c r="K29" i="58"/>
  <c r="L29" i="58"/>
  <c r="M29" i="58"/>
  <c r="B30" i="58"/>
  <c r="C30" i="58"/>
  <c r="D30" i="58"/>
  <c r="E30" i="58"/>
  <c r="F30" i="58"/>
  <c r="G30" i="58"/>
  <c r="I30" i="58"/>
  <c r="J30" i="58"/>
  <c r="K30" i="58"/>
  <c r="L30" i="58"/>
  <c r="M30" i="58"/>
  <c r="B31" i="58"/>
  <c r="C31" i="58"/>
  <c r="D31" i="58"/>
  <c r="E31" i="58"/>
  <c r="F31" i="58"/>
  <c r="G31" i="58"/>
  <c r="I31" i="58"/>
  <c r="J31" i="58"/>
  <c r="K31" i="58"/>
  <c r="L31" i="58"/>
  <c r="M31" i="58"/>
  <c r="B32" i="58"/>
  <c r="C32" i="58"/>
  <c r="D32" i="58"/>
  <c r="E32" i="58"/>
  <c r="F32" i="58"/>
  <c r="G32" i="58"/>
  <c r="I32" i="58"/>
  <c r="J32" i="58"/>
  <c r="K32" i="58"/>
  <c r="L32" i="58"/>
  <c r="M32" i="58"/>
  <c r="B33" i="58"/>
  <c r="C33" i="58"/>
  <c r="D33" i="58"/>
  <c r="E33" i="58"/>
  <c r="F33" i="58"/>
  <c r="G33" i="58"/>
  <c r="I33" i="58"/>
  <c r="J33" i="58"/>
  <c r="K33" i="58"/>
  <c r="L33" i="58"/>
  <c r="M33" i="58"/>
  <c r="B34" i="58"/>
  <c r="C34" i="58"/>
  <c r="D34" i="58"/>
  <c r="E34" i="58"/>
  <c r="F34" i="58"/>
  <c r="G34" i="58"/>
  <c r="I34" i="58"/>
  <c r="J34" i="58"/>
  <c r="K34" i="58"/>
  <c r="L34" i="58"/>
  <c r="M34" i="58"/>
  <c r="B35" i="58"/>
  <c r="C35" i="58"/>
  <c r="D35" i="58"/>
  <c r="E35" i="58"/>
  <c r="F35" i="58"/>
  <c r="G35" i="58"/>
  <c r="I35" i="58"/>
  <c r="J35" i="58"/>
  <c r="K35" i="58"/>
  <c r="L35" i="58"/>
  <c r="M35" i="58"/>
  <c r="B36" i="58"/>
  <c r="C36" i="58"/>
  <c r="D36" i="58"/>
  <c r="E36" i="58"/>
  <c r="F36" i="58"/>
  <c r="G36" i="58"/>
  <c r="I36" i="58"/>
  <c r="J36" i="58"/>
  <c r="K36" i="58"/>
  <c r="L36" i="58"/>
  <c r="M36" i="58"/>
  <c r="B37" i="58"/>
  <c r="C37" i="58"/>
  <c r="D37" i="58"/>
  <c r="E37" i="58"/>
  <c r="F37" i="58"/>
  <c r="G37" i="58"/>
  <c r="I37" i="58"/>
  <c r="J37" i="58"/>
  <c r="K37" i="58"/>
  <c r="L37" i="58"/>
  <c r="M37" i="58"/>
  <c r="B38" i="58"/>
  <c r="C38" i="58"/>
  <c r="D38" i="58"/>
  <c r="E38" i="58"/>
  <c r="F38" i="58"/>
  <c r="G38" i="58"/>
  <c r="I38" i="58"/>
  <c r="J38" i="58"/>
  <c r="K38" i="58"/>
  <c r="L38" i="58"/>
  <c r="M38" i="58"/>
  <c r="B39" i="58"/>
  <c r="C39" i="58"/>
  <c r="D39" i="58"/>
  <c r="E39" i="58"/>
  <c r="F39" i="58"/>
  <c r="G39" i="58"/>
  <c r="I39" i="58"/>
  <c r="J39" i="58"/>
  <c r="K39" i="58"/>
  <c r="L39" i="58"/>
  <c r="M39" i="58"/>
  <c r="B40" i="58"/>
  <c r="C40" i="58"/>
  <c r="D40" i="58"/>
  <c r="E40" i="58"/>
  <c r="F40" i="58"/>
  <c r="G40" i="58"/>
  <c r="I40" i="58"/>
  <c r="J40" i="58"/>
  <c r="K40" i="58"/>
  <c r="L40" i="58"/>
  <c r="M40" i="58"/>
  <c r="B41" i="58"/>
  <c r="C41" i="58"/>
  <c r="D41" i="58"/>
  <c r="E41" i="58"/>
  <c r="F41" i="58"/>
  <c r="G41" i="58"/>
  <c r="I41" i="58"/>
  <c r="J41" i="58"/>
  <c r="K41" i="58"/>
  <c r="L41" i="58"/>
  <c r="M41" i="58"/>
  <c r="B42" i="58"/>
  <c r="C42" i="58"/>
  <c r="D42" i="58"/>
  <c r="E42" i="58"/>
  <c r="F42" i="58"/>
  <c r="G42" i="58"/>
  <c r="I42" i="58"/>
  <c r="J42" i="58"/>
  <c r="K42" i="58"/>
  <c r="L42" i="58"/>
  <c r="M42" i="58"/>
  <c r="B43" i="58"/>
  <c r="C43" i="58"/>
  <c r="D43" i="58"/>
  <c r="E43" i="58"/>
  <c r="F43" i="58"/>
  <c r="G43" i="58"/>
  <c r="I43" i="58"/>
  <c r="J43" i="58"/>
  <c r="K43" i="58"/>
  <c r="L43" i="58"/>
  <c r="M43" i="58"/>
  <c r="B44" i="58"/>
  <c r="C44" i="58"/>
  <c r="D44" i="58"/>
  <c r="E44" i="58"/>
  <c r="F44" i="58"/>
  <c r="G44" i="58"/>
  <c r="I44" i="58"/>
  <c r="J44" i="58"/>
  <c r="K44" i="58"/>
  <c r="L44" i="58"/>
  <c r="M44" i="58"/>
  <c r="B45" i="58"/>
  <c r="C45" i="58"/>
  <c r="D45" i="58"/>
  <c r="E45" i="58"/>
  <c r="F45" i="58"/>
  <c r="G45" i="58"/>
  <c r="I45" i="58"/>
  <c r="J45" i="58"/>
  <c r="K45" i="58"/>
  <c r="L45" i="58"/>
  <c r="M45" i="58"/>
  <c r="B46" i="58"/>
  <c r="C46" i="58"/>
  <c r="D46" i="58"/>
  <c r="E46" i="58"/>
  <c r="F46" i="58"/>
  <c r="G46" i="58"/>
  <c r="I46" i="58"/>
  <c r="J46" i="58"/>
  <c r="K46" i="58"/>
  <c r="L46" i="58"/>
  <c r="M46" i="58"/>
  <c r="B47" i="58"/>
  <c r="C47" i="58"/>
  <c r="D47" i="58"/>
  <c r="E47" i="58"/>
  <c r="F47" i="58"/>
  <c r="G47" i="58"/>
  <c r="I47" i="58"/>
  <c r="J47" i="58"/>
  <c r="K47" i="58"/>
  <c r="L47" i="58"/>
  <c r="M47" i="58"/>
  <c r="B48" i="58"/>
  <c r="C48" i="58"/>
  <c r="D48" i="58"/>
  <c r="E48" i="58"/>
  <c r="F48" i="58"/>
  <c r="G48" i="58"/>
  <c r="I48" i="58"/>
  <c r="J48" i="58"/>
  <c r="K48" i="58"/>
  <c r="L48" i="58"/>
  <c r="M48" i="58"/>
  <c r="B49" i="58"/>
  <c r="C49" i="58"/>
  <c r="D49" i="58"/>
  <c r="E49" i="58"/>
  <c r="F49" i="58"/>
  <c r="G49" i="58"/>
  <c r="I49" i="58"/>
  <c r="J49" i="58"/>
  <c r="K49" i="58"/>
  <c r="L49" i="58"/>
  <c r="M49" i="58"/>
  <c r="B50" i="58"/>
  <c r="C50" i="58"/>
  <c r="D50" i="58"/>
  <c r="E50" i="58"/>
  <c r="F50" i="58"/>
  <c r="G50" i="58"/>
  <c r="I50" i="58"/>
  <c r="J50" i="58"/>
  <c r="K50" i="58"/>
  <c r="L50" i="58"/>
  <c r="M50" i="58"/>
  <c r="B51" i="58"/>
  <c r="C51" i="58"/>
  <c r="D51" i="58"/>
  <c r="E51" i="58"/>
  <c r="F51" i="58"/>
  <c r="G51" i="58"/>
  <c r="I51" i="58"/>
  <c r="J51" i="58"/>
  <c r="K51" i="58"/>
  <c r="L51" i="58"/>
  <c r="M51" i="58"/>
  <c r="B52" i="58"/>
  <c r="C52" i="58"/>
  <c r="D52" i="58"/>
  <c r="E52" i="58"/>
  <c r="F52" i="58"/>
  <c r="G52" i="58"/>
  <c r="I52" i="58"/>
  <c r="J52" i="58"/>
  <c r="K52" i="58"/>
  <c r="L52" i="58"/>
  <c r="M52" i="58"/>
  <c r="B53" i="58"/>
  <c r="C53" i="58"/>
  <c r="D53" i="58"/>
  <c r="E53" i="58"/>
  <c r="F53" i="58"/>
  <c r="G53" i="58"/>
  <c r="I53" i="58"/>
  <c r="J53" i="58"/>
  <c r="K53" i="58"/>
  <c r="L53" i="58"/>
  <c r="M53" i="58"/>
  <c r="B54" i="58"/>
  <c r="C54" i="58"/>
  <c r="D54" i="58"/>
  <c r="E54" i="58"/>
  <c r="F54" i="58"/>
  <c r="G54" i="58"/>
  <c r="I54" i="58"/>
  <c r="J54" i="58"/>
  <c r="K54" i="58"/>
  <c r="L54" i="58"/>
  <c r="M54" i="58"/>
  <c r="B55" i="58"/>
  <c r="C55" i="58"/>
  <c r="D55" i="58"/>
  <c r="E55" i="58"/>
  <c r="F55" i="58"/>
  <c r="G55" i="58"/>
  <c r="I55" i="58"/>
  <c r="J55" i="58"/>
  <c r="K55" i="58"/>
  <c r="L55" i="58"/>
  <c r="M55" i="58"/>
  <c r="B56" i="58"/>
  <c r="C56" i="58"/>
  <c r="D56" i="58"/>
  <c r="E56" i="58"/>
  <c r="F56" i="58"/>
  <c r="G56" i="58"/>
  <c r="I56" i="58"/>
  <c r="J56" i="58"/>
  <c r="K56" i="58"/>
  <c r="L56" i="58"/>
  <c r="M56" i="58"/>
  <c r="B57" i="58"/>
  <c r="C57" i="58"/>
  <c r="D57" i="58"/>
  <c r="E57" i="58"/>
  <c r="F57" i="58"/>
  <c r="G57" i="58"/>
  <c r="I57" i="58"/>
  <c r="J57" i="58"/>
  <c r="K57" i="58"/>
  <c r="L57" i="58"/>
  <c r="M57" i="58"/>
  <c r="B58" i="58"/>
  <c r="C58" i="58"/>
  <c r="D58" i="58"/>
  <c r="E58" i="58"/>
  <c r="F58" i="58"/>
  <c r="G58" i="58"/>
  <c r="I58" i="58"/>
  <c r="J58" i="58"/>
  <c r="K58" i="58"/>
  <c r="L58" i="58"/>
  <c r="M58" i="58"/>
  <c r="B59" i="58"/>
  <c r="C59" i="58"/>
  <c r="D59" i="58"/>
  <c r="E59" i="58"/>
  <c r="F59" i="58"/>
  <c r="G59" i="58"/>
  <c r="I59" i="58"/>
  <c r="J59" i="58"/>
  <c r="K59" i="58"/>
  <c r="L59" i="58"/>
  <c r="M59" i="58"/>
  <c r="B60" i="58"/>
  <c r="C60" i="58"/>
  <c r="D60" i="58"/>
  <c r="E60" i="58"/>
  <c r="F60" i="58"/>
  <c r="G60" i="58"/>
  <c r="I60" i="58"/>
  <c r="J60" i="58"/>
  <c r="K60" i="58"/>
  <c r="L60" i="58"/>
  <c r="M60" i="58"/>
  <c r="B61" i="58"/>
  <c r="C61" i="58"/>
  <c r="D61" i="58"/>
  <c r="E61" i="58"/>
  <c r="F61" i="58"/>
  <c r="G61" i="58"/>
  <c r="I61" i="58"/>
  <c r="J61" i="58"/>
  <c r="K61" i="58"/>
  <c r="L61" i="58"/>
  <c r="M61" i="58"/>
  <c r="B62" i="58"/>
  <c r="C62" i="58"/>
  <c r="D62" i="58"/>
  <c r="E62" i="58"/>
  <c r="F62" i="58"/>
  <c r="G62" i="58"/>
  <c r="I62" i="58"/>
  <c r="J62" i="58"/>
  <c r="K62" i="58"/>
  <c r="L62" i="58"/>
  <c r="M62" i="58"/>
  <c r="B63" i="58"/>
  <c r="C63" i="58"/>
  <c r="D63" i="58"/>
  <c r="E63" i="58"/>
  <c r="F63" i="58"/>
  <c r="G63" i="58"/>
  <c r="I63" i="58"/>
  <c r="J63" i="58"/>
  <c r="K63" i="58"/>
  <c r="L63" i="58"/>
  <c r="M63" i="58"/>
  <c r="B64" i="58"/>
  <c r="C64" i="58"/>
  <c r="D64" i="58"/>
  <c r="E64" i="58"/>
  <c r="F64" i="58"/>
  <c r="G64" i="58"/>
  <c r="I64" i="58"/>
  <c r="J64" i="58"/>
  <c r="K64" i="58"/>
  <c r="L64" i="58"/>
  <c r="M64" i="58"/>
  <c r="B65" i="58"/>
  <c r="C65" i="58"/>
  <c r="D65" i="58"/>
  <c r="E65" i="58"/>
  <c r="F65" i="58"/>
  <c r="G65" i="58"/>
  <c r="I65" i="58"/>
  <c r="J65" i="58"/>
  <c r="K65" i="58"/>
  <c r="L65" i="58"/>
  <c r="M65" i="58"/>
  <c r="B66" i="58"/>
  <c r="C66" i="58"/>
  <c r="D66" i="58"/>
  <c r="E66" i="58"/>
  <c r="F66" i="58"/>
  <c r="G66" i="58"/>
  <c r="I66" i="58"/>
  <c r="J66" i="58"/>
  <c r="K66" i="58"/>
  <c r="L66" i="58"/>
  <c r="M66" i="58"/>
  <c r="B67" i="58"/>
  <c r="C67" i="58"/>
  <c r="D67" i="58"/>
  <c r="E67" i="58"/>
  <c r="F67" i="58"/>
  <c r="G67" i="58"/>
  <c r="I67" i="58"/>
  <c r="J67" i="58"/>
  <c r="K67" i="58"/>
  <c r="L67" i="58"/>
  <c r="M67" i="58"/>
  <c r="B68" i="58"/>
  <c r="C68" i="58"/>
  <c r="D68" i="58"/>
  <c r="E68" i="58"/>
  <c r="F68" i="58"/>
  <c r="G68" i="58"/>
  <c r="I68" i="58"/>
  <c r="J68" i="58"/>
  <c r="K68" i="58"/>
  <c r="L68" i="58"/>
  <c r="M68" i="58"/>
  <c r="B69" i="58"/>
  <c r="C69" i="58"/>
  <c r="D69" i="58"/>
  <c r="E69" i="58"/>
  <c r="F69" i="58"/>
  <c r="G69" i="58"/>
  <c r="I69" i="58"/>
  <c r="J69" i="58"/>
  <c r="K69" i="58"/>
  <c r="L69" i="58"/>
  <c r="M69" i="58"/>
  <c r="B70" i="58"/>
  <c r="C70" i="58"/>
  <c r="D70" i="58"/>
  <c r="E70" i="58"/>
  <c r="F70" i="58"/>
  <c r="G70" i="58"/>
  <c r="I70" i="58"/>
  <c r="J70" i="58"/>
  <c r="K70" i="58"/>
  <c r="L70" i="58"/>
  <c r="M70" i="58"/>
  <c r="B71" i="58"/>
  <c r="C71" i="58"/>
  <c r="D71" i="58"/>
  <c r="E71" i="58"/>
  <c r="F71" i="58"/>
  <c r="G71" i="58"/>
  <c r="I71" i="58"/>
  <c r="J71" i="58"/>
  <c r="K71" i="58"/>
  <c r="L71" i="58"/>
  <c r="M71" i="58"/>
  <c r="B72" i="58"/>
  <c r="C72" i="58"/>
  <c r="D72" i="58"/>
  <c r="E72" i="58"/>
  <c r="F72" i="58"/>
  <c r="G72" i="58"/>
  <c r="I72" i="58"/>
  <c r="J72" i="58"/>
  <c r="K72" i="58"/>
  <c r="L72" i="58"/>
  <c r="M72" i="58"/>
  <c r="B73" i="58"/>
  <c r="C73" i="58"/>
  <c r="D73" i="58"/>
  <c r="E73" i="58"/>
  <c r="F73" i="58"/>
  <c r="G73" i="58"/>
  <c r="I73" i="58"/>
  <c r="J73" i="58"/>
  <c r="K73" i="58"/>
  <c r="L73" i="58"/>
  <c r="M73" i="58"/>
  <c r="B74" i="58"/>
  <c r="C74" i="58"/>
  <c r="D74" i="58"/>
  <c r="E74" i="58"/>
  <c r="F74" i="58"/>
  <c r="G74" i="58"/>
  <c r="I74" i="58"/>
  <c r="J74" i="58"/>
  <c r="K74" i="58"/>
  <c r="L74" i="58"/>
  <c r="M74" i="58"/>
  <c r="B75" i="58"/>
  <c r="C75" i="58"/>
  <c r="D75" i="58"/>
  <c r="E75" i="58"/>
  <c r="F75" i="58"/>
  <c r="G75" i="58"/>
  <c r="I75" i="58"/>
  <c r="J75" i="58"/>
  <c r="K75" i="58"/>
  <c r="L75" i="58"/>
  <c r="M75" i="58"/>
  <c r="B76" i="58"/>
  <c r="C76" i="58"/>
  <c r="D76" i="58"/>
  <c r="E76" i="58"/>
  <c r="F76" i="58"/>
  <c r="G76" i="58"/>
  <c r="I76" i="58"/>
  <c r="J76" i="58"/>
  <c r="K76" i="58"/>
  <c r="L76" i="58"/>
  <c r="M76" i="58"/>
  <c r="B77" i="58"/>
  <c r="C77" i="58"/>
  <c r="D77" i="58"/>
  <c r="E77" i="58"/>
  <c r="F77" i="58"/>
  <c r="G77" i="58"/>
  <c r="I77" i="58"/>
  <c r="J77" i="58"/>
  <c r="K77" i="58"/>
  <c r="L77" i="58"/>
  <c r="M77" i="58"/>
  <c r="B78" i="58"/>
  <c r="C78" i="58"/>
  <c r="D78" i="58"/>
  <c r="E78" i="58"/>
  <c r="F78" i="58"/>
  <c r="G78" i="58"/>
  <c r="I78" i="58"/>
  <c r="J78" i="58"/>
  <c r="K78" i="58"/>
  <c r="L78" i="58"/>
  <c r="M78" i="58"/>
  <c r="B79" i="58"/>
  <c r="C79" i="58"/>
  <c r="D79" i="58"/>
  <c r="E79" i="58"/>
  <c r="F79" i="58"/>
  <c r="G79" i="58"/>
  <c r="I79" i="58"/>
  <c r="J79" i="58"/>
  <c r="K79" i="58"/>
  <c r="L79" i="58"/>
  <c r="M79" i="58"/>
  <c r="B80" i="58"/>
  <c r="C80" i="58"/>
  <c r="D80" i="58"/>
  <c r="E80" i="58"/>
  <c r="F80" i="58"/>
  <c r="G80" i="58"/>
  <c r="I80" i="58"/>
  <c r="J80" i="58"/>
  <c r="K80" i="58"/>
  <c r="L80" i="58"/>
  <c r="M80" i="58"/>
  <c r="B81" i="58"/>
  <c r="C81" i="58"/>
  <c r="D81" i="58"/>
  <c r="E81" i="58"/>
  <c r="F81" i="58"/>
  <c r="G81" i="58"/>
  <c r="I81" i="58"/>
  <c r="J81" i="58"/>
  <c r="K81" i="58"/>
  <c r="L81" i="58"/>
  <c r="M81" i="58"/>
  <c r="B82" i="58"/>
  <c r="C82" i="58"/>
  <c r="D82" i="58"/>
  <c r="E82" i="58"/>
  <c r="F82" i="58"/>
  <c r="G82" i="58"/>
  <c r="I82" i="58"/>
  <c r="J82" i="58"/>
  <c r="K82" i="58"/>
  <c r="L82" i="58"/>
  <c r="M82" i="58"/>
  <c r="B83" i="58"/>
  <c r="C83" i="58"/>
  <c r="D83" i="58"/>
  <c r="E83" i="58"/>
  <c r="F83" i="58"/>
  <c r="G83" i="58"/>
  <c r="I83" i="58"/>
  <c r="J83" i="58"/>
  <c r="K83" i="58"/>
  <c r="L83" i="58"/>
  <c r="M83" i="58"/>
  <c r="B84" i="58"/>
  <c r="C84" i="58"/>
  <c r="D84" i="58"/>
  <c r="E84" i="58"/>
  <c r="F84" i="58"/>
  <c r="G84" i="58"/>
  <c r="I84" i="58"/>
  <c r="J84" i="58"/>
  <c r="K84" i="58"/>
  <c r="L84" i="58"/>
  <c r="M84" i="58"/>
  <c r="B85" i="58"/>
  <c r="C85" i="58"/>
  <c r="D85" i="58"/>
  <c r="E85" i="58"/>
  <c r="F85" i="58"/>
  <c r="G85" i="58"/>
  <c r="I85" i="58"/>
  <c r="J85" i="58"/>
  <c r="K85" i="58"/>
  <c r="L85" i="58"/>
  <c r="M85" i="58"/>
  <c r="B86" i="58"/>
  <c r="C86" i="58"/>
  <c r="D86" i="58"/>
  <c r="E86" i="58"/>
  <c r="F86" i="58"/>
  <c r="G86" i="58"/>
  <c r="I86" i="58"/>
  <c r="J86" i="58"/>
  <c r="K86" i="58"/>
  <c r="L86" i="58"/>
  <c r="M86" i="58"/>
  <c r="B87" i="58"/>
  <c r="C87" i="58"/>
  <c r="D87" i="58"/>
  <c r="E87" i="58"/>
  <c r="F87" i="58"/>
  <c r="G87" i="58"/>
  <c r="I87" i="58"/>
  <c r="J87" i="58"/>
  <c r="K87" i="58"/>
  <c r="L87" i="58"/>
  <c r="M87" i="58"/>
  <c r="B88" i="58"/>
  <c r="C88" i="58"/>
  <c r="D88" i="58"/>
  <c r="E88" i="58"/>
  <c r="F88" i="58"/>
  <c r="G88" i="58"/>
  <c r="I88" i="58"/>
  <c r="J88" i="58"/>
  <c r="K88" i="58"/>
  <c r="L88" i="58"/>
  <c r="M88" i="58"/>
  <c r="B89" i="58"/>
  <c r="C89" i="58"/>
  <c r="D89" i="58"/>
  <c r="E89" i="58"/>
  <c r="F89" i="58"/>
  <c r="G89" i="58"/>
  <c r="I89" i="58"/>
  <c r="J89" i="58"/>
  <c r="K89" i="58"/>
  <c r="L89" i="58"/>
  <c r="M89" i="58"/>
  <c r="B90" i="58"/>
  <c r="C90" i="58"/>
  <c r="D90" i="58"/>
  <c r="E90" i="58"/>
  <c r="F90" i="58"/>
  <c r="G90" i="58"/>
  <c r="I90" i="58"/>
  <c r="J90" i="58"/>
  <c r="K90" i="58"/>
  <c r="L90" i="58"/>
  <c r="M90" i="58"/>
  <c r="B91" i="58"/>
  <c r="C91" i="58"/>
  <c r="D91" i="58"/>
  <c r="E91" i="58"/>
  <c r="F91" i="58"/>
  <c r="G91" i="58"/>
  <c r="I91" i="58"/>
  <c r="J91" i="58"/>
  <c r="K91" i="58"/>
  <c r="L91" i="58"/>
  <c r="M91" i="58"/>
  <c r="B92" i="58"/>
  <c r="C92" i="58"/>
  <c r="D92" i="58"/>
  <c r="E92" i="58"/>
  <c r="F92" i="58"/>
  <c r="G92" i="58"/>
  <c r="I92" i="58"/>
  <c r="J92" i="58"/>
  <c r="K92" i="58"/>
  <c r="L92" i="58"/>
  <c r="M92" i="58"/>
  <c r="B93" i="58"/>
  <c r="C93" i="58"/>
  <c r="D93" i="58"/>
  <c r="E93" i="58"/>
  <c r="F93" i="58"/>
  <c r="G93" i="58"/>
  <c r="I93" i="58"/>
  <c r="J93" i="58"/>
  <c r="K93" i="58"/>
  <c r="L93" i="58"/>
  <c r="M93" i="58"/>
  <c r="B94" i="58"/>
  <c r="C94" i="58"/>
  <c r="D94" i="58"/>
  <c r="E94" i="58"/>
  <c r="F94" i="58"/>
  <c r="G94" i="58"/>
  <c r="I94" i="58"/>
  <c r="J94" i="58"/>
  <c r="K94" i="58"/>
  <c r="L94" i="58"/>
  <c r="M94" i="58"/>
  <c r="B95" i="58"/>
  <c r="C95" i="58"/>
  <c r="D95" i="58"/>
  <c r="E95" i="58"/>
  <c r="F95" i="58"/>
  <c r="G95" i="58"/>
  <c r="I95" i="58"/>
  <c r="J95" i="58"/>
  <c r="K95" i="58"/>
  <c r="L95" i="58"/>
  <c r="M95" i="58"/>
  <c r="B96" i="58"/>
  <c r="C96" i="58"/>
  <c r="D96" i="58"/>
  <c r="E96" i="58"/>
  <c r="F96" i="58"/>
  <c r="G96" i="58"/>
  <c r="I96" i="58"/>
  <c r="J96" i="58"/>
  <c r="K96" i="58"/>
  <c r="L96" i="58"/>
  <c r="M96" i="58"/>
  <c r="B97" i="58"/>
  <c r="C97" i="58"/>
  <c r="D97" i="58"/>
  <c r="E97" i="58"/>
  <c r="F97" i="58"/>
  <c r="G97" i="58"/>
  <c r="I97" i="58"/>
  <c r="J97" i="58"/>
  <c r="K97" i="58"/>
  <c r="L97" i="58"/>
  <c r="M97" i="58"/>
  <c r="B98" i="58"/>
  <c r="C98" i="58"/>
  <c r="D98" i="58"/>
  <c r="E98" i="58"/>
  <c r="F98" i="58"/>
  <c r="G98" i="58"/>
  <c r="I98" i="58"/>
  <c r="J98" i="58"/>
  <c r="K98" i="58"/>
  <c r="L98" i="58"/>
  <c r="M98" i="58"/>
  <c r="B99" i="58"/>
  <c r="C99" i="58"/>
  <c r="D99" i="58"/>
  <c r="E99" i="58"/>
  <c r="F99" i="58"/>
  <c r="G99" i="58"/>
  <c r="I99" i="58"/>
  <c r="J99" i="58"/>
  <c r="K99" i="58"/>
  <c r="L99" i="58"/>
  <c r="M99" i="58"/>
  <c r="B100" i="58"/>
  <c r="C100" i="58"/>
  <c r="D100" i="58"/>
  <c r="E100" i="58"/>
  <c r="F100" i="58"/>
  <c r="G100" i="58"/>
  <c r="I100" i="58"/>
  <c r="J100" i="58"/>
  <c r="K100" i="58"/>
  <c r="L100" i="58"/>
  <c r="M100" i="58"/>
  <c r="B101" i="58"/>
  <c r="C101" i="58"/>
  <c r="D101" i="58"/>
  <c r="E101" i="58"/>
  <c r="F101" i="58"/>
  <c r="G101" i="58"/>
  <c r="I101" i="58"/>
  <c r="J101" i="58"/>
  <c r="K101" i="58"/>
  <c r="L101" i="58"/>
  <c r="M101" i="58"/>
  <c r="B102" i="58"/>
  <c r="C102" i="58"/>
  <c r="D102" i="58"/>
  <c r="E102" i="58"/>
  <c r="F102" i="58"/>
  <c r="G102" i="58"/>
  <c r="I102" i="58"/>
  <c r="J102" i="58"/>
  <c r="K102" i="58"/>
  <c r="L102" i="58"/>
  <c r="M102" i="58"/>
  <c r="B103" i="58"/>
  <c r="C103" i="58"/>
  <c r="D103" i="58"/>
  <c r="E103" i="58"/>
  <c r="F103" i="58"/>
  <c r="G103" i="58"/>
  <c r="I103" i="58"/>
  <c r="J103" i="58"/>
  <c r="K103" i="58"/>
  <c r="L103" i="58"/>
  <c r="M103" i="58"/>
  <c r="B104" i="58"/>
  <c r="C104" i="58"/>
  <c r="D104" i="58"/>
  <c r="E104" i="58"/>
  <c r="F104" i="58"/>
  <c r="G104" i="58"/>
  <c r="I104" i="58"/>
  <c r="J104" i="58"/>
  <c r="K104" i="58"/>
  <c r="L104" i="58"/>
  <c r="M104" i="58"/>
  <c r="B105" i="58"/>
  <c r="C105" i="58"/>
  <c r="D105" i="58"/>
  <c r="E105" i="58"/>
  <c r="F105" i="58"/>
  <c r="G105" i="58"/>
  <c r="I105" i="58"/>
  <c r="J105" i="58"/>
  <c r="K105" i="58"/>
  <c r="L105" i="58"/>
  <c r="M105" i="58"/>
  <c r="B106" i="58"/>
  <c r="C106" i="58"/>
  <c r="D106" i="58"/>
  <c r="E106" i="58"/>
  <c r="F106" i="58"/>
  <c r="G106" i="58"/>
  <c r="I106" i="58"/>
  <c r="J106" i="58"/>
  <c r="K106" i="58"/>
  <c r="L106" i="58"/>
  <c r="M106" i="58"/>
  <c r="B107" i="58"/>
  <c r="C107" i="58"/>
  <c r="D107" i="58"/>
  <c r="E107" i="58"/>
  <c r="F107" i="58"/>
  <c r="G107" i="58"/>
  <c r="I107" i="58"/>
  <c r="J107" i="58"/>
  <c r="K107" i="58"/>
  <c r="L107" i="58"/>
  <c r="M107" i="58"/>
  <c r="B108" i="58"/>
  <c r="C108" i="58"/>
  <c r="D108" i="58"/>
  <c r="E108" i="58"/>
  <c r="F108" i="58"/>
  <c r="G108" i="58"/>
  <c r="I108" i="58"/>
  <c r="J108" i="58"/>
  <c r="K108" i="58"/>
  <c r="L108" i="58"/>
  <c r="M108" i="58"/>
  <c r="B109" i="58"/>
  <c r="C109" i="58"/>
  <c r="D109" i="58"/>
  <c r="E109" i="58"/>
  <c r="F109" i="58"/>
  <c r="G109" i="58"/>
  <c r="I109" i="58"/>
  <c r="J109" i="58"/>
  <c r="K109" i="58"/>
  <c r="L109" i="58"/>
  <c r="M109" i="58"/>
  <c r="B110" i="58"/>
  <c r="C110" i="58"/>
  <c r="D110" i="58"/>
  <c r="E110" i="58"/>
  <c r="F110" i="58"/>
  <c r="G110" i="58"/>
  <c r="I110" i="58"/>
  <c r="J110" i="58"/>
  <c r="K110" i="58"/>
  <c r="L110" i="58"/>
  <c r="M110" i="58"/>
  <c r="B111" i="58"/>
  <c r="C111" i="58"/>
  <c r="D111" i="58"/>
  <c r="E111" i="58"/>
  <c r="F111" i="58"/>
  <c r="G111" i="58"/>
  <c r="I111" i="58"/>
  <c r="J111" i="58"/>
  <c r="K111" i="58"/>
  <c r="L111" i="58"/>
  <c r="M111" i="58"/>
  <c r="B112" i="58"/>
  <c r="C112" i="58"/>
  <c r="D112" i="58"/>
  <c r="E112" i="58"/>
  <c r="F112" i="58"/>
  <c r="G112" i="58"/>
  <c r="I112" i="58"/>
  <c r="J112" i="58"/>
  <c r="K112" i="58"/>
  <c r="L112" i="58"/>
  <c r="M112" i="58"/>
  <c r="B113" i="58"/>
  <c r="C113" i="58"/>
  <c r="D113" i="58"/>
  <c r="E113" i="58"/>
  <c r="F113" i="58"/>
  <c r="G113" i="58"/>
  <c r="I113" i="58"/>
  <c r="J113" i="58"/>
  <c r="K113" i="58"/>
  <c r="L113" i="58"/>
  <c r="M113" i="58"/>
  <c r="B114" i="58"/>
  <c r="C114" i="58"/>
  <c r="D114" i="58"/>
  <c r="E114" i="58"/>
  <c r="F114" i="58"/>
  <c r="G114" i="58"/>
  <c r="I114" i="58"/>
  <c r="J114" i="58"/>
  <c r="K114" i="58"/>
  <c r="L114" i="58"/>
  <c r="M114" i="58"/>
  <c r="B115" i="58"/>
  <c r="C115" i="58"/>
  <c r="D115" i="58"/>
  <c r="E115" i="58"/>
  <c r="F115" i="58"/>
  <c r="G115" i="58"/>
  <c r="I115" i="58"/>
  <c r="J115" i="58"/>
  <c r="K115" i="58"/>
  <c r="L115" i="58"/>
  <c r="M115" i="58"/>
  <c r="B116" i="58"/>
  <c r="C116" i="58"/>
  <c r="D116" i="58"/>
  <c r="E116" i="58"/>
  <c r="F116" i="58"/>
  <c r="G116" i="58"/>
  <c r="I116" i="58"/>
  <c r="J116" i="58"/>
  <c r="K116" i="58"/>
  <c r="L116" i="58"/>
  <c r="M116" i="58"/>
  <c r="B117" i="58"/>
  <c r="C117" i="58"/>
  <c r="D117" i="58"/>
  <c r="E117" i="58"/>
  <c r="F117" i="58"/>
  <c r="G117" i="58"/>
  <c r="I117" i="58"/>
  <c r="J117" i="58"/>
  <c r="K117" i="58"/>
  <c r="L117" i="58"/>
  <c r="M117" i="58"/>
  <c r="B118" i="58"/>
  <c r="C118" i="58"/>
  <c r="D118" i="58"/>
  <c r="E118" i="58"/>
  <c r="F118" i="58"/>
  <c r="G118" i="58"/>
  <c r="I118" i="58"/>
  <c r="J118" i="58"/>
  <c r="K118" i="58"/>
  <c r="L118" i="58"/>
  <c r="M118" i="58"/>
  <c r="B119" i="58"/>
  <c r="C119" i="58"/>
  <c r="D119" i="58"/>
  <c r="E119" i="58"/>
  <c r="F119" i="58"/>
  <c r="G119" i="58"/>
  <c r="I119" i="58"/>
  <c r="J119" i="58"/>
  <c r="K119" i="58"/>
  <c r="L119" i="58"/>
  <c r="M119" i="58"/>
  <c r="B120" i="58"/>
  <c r="C120" i="58"/>
  <c r="D120" i="58"/>
  <c r="E120" i="58"/>
  <c r="F120" i="58"/>
  <c r="G120" i="58"/>
  <c r="I120" i="58"/>
  <c r="J120" i="58"/>
  <c r="K120" i="58"/>
  <c r="L120" i="58"/>
  <c r="M120" i="58"/>
  <c r="B121" i="58"/>
  <c r="C121" i="58"/>
  <c r="D121" i="58"/>
  <c r="E121" i="58"/>
  <c r="F121" i="58"/>
  <c r="G121" i="58"/>
  <c r="I121" i="58"/>
  <c r="J121" i="58"/>
  <c r="K121" i="58"/>
  <c r="L121" i="58"/>
  <c r="M121" i="58"/>
  <c r="B122" i="58"/>
  <c r="C122" i="58"/>
  <c r="D122" i="58"/>
  <c r="E122" i="58"/>
  <c r="F122" i="58"/>
  <c r="G122" i="58"/>
  <c r="I122" i="58"/>
  <c r="J122" i="58"/>
  <c r="K122" i="58"/>
  <c r="L122" i="58"/>
  <c r="M122" i="58"/>
  <c r="B123" i="58"/>
  <c r="C123" i="58"/>
  <c r="D123" i="58"/>
  <c r="E123" i="58"/>
  <c r="F123" i="58"/>
  <c r="G123" i="58"/>
  <c r="I123" i="58"/>
  <c r="J123" i="58"/>
  <c r="K123" i="58"/>
  <c r="L123" i="58"/>
  <c r="M123" i="58"/>
  <c r="B124" i="58"/>
  <c r="C124" i="58"/>
  <c r="D124" i="58"/>
  <c r="E124" i="58"/>
  <c r="F124" i="58"/>
  <c r="G124" i="58"/>
  <c r="I124" i="58"/>
  <c r="J124" i="58"/>
  <c r="K124" i="58"/>
  <c r="L124" i="58"/>
  <c r="M124" i="58"/>
  <c r="B125" i="58"/>
  <c r="C125" i="58"/>
  <c r="D125" i="58"/>
  <c r="E125" i="58"/>
  <c r="F125" i="58"/>
  <c r="G125" i="58"/>
  <c r="I125" i="58"/>
  <c r="J125" i="58"/>
  <c r="K125" i="58"/>
  <c r="L125" i="58"/>
  <c r="M125" i="58"/>
  <c r="B126" i="58"/>
  <c r="C126" i="58"/>
  <c r="D126" i="58"/>
  <c r="E126" i="58"/>
  <c r="F126" i="58"/>
  <c r="G126" i="58"/>
  <c r="I126" i="58"/>
  <c r="J126" i="58"/>
  <c r="K126" i="58"/>
  <c r="L126" i="58"/>
  <c r="M126" i="58"/>
  <c r="B127" i="58"/>
  <c r="C127" i="58"/>
  <c r="D127" i="58"/>
  <c r="E127" i="58"/>
  <c r="F127" i="58"/>
  <c r="G127" i="58"/>
  <c r="I127" i="58"/>
  <c r="J127" i="58"/>
  <c r="K127" i="58"/>
  <c r="L127" i="58"/>
  <c r="M127" i="58"/>
  <c r="B128" i="58"/>
  <c r="C128" i="58"/>
  <c r="D128" i="58"/>
  <c r="E128" i="58"/>
  <c r="F128" i="58"/>
  <c r="G128" i="58"/>
  <c r="I128" i="58"/>
  <c r="J128" i="58"/>
  <c r="K128" i="58"/>
  <c r="L128" i="58"/>
  <c r="M128" i="58"/>
  <c r="B129" i="58"/>
  <c r="C129" i="58"/>
  <c r="D129" i="58"/>
  <c r="E129" i="58"/>
  <c r="F129" i="58"/>
  <c r="G129" i="58"/>
  <c r="I129" i="58"/>
  <c r="J129" i="58"/>
  <c r="K129" i="58"/>
  <c r="L129" i="58"/>
  <c r="M129" i="58"/>
  <c r="B130" i="58"/>
  <c r="C130" i="58"/>
  <c r="D130" i="58"/>
  <c r="E130" i="58"/>
  <c r="F130" i="58"/>
  <c r="G130" i="58"/>
  <c r="I130" i="58"/>
  <c r="J130" i="58"/>
  <c r="K130" i="58"/>
  <c r="L130" i="58"/>
  <c r="M130" i="58"/>
  <c r="B131" i="58"/>
  <c r="C131" i="58"/>
  <c r="D131" i="58"/>
  <c r="E131" i="58"/>
  <c r="F131" i="58"/>
  <c r="G131" i="58"/>
  <c r="I131" i="58"/>
  <c r="J131" i="58"/>
  <c r="K131" i="58"/>
  <c r="L131" i="58"/>
  <c r="M131" i="58"/>
  <c r="B132" i="58"/>
  <c r="C132" i="58"/>
  <c r="D132" i="58"/>
  <c r="E132" i="58"/>
  <c r="F132" i="58"/>
  <c r="G132" i="58"/>
  <c r="I132" i="58"/>
  <c r="J132" i="58"/>
  <c r="K132" i="58"/>
  <c r="L132" i="58"/>
  <c r="M132" i="58"/>
  <c r="B133" i="58"/>
  <c r="C133" i="58"/>
  <c r="D133" i="58"/>
  <c r="E133" i="58"/>
  <c r="F133" i="58"/>
  <c r="G133" i="58"/>
  <c r="I133" i="58"/>
  <c r="J133" i="58"/>
  <c r="K133" i="58"/>
  <c r="L133" i="58"/>
  <c r="M133" i="58"/>
  <c r="B134" i="58"/>
  <c r="C134" i="58"/>
  <c r="D134" i="58"/>
  <c r="E134" i="58"/>
  <c r="F134" i="58"/>
  <c r="G134" i="58"/>
  <c r="I134" i="58"/>
  <c r="J134" i="58"/>
  <c r="K134" i="58"/>
  <c r="L134" i="58"/>
  <c r="M134" i="58"/>
  <c r="B135" i="58"/>
  <c r="C135" i="58"/>
  <c r="D135" i="58"/>
  <c r="E135" i="58"/>
  <c r="F135" i="58"/>
  <c r="G135" i="58"/>
  <c r="I135" i="58"/>
  <c r="J135" i="58"/>
  <c r="K135" i="58"/>
  <c r="L135" i="58"/>
  <c r="M135" i="58"/>
  <c r="B136" i="58"/>
  <c r="C136" i="58"/>
  <c r="D136" i="58"/>
  <c r="E136" i="58"/>
  <c r="F136" i="58"/>
  <c r="G136" i="58"/>
  <c r="I136" i="58"/>
  <c r="J136" i="58"/>
  <c r="K136" i="58"/>
  <c r="L136" i="58"/>
  <c r="M136" i="58"/>
  <c r="B137" i="58"/>
  <c r="C137" i="58"/>
  <c r="D137" i="58"/>
  <c r="E137" i="58"/>
  <c r="F137" i="58"/>
  <c r="G137" i="58"/>
  <c r="I137" i="58"/>
  <c r="J137" i="58"/>
  <c r="K137" i="58"/>
  <c r="L137" i="58"/>
  <c r="M137" i="58"/>
  <c r="B138" i="58"/>
  <c r="C138" i="58"/>
  <c r="D138" i="58"/>
  <c r="E138" i="58"/>
  <c r="F138" i="58"/>
  <c r="G138" i="58"/>
  <c r="I138" i="58"/>
  <c r="J138" i="58"/>
  <c r="K138" i="58"/>
  <c r="L138" i="58"/>
  <c r="M138" i="58"/>
  <c r="B139" i="58"/>
  <c r="C139" i="58"/>
  <c r="D139" i="58"/>
  <c r="E139" i="58"/>
  <c r="F139" i="58"/>
  <c r="G139" i="58"/>
  <c r="I139" i="58"/>
  <c r="J139" i="58"/>
  <c r="K139" i="58"/>
  <c r="L139" i="58"/>
  <c r="M139" i="58"/>
  <c r="B140" i="58"/>
  <c r="C140" i="58"/>
  <c r="D140" i="58"/>
  <c r="E140" i="58"/>
  <c r="F140" i="58"/>
  <c r="G140" i="58"/>
  <c r="I140" i="58"/>
  <c r="J140" i="58"/>
  <c r="K140" i="58"/>
  <c r="L140" i="58"/>
  <c r="M140" i="58"/>
  <c r="B141" i="58"/>
  <c r="C141" i="58"/>
  <c r="D141" i="58"/>
  <c r="E141" i="58"/>
  <c r="F141" i="58"/>
  <c r="G141" i="58"/>
  <c r="I141" i="58"/>
  <c r="J141" i="58"/>
  <c r="K141" i="58"/>
  <c r="L141" i="58"/>
  <c r="M141" i="58"/>
  <c r="B142" i="58"/>
  <c r="C142" i="58"/>
  <c r="D142" i="58"/>
  <c r="E142" i="58"/>
  <c r="F142" i="58"/>
  <c r="G142" i="58"/>
  <c r="I142" i="58"/>
  <c r="J142" i="58"/>
  <c r="K142" i="58"/>
  <c r="L142" i="58"/>
  <c r="M142" i="58"/>
  <c r="B143" i="58"/>
  <c r="C143" i="58"/>
  <c r="D143" i="58"/>
  <c r="E143" i="58"/>
  <c r="F143" i="58"/>
  <c r="G143" i="58"/>
  <c r="I143" i="58"/>
  <c r="J143" i="58"/>
  <c r="K143" i="58"/>
  <c r="L143" i="58"/>
  <c r="M143" i="58"/>
  <c r="B144" i="58"/>
  <c r="C144" i="58"/>
  <c r="D144" i="58"/>
  <c r="E144" i="58"/>
  <c r="F144" i="58"/>
  <c r="G144" i="58"/>
  <c r="I144" i="58"/>
  <c r="J144" i="58"/>
  <c r="K144" i="58"/>
  <c r="L144" i="58"/>
  <c r="M144" i="58"/>
  <c r="B145" i="58"/>
  <c r="C145" i="58"/>
  <c r="D145" i="58"/>
  <c r="E145" i="58"/>
  <c r="F145" i="58"/>
  <c r="G145" i="58"/>
  <c r="I145" i="58"/>
  <c r="J145" i="58"/>
  <c r="K145" i="58"/>
  <c r="L145" i="58"/>
  <c r="M145" i="58"/>
  <c r="B146" i="58"/>
  <c r="C146" i="58"/>
  <c r="D146" i="58"/>
  <c r="E146" i="58"/>
  <c r="F146" i="58"/>
  <c r="G146" i="58"/>
  <c r="I146" i="58"/>
  <c r="J146" i="58"/>
  <c r="K146" i="58"/>
  <c r="L146" i="58"/>
  <c r="M146" i="58"/>
  <c r="B147" i="58"/>
  <c r="C147" i="58"/>
  <c r="D147" i="58"/>
  <c r="E147" i="58"/>
  <c r="F147" i="58"/>
  <c r="G147" i="58"/>
  <c r="I147" i="58"/>
  <c r="J147" i="58"/>
  <c r="K147" i="58"/>
  <c r="L147" i="58"/>
  <c r="M147" i="58"/>
  <c r="B148" i="58"/>
  <c r="C148" i="58"/>
  <c r="D148" i="58"/>
  <c r="E148" i="58"/>
  <c r="F148" i="58"/>
  <c r="G148" i="58"/>
  <c r="I148" i="58"/>
  <c r="J148" i="58"/>
  <c r="K148" i="58"/>
  <c r="L148" i="58"/>
  <c r="M148" i="58"/>
  <c r="B149" i="58"/>
  <c r="C149" i="58"/>
  <c r="D149" i="58"/>
  <c r="E149" i="58"/>
  <c r="F149" i="58"/>
  <c r="G149" i="58"/>
  <c r="I149" i="58"/>
  <c r="J149" i="58"/>
  <c r="K149" i="58"/>
  <c r="L149" i="58"/>
  <c r="M149" i="58"/>
  <c r="B150" i="58"/>
  <c r="C150" i="58"/>
  <c r="D150" i="58"/>
  <c r="E150" i="58"/>
  <c r="F150" i="58"/>
  <c r="G150" i="58"/>
  <c r="I150" i="58"/>
  <c r="J150" i="58"/>
  <c r="K150" i="58"/>
  <c r="L150" i="58"/>
  <c r="M150" i="58"/>
  <c r="B151" i="58"/>
  <c r="C151" i="58"/>
  <c r="D151" i="58"/>
  <c r="E151" i="58"/>
  <c r="F151" i="58"/>
  <c r="G151" i="58"/>
  <c r="I151" i="58"/>
  <c r="J151" i="58"/>
  <c r="K151" i="58"/>
  <c r="L151" i="58"/>
  <c r="M151" i="58"/>
  <c r="B152" i="58"/>
  <c r="C152" i="58"/>
  <c r="D152" i="58"/>
  <c r="E152" i="58"/>
  <c r="F152" i="58"/>
  <c r="G152" i="58"/>
  <c r="I152" i="58"/>
  <c r="J152" i="58"/>
  <c r="K152" i="58"/>
  <c r="L152" i="58"/>
  <c r="M152" i="58"/>
  <c r="B153" i="58"/>
  <c r="C153" i="58"/>
  <c r="D153" i="58"/>
  <c r="E153" i="58"/>
  <c r="F153" i="58"/>
  <c r="G153" i="58"/>
  <c r="I153" i="58"/>
  <c r="J153" i="58"/>
  <c r="K153" i="58"/>
  <c r="L153" i="58"/>
  <c r="M153" i="58"/>
  <c r="B154" i="58"/>
  <c r="C154" i="58"/>
  <c r="D154" i="58"/>
  <c r="E154" i="58"/>
  <c r="F154" i="58"/>
  <c r="G154" i="58"/>
  <c r="I154" i="58"/>
  <c r="J154" i="58"/>
  <c r="K154" i="58"/>
  <c r="L154" i="58"/>
  <c r="M154" i="58"/>
  <c r="B155" i="58"/>
  <c r="C155" i="58"/>
  <c r="D155" i="58"/>
  <c r="E155" i="58"/>
  <c r="F155" i="58"/>
  <c r="G155" i="58"/>
  <c r="I155" i="58"/>
  <c r="J155" i="58"/>
  <c r="K155" i="58"/>
  <c r="L155" i="58"/>
  <c r="M155" i="58"/>
  <c r="B156" i="58"/>
  <c r="C156" i="58"/>
  <c r="D156" i="58"/>
  <c r="E156" i="58"/>
  <c r="F156" i="58"/>
  <c r="G156" i="58"/>
  <c r="I156" i="58"/>
  <c r="J156" i="58"/>
  <c r="K156" i="58"/>
  <c r="L156" i="58"/>
  <c r="M156" i="58"/>
  <c r="B157" i="58"/>
  <c r="C157" i="58"/>
  <c r="D157" i="58"/>
  <c r="E157" i="58"/>
  <c r="F157" i="58"/>
  <c r="G157" i="58"/>
  <c r="I157" i="58"/>
  <c r="J157" i="58"/>
  <c r="K157" i="58"/>
  <c r="L157" i="58"/>
  <c r="M157" i="58"/>
  <c r="B158" i="58"/>
  <c r="C158" i="58"/>
  <c r="D158" i="58"/>
  <c r="E158" i="58"/>
  <c r="F158" i="58"/>
  <c r="G158" i="58"/>
  <c r="I158" i="58"/>
  <c r="J158" i="58"/>
  <c r="K158" i="58"/>
  <c r="L158" i="58"/>
  <c r="M158" i="58"/>
  <c r="B159" i="58"/>
  <c r="C159" i="58"/>
  <c r="D159" i="58"/>
  <c r="E159" i="58"/>
  <c r="F159" i="58"/>
  <c r="G159" i="58"/>
  <c r="I159" i="58"/>
  <c r="J159" i="58"/>
  <c r="K159" i="58"/>
  <c r="L159" i="58"/>
  <c r="M159" i="58"/>
  <c r="B160" i="58"/>
  <c r="C160" i="58"/>
  <c r="D160" i="58"/>
  <c r="E160" i="58"/>
  <c r="F160" i="58"/>
  <c r="G160" i="58"/>
  <c r="I160" i="58"/>
  <c r="J160" i="58"/>
  <c r="K160" i="58"/>
  <c r="L160" i="58"/>
  <c r="M160" i="58"/>
  <c r="B161" i="58"/>
  <c r="C161" i="58"/>
  <c r="D161" i="58"/>
  <c r="E161" i="58"/>
  <c r="F161" i="58"/>
  <c r="G161" i="58"/>
  <c r="I161" i="58"/>
  <c r="J161" i="58"/>
  <c r="K161" i="58"/>
  <c r="L161" i="58"/>
  <c r="M161" i="58"/>
  <c r="B162" i="58"/>
  <c r="C162" i="58"/>
  <c r="D162" i="58"/>
  <c r="E162" i="58"/>
  <c r="F162" i="58"/>
  <c r="G162" i="58"/>
  <c r="I162" i="58"/>
  <c r="J162" i="58"/>
  <c r="K162" i="58"/>
  <c r="L162" i="58"/>
  <c r="M162" i="58"/>
  <c r="B163" i="58"/>
  <c r="C163" i="58"/>
  <c r="D163" i="58"/>
  <c r="E163" i="58"/>
  <c r="F163" i="58"/>
  <c r="G163" i="58"/>
  <c r="I163" i="58"/>
  <c r="J163" i="58"/>
  <c r="K163" i="58"/>
  <c r="L163" i="58"/>
  <c r="M163" i="58"/>
  <c r="B164" i="58"/>
  <c r="C164" i="58"/>
  <c r="D164" i="58"/>
  <c r="E164" i="58"/>
  <c r="F164" i="58"/>
  <c r="G164" i="58"/>
  <c r="I164" i="58"/>
  <c r="J164" i="58"/>
  <c r="K164" i="58"/>
  <c r="L164" i="58"/>
  <c r="M164" i="58"/>
  <c r="B165" i="58"/>
  <c r="C165" i="58"/>
  <c r="D165" i="58"/>
  <c r="E165" i="58"/>
  <c r="F165" i="58"/>
  <c r="G165" i="58"/>
  <c r="I165" i="58"/>
  <c r="J165" i="58"/>
  <c r="K165" i="58"/>
  <c r="L165" i="58"/>
  <c r="M165" i="58"/>
  <c r="B166" i="58"/>
  <c r="C166" i="58"/>
  <c r="D166" i="58"/>
  <c r="E166" i="58"/>
  <c r="F166" i="58"/>
  <c r="G166" i="58"/>
  <c r="I166" i="58"/>
  <c r="J166" i="58"/>
  <c r="K166" i="58"/>
  <c r="L166" i="58"/>
  <c r="M166" i="58"/>
  <c r="B167" i="58"/>
  <c r="C167" i="58"/>
  <c r="D167" i="58"/>
  <c r="E167" i="58"/>
  <c r="F167" i="58"/>
  <c r="G167" i="58"/>
  <c r="I167" i="58"/>
  <c r="J167" i="58"/>
  <c r="K167" i="58"/>
  <c r="L167" i="58"/>
  <c r="M167" i="58"/>
  <c r="B168" i="58"/>
  <c r="C168" i="58"/>
  <c r="D168" i="58"/>
  <c r="E168" i="58"/>
  <c r="F168" i="58"/>
  <c r="G168" i="58"/>
  <c r="I168" i="58"/>
  <c r="J168" i="58"/>
  <c r="K168" i="58"/>
  <c r="L168" i="58"/>
  <c r="M168" i="58"/>
  <c r="B169" i="58"/>
  <c r="C169" i="58"/>
  <c r="D169" i="58"/>
  <c r="E169" i="58"/>
  <c r="F169" i="58"/>
  <c r="G169" i="58"/>
  <c r="I169" i="58"/>
  <c r="J169" i="58"/>
  <c r="K169" i="58"/>
  <c r="L169" i="58"/>
  <c r="M169" i="58"/>
  <c r="B170" i="58"/>
  <c r="C170" i="58"/>
  <c r="D170" i="58"/>
  <c r="E170" i="58"/>
  <c r="F170" i="58"/>
  <c r="G170" i="58"/>
  <c r="I170" i="58"/>
  <c r="J170" i="58"/>
  <c r="K170" i="58"/>
  <c r="L170" i="58"/>
  <c r="M170" i="58"/>
  <c r="B171" i="58"/>
  <c r="C171" i="58"/>
  <c r="D171" i="58"/>
  <c r="E171" i="58"/>
  <c r="F171" i="58"/>
  <c r="G171" i="58"/>
  <c r="I171" i="58"/>
  <c r="J171" i="58"/>
  <c r="K171" i="58"/>
  <c r="L171" i="58"/>
  <c r="M171" i="58"/>
  <c r="B172" i="58"/>
  <c r="C172" i="58"/>
  <c r="D172" i="58"/>
  <c r="E172" i="58"/>
  <c r="F172" i="58"/>
  <c r="G172" i="58"/>
  <c r="I172" i="58"/>
  <c r="J172" i="58"/>
  <c r="K172" i="58"/>
  <c r="L172" i="58"/>
  <c r="M172" i="58"/>
  <c r="B173" i="58"/>
  <c r="C173" i="58"/>
  <c r="D173" i="58"/>
  <c r="E173" i="58"/>
  <c r="F173" i="58"/>
  <c r="G173" i="58"/>
  <c r="I173" i="58"/>
  <c r="J173" i="58"/>
  <c r="K173" i="58"/>
  <c r="L173" i="58"/>
  <c r="M173" i="58"/>
  <c r="B174" i="58"/>
  <c r="C174" i="58"/>
  <c r="D174" i="58"/>
  <c r="E174" i="58"/>
  <c r="F174" i="58"/>
  <c r="G174" i="58"/>
  <c r="I174" i="58"/>
  <c r="J174" i="58"/>
  <c r="K174" i="58"/>
  <c r="L174" i="58"/>
  <c r="M174" i="58"/>
  <c r="B175" i="58"/>
  <c r="C175" i="58"/>
  <c r="D175" i="58"/>
  <c r="E175" i="58"/>
  <c r="F175" i="58"/>
  <c r="G175" i="58"/>
  <c r="I175" i="58"/>
  <c r="J175" i="58"/>
  <c r="K175" i="58"/>
  <c r="L175" i="58"/>
  <c r="M175" i="58"/>
  <c r="B176" i="58"/>
  <c r="C176" i="58"/>
  <c r="D176" i="58"/>
  <c r="E176" i="58"/>
  <c r="F176" i="58"/>
  <c r="G176" i="58"/>
  <c r="I176" i="58"/>
  <c r="J176" i="58"/>
  <c r="K176" i="58"/>
  <c r="L176" i="58"/>
  <c r="M176" i="58"/>
  <c r="B177" i="58"/>
  <c r="C177" i="58"/>
  <c r="D177" i="58"/>
  <c r="E177" i="58"/>
  <c r="F177" i="58"/>
  <c r="G177" i="58"/>
  <c r="I177" i="58"/>
  <c r="J177" i="58"/>
  <c r="K177" i="58"/>
  <c r="L177" i="58"/>
  <c r="M177" i="58"/>
  <c r="B178" i="58"/>
  <c r="C178" i="58"/>
  <c r="D178" i="58"/>
  <c r="E178" i="58"/>
  <c r="F178" i="58"/>
  <c r="G178" i="58"/>
  <c r="I178" i="58"/>
  <c r="J178" i="58"/>
  <c r="K178" i="58"/>
  <c r="L178" i="58"/>
  <c r="M178" i="58"/>
  <c r="B179" i="58"/>
  <c r="C179" i="58"/>
  <c r="D179" i="58"/>
  <c r="E179" i="58"/>
  <c r="F179" i="58"/>
  <c r="G179" i="58"/>
  <c r="I179" i="58"/>
  <c r="J179" i="58"/>
  <c r="K179" i="58"/>
  <c r="L179" i="58"/>
  <c r="M179" i="58"/>
  <c r="B180" i="58"/>
  <c r="C180" i="58"/>
  <c r="D180" i="58"/>
  <c r="E180" i="58"/>
  <c r="F180" i="58"/>
  <c r="G180" i="58"/>
  <c r="I180" i="58"/>
  <c r="J180" i="58"/>
  <c r="K180" i="58"/>
  <c r="L180" i="58"/>
  <c r="M180" i="58"/>
  <c r="B181" i="58"/>
  <c r="C181" i="58"/>
  <c r="D181" i="58"/>
  <c r="E181" i="58"/>
  <c r="F181" i="58"/>
  <c r="G181" i="58"/>
  <c r="I181" i="58"/>
  <c r="J181" i="58"/>
  <c r="K181" i="58"/>
  <c r="L181" i="58"/>
  <c r="M181" i="58"/>
  <c r="B182" i="58"/>
  <c r="C182" i="58"/>
  <c r="D182" i="58"/>
  <c r="E182" i="58"/>
  <c r="F182" i="58"/>
  <c r="G182" i="58"/>
  <c r="I182" i="58"/>
  <c r="J182" i="58"/>
  <c r="K182" i="58"/>
  <c r="L182" i="58"/>
  <c r="M182" i="58"/>
  <c r="B183" i="58"/>
  <c r="C183" i="58"/>
  <c r="D183" i="58"/>
  <c r="E183" i="58"/>
  <c r="F183" i="58"/>
  <c r="G183" i="58"/>
  <c r="I183" i="58"/>
  <c r="J183" i="58"/>
  <c r="K183" i="58"/>
  <c r="L183" i="58"/>
  <c r="M183" i="58"/>
  <c r="B184" i="58"/>
  <c r="C184" i="58"/>
  <c r="D184" i="58"/>
  <c r="E184" i="58"/>
  <c r="F184" i="58"/>
  <c r="G184" i="58"/>
  <c r="I184" i="58"/>
  <c r="J184" i="58"/>
  <c r="K184" i="58"/>
  <c r="L184" i="58"/>
  <c r="M184" i="58"/>
  <c r="B185" i="58"/>
  <c r="C185" i="58"/>
  <c r="D185" i="58"/>
  <c r="E185" i="58"/>
  <c r="F185" i="58"/>
  <c r="G185" i="58"/>
  <c r="I185" i="58"/>
  <c r="J185" i="58"/>
  <c r="K185" i="58"/>
  <c r="L185" i="58"/>
  <c r="M185" i="58"/>
  <c r="B186" i="58"/>
  <c r="C186" i="58"/>
  <c r="D186" i="58"/>
  <c r="E186" i="58"/>
  <c r="F186" i="58"/>
  <c r="G186" i="58"/>
  <c r="I186" i="58"/>
  <c r="J186" i="58"/>
  <c r="K186" i="58"/>
  <c r="L186" i="58"/>
  <c r="M186" i="58"/>
  <c r="B187" i="58"/>
  <c r="C187" i="58"/>
  <c r="D187" i="58"/>
  <c r="E187" i="58"/>
  <c r="F187" i="58"/>
  <c r="G187" i="58"/>
  <c r="I187" i="58"/>
  <c r="J187" i="58"/>
  <c r="K187" i="58"/>
  <c r="L187" i="58"/>
  <c r="M187" i="58"/>
  <c r="B188" i="58"/>
  <c r="C188" i="58"/>
  <c r="D188" i="58"/>
  <c r="E188" i="58"/>
  <c r="F188" i="58"/>
  <c r="G188" i="58"/>
  <c r="I188" i="58"/>
  <c r="J188" i="58"/>
  <c r="K188" i="58"/>
  <c r="L188" i="58"/>
  <c r="M188" i="58"/>
  <c r="B189" i="58"/>
  <c r="C189" i="58"/>
  <c r="D189" i="58"/>
  <c r="E189" i="58"/>
  <c r="F189" i="58"/>
  <c r="G189" i="58"/>
  <c r="I189" i="58"/>
  <c r="J189" i="58"/>
  <c r="K189" i="58"/>
  <c r="L189" i="58"/>
  <c r="M189" i="58"/>
  <c r="B190" i="58"/>
  <c r="C190" i="58"/>
  <c r="D190" i="58"/>
  <c r="E190" i="58"/>
  <c r="F190" i="58"/>
  <c r="G190" i="58"/>
  <c r="I190" i="58"/>
  <c r="J190" i="58"/>
  <c r="K190" i="58"/>
  <c r="L190" i="58"/>
  <c r="M190" i="58"/>
  <c r="B191" i="58"/>
  <c r="C191" i="58"/>
  <c r="D191" i="58"/>
  <c r="E191" i="58"/>
  <c r="F191" i="58"/>
  <c r="G191" i="58"/>
  <c r="I191" i="58"/>
  <c r="J191" i="58"/>
  <c r="K191" i="58"/>
  <c r="L191" i="58"/>
  <c r="M191" i="58"/>
  <c r="B192" i="58"/>
  <c r="C192" i="58"/>
  <c r="D192" i="58"/>
  <c r="E192" i="58"/>
  <c r="F192" i="58"/>
  <c r="G192" i="58"/>
  <c r="I192" i="58"/>
  <c r="J192" i="58"/>
  <c r="K192" i="58"/>
  <c r="L192" i="58"/>
  <c r="M192" i="58"/>
  <c r="B193" i="58"/>
  <c r="C193" i="58"/>
  <c r="D193" i="58"/>
  <c r="E193" i="58"/>
  <c r="F193" i="58"/>
  <c r="G193" i="58"/>
  <c r="I193" i="58"/>
  <c r="J193" i="58"/>
  <c r="K193" i="58"/>
  <c r="L193" i="58"/>
  <c r="M193" i="58"/>
  <c r="B194" i="58"/>
  <c r="C194" i="58"/>
  <c r="D194" i="58"/>
  <c r="E194" i="58"/>
  <c r="F194" i="58"/>
  <c r="G194" i="58"/>
  <c r="I194" i="58"/>
  <c r="J194" i="58"/>
  <c r="K194" i="58"/>
  <c r="L194" i="58"/>
  <c r="M194" i="58"/>
  <c r="B195" i="58"/>
  <c r="C195" i="58"/>
  <c r="D195" i="58"/>
  <c r="E195" i="58"/>
  <c r="F195" i="58"/>
  <c r="G195" i="58"/>
  <c r="I195" i="58"/>
  <c r="J195" i="58"/>
  <c r="K195" i="58"/>
  <c r="L195" i="58"/>
  <c r="M195" i="58"/>
  <c r="B196" i="58"/>
  <c r="C196" i="58"/>
  <c r="D196" i="58"/>
  <c r="E196" i="58"/>
  <c r="F196" i="58"/>
  <c r="G196" i="58"/>
  <c r="I196" i="58"/>
  <c r="J196" i="58"/>
  <c r="K196" i="58"/>
  <c r="L196" i="58"/>
  <c r="M196" i="58"/>
  <c r="B197" i="58"/>
  <c r="C197" i="58"/>
  <c r="D197" i="58"/>
  <c r="E197" i="58"/>
  <c r="F197" i="58"/>
  <c r="G197" i="58"/>
  <c r="I197" i="58"/>
  <c r="J197" i="58"/>
  <c r="K197" i="58"/>
  <c r="L197" i="58"/>
  <c r="M197" i="58"/>
  <c r="B198" i="58"/>
  <c r="C198" i="58"/>
  <c r="D198" i="58"/>
  <c r="E198" i="58"/>
  <c r="F198" i="58"/>
  <c r="G198" i="58"/>
  <c r="I198" i="58"/>
  <c r="J198" i="58"/>
  <c r="K198" i="58"/>
  <c r="L198" i="58"/>
  <c r="M198" i="58"/>
  <c r="B199" i="58"/>
  <c r="C199" i="58"/>
  <c r="D199" i="58"/>
  <c r="E199" i="58"/>
  <c r="F199" i="58"/>
  <c r="G199" i="58"/>
  <c r="I199" i="58"/>
  <c r="J199" i="58"/>
  <c r="K199" i="58"/>
  <c r="L199" i="58"/>
  <c r="M199" i="58"/>
  <c r="B200" i="58"/>
  <c r="C200" i="58"/>
  <c r="D200" i="58"/>
  <c r="E200" i="58"/>
  <c r="F200" i="58"/>
  <c r="G200" i="58"/>
  <c r="I200" i="58"/>
  <c r="J200" i="58"/>
  <c r="K200" i="58"/>
  <c r="L200" i="58"/>
  <c r="M200" i="58"/>
  <c r="B201" i="58"/>
  <c r="C201" i="58"/>
  <c r="D201" i="58"/>
  <c r="E201" i="58"/>
  <c r="F201" i="58"/>
  <c r="G201" i="58"/>
  <c r="I201" i="58"/>
  <c r="J201" i="58"/>
  <c r="K201" i="58"/>
  <c r="L201" i="58"/>
  <c r="M201" i="58"/>
  <c r="B202" i="58"/>
  <c r="C202" i="58"/>
  <c r="D202" i="58"/>
  <c r="E202" i="58"/>
  <c r="F202" i="58"/>
  <c r="G202" i="58"/>
  <c r="I202" i="58"/>
  <c r="J202" i="58"/>
  <c r="K202" i="58"/>
  <c r="L202" i="58"/>
  <c r="M202" i="58"/>
  <c r="B203" i="58"/>
  <c r="C203" i="58"/>
  <c r="D203" i="58"/>
  <c r="E203" i="58"/>
  <c r="F203" i="58"/>
  <c r="G203" i="58"/>
  <c r="I203" i="58"/>
  <c r="J203" i="58"/>
  <c r="K203" i="58"/>
  <c r="L203" i="58"/>
  <c r="M203" i="58"/>
  <c r="B204" i="58"/>
  <c r="C204" i="58"/>
  <c r="D204" i="58"/>
  <c r="E204" i="58"/>
  <c r="F204" i="58"/>
  <c r="G204" i="58"/>
  <c r="I204" i="58"/>
  <c r="J204" i="58"/>
  <c r="K204" i="58"/>
  <c r="L204" i="58"/>
  <c r="M204" i="58"/>
  <c r="B205" i="58"/>
  <c r="C205" i="58"/>
  <c r="D205" i="58"/>
  <c r="E205" i="58"/>
  <c r="F205" i="58"/>
  <c r="G205" i="58"/>
  <c r="I205" i="58"/>
  <c r="J205" i="58"/>
  <c r="K205" i="58"/>
  <c r="L205" i="58"/>
  <c r="M205" i="58"/>
  <c r="B206" i="58"/>
  <c r="C206" i="58"/>
  <c r="D206" i="58"/>
  <c r="E206" i="58"/>
  <c r="F206" i="58"/>
  <c r="G206" i="58"/>
  <c r="I206" i="58"/>
  <c r="J206" i="58"/>
  <c r="K206" i="58"/>
  <c r="L206" i="58"/>
  <c r="M206" i="58"/>
  <c r="B207" i="58"/>
  <c r="C207" i="58"/>
  <c r="D207" i="58"/>
  <c r="E207" i="58"/>
  <c r="F207" i="58"/>
  <c r="G207" i="58"/>
  <c r="I207" i="58"/>
  <c r="J207" i="58"/>
  <c r="K207" i="58"/>
  <c r="L207" i="58"/>
  <c r="M207" i="58"/>
  <c r="B208" i="58"/>
  <c r="C208" i="58"/>
  <c r="D208" i="58"/>
  <c r="E208" i="58"/>
  <c r="F208" i="58"/>
  <c r="G208" i="58"/>
  <c r="I208" i="58"/>
  <c r="J208" i="58"/>
  <c r="K208" i="58"/>
  <c r="L208" i="58"/>
  <c r="M208" i="58"/>
  <c r="B209" i="58"/>
  <c r="C209" i="58"/>
  <c r="D209" i="58"/>
  <c r="E209" i="58"/>
  <c r="F209" i="58"/>
  <c r="G209" i="58"/>
  <c r="I209" i="58"/>
  <c r="J209" i="58"/>
  <c r="K209" i="58"/>
  <c r="L209" i="58"/>
  <c r="M209" i="58"/>
  <c r="B210" i="58"/>
  <c r="C210" i="58"/>
  <c r="D210" i="58"/>
  <c r="E210" i="58"/>
  <c r="F210" i="58"/>
  <c r="G210" i="58"/>
  <c r="I210" i="58"/>
  <c r="J210" i="58"/>
  <c r="K210" i="58"/>
  <c r="L210" i="58"/>
  <c r="M210" i="58"/>
  <c r="B211" i="58"/>
  <c r="C211" i="58"/>
  <c r="D211" i="58"/>
  <c r="E211" i="58"/>
  <c r="F211" i="58"/>
  <c r="G211" i="58"/>
  <c r="I211" i="58"/>
  <c r="J211" i="58"/>
  <c r="K211" i="58"/>
  <c r="L211" i="58"/>
  <c r="M211" i="58"/>
  <c r="B212" i="58"/>
  <c r="C212" i="58"/>
  <c r="D212" i="58"/>
  <c r="E212" i="58"/>
  <c r="F212" i="58"/>
  <c r="G212" i="58"/>
  <c r="I212" i="58"/>
  <c r="J212" i="58"/>
  <c r="K212" i="58"/>
  <c r="L212" i="58"/>
  <c r="M212" i="58"/>
  <c r="B213" i="58"/>
  <c r="C213" i="58"/>
  <c r="D213" i="58"/>
  <c r="E213" i="58"/>
  <c r="F213" i="58"/>
  <c r="G213" i="58"/>
  <c r="I213" i="58"/>
  <c r="J213" i="58"/>
  <c r="K213" i="58"/>
  <c r="L213" i="58"/>
  <c r="M213" i="58"/>
  <c r="B214" i="58"/>
  <c r="C214" i="58"/>
  <c r="D214" i="58"/>
  <c r="E214" i="58"/>
  <c r="F214" i="58"/>
  <c r="G214" i="58"/>
  <c r="I214" i="58"/>
  <c r="J214" i="58"/>
  <c r="K214" i="58"/>
  <c r="L214" i="58"/>
  <c r="M214" i="58"/>
  <c r="B215" i="58"/>
  <c r="C215" i="58"/>
  <c r="D215" i="58"/>
  <c r="E215" i="58"/>
  <c r="F215" i="58"/>
  <c r="G215" i="58"/>
  <c r="I215" i="58"/>
  <c r="J215" i="58"/>
  <c r="K215" i="58"/>
  <c r="L215" i="58"/>
  <c r="M215" i="58"/>
  <c r="B216" i="58"/>
  <c r="C216" i="58"/>
  <c r="D216" i="58"/>
  <c r="E216" i="58"/>
  <c r="F216" i="58"/>
  <c r="G216" i="58"/>
  <c r="I216" i="58"/>
  <c r="J216" i="58"/>
  <c r="K216" i="58"/>
  <c r="L216" i="58"/>
  <c r="M216" i="58"/>
  <c r="B217" i="58"/>
  <c r="C217" i="58"/>
  <c r="D217" i="58"/>
  <c r="E217" i="58"/>
  <c r="F217" i="58"/>
  <c r="G217" i="58"/>
  <c r="I217" i="58"/>
  <c r="J217" i="58"/>
  <c r="K217" i="58"/>
  <c r="L217" i="58"/>
  <c r="M217" i="58"/>
  <c r="B218" i="58"/>
  <c r="C218" i="58"/>
  <c r="D218" i="58"/>
  <c r="E218" i="58"/>
  <c r="F218" i="58"/>
  <c r="G218" i="58"/>
  <c r="I218" i="58"/>
  <c r="J218" i="58"/>
  <c r="K218" i="58"/>
  <c r="L218" i="58"/>
  <c r="M218" i="58"/>
  <c r="B219" i="58"/>
  <c r="C219" i="58"/>
  <c r="D219" i="58"/>
  <c r="E219" i="58"/>
  <c r="F219" i="58"/>
  <c r="G219" i="58"/>
  <c r="I219" i="58"/>
  <c r="J219" i="58"/>
  <c r="K219" i="58"/>
  <c r="L219" i="58"/>
  <c r="M219" i="58"/>
  <c r="B220" i="58"/>
  <c r="C220" i="58"/>
  <c r="D220" i="58"/>
  <c r="E220" i="58"/>
  <c r="F220" i="58"/>
  <c r="G220" i="58"/>
  <c r="I220" i="58"/>
  <c r="J220" i="58"/>
  <c r="K220" i="58"/>
  <c r="L220" i="58"/>
  <c r="M220" i="58"/>
  <c r="B221" i="58"/>
  <c r="C221" i="58"/>
  <c r="D221" i="58"/>
  <c r="E221" i="58"/>
  <c r="F221" i="58"/>
  <c r="G221" i="58"/>
  <c r="I221" i="58"/>
  <c r="J221" i="58"/>
  <c r="K221" i="58"/>
  <c r="L221" i="58"/>
  <c r="M221" i="58"/>
  <c r="B222" i="58"/>
  <c r="C222" i="58"/>
  <c r="D222" i="58"/>
  <c r="E222" i="58"/>
  <c r="F222" i="58"/>
  <c r="G222" i="58"/>
  <c r="I222" i="58"/>
  <c r="J222" i="58"/>
  <c r="K222" i="58"/>
  <c r="L222" i="58"/>
  <c r="M222" i="58"/>
  <c r="B223" i="58"/>
  <c r="C223" i="58"/>
  <c r="D223" i="58"/>
  <c r="E223" i="58"/>
  <c r="F223" i="58"/>
  <c r="G223" i="58"/>
  <c r="I223" i="58"/>
  <c r="J223" i="58"/>
  <c r="K223" i="58"/>
  <c r="L223" i="58"/>
  <c r="M223" i="58"/>
  <c r="B224" i="58"/>
  <c r="C224" i="58"/>
  <c r="D224" i="58"/>
  <c r="E224" i="58"/>
  <c r="F224" i="58"/>
  <c r="G224" i="58"/>
  <c r="I224" i="58"/>
  <c r="J224" i="58"/>
  <c r="K224" i="58"/>
  <c r="L224" i="58"/>
  <c r="M224" i="58"/>
  <c r="B225" i="58"/>
  <c r="C225" i="58"/>
  <c r="D225" i="58"/>
  <c r="E225" i="58"/>
  <c r="F225" i="58"/>
  <c r="G225" i="58"/>
  <c r="I225" i="58"/>
  <c r="J225" i="58"/>
  <c r="K225" i="58"/>
  <c r="L225" i="58"/>
  <c r="M225" i="58"/>
  <c r="B226" i="58"/>
  <c r="C226" i="58"/>
  <c r="D226" i="58"/>
  <c r="E226" i="58"/>
  <c r="F226" i="58"/>
  <c r="G226" i="58"/>
  <c r="I226" i="58"/>
  <c r="J226" i="58"/>
  <c r="K226" i="58"/>
  <c r="L226" i="58"/>
  <c r="M226" i="58"/>
  <c r="B227" i="58"/>
  <c r="C227" i="58"/>
  <c r="D227" i="58"/>
  <c r="E227" i="58"/>
  <c r="F227" i="58"/>
  <c r="G227" i="58"/>
  <c r="I227" i="58"/>
  <c r="J227" i="58"/>
  <c r="K227" i="58"/>
  <c r="L227" i="58"/>
  <c r="M227" i="58"/>
  <c r="B228" i="58"/>
  <c r="C228" i="58"/>
  <c r="D228" i="58"/>
  <c r="E228" i="58"/>
  <c r="F228" i="58"/>
  <c r="G228" i="58"/>
  <c r="I228" i="58"/>
  <c r="J228" i="58"/>
  <c r="K228" i="58"/>
  <c r="L228" i="58"/>
  <c r="M228" i="58"/>
  <c r="B229" i="58"/>
  <c r="C229" i="58"/>
  <c r="D229" i="58"/>
  <c r="E229" i="58"/>
  <c r="F229" i="58"/>
  <c r="G229" i="58"/>
  <c r="I229" i="58"/>
  <c r="J229" i="58"/>
  <c r="K229" i="58"/>
  <c r="L229" i="58"/>
  <c r="M229" i="58"/>
  <c r="B230" i="58"/>
  <c r="C230" i="58"/>
  <c r="D230" i="58"/>
  <c r="E230" i="58"/>
  <c r="F230" i="58"/>
  <c r="G230" i="58"/>
  <c r="I230" i="58"/>
  <c r="J230" i="58"/>
  <c r="K230" i="58"/>
  <c r="L230" i="58"/>
  <c r="M230" i="58"/>
  <c r="B231" i="58"/>
  <c r="C231" i="58"/>
  <c r="D231" i="58"/>
  <c r="E231" i="58"/>
  <c r="F231" i="58"/>
  <c r="G231" i="58"/>
  <c r="I231" i="58"/>
  <c r="J231" i="58"/>
  <c r="K231" i="58"/>
  <c r="L231" i="58"/>
  <c r="M231" i="58"/>
  <c r="B232" i="58"/>
  <c r="C232" i="58"/>
  <c r="D232" i="58"/>
  <c r="E232" i="58"/>
  <c r="F232" i="58"/>
  <c r="G232" i="58"/>
  <c r="I232" i="58"/>
  <c r="J232" i="58"/>
  <c r="K232" i="58"/>
  <c r="L232" i="58"/>
  <c r="M232" i="58"/>
  <c r="B233" i="58"/>
  <c r="C233" i="58"/>
  <c r="D233" i="58"/>
  <c r="E233" i="58"/>
  <c r="F233" i="58"/>
  <c r="G233" i="58"/>
  <c r="I233" i="58"/>
  <c r="J233" i="58"/>
  <c r="K233" i="58"/>
  <c r="L233" i="58"/>
  <c r="M233" i="58"/>
  <c r="B234" i="58"/>
  <c r="C234" i="58"/>
  <c r="D234" i="58"/>
  <c r="E234" i="58"/>
  <c r="F234" i="58"/>
  <c r="G234" i="58"/>
  <c r="I234" i="58"/>
  <c r="J234" i="58"/>
  <c r="K234" i="58"/>
  <c r="L234" i="58"/>
  <c r="M234" i="58"/>
  <c r="B235" i="58"/>
  <c r="C235" i="58"/>
  <c r="D235" i="58"/>
  <c r="E235" i="58"/>
  <c r="F235" i="58"/>
  <c r="G235" i="58"/>
  <c r="I235" i="58"/>
  <c r="J235" i="58"/>
  <c r="K235" i="58"/>
  <c r="L235" i="58"/>
  <c r="M235" i="58"/>
  <c r="B236" i="58"/>
  <c r="C236" i="58"/>
  <c r="D236" i="58"/>
  <c r="E236" i="58"/>
  <c r="F236" i="58"/>
  <c r="G236" i="58"/>
  <c r="I236" i="58"/>
  <c r="J236" i="58"/>
  <c r="K236" i="58"/>
  <c r="L236" i="58"/>
  <c r="M236" i="58"/>
  <c r="B237" i="58"/>
  <c r="C237" i="58"/>
  <c r="D237" i="58"/>
  <c r="E237" i="58"/>
  <c r="F237" i="58"/>
  <c r="G237" i="58"/>
  <c r="I237" i="58"/>
  <c r="J237" i="58"/>
  <c r="K237" i="58"/>
  <c r="L237" i="58"/>
  <c r="M237" i="58"/>
  <c r="B238" i="58"/>
  <c r="C238" i="58"/>
  <c r="D238" i="58"/>
  <c r="E238" i="58"/>
  <c r="F238" i="58"/>
  <c r="G238" i="58"/>
  <c r="I238" i="58"/>
  <c r="J238" i="58"/>
  <c r="K238" i="58"/>
  <c r="L238" i="58"/>
  <c r="M238" i="58"/>
  <c r="B239" i="58"/>
  <c r="C239" i="58"/>
  <c r="D239" i="58"/>
  <c r="E239" i="58"/>
  <c r="F239" i="58"/>
  <c r="G239" i="58"/>
  <c r="I239" i="58"/>
  <c r="J239" i="58"/>
  <c r="K239" i="58"/>
  <c r="L239" i="58"/>
  <c r="M239" i="58"/>
  <c r="B240" i="58"/>
  <c r="C240" i="58"/>
  <c r="D240" i="58"/>
  <c r="E240" i="58"/>
  <c r="F240" i="58"/>
  <c r="G240" i="58"/>
  <c r="I240" i="58"/>
  <c r="J240" i="58"/>
  <c r="K240" i="58"/>
  <c r="L240" i="58"/>
  <c r="M240" i="58"/>
  <c r="B241" i="58"/>
  <c r="C241" i="58"/>
  <c r="D241" i="58"/>
  <c r="E241" i="58"/>
  <c r="F241" i="58"/>
  <c r="G241" i="58"/>
  <c r="I241" i="58"/>
  <c r="J241" i="58"/>
  <c r="K241" i="58"/>
  <c r="L241" i="58"/>
  <c r="M241" i="58"/>
  <c r="B242" i="58"/>
  <c r="C242" i="58"/>
  <c r="D242" i="58"/>
  <c r="E242" i="58"/>
  <c r="F242" i="58"/>
  <c r="G242" i="58"/>
  <c r="I242" i="58"/>
  <c r="J242" i="58"/>
  <c r="K242" i="58"/>
  <c r="L242" i="58"/>
  <c r="M242" i="58"/>
  <c r="B243" i="58"/>
  <c r="C243" i="58"/>
  <c r="D243" i="58"/>
  <c r="E243" i="58"/>
  <c r="F243" i="58"/>
  <c r="G243" i="58"/>
  <c r="I243" i="58"/>
  <c r="J243" i="58"/>
  <c r="K243" i="58"/>
  <c r="L243" i="58"/>
  <c r="M243" i="58"/>
  <c r="B244" i="58"/>
  <c r="C244" i="58"/>
  <c r="D244" i="58"/>
  <c r="E244" i="58"/>
  <c r="F244" i="58"/>
  <c r="G244" i="58"/>
  <c r="I244" i="58"/>
  <c r="J244" i="58"/>
  <c r="K244" i="58"/>
  <c r="L244" i="58"/>
  <c r="M244" i="58"/>
  <c r="B245" i="58"/>
  <c r="C245" i="58"/>
  <c r="D245" i="58"/>
  <c r="E245" i="58"/>
  <c r="F245" i="58"/>
  <c r="G245" i="58"/>
  <c r="I245" i="58"/>
  <c r="J245" i="58"/>
  <c r="K245" i="58"/>
  <c r="L245" i="58"/>
  <c r="M245" i="58"/>
  <c r="B246" i="58"/>
  <c r="C246" i="58"/>
  <c r="D246" i="58"/>
  <c r="E246" i="58"/>
  <c r="F246" i="58"/>
  <c r="G246" i="58"/>
  <c r="I246" i="58"/>
  <c r="J246" i="58"/>
  <c r="K246" i="58"/>
  <c r="L246" i="58"/>
  <c r="M246" i="58"/>
  <c r="B247" i="58"/>
  <c r="C247" i="58"/>
  <c r="D247" i="58"/>
  <c r="E247" i="58"/>
  <c r="F247" i="58"/>
  <c r="G247" i="58"/>
  <c r="I247" i="58"/>
  <c r="J247" i="58"/>
  <c r="K247" i="58"/>
  <c r="L247" i="58"/>
  <c r="M247" i="58"/>
  <c r="B248" i="58"/>
  <c r="C248" i="58"/>
  <c r="D248" i="58"/>
  <c r="E248" i="58"/>
  <c r="F248" i="58"/>
  <c r="G248" i="58"/>
  <c r="I248" i="58"/>
  <c r="J248" i="58"/>
  <c r="K248" i="58"/>
  <c r="L248" i="58"/>
  <c r="M248" i="58"/>
  <c r="B249" i="58"/>
  <c r="C249" i="58"/>
  <c r="D249" i="58"/>
  <c r="E249" i="58"/>
  <c r="F249" i="58"/>
  <c r="G249" i="58"/>
  <c r="I249" i="58"/>
  <c r="J249" i="58"/>
  <c r="K249" i="58"/>
  <c r="L249" i="58"/>
  <c r="M249" i="58"/>
  <c r="B250" i="58"/>
  <c r="C250" i="58"/>
  <c r="D250" i="58"/>
  <c r="E250" i="58"/>
  <c r="F250" i="58"/>
  <c r="G250" i="58"/>
  <c r="I250" i="58"/>
  <c r="J250" i="58"/>
  <c r="K250" i="58"/>
  <c r="L250" i="58"/>
  <c r="M250" i="58"/>
  <c r="B251" i="58"/>
  <c r="C251" i="58"/>
  <c r="D251" i="58"/>
  <c r="E251" i="58"/>
  <c r="F251" i="58"/>
  <c r="G251" i="58"/>
  <c r="I251" i="58"/>
  <c r="J251" i="58"/>
  <c r="K251" i="58"/>
  <c r="L251" i="58"/>
  <c r="M251" i="58"/>
  <c r="B252" i="58"/>
  <c r="C252" i="58"/>
  <c r="D252" i="58"/>
  <c r="E252" i="58"/>
  <c r="F252" i="58"/>
  <c r="G252" i="58"/>
  <c r="I252" i="58"/>
  <c r="J252" i="58"/>
  <c r="K252" i="58"/>
  <c r="L252" i="58"/>
  <c r="M252" i="58"/>
  <c r="B253" i="58"/>
  <c r="C253" i="58"/>
  <c r="D253" i="58"/>
  <c r="E253" i="58"/>
  <c r="F253" i="58"/>
  <c r="G253" i="58"/>
  <c r="I253" i="58"/>
  <c r="J253" i="58"/>
  <c r="K253" i="58"/>
  <c r="L253" i="58"/>
  <c r="M253" i="58"/>
  <c r="B254" i="58"/>
  <c r="C254" i="58"/>
  <c r="D254" i="58"/>
  <c r="E254" i="58"/>
  <c r="F254" i="58"/>
  <c r="G254" i="58"/>
  <c r="I254" i="58"/>
  <c r="J254" i="58"/>
  <c r="K254" i="58"/>
  <c r="L254" i="58"/>
  <c r="M254" i="58"/>
  <c r="B255" i="58"/>
  <c r="C255" i="58"/>
  <c r="D255" i="58"/>
  <c r="E255" i="58"/>
  <c r="F255" i="58"/>
  <c r="G255" i="58"/>
  <c r="I255" i="58"/>
  <c r="J255" i="58"/>
  <c r="K255" i="58"/>
  <c r="L255" i="58"/>
  <c r="M255" i="58"/>
  <c r="B256" i="58"/>
  <c r="C256" i="58"/>
  <c r="D256" i="58"/>
  <c r="E256" i="58"/>
  <c r="F256" i="58"/>
  <c r="G256" i="58"/>
  <c r="I256" i="58"/>
  <c r="J256" i="58"/>
  <c r="K256" i="58"/>
  <c r="L256" i="58"/>
  <c r="M256" i="58"/>
  <c r="B257" i="58"/>
  <c r="C257" i="58"/>
  <c r="D257" i="58"/>
  <c r="E257" i="58"/>
  <c r="F257" i="58"/>
  <c r="G257" i="58"/>
  <c r="I257" i="58"/>
  <c r="J257" i="58"/>
  <c r="K257" i="58"/>
  <c r="L257" i="58"/>
  <c r="M257" i="58"/>
  <c r="B258" i="58"/>
  <c r="C258" i="58"/>
  <c r="D258" i="58"/>
  <c r="E258" i="58"/>
  <c r="F258" i="58"/>
  <c r="G258" i="58"/>
  <c r="I258" i="58"/>
  <c r="J258" i="58"/>
  <c r="K258" i="58"/>
  <c r="L258" i="58"/>
  <c r="M258" i="58"/>
  <c r="B259" i="58"/>
  <c r="C259" i="58"/>
  <c r="D259" i="58"/>
  <c r="E259" i="58"/>
  <c r="F259" i="58"/>
  <c r="G259" i="58"/>
  <c r="I259" i="58"/>
  <c r="J259" i="58"/>
  <c r="K259" i="58"/>
  <c r="L259" i="58"/>
  <c r="M259" i="58"/>
  <c r="B260" i="58"/>
  <c r="C260" i="58"/>
  <c r="D260" i="58"/>
  <c r="E260" i="58"/>
  <c r="F260" i="58"/>
  <c r="G260" i="58"/>
  <c r="I260" i="58"/>
  <c r="J260" i="58"/>
  <c r="K260" i="58"/>
  <c r="L260" i="58"/>
  <c r="M260" i="58"/>
  <c r="B261" i="58"/>
  <c r="C261" i="58"/>
  <c r="D261" i="58"/>
  <c r="E261" i="58"/>
  <c r="F261" i="58"/>
  <c r="G261" i="58"/>
  <c r="I261" i="58"/>
  <c r="J261" i="58"/>
  <c r="K261" i="58"/>
  <c r="L261" i="58"/>
  <c r="M261" i="58"/>
  <c r="B263" i="58"/>
  <c r="C263" i="58"/>
  <c r="D263" i="58"/>
  <c r="E263" i="58"/>
  <c r="F263" i="58"/>
  <c r="G263" i="58"/>
  <c r="I263" i="58"/>
  <c r="J263" i="58"/>
  <c r="K263" i="58"/>
  <c r="L263" i="58"/>
  <c r="M263" i="58"/>
  <c r="B264" i="58"/>
  <c r="C264" i="58"/>
  <c r="D264" i="58"/>
  <c r="E264" i="58"/>
  <c r="F264" i="58"/>
  <c r="G264" i="58"/>
  <c r="H264" i="58"/>
  <c r="I264" i="58"/>
  <c r="J264" i="58"/>
  <c r="K264" i="58"/>
  <c r="L264" i="58"/>
  <c r="M264" i="58"/>
  <c r="B265" i="58"/>
  <c r="C265" i="58"/>
  <c r="D265" i="58"/>
  <c r="E265" i="58"/>
  <c r="F265" i="58"/>
  <c r="G265" i="58"/>
  <c r="I265" i="58"/>
  <c r="J265" i="58"/>
  <c r="K265" i="58"/>
  <c r="L265" i="58"/>
  <c r="M265" i="58"/>
  <c r="B266" i="58"/>
  <c r="C266" i="58"/>
  <c r="D266" i="58"/>
  <c r="E266" i="58"/>
  <c r="F266" i="58"/>
  <c r="G266" i="58"/>
  <c r="I266" i="58"/>
  <c r="J266" i="58"/>
  <c r="K266" i="58"/>
  <c r="L266" i="58"/>
  <c r="M266" i="58"/>
  <c r="B268" i="58"/>
  <c r="C268" i="58"/>
  <c r="D268" i="58"/>
  <c r="E268" i="58"/>
  <c r="F268" i="58"/>
  <c r="G268" i="58"/>
  <c r="I268" i="58"/>
  <c r="J268" i="58"/>
  <c r="K268" i="58"/>
  <c r="L268" i="58"/>
  <c r="M268" i="58"/>
  <c r="B269" i="58"/>
  <c r="C269" i="58"/>
  <c r="D269" i="58"/>
  <c r="E269" i="58"/>
  <c r="F269" i="58"/>
  <c r="G269" i="58"/>
  <c r="I269" i="58"/>
  <c r="J269" i="58"/>
  <c r="K269" i="58"/>
  <c r="L269" i="58"/>
  <c r="M269" i="58"/>
  <c r="B271" i="58"/>
  <c r="C271" i="58"/>
  <c r="D271" i="58"/>
  <c r="E271" i="58"/>
  <c r="F271" i="58"/>
  <c r="G271" i="58"/>
  <c r="I271" i="58"/>
  <c r="J271" i="58"/>
  <c r="K271" i="58"/>
  <c r="L271" i="58"/>
  <c r="M271" i="58"/>
  <c r="B272" i="58"/>
  <c r="B273" i="58"/>
  <c r="C3" i="58"/>
  <c r="D3" i="58"/>
  <c r="E3" i="58"/>
  <c r="F3" i="58"/>
  <c r="G3" i="58"/>
  <c r="I3" i="58"/>
  <c r="J3" i="58"/>
  <c r="K3" i="58"/>
  <c r="L3" i="58"/>
  <c r="M3" i="58"/>
  <c r="B3" i="58"/>
  <c r="L282" i="75"/>
  <c r="J274" i="75"/>
  <c r="M282" i="75"/>
  <c r="G275" i="75"/>
  <c r="L274" i="75"/>
  <c r="H275" i="75"/>
  <c r="L275" i="75"/>
  <c r="F275" i="75"/>
  <c r="I274" i="75"/>
  <c r="H274" i="75"/>
  <c r="G274" i="75"/>
  <c r="F274" i="75"/>
  <c r="D274" i="75"/>
  <c r="B274" i="75"/>
  <c r="M275" i="75"/>
  <c r="K275" i="75"/>
  <c r="J275" i="75"/>
  <c r="I275" i="75"/>
  <c r="D276" i="75"/>
  <c r="I282" i="75"/>
  <c r="H282" i="75"/>
  <c r="F282" i="75"/>
  <c r="E282" i="75"/>
  <c r="B282" i="75"/>
  <c r="M281" i="75"/>
  <c r="L281" i="75"/>
  <c r="L283" i="75" s="1"/>
  <c r="K281" i="75"/>
  <c r="K283" i="75" s="1"/>
  <c r="M276" i="75"/>
  <c r="L276" i="75"/>
  <c r="J276" i="75"/>
  <c r="G276" i="75"/>
  <c r="G283" i="75"/>
  <c r="K282" i="75"/>
  <c r="J282" i="75"/>
  <c r="G282" i="75"/>
  <c r="J281" i="75"/>
  <c r="I281" i="75"/>
  <c r="I283" i="75" s="1"/>
  <c r="G281" i="75"/>
  <c r="F281" i="75"/>
  <c r="B281" i="75"/>
  <c r="M279" i="75"/>
  <c r="L279" i="75"/>
  <c r="K279" i="75"/>
  <c r="J279" i="75"/>
  <c r="I279" i="75"/>
  <c r="H279" i="75"/>
  <c r="G279" i="75"/>
  <c r="F279" i="75"/>
  <c r="D279" i="75"/>
  <c r="B279" i="75"/>
  <c r="M278" i="75"/>
  <c r="L278" i="75"/>
  <c r="K278" i="75"/>
  <c r="J278" i="75"/>
  <c r="I278" i="75"/>
  <c r="H278" i="75"/>
  <c r="G278" i="75"/>
  <c r="F278" i="75"/>
  <c r="D278" i="75"/>
  <c r="B278" i="75"/>
  <c r="M277" i="75"/>
  <c r="L277" i="75"/>
  <c r="K277" i="75"/>
  <c r="J277" i="75"/>
  <c r="I277" i="75"/>
  <c r="H277" i="75"/>
  <c r="G277" i="75"/>
  <c r="F277" i="75"/>
  <c r="D277" i="75"/>
  <c r="B277" i="75"/>
  <c r="K276" i="75"/>
  <c r="H276" i="75"/>
  <c r="F276" i="75"/>
  <c r="B276" i="75"/>
  <c r="D275" i="75"/>
  <c r="M274" i="75"/>
  <c r="K274" i="75"/>
  <c r="K279" i="74"/>
  <c r="M279" i="74"/>
  <c r="L279" i="74"/>
  <c r="B279" i="74"/>
  <c r="J279" i="74"/>
  <c r="G279" i="74"/>
  <c r="D279" i="74"/>
  <c r="B278" i="74"/>
  <c r="M277" i="74"/>
  <c r="L277" i="74"/>
  <c r="M282" i="74"/>
  <c r="J275" i="74"/>
  <c r="G274" i="74"/>
  <c r="F274" i="74"/>
  <c r="D274" i="74"/>
  <c r="D276" i="74"/>
  <c r="G282" i="74"/>
  <c r="F282" i="74"/>
  <c r="H281" i="74"/>
  <c r="L276" i="74"/>
  <c r="K276" i="74"/>
  <c r="J276" i="74"/>
  <c r="I276" i="74"/>
  <c r="H276" i="74"/>
  <c r="K278" i="74"/>
  <c r="J278" i="74"/>
  <c r="L278" i="74"/>
  <c r="K282" i="74"/>
  <c r="F276" i="74"/>
  <c r="G278" i="74"/>
  <c r="K277" i="74"/>
  <c r="H96" i="62"/>
  <c r="J283" i="75" l="1"/>
  <c r="F283" i="75"/>
  <c r="M283" i="75"/>
  <c r="E281" i="75"/>
  <c r="E279" i="75"/>
  <c r="E274" i="75"/>
  <c r="E275" i="75"/>
  <c r="C278" i="75"/>
  <c r="E283" i="75"/>
  <c r="E278" i="75"/>
  <c r="C279" i="75"/>
  <c r="I276" i="75"/>
  <c r="B283" i="75"/>
  <c r="B284" i="75" s="1"/>
  <c r="C282" i="75"/>
  <c r="B275" i="75"/>
  <c r="H281" i="75"/>
  <c r="H283" i="75" s="1"/>
  <c r="H275" i="74"/>
  <c r="I277" i="74"/>
  <c r="D275" i="74"/>
  <c r="B277" i="74"/>
  <c r="M281" i="74"/>
  <c r="M283" i="74" s="1"/>
  <c r="L282" i="74"/>
  <c r="B275" i="74"/>
  <c r="F279" i="74"/>
  <c r="H274" i="74"/>
  <c r="J282" i="74"/>
  <c r="L281" i="74"/>
  <c r="I279" i="74"/>
  <c r="H279" i="74"/>
  <c r="H277" i="74"/>
  <c r="I275" i="74"/>
  <c r="M276" i="74"/>
  <c r="L275" i="74"/>
  <c r="L274" i="74"/>
  <c r="K275" i="74"/>
  <c r="M275" i="74"/>
  <c r="M274" i="74"/>
  <c r="M278" i="74"/>
  <c r="D277" i="74"/>
  <c r="G281" i="74"/>
  <c r="G283" i="74" s="1"/>
  <c r="H278" i="74"/>
  <c r="I281" i="74"/>
  <c r="D278" i="74"/>
  <c r="I278" i="74"/>
  <c r="J281" i="74"/>
  <c r="K281" i="74"/>
  <c r="K283" i="74" s="1"/>
  <c r="I274" i="74"/>
  <c r="F277" i="74"/>
  <c r="I282" i="74"/>
  <c r="F275" i="74"/>
  <c r="F278" i="74"/>
  <c r="G275" i="74"/>
  <c r="B274" i="74"/>
  <c r="B281" i="74"/>
  <c r="J274" i="74"/>
  <c r="K274" i="74"/>
  <c r="F281" i="74"/>
  <c r="F283" i="74" s="1"/>
  <c r="J277" i="74"/>
  <c r="B276" i="74"/>
  <c r="H282" i="74"/>
  <c r="H283" i="74" s="1"/>
  <c r="G276" i="74"/>
  <c r="B282" i="74"/>
  <c r="G277" i="74"/>
  <c r="M279" i="73"/>
  <c r="F279" i="73"/>
  <c r="B279" i="73"/>
  <c r="I278" i="73"/>
  <c r="B278" i="73"/>
  <c r="J278" i="73"/>
  <c r="M277" i="73"/>
  <c r="J277" i="73"/>
  <c r="M282" i="73"/>
  <c r="L282" i="73"/>
  <c r="H282" i="73"/>
  <c r="G282" i="73"/>
  <c r="G275" i="73"/>
  <c r="I275" i="73"/>
  <c r="K275" i="73"/>
  <c r="J275" i="73"/>
  <c r="M274" i="73"/>
  <c r="G274" i="73"/>
  <c r="K276" i="73"/>
  <c r="L281" i="73"/>
  <c r="I281" i="73"/>
  <c r="B281" i="73"/>
  <c r="H276" i="73"/>
  <c r="K282" i="73"/>
  <c r="I282" i="73"/>
  <c r="F282" i="73"/>
  <c r="B282" i="73"/>
  <c r="M281" i="73"/>
  <c r="M283" i="73" s="1"/>
  <c r="H281" i="73"/>
  <c r="L279" i="73"/>
  <c r="K279" i="73"/>
  <c r="J279" i="73"/>
  <c r="I279" i="73"/>
  <c r="H279" i="73"/>
  <c r="G279" i="73"/>
  <c r="D279" i="73"/>
  <c r="M278" i="73"/>
  <c r="L278" i="73"/>
  <c r="K278" i="73"/>
  <c r="H278" i="73"/>
  <c r="G278" i="73"/>
  <c r="F278" i="73"/>
  <c r="E278" i="73"/>
  <c r="D278" i="73"/>
  <c r="L277" i="73"/>
  <c r="K277" i="73"/>
  <c r="I277" i="73"/>
  <c r="H277" i="73"/>
  <c r="G277" i="73"/>
  <c r="D277" i="73"/>
  <c r="B277" i="73"/>
  <c r="M276" i="73"/>
  <c r="L276" i="73"/>
  <c r="D276" i="73"/>
  <c r="L275" i="73"/>
  <c r="H275" i="73"/>
  <c r="D275" i="73"/>
  <c r="L274" i="73"/>
  <c r="K274" i="73"/>
  <c r="H274" i="73"/>
  <c r="D274" i="73"/>
  <c r="Z7" i="58"/>
  <c r="E277" i="75" l="1"/>
  <c r="E276" i="75"/>
  <c r="C281" i="75"/>
  <c r="C283" i="75" s="1"/>
  <c r="C274" i="75"/>
  <c r="C275" i="75"/>
  <c r="I283" i="74"/>
  <c r="J283" i="74"/>
  <c r="E281" i="74"/>
  <c r="L283" i="74"/>
  <c r="B283" i="74"/>
  <c r="B284" i="74" s="1"/>
  <c r="C275" i="74"/>
  <c r="C274" i="74"/>
  <c r="E277" i="74"/>
  <c r="C276" i="74"/>
  <c r="E276" i="74"/>
  <c r="E279" i="74"/>
  <c r="E282" i="74"/>
  <c r="C281" i="74"/>
  <c r="E275" i="74"/>
  <c r="E274" i="74"/>
  <c r="E278" i="74"/>
  <c r="C278" i="74"/>
  <c r="C279" i="74"/>
  <c r="C282" i="74"/>
  <c r="L283" i="73"/>
  <c r="H283" i="73"/>
  <c r="E282" i="73"/>
  <c r="B274" i="73"/>
  <c r="B275" i="73"/>
  <c r="F275" i="73"/>
  <c r="E277" i="73"/>
  <c r="E279" i="73"/>
  <c r="C276" i="73"/>
  <c r="B276" i="73"/>
  <c r="J274" i="73"/>
  <c r="F276" i="73"/>
  <c r="K281" i="73"/>
  <c r="K283" i="73" s="1"/>
  <c r="M275" i="73"/>
  <c r="F281" i="73"/>
  <c r="F283" i="73" s="1"/>
  <c r="G276" i="73"/>
  <c r="J281" i="73"/>
  <c r="G281" i="73"/>
  <c r="G283" i="73" s="1"/>
  <c r="I276" i="73"/>
  <c r="I274" i="73"/>
  <c r="F274" i="73"/>
  <c r="J276" i="73"/>
  <c r="J282" i="73"/>
  <c r="F277" i="73"/>
  <c r="B283" i="73"/>
  <c r="B284" i="73" s="1"/>
  <c r="I283" i="73"/>
  <c r="Q24" i="72"/>
  <c r="D24" i="72"/>
  <c r="Q23" i="72"/>
  <c r="D23" i="72"/>
  <c r="Q22" i="72"/>
  <c r="D22" i="72"/>
  <c r="Q21" i="72"/>
  <c r="D21" i="72"/>
  <c r="Q20" i="72"/>
  <c r="D20" i="72"/>
  <c r="Q19" i="72"/>
  <c r="D19" i="72"/>
  <c r="Q18" i="72"/>
  <c r="D18" i="72"/>
  <c r="Q17" i="72"/>
  <c r="D17" i="72"/>
  <c r="Q16" i="72"/>
  <c r="D16" i="72"/>
  <c r="Q15" i="72"/>
  <c r="D15" i="72"/>
  <c r="Q14" i="72"/>
  <c r="D14" i="72"/>
  <c r="Q13" i="72"/>
  <c r="D13" i="72"/>
  <c r="Q12" i="72"/>
  <c r="D12" i="72"/>
  <c r="Q11" i="72"/>
  <c r="D11" i="72"/>
  <c r="Q10" i="72"/>
  <c r="D10" i="72"/>
  <c r="Z9" i="72"/>
  <c r="X9" i="72"/>
  <c r="W9" i="72"/>
  <c r="V9" i="72"/>
  <c r="U9" i="72"/>
  <c r="T9" i="72"/>
  <c r="S9" i="72"/>
  <c r="R9" i="72"/>
  <c r="P9" i="72"/>
  <c r="O9" i="72"/>
  <c r="N9" i="72"/>
  <c r="M9" i="72"/>
  <c r="L9" i="72"/>
  <c r="K9" i="72"/>
  <c r="J9" i="72"/>
  <c r="I9" i="72"/>
  <c r="H9" i="72"/>
  <c r="G9" i="72"/>
  <c r="F9" i="72"/>
  <c r="E9" i="72"/>
  <c r="Z8" i="72"/>
  <c r="Q8" i="72" s="1"/>
  <c r="X8" i="72"/>
  <c r="W8" i="72"/>
  <c r="V8" i="72"/>
  <c r="U8" i="72"/>
  <c r="T8" i="72"/>
  <c r="S8" i="72"/>
  <c r="R8" i="72"/>
  <c r="P8" i="72"/>
  <c r="O8" i="72"/>
  <c r="N8" i="72"/>
  <c r="M8" i="72"/>
  <c r="L8" i="72"/>
  <c r="K8" i="72"/>
  <c r="J8" i="72"/>
  <c r="I8" i="72"/>
  <c r="H8" i="72"/>
  <c r="G8" i="72"/>
  <c r="F8" i="72"/>
  <c r="E8" i="72"/>
  <c r="Z7" i="72"/>
  <c r="X7" i="72"/>
  <c r="W7" i="72"/>
  <c r="V7" i="72"/>
  <c r="U7" i="72"/>
  <c r="T7" i="72"/>
  <c r="S7" i="72"/>
  <c r="R7" i="72"/>
  <c r="Q7" i="72" s="1"/>
  <c r="P7" i="72"/>
  <c r="O7" i="72"/>
  <c r="N7" i="72"/>
  <c r="M7" i="72"/>
  <c r="L7" i="72"/>
  <c r="K7" i="72"/>
  <c r="J7" i="72"/>
  <c r="I7" i="72"/>
  <c r="H7" i="72"/>
  <c r="G7" i="72"/>
  <c r="F7" i="72"/>
  <c r="E7" i="72"/>
  <c r="E283" i="74" l="1"/>
  <c r="C277" i="75"/>
  <c r="C276" i="75"/>
  <c r="C277" i="74"/>
  <c r="C283" i="74"/>
  <c r="D7" i="72"/>
  <c r="J283" i="73"/>
  <c r="E275" i="73"/>
  <c r="E274" i="73"/>
  <c r="C281" i="73"/>
  <c r="C278" i="73"/>
  <c r="E281" i="73"/>
  <c r="E283" i="73" s="1"/>
  <c r="C279" i="73"/>
  <c r="C277" i="73"/>
  <c r="E276" i="73"/>
  <c r="C275" i="73"/>
  <c r="C274" i="73"/>
  <c r="C282" i="73"/>
  <c r="D8" i="72"/>
  <c r="Q9" i="72"/>
  <c r="D9" i="72"/>
  <c r="C283" i="73" l="1"/>
  <c r="Z8" i="58"/>
  <c r="Z15" i="58"/>
  <c r="K109" i="62"/>
  <c r="J8" i="62"/>
  <c r="J11" i="62"/>
  <c r="J21" i="62"/>
  <c r="J27" i="62"/>
  <c r="J49" i="62"/>
  <c r="J51" i="62"/>
  <c r="J53" i="62"/>
  <c r="J57" i="62"/>
  <c r="J59" i="62"/>
  <c r="J70" i="62"/>
  <c r="J78" i="62"/>
  <c r="J83" i="62"/>
  <c r="J102" i="62"/>
  <c r="J108" i="62"/>
  <c r="J110" i="62"/>
  <c r="J10" i="62"/>
  <c r="J12" i="62"/>
  <c r="J13" i="62"/>
  <c r="J14" i="62"/>
  <c r="J15" i="62"/>
  <c r="J16" i="62"/>
  <c r="J17" i="62"/>
  <c r="J18" i="62"/>
  <c r="J19" i="62"/>
  <c r="J20" i="62"/>
  <c r="J22" i="62"/>
  <c r="J23" i="62"/>
  <c r="J24" i="62"/>
  <c r="J25" i="62"/>
  <c r="J26" i="62"/>
  <c r="J33" i="62"/>
  <c r="J34" i="62"/>
  <c r="J37" i="62"/>
  <c r="J38" i="62"/>
  <c r="J39" i="62"/>
  <c r="J40" i="62"/>
  <c r="J41" i="62"/>
  <c r="J42" i="62"/>
  <c r="J43" i="62"/>
  <c r="J44" i="62"/>
  <c r="J45" i="62"/>
  <c r="J46" i="62"/>
  <c r="J47" i="62"/>
  <c r="J48" i="62"/>
  <c r="J50" i="62"/>
  <c r="J52" i="62"/>
  <c r="J55" i="62"/>
  <c r="J56" i="62"/>
  <c r="J58" i="62"/>
  <c r="J60" i="62"/>
  <c r="J63" i="62"/>
  <c r="J64" i="62"/>
  <c r="J65" i="62"/>
  <c r="J71" i="62"/>
  <c r="J72" i="62"/>
  <c r="J75" i="62"/>
  <c r="J77" i="62"/>
  <c r="J79" i="62"/>
  <c r="J80" i="62"/>
  <c r="J81" i="62"/>
  <c r="J84" i="62"/>
  <c r="J86" i="62"/>
  <c r="J87" i="62"/>
  <c r="J88" i="62"/>
  <c r="J89" i="62"/>
  <c r="J90" i="62"/>
  <c r="J91" i="62"/>
  <c r="J94" i="62"/>
  <c r="J95" i="62"/>
  <c r="J97" i="62"/>
  <c r="J100" i="62"/>
  <c r="J101" i="62"/>
  <c r="J103" i="62"/>
  <c r="J104" i="62"/>
  <c r="J107" i="62"/>
  <c r="J114" i="62"/>
  <c r="J115" i="62"/>
  <c r="J118" i="62"/>
  <c r="J119" i="62"/>
  <c r="J120" i="62"/>
  <c r="J4" i="62"/>
  <c r="J5" i="62"/>
  <c r="J6" i="62"/>
  <c r="J9" i="62"/>
  <c r="J3" i="62"/>
  <c r="I119" i="62"/>
  <c r="D279" i="71"/>
  <c r="M278" i="71"/>
  <c r="K278" i="71"/>
  <c r="B278" i="71"/>
  <c r="G282" i="71"/>
  <c r="J281" i="71"/>
  <c r="D274" i="71"/>
  <c r="L275" i="71"/>
  <c r="I274" i="71"/>
  <c r="J274" i="71"/>
  <c r="K274" i="71"/>
  <c r="K282" i="71"/>
  <c r="I282" i="71"/>
  <c r="B281" i="71"/>
  <c r="M281" i="71"/>
  <c r="L281" i="71"/>
  <c r="K281" i="71"/>
  <c r="G281" i="71"/>
  <c r="J276" i="71"/>
  <c r="I276" i="71"/>
  <c r="D276" i="71"/>
  <c r="B279" i="71"/>
  <c r="M279" i="71"/>
  <c r="F278" i="71"/>
  <c r="D278" i="71"/>
  <c r="M277" i="71"/>
  <c r="H277" i="71"/>
  <c r="M282" i="71"/>
  <c r="H282" i="71"/>
  <c r="J282" i="71"/>
  <c r="L276" i="71"/>
  <c r="H276" i="71"/>
  <c r="L279" i="71"/>
  <c r="K279" i="71"/>
  <c r="H279" i="71"/>
  <c r="G279" i="71"/>
  <c r="J278" i="71"/>
  <c r="H278" i="71"/>
  <c r="G278" i="71"/>
  <c r="K277" i="71"/>
  <c r="I277" i="71"/>
  <c r="G277" i="71"/>
  <c r="B277" i="71"/>
  <c r="H274" i="71"/>
  <c r="I106" i="62"/>
  <c r="I112" i="62"/>
  <c r="I104" i="62"/>
  <c r="I108" i="62"/>
  <c r="H119" i="62"/>
  <c r="H120" i="62"/>
  <c r="H95" i="62"/>
  <c r="H97" i="62"/>
  <c r="H98" i="62"/>
  <c r="H99" i="62"/>
  <c r="H100" i="62"/>
  <c r="I100" i="62"/>
  <c r="H101" i="62"/>
  <c r="H102" i="62"/>
  <c r="H103" i="62"/>
  <c r="H104" i="62"/>
  <c r="H105" i="62"/>
  <c r="H106" i="62"/>
  <c r="H107" i="62"/>
  <c r="H108" i="62"/>
  <c r="H110" i="62"/>
  <c r="H111" i="62"/>
  <c r="H113" i="62"/>
  <c r="I113" i="62"/>
  <c r="H114" i="62"/>
  <c r="H115" i="62"/>
  <c r="H116" i="62"/>
  <c r="H118" i="62"/>
  <c r="I96" i="62" l="1"/>
  <c r="K96" i="62" s="1"/>
  <c r="I114" i="62"/>
  <c r="K114" i="62" s="1"/>
  <c r="Z3" i="58"/>
  <c r="J76" i="62"/>
  <c r="J73" i="62"/>
  <c r="J116" i="62"/>
  <c r="J36" i="62"/>
  <c r="J32" i="62"/>
  <c r="Z11" i="58"/>
  <c r="J74" i="62"/>
  <c r="J31" i="62"/>
  <c r="J30" i="62"/>
  <c r="Z10" i="58"/>
  <c r="J111" i="62"/>
  <c r="J28" i="62"/>
  <c r="Z14" i="58"/>
  <c r="Z9" i="58"/>
  <c r="Z17" i="58"/>
  <c r="Z6" i="58"/>
  <c r="K112" i="62"/>
  <c r="Z5" i="58"/>
  <c r="Z13" i="58"/>
  <c r="Z4" i="58"/>
  <c r="I98" i="62"/>
  <c r="K98" i="62" s="1"/>
  <c r="I97" i="62"/>
  <c r="K97" i="62" s="1"/>
  <c r="I118" i="62"/>
  <c r="K118" i="62" s="1"/>
  <c r="I115" i="62"/>
  <c r="K115" i="62" s="1"/>
  <c r="I105" i="62"/>
  <c r="K105" i="62" s="1"/>
  <c r="I103" i="62"/>
  <c r="K103" i="62" s="1"/>
  <c r="I99" i="62"/>
  <c r="K99" i="62" s="1"/>
  <c r="I116" i="62"/>
  <c r="J283" i="71"/>
  <c r="G276" i="71"/>
  <c r="G274" i="71"/>
  <c r="B282" i="71"/>
  <c r="B283" i="71" s="1"/>
  <c r="K275" i="71"/>
  <c r="F282" i="71"/>
  <c r="G275" i="71"/>
  <c r="D277" i="71"/>
  <c r="J277" i="71"/>
  <c r="E277" i="71"/>
  <c r="F277" i="71"/>
  <c r="K276" i="71"/>
  <c r="K283" i="71"/>
  <c r="G283" i="71"/>
  <c r="B274" i="71"/>
  <c r="D275" i="71"/>
  <c r="B276" i="71"/>
  <c r="L274" i="71"/>
  <c r="H275" i="71"/>
  <c r="H281" i="71"/>
  <c r="H283" i="71" s="1"/>
  <c r="I279" i="71"/>
  <c r="I275" i="71"/>
  <c r="J279" i="71"/>
  <c r="M283" i="71"/>
  <c r="F281" i="71"/>
  <c r="L277" i="71"/>
  <c r="L278" i="71"/>
  <c r="F279" i="71"/>
  <c r="F276" i="71"/>
  <c r="F275" i="71"/>
  <c r="F274" i="71"/>
  <c r="J275" i="71"/>
  <c r="L282" i="71"/>
  <c r="L283" i="71" s="1"/>
  <c r="I281" i="71"/>
  <c r="I283" i="71" s="1"/>
  <c r="M274" i="71"/>
  <c r="I278" i="71"/>
  <c r="M276" i="71"/>
  <c r="M275" i="71"/>
  <c r="B275" i="71"/>
  <c r="I111" i="62"/>
  <c r="I110" i="62"/>
  <c r="K110" i="62" s="1"/>
  <c r="I102" i="62"/>
  <c r="K102" i="62" s="1"/>
  <c r="I120" i="62"/>
  <c r="K120" i="62" s="1"/>
  <c r="I101" i="62"/>
  <c r="K101" i="62" s="1"/>
  <c r="I107" i="62"/>
  <c r="K107" i="62" s="1"/>
  <c r="K108" i="62"/>
  <c r="K113" i="62"/>
  <c r="K100" i="62"/>
  <c r="K104" i="62"/>
  <c r="K106" i="62"/>
  <c r="K119" i="62"/>
  <c r="I128" i="62" l="1"/>
  <c r="K116" i="62"/>
  <c r="K111" i="62"/>
  <c r="Z12" i="58"/>
  <c r="Z16" i="58"/>
  <c r="F283" i="71"/>
  <c r="B284" i="71"/>
  <c r="C277" i="71"/>
  <c r="C276" i="71"/>
  <c r="E276" i="71"/>
  <c r="C278" i="71"/>
  <c r="E275" i="71"/>
  <c r="E274" i="71"/>
  <c r="E282" i="71"/>
  <c r="E278" i="71"/>
  <c r="C282" i="71"/>
  <c r="E281" i="71"/>
  <c r="E279" i="71"/>
  <c r="C281" i="71"/>
  <c r="C283" i="71" s="1"/>
  <c r="C279" i="71"/>
  <c r="C275" i="71"/>
  <c r="C274" i="71"/>
  <c r="W4" i="58"/>
  <c r="W5" i="58"/>
  <c r="W6" i="58"/>
  <c r="W8" i="58"/>
  <c r="W7" i="58"/>
  <c r="X7" i="58"/>
  <c r="Y7" i="58"/>
  <c r="W9" i="58"/>
  <c r="W10" i="58"/>
  <c r="W11" i="58"/>
  <c r="W17" i="58"/>
  <c r="X17" i="58"/>
  <c r="Y17" i="58"/>
  <c r="W3" i="58"/>
  <c r="B277" i="70"/>
  <c r="H279" i="70"/>
  <c r="M279" i="70"/>
  <c r="F277" i="70"/>
  <c r="D278" i="70"/>
  <c r="J278" i="70"/>
  <c r="L278" i="70"/>
  <c r="I278" i="70"/>
  <c r="L282" i="70"/>
  <c r="K282" i="70"/>
  <c r="H281" i="70"/>
  <c r="F275" i="70"/>
  <c r="G275" i="70"/>
  <c r="L281" i="70"/>
  <c r="L283" i="70" s="1"/>
  <c r="K281" i="70"/>
  <c r="M276" i="70"/>
  <c r="L276" i="70"/>
  <c r="I276" i="70"/>
  <c r="G276" i="70"/>
  <c r="E276" i="70"/>
  <c r="M282" i="70"/>
  <c r="M281" i="70"/>
  <c r="B281" i="70"/>
  <c r="H276" i="70"/>
  <c r="B276" i="70"/>
  <c r="J282" i="70"/>
  <c r="F282" i="70"/>
  <c r="J281" i="70"/>
  <c r="G281" i="70"/>
  <c r="F281" i="70"/>
  <c r="J279" i="70"/>
  <c r="I279" i="70"/>
  <c r="F279" i="70"/>
  <c r="B279" i="70"/>
  <c r="M278" i="70"/>
  <c r="F278" i="70"/>
  <c r="B278" i="70"/>
  <c r="M277" i="70"/>
  <c r="K277" i="70"/>
  <c r="J277" i="70"/>
  <c r="I277" i="70"/>
  <c r="K276" i="70"/>
  <c r="F276" i="70"/>
  <c r="M274" i="70"/>
  <c r="H7" i="62"/>
  <c r="H8" i="62"/>
  <c r="H9" i="62"/>
  <c r="H10" i="62"/>
  <c r="H11" i="62"/>
  <c r="H12" i="62"/>
  <c r="H13" i="62"/>
  <c r="H14" i="62"/>
  <c r="H15" i="62"/>
  <c r="H16" i="62"/>
  <c r="H17" i="62"/>
  <c r="H18" i="62"/>
  <c r="H19" i="62"/>
  <c r="H20" i="62"/>
  <c r="H21" i="62"/>
  <c r="H22" i="62"/>
  <c r="H23" i="62"/>
  <c r="H24" i="62"/>
  <c r="H25" i="62"/>
  <c r="H26" i="62"/>
  <c r="H27" i="62"/>
  <c r="H28" i="62"/>
  <c r="H29" i="62"/>
  <c r="H30" i="62"/>
  <c r="H31" i="62"/>
  <c r="H32" i="62"/>
  <c r="H33" i="62"/>
  <c r="H34" i="62"/>
  <c r="H35" i="62"/>
  <c r="H36" i="62"/>
  <c r="H37" i="62"/>
  <c r="H38" i="62"/>
  <c r="H39" i="62"/>
  <c r="H40" i="62"/>
  <c r="H41" i="62"/>
  <c r="H42" i="62"/>
  <c r="H43" i="62"/>
  <c r="H44" i="62"/>
  <c r="H45" i="62"/>
  <c r="H46" i="62"/>
  <c r="H47" i="62"/>
  <c r="H48" i="62"/>
  <c r="H49" i="62"/>
  <c r="H50" i="62"/>
  <c r="H51" i="62"/>
  <c r="H52" i="62"/>
  <c r="H53" i="62"/>
  <c r="H54" i="62"/>
  <c r="H55" i="62"/>
  <c r="H56" i="62"/>
  <c r="H57" i="62"/>
  <c r="H58" i="62"/>
  <c r="H59" i="62"/>
  <c r="H60" i="62"/>
  <c r="H61" i="62"/>
  <c r="H62" i="62"/>
  <c r="H63" i="62"/>
  <c r="H64" i="62"/>
  <c r="H65" i="62"/>
  <c r="H66" i="62"/>
  <c r="H67" i="62"/>
  <c r="H68" i="62"/>
  <c r="H69" i="62"/>
  <c r="H70" i="62"/>
  <c r="H71" i="62"/>
  <c r="H72" i="62"/>
  <c r="H73" i="62"/>
  <c r="H74" i="62"/>
  <c r="H75" i="62"/>
  <c r="H76" i="62"/>
  <c r="H77" i="62"/>
  <c r="H78" i="62"/>
  <c r="H79" i="62"/>
  <c r="H80" i="62"/>
  <c r="H81" i="62"/>
  <c r="H82" i="62"/>
  <c r="H83" i="62"/>
  <c r="H84" i="62"/>
  <c r="H85" i="62"/>
  <c r="H86" i="62"/>
  <c r="H87" i="62"/>
  <c r="H88" i="62"/>
  <c r="I88" i="62"/>
  <c r="H89" i="62"/>
  <c r="H90" i="62"/>
  <c r="I90" i="62"/>
  <c r="H91" i="62"/>
  <c r="I91" i="62"/>
  <c r="H92" i="62"/>
  <c r="H93" i="62"/>
  <c r="H94" i="62"/>
  <c r="H4" i="62"/>
  <c r="H5" i="62"/>
  <c r="H6" i="62"/>
  <c r="H3" i="62"/>
  <c r="I95" i="62"/>
  <c r="K95" i="62" s="1"/>
  <c r="I64" i="62"/>
  <c r="I60" i="62"/>
  <c r="I59" i="62"/>
  <c r="I28" i="62"/>
  <c r="I27" i="62"/>
  <c r="X10" i="58"/>
  <c r="X9" i="58"/>
  <c r="I11" i="62"/>
  <c r="X6" i="58"/>
  <c r="X5" i="58"/>
  <c r="I8" i="62"/>
  <c r="I86" i="62"/>
  <c r="I80" i="62"/>
  <c r="I67" i="62"/>
  <c r="I29" i="62"/>
  <c r="I7" i="62"/>
  <c r="E263" i="69"/>
  <c r="Y15" i="58" l="1"/>
  <c r="X3" i="58"/>
  <c r="I81" i="62"/>
  <c r="Y13" i="58"/>
  <c r="X13" i="58"/>
  <c r="W12" i="58"/>
  <c r="W13" i="58"/>
  <c r="W16" i="58"/>
  <c r="W14" i="58"/>
  <c r="W15" i="58"/>
  <c r="I34" i="62"/>
  <c r="I87" i="62"/>
  <c r="K87" i="62" s="1"/>
  <c r="X11" i="58"/>
  <c r="I83" i="62"/>
  <c r="I50" i="62"/>
  <c r="X15" i="58"/>
  <c r="I19" i="62"/>
  <c r="I55" i="62"/>
  <c r="I72" i="62"/>
  <c r="I57" i="62"/>
  <c r="I73" i="62"/>
  <c r="I68" i="62"/>
  <c r="K68" i="62" s="1"/>
  <c r="I45" i="62"/>
  <c r="I56" i="62"/>
  <c r="I85" i="62"/>
  <c r="K85" i="62" s="1"/>
  <c r="I76" i="62"/>
  <c r="X8" i="58"/>
  <c r="Y5" i="58"/>
  <c r="X14" i="58"/>
  <c r="I52" i="62"/>
  <c r="K52" i="62" s="1"/>
  <c r="I33" i="62"/>
  <c r="I49" i="62"/>
  <c r="K49" i="62" s="1"/>
  <c r="I32" i="62"/>
  <c r="I31" i="62"/>
  <c r="I38" i="62"/>
  <c r="E283" i="71"/>
  <c r="I79" i="62"/>
  <c r="K79" i="62" s="1"/>
  <c r="I37" i="62"/>
  <c r="I30" i="62"/>
  <c r="I65" i="62"/>
  <c r="K65" i="62" s="1"/>
  <c r="I9" i="62"/>
  <c r="I62" i="62"/>
  <c r="I39" i="62"/>
  <c r="I66" i="62"/>
  <c r="I58" i="62"/>
  <c r="I69" i="62"/>
  <c r="I47" i="62"/>
  <c r="K47" i="62" s="1"/>
  <c r="I12" i="62"/>
  <c r="I36" i="62"/>
  <c r="I13" i="62"/>
  <c r="I21" i="62"/>
  <c r="I10" i="62"/>
  <c r="I63" i="62"/>
  <c r="I94" i="62"/>
  <c r="I48" i="62"/>
  <c r="I75" i="62"/>
  <c r="I43" i="62"/>
  <c r="K43" i="62" s="1"/>
  <c r="I77" i="62"/>
  <c r="I89" i="62"/>
  <c r="X4" i="58"/>
  <c r="I53" i="62"/>
  <c r="K53" i="62" s="1"/>
  <c r="Y11" i="58"/>
  <c r="Y10" i="58"/>
  <c r="Y4" i="58"/>
  <c r="Y8" i="58"/>
  <c r="Y9" i="58"/>
  <c r="Y14" i="58"/>
  <c r="Y6" i="58"/>
  <c r="AA17" i="58"/>
  <c r="K91" i="62"/>
  <c r="K90" i="62"/>
  <c r="I41" i="62"/>
  <c r="K41" i="62" s="1"/>
  <c r="I20" i="62"/>
  <c r="I5" i="62"/>
  <c r="I18" i="62"/>
  <c r="I44" i="62"/>
  <c r="K44" i="62" s="1"/>
  <c r="I42" i="62"/>
  <c r="I51" i="62"/>
  <c r="K51" i="62" s="1"/>
  <c r="I3" i="62"/>
  <c r="I54" i="62"/>
  <c r="K54" i="62" s="1"/>
  <c r="I84" i="62"/>
  <c r="I26" i="62"/>
  <c r="I61" i="62"/>
  <c r="I35" i="62"/>
  <c r="I24" i="62"/>
  <c r="I6" i="62"/>
  <c r="I25" i="62"/>
  <c r="I15" i="62"/>
  <c r="I71" i="62"/>
  <c r="I40" i="62"/>
  <c r="I17" i="62"/>
  <c r="I16" i="62"/>
  <c r="I92" i="62"/>
  <c r="I93" i="62"/>
  <c r="I14" i="62"/>
  <c r="I70" i="62"/>
  <c r="I74" i="62"/>
  <c r="K74" i="62" s="1"/>
  <c r="I78" i="62"/>
  <c r="I46" i="62"/>
  <c r="K46" i="62" s="1"/>
  <c r="I22" i="62"/>
  <c r="I82" i="62"/>
  <c r="I23" i="62"/>
  <c r="I4" i="62"/>
  <c r="Y3" i="58"/>
  <c r="M283" i="70"/>
  <c r="D277" i="70"/>
  <c r="I275" i="70"/>
  <c r="I274" i="70"/>
  <c r="E277" i="70"/>
  <c r="K278" i="70"/>
  <c r="M275" i="70"/>
  <c r="G274" i="70"/>
  <c r="J275" i="70"/>
  <c r="J274" i="70"/>
  <c r="D275" i="70"/>
  <c r="F274" i="70"/>
  <c r="G282" i="70"/>
  <c r="G283" i="70" s="1"/>
  <c r="H282" i="70"/>
  <c r="H283" i="70" s="1"/>
  <c r="H277" i="70"/>
  <c r="H278" i="70"/>
  <c r="H274" i="70"/>
  <c r="I282" i="70"/>
  <c r="G278" i="70"/>
  <c r="K279" i="70"/>
  <c r="L274" i="70"/>
  <c r="L275" i="70"/>
  <c r="E282" i="70"/>
  <c r="J276" i="70"/>
  <c r="E281" i="70"/>
  <c r="E283" i="70" s="1"/>
  <c r="L277" i="70"/>
  <c r="L279" i="70"/>
  <c r="B275" i="70"/>
  <c r="B282" i="70"/>
  <c r="B283" i="70" s="1"/>
  <c r="B284" i="70" s="1"/>
  <c r="H275" i="70"/>
  <c r="K274" i="70"/>
  <c r="G279" i="70"/>
  <c r="D276" i="70"/>
  <c r="D274" i="70"/>
  <c r="I281" i="70"/>
  <c r="I283" i="70" s="1"/>
  <c r="B274" i="70"/>
  <c r="E275" i="70"/>
  <c r="C276" i="70"/>
  <c r="D279" i="70"/>
  <c r="K275" i="70"/>
  <c r="G277" i="70"/>
  <c r="J283" i="70"/>
  <c r="F283" i="70"/>
  <c r="K283" i="70"/>
  <c r="K8" i="62"/>
  <c r="K7" i="62"/>
  <c r="K27" i="62"/>
  <c r="K80" i="62"/>
  <c r="K11" i="62"/>
  <c r="D279" i="69"/>
  <c r="L278" i="69"/>
  <c r="H278" i="69"/>
  <c r="I278" i="69"/>
  <c r="M277" i="69"/>
  <c r="L277" i="69"/>
  <c r="K277" i="69"/>
  <c r="J277" i="69"/>
  <c r="F277" i="69"/>
  <c r="D277" i="69"/>
  <c r="H274" i="69"/>
  <c r="H282" i="69"/>
  <c r="I282" i="69"/>
  <c r="B274" i="69"/>
  <c r="G282" i="69"/>
  <c r="L274" i="69"/>
  <c r="G274" i="69"/>
  <c r="F274" i="69"/>
  <c r="D274" i="69"/>
  <c r="M275" i="69"/>
  <c r="K275" i="69"/>
  <c r="G275" i="69"/>
  <c r="K274" i="69"/>
  <c r="J275" i="69"/>
  <c r="K276" i="69"/>
  <c r="J274" i="69"/>
  <c r="I275" i="69"/>
  <c r="H275" i="69"/>
  <c r="F275" i="69"/>
  <c r="L276" i="69"/>
  <c r="M281" i="69"/>
  <c r="L281" i="69"/>
  <c r="K281" i="69"/>
  <c r="J282" i="69"/>
  <c r="F282" i="69"/>
  <c r="M279" i="69"/>
  <c r="L279" i="69"/>
  <c r="K279" i="69"/>
  <c r="J279" i="69"/>
  <c r="I279" i="69"/>
  <c r="H279" i="69"/>
  <c r="G279" i="69"/>
  <c r="K278" i="69"/>
  <c r="G278" i="69"/>
  <c r="F278" i="69"/>
  <c r="D278" i="69"/>
  <c r="B278" i="69"/>
  <c r="H277" i="69"/>
  <c r="G277" i="69"/>
  <c r="J276" i="69"/>
  <c r="B276" i="69"/>
  <c r="L275" i="69"/>
  <c r="X12" i="58" l="1"/>
  <c r="Y12" i="58"/>
  <c r="Y16" i="58"/>
  <c r="X16" i="58"/>
  <c r="AA13" i="58"/>
  <c r="AA7" i="58"/>
  <c r="K92" i="62"/>
  <c r="K61" i="62"/>
  <c r="K19" i="62"/>
  <c r="K34" i="62"/>
  <c r="K6" i="62"/>
  <c r="K25" i="62"/>
  <c r="K55" i="62"/>
  <c r="K77" i="62"/>
  <c r="K22" i="62"/>
  <c r="K45" i="62"/>
  <c r="K73" i="62"/>
  <c r="K16" i="62"/>
  <c r="K76" i="62"/>
  <c r="K29" i="62"/>
  <c r="K39" i="62"/>
  <c r="K70" i="62"/>
  <c r="K33" i="62"/>
  <c r="K24" i="62"/>
  <c r="K50" i="62"/>
  <c r="K66" i="62"/>
  <c r="K89" i="62"/>
  <c r="K13" i="62"/>
  <c r="K59" i="62"/>
  <c r="K18" i="62"/>
  <c r="K58" i="62"/>
  <c r="K9" i="62"/>
  <c r="K30" i="62"/>
  <c r="K78" i="62"/>
  <c r="K35" i="62"/>
  <c r="K4" i="62"/>
  <c r="K26" i="62"/>
  <c r="K56" i="62"/>
  <c r="K17" i="62"/>
  <c r="K23" i="62"/>
  <c r="K48" i="62"/>
  <c r="K75" i="62"/>
  <c r="K81" i="62"/>
  <c r="K36" i="62"/>
  <c r="K20" i="62"/>
  <c r="K40" i="62"/>
  <c r="K71" i="62"/>
  <c r="K37" i="62"/>
  <c r="K67" i="62"/>
  <c r="K14" i="62"/>
  <c r="K60" i="62"/>
  <c r="K63" i="62"/>
  <c r="K10" i="62"/>
  <c r="K31" i="62"/>
  <c r="K5" i="62"/>
  <c r="K28" i="62"/>
  <c r="K57" i="62"/>
  <c r="K62" i="62"/>
  <c r="K21" i="62"/>
  <c r="K42" i="62"/>
  <c r="K72" i="62"/>
  <c r="K82" i="62"/>
  <c r="K84" i="62"/>
  <c r="K38" i="62"/>
  <c r="K69" i="62"/>
  <c r="K15" i="62"/>
  <c r="K64" i="62"/>
  <c r="K12" i="62"/>
  <c r="K32" i="62"/>
  <c r="K83" i="62"/>
  <c r="K3" i="62"/>
  <c r="K94" i="62"/>
  <c r="K93" i="62"/>
  <c r="C274" i="70"/>
  <c r="C281" i="70"/>
  <c r="E274" i="70"/>
  <c r="E278" i="70"/>
  <c r="C278" i="70"/>
  <c r="C279" i="70"/>
  <c r="E279" i="70"/>
  <c r="C275" i="70"/>
  <c r="C282" i="70"/>
  <c r="E282" i="69"/>
  <c r="E277" i="69"/>
  <c r="B279" i="69"/>
  <c r="B281" i="69"/>
  <c r="E279" i="69"/>
  <c r="B275" i="69"/>
  <c r="I274" i="69"/>
  <c r="F281" i="69"/>
  <c r="F283" i="69" s="1"/>
  <c r="G281" i="69"/>
  <c r="G283" i="69" s="1"/>
  <c r="D275" i="69"/>
  <c r="D276" i="69"/>
  <c r="M276" i="69"/>
  <c r="J278" i="69"/>
  <c r="H281" i="69"/>
  <c r="H283" i="69" s="1"/>
  <c r="I281" i="69"/>
  <c r="I283" i="69" s="1"/>
  <c r="F276" i="69"/>
  <c r="J281" i="69"/>
  <c r="J283" i="69" s="1"/>
  <c r="B282" i="69"/>
  <c r="F279" i="69"/>
  <c r="C281" i="69"/>
  <c r="C282" i="69"/>
  <c r="M274" i="69"/>
  <c r="L282" i="69"/>
  <c r="L283" i="69" s="1"/>
  <c r="E278" i="69"/>
  <c r="H276" i="69"/>
  <c r="I276" i="69"/>
  <c r="M282" i="69"/>
  <c r="M283" i="69" s="1"/>
  <c r="M278" i="69"/>
  <c r="B277" i="69"/>
  <c r="G276" i="69"/>
  <c r="K282" i="69"/>
  <c r="K283" i="69" s="1"/>
  <c r="I277" i="69"/>
  <c r="AA16" i="58" l="1"/>
  <c r="AA8" i="58"/>
  <c r="AA6" i="58"/>
  <c r="AA15" i="58"/>
  <c r="AA14" i="58"/>
  <c r="AA12" i="58"/>
  <c r="AA3" i="58"/>
  <c r="AA4" i="58"/>
  <c r="AA5" i="58"/>
  <c r="AA10" i="58"/>
  <c r="AA11" i="58"/>
  <c r="AA9" i="58"/>
  <c r="C283" i="70"/>
  <c r="C277" i="70"/>
  <c r="C283" i="69"/>
  <c r="B283" i="69"/>
  <c r="B284" i="69" s="1"/>
  <c r="E281" i="69"/>
  <c r="E283" i="69" s="1"/>
  <c r="E275" i="69"/>
  <c r="E274" i="69"/>
  <c r="E276" i="69"/>
  <c r="C279" i="69"/>
  <c r="C277" i="69"/>
  <c r="C278" i="69"/>
  <c r="C275" i="69"/>
  <c r="C274" i="69"/>
  <c r="C276" i="69"/>
  <c r="H279" i="68"/>
  <c r="L278" i="68"/>
  <c r="G277" i="68"/>
  <c r="F277" i="68"/>
  <c r="D274" i="68"/>
  <c r="I282" i="68"/>
  <c r="H274" i="68"/>
  <c r="M282" i="68"/>
  <c r="D275" i="68"/>
  <c r="L274" i="68"/>
  <c r="I275" i="68"/>
  <c r="H275" i="68"/>
  <c r="G275" i="68"/>
  <c r="M276" i="68"/>
  <c r="L276" i="68"/>
  <c r="J281" i="68"/>
  <c r="F282" i="68"/>
  <c r="M281" i="68"/>
  <c r="I281" i="68"/>
  <c r="D276" i="68"/>
  <c r="B276" i="68"/>
  <c r="K282" i="68"/>
  <c r="B282" i="68"/>
  <c r="L281" i="68"/>
  <c r="K281" i="68"/>
  <c r="L279" i="68"/>
  <c r="K279" i="68"/>
  <c r="I279" i="68"/>
  <c r="G279" i="68"/>
  <c r="F279" i="68"/>
  <c r="D279" i="68"/>
  <c r="M278" i="68"/>
  <c r="H278" i="68"/>
  <c r="G278" i="68"/>
  <c r="D278" i="68"/>
  <c r="B278" i="68"/>
  <c r="M277" i="68"/>
  <c r="L277" i="68"/>
  <c r="I277" i="68"/>
  <c r="D277" i="68"/>
  <c r="K276" i="68"/>
  <c r="I276" i="68"/>
  <c r="H276" i="68"/>
  <c r="K275" i="68"/>
  <c r="B274" i="68"/>
  <c r="J4" i="49"/>
  <c r="H4" i="58" s="1"/>
  <c r="J5" i="49"/>
  <c r="H5" i="58" s="1"/>
  <c r="J6" i="49"/>
  <c r="H6" i="58" s="1"/>
  <c r="J7" i="49"/>
  <c r="H7" i="58" s="1"/>
  <c r="J8" i="49"/>
  <c r="H8" i="58" s="1"/>
  <c r="J9" i="49"/>
  <c r="H9" i="58" s="1"/>
  <c r="J10" i="49"/>
  <c r="H10" i="58" s="1"/>
  <c r="J11" i="49"/>
  <c r="H11" i="58" s="1"/>
  <c r="J12" i="49"/>
  <c r="H12" i="58" s="1"/>
  <c r="J13" i="49"/>
  <c r="H13" i="58" s="1"/>
  <c r="J14" i="49"/>
  <c r="H14" i="58" s="1"/>
  <c r="J15" i="49"/>
  <c r="H15" i="58" s="1"/>
  <c r="J16" i="49"/>
  <c r="H16" i="58" s="1"/>
  <c r="J17" i="49"/>
  <c r="H17" i="58" s="1"/>
  <c r="J18" i="49"/>
  <c r="H18" i="58" s="1"/>
  <c r="J19" i="49"/>
  <c r="H19" i="58" s="1"/>
  <c r="J20" i="49"/>
  <c r="H20" i="58" s="1"/>
  <c r="J21" i="49"/>
  <c r="H21" i="58" s="1"/>
  <c r="J22" i="49"/>
  <c r="H22" i="58" s="1"/>
  <c r="J23" i="49"/>
  <c r="H23" i="58" s="1"/>
  <c r="J24" i="49"/>
  <c r="H24" i="58" s="1"/>
  <c r="J25" i="49"/>
  <c r="H25" i="58" s="1"/>
  <c r="J26" i="49"/>
  <c r="H26" i="58" s="1"/>
  <c r="J27" i="49"/>
  <c r="H27" i="58" s="1"/>
  <c r="J28" i="49"/>
  <c r="H28" i="58" s="1"/>
  <c r="J29" i="49"/>
  <c r="H29" i="58" s="1"/>
  <c r="J30" i="49"/>
  <c r="H30" i="58" s="1"/>
  <c r="J31" i="49"/>
  <c r="H31" i="58" s="1"/>
  <c r="J32" i="49"/>
  <c r="H32" i="58" s="1"/>
  <c r="J33" i="49"/>
  <c r="H33" i="58" s="1"/>
  <c r="J34" i="49"/>
  <c r="H34" i="58" s="1"/>
  <c r="J35" i="49"/>
  <c r="H35" i="58" s="1"/>
  <c r="J36" i="49"/>
  <c r="H36" i="58" s="1"/>
  <c r="J37" i="49"/>
  <c r="H37" i="58" s="1"/>
  <c r="J38" i="49"/>
  <c r="H38" i="58" s="1"/>
  <c r="J39" i="49"/>
  <c r="H39" i="58" s="1"/>
  <c r="J40" i="49"/>
  <c r="H40" i="58" s="1"/>
  <c r="J41" i="49"/>
  <c r="H41" i="58" s="1"/>
  <c r="J42" i="49"/>
  <c r="H42" i="58" s="1"/>
  <c r="J43" i="49"/>
  <c r="H43" i="58" s="1"/>
  <c r="J44" i="49"/>
  <c r="H44" i="58" s="1"/>
  <c r="J45" i="49"/>
  <c r="H45" i="58" s="1"/>
  <c r="J46" i="49"/>
  <c r="H46" i="58" s="1"/>
  <c r="J47" i="49"/>
  <c r="H47" i="58" s="1"/>
  <c r="J48" i="49"/>
  <c r="H48" i="58" s="1"/>
  <c r="J49" i="49"/>
  <c r="H49" i="58" s="1"/>
  <c r="J50" i="49"/>
  <c r="H50" i="58" s="1"/>
  <c r="J51" i="49"/>
  <c r="H51" i="58" s="1"/>
  <c r="J52" i="49"/>
  <c r="H52" i="58" s="1"/>
  <c r="J53" i="49"/>
  <c r="H53" i="58" s="1"/>
  <c r="J54" i="49"/>
  <c r="H54" i="58" s="1"/>
  <c r="J55" i="49"/>
  <c r="H55" i="58" s="1"/>
  <c r="J56" i="49"/>
  <c r="H56" i="58" s="1"/>
  <c r="J57" i="49"/>
  <c r="H57" i="58" s="1"/>
  <c r="J58" i="49"/>
  <c r="H58" i="58" s="1"/>
  <c r="J59" i="49"/>
  <c r="H59" i="58" s="1"/>
  <c r="J60" i="49"/>
  <c r="H60" i="58" s="1"/>
  <c r="J61" i="49"/>
  <c r="H61" i="58" s="1"/>
  <c r="J62" i="49"/>
  <c r="H62" i="58" s="1"/>
  <c r="J63" i="49"/>
  <c r="H63" i="58" s="1"/>
  <c r="J64" i="49"/>
  <c r="H64" i="58" s="1"/>
  <c r="J65" i="49"/>
  <c r="H65" i="58" s="1"/>
  <c r="J66" i="49"/>
  <c r="H66" i="58" s="1"/>
  <c r="J67" i="49"/>
  <c r="H67" i="58" s="1"/>
  <c r="J68" i="49"/>
  <c r="H68" i="58" s="1"/>
  <c r="J69" i="49"/>
  <c r="H69" i="58" s="1"/>
  <c r="J70" i="49"/>
  <c r="H70" i="58" s="1"/>
  <c r="J71" i="49"/>
  <c r="H71" i="58" s="1"/>
  <c r="J72" i="49"/>
  <c r="H72" i="58" s="1"/>
  <c r="J73" i="49"/>
  <c r="H73" i="58" s="1"/>
  <c r="J74" i="49"/>
  <c r="H74" i="58" s="1"/>
  <c r="J75" i="49"/>
  <c r="H75" i="58" s="1"/>
  <c r="J76" i="49"/>
  <c r="H76" i="58" s="1"/>
  <c r="J77" i="49"/>
  <c r="H77" i="58" s="1"/>
  <c r="J78" i="49"/>
  <c r="H78" i="58" s="1"/>
  <c r="J79" i="49"/>
  <c r="H79" i="58" s="1"/>
  <c r="J80" i="49"/>
  <c r="H80" i="58" s="1"/>
  <c r="J81" i="49"/>
  <c r="H81" i="58" s="1"/>
  <c r="J82" i="49"/>
  <c r="H82" i="58" s="1"/>
  <c r="J83" i="49"/>
  <c r="H83" i="58" s="1"/>
  <c r="J84" i="49"/>
  <c r="H84" i="58" s="1"/>
  <c r="J85" i="49"/>
  <c r="H85" i="58" s="1"/>
  <c r="J86" i="49"/>
  <c r="H86" i="58" s="1"/>
  <c r="J87" i="49"/>
  <c r="H87" i="58" s="1"/>
  <c r="J88" i="49"/>
  <c r="H88" i="58" s="1"/>
  <c r="J89" i="49"/>
  <c r="H89" i="58" s="1"/>
  <c r="J90" i="49"/>
  <c r="H90" i="58" s="1"/>
  <c r="J91" i="49"/>
  <c r="H91" i="58" s="1"/>
  <c r="J92" i="49"/>
  <c r="H92" i="58" s="1"/>
  <c r="J93" i="49"/>
  <c r="H93" i="58" s="1"/>
  <c r="J94" i="49"/>
  <c r="H94" i="58" s="1"/>
  <c r="J95" i="49"/>
  <c r="H95" i="58" s="1"/>
  <c r="J96" i="49"/>
  <c r="H96" i="58" s="1"/>
  <c r="J97" i="49"/>
  <c r="H97" i="58" s="1"/>
  <c r="J98" i="49"/>
  <c r="H98" i="58" s="1"/>
  <c r="J99" i="49"/>
  <c r="H99" i="58" s="1"/>
  <c r="J100" i="49"/>
  <c r="H100" i="58" s="1"/>
  <c r="J101" i="49"/>
  <c r="H101" i="58" s="1"/>
  <c r="J102" i="49"/>
  <c r="H102" i="58" s="1"/>
  <c r="J103" i="49"/>
  <c r="H103" i="58" s="1"/>
  <c r="J104" i="49"/>
  <c r="H104" i="58" s="1"/>
  <c r="J105" i="49"/>
  <c r="H105" i="58" s="1"/>
  <c r="J106" i="49"/>
  <c r="H106" i="58" s="1"/>
  <c r="J107" i="49"/>
  <c r="H107" i="58" s="1"/>
  <c r="J108" i="49"/>
  <c r="H108" i="58" s="1"/>
  <c r="J109" i="49"/>
  <c r="H109" i="58" s="1"/>
  <c r="J110" i="49"/>
  <c r="H110" i="58" s="1"/>
  <c r="J111" i="49"/>
  <c r="H111" i="58" s="1"/>
  <c r="J112" i="49"/>
  <c r="H112" i="58" s="1"/>
  <c r="J113" i="49"/>
  <c r="H113" i="58" s="1"/>
  <c r="J114" i="49"/>
  <c r="H114" i="58" s="1"/>
  <c r="J115" i="49"/>
  <c r="H115" i="58" s="1"/>
  <c r="J116" i="49"/>
  <c r="H116" i="58" s="1"/>
  <c r="J117" i="49"/>
  <c r="H117" i="58" s="1"/>
  <c r="J118" i="49"/>
  <c r="H118" i="58" s="1"/>
  <c r="J119" i="49"/>
  <c r="H119" i="58" s="1"/>
  <c r="J120" i="49"/>
  <c r="H120" i="58" s="1"/>
  <c r="J121" i="49"/>
  <c r="H121" i="58" s="1"/>
  <c r="J122" i="49"/>
  <c r="H122" i="58" s="1"/>
  <c r="J123" i="49"/>
  <c r="H123" i="58" s="1"/>
  <c r="J124" i="49"/>
  <c r="H124" i="58" s="1"/>
  <c r="J125" i="49"/>
  <c r="H125" i="58" s="1"/>
  <c r="J126" i="49"/>
  <c r="H126" i="58" s="1"/>
  <c r="J127" i="49"/>
  <c r="H127" i="58" s="1"/>
  <c r="J128" i="49"/>
  <c r="H128" i="58" s="1"/>
  <c r="J129" i="49"/>
  <c r="H129" i="58" s="1"/>
  <c r="J130" i="49"/>
  <c r="H130" i="58" s="1"/>
  <c r="J131" i="49"/>
  <c r="H131" i="58" s="1"/>
  <c r="J132" i="49"/>
  <c r="H132" i="58" s="1"/>
  <c r="J133" i="49"/>
  <c r="H133" i="58" s="1"/>
  <c r="J134" i="49"/>
  <c r="H134" i="58" s="1"/>
  <c r="J135" i="49"/>
  <c r="H135" i="58" s="1"/>
  <c r="J136" i="49"/>
  <c r="H136" i="58" s="1"/>
  <c r="J137" i="49"/>
  <c r="H137" i="58" s="1"/>
  <c r="J138" i="49"/>
  <c r="H138" i="58" s="1"/>
  <c r="J139" i="49"/>
  <c r="H139" i="58" s="1"/>
  <c r="J140" i="49"/>
  <c r="H140" i="58" s="1"/>
  <c r="J141" i="49"/>
  <c r="H141" i="58" s="1"/>
  <c r="J142" i="49"/>
  <c r="H142" i="58" s="1"/>
  <c r="J143" i="49"/>
  <c r="H143" i="58" s="1"/>
  <c r="J144" i="49"/>
  <c r="H144" i="58" s="1"/>
  <c r="J145" i="49"/>
  <c r="H145" i="58" s="1"/>
  <c r="J146" i="49"/>
  <c r="H146" i="58" s="1"/>
  <c r="J147" i="49"/>
  <c r="H147" i="58" s="1"/>
  <c r="J148" i="49"/>
  <c r="H148" i="58" s="1"/>
  <c r="J149" i="49"/>
  <c r="H149" i="58" s="1"/>
  <c r="J150" i="49"/>
  <c r="H150" i="58" s="1"/>
  <c r="J151" i="49"/>
  <c r="H151" i="58" s="1"/>
  <c r="J152" i="49"/>
  <c r="H152" i="58" s="1"/>
  <c r="J153" i="49"/>
  <c r="H153" i="58" s="1"/>
  <c r="J154" i="49"/>
  <c r="H154" i="58" s="1"/>
  <c r="J155" i="49"/>
  <c r="H155" i="58" s="1"/>
  <c r="J156" i="49"/>
  <c r="H156" i="58" s="1"/>
  <c r="J157" i="49"/>
  <c r="H157" i="58" s="1"/>
  <c r="J158" i="49"/>
  <c r="H158" i="58" s="1"/>
  <c r="J159" i="49"/>
  <c r="H159" i="58" s="1"/>
  <c r="J160" i="49"/>
  <c r="H160" i="58" s="1"/>
  <c r="J161" i="49"/>
  <c r="H161" i="58" s="1"/>
  <c r="J162" i="49"/>
  <c r="H162" i="58" s="1"/>
  <c r="J163" i="49"/>
  <c r="H163" i="58" s="1"/>
  <c r="J164" i="49"/>
  <c r="H164" i="58" s="1"/>
  <c r="J165" i="49"/>
  <c r="H165" i="58" s="1"/>
  <c r="J166" i="49"/>
  <c r="H166" i="58" s="1"/>
  <c r="J167" i="49"/>
  <c r="H167" i="58" s="1"/>
  <c r="J168" i="49"/>
  <c r="H168" i="58" s="1"/>
  <c r="J169" i="49"/>
  <c r="H169" i="58" s="1"/>
  <c r="J170" i="49"/>
  <c r="H170" i="58" s="1"/>
  <c r="J171" i="49"/>
  <c r="H171" i="58" s="1"/>
  <c r="J172" i="49"/>
  <c r="H172" i="58" s="1"/>
  <c r="J173" i="49"/>
  <c r="H173" i="58" s="1"/>
  <c r="J174" i="49"/>
  <c r="H174" i="58" s="1"/>
  <c r="J175" i="49"/>
  <c r="H175" i="58" s="1"/>
  <c r="J176" i="49"/>
  <c r="H176" i="58" s="1"/>
  <c r="J177" i="49"/>
  <c r="H177" i="58" s="1"/>
  <c r="J178" i="49"/>
  <c r="H178" i="58" s="1"/>
  <c r="J179" i="49"/>
  <c r="H179" i="58" s="1"/>
  <c r="J180" i="49"/>
  <c r="H180" i="58" s="1"/>
  <c r="J181" i="49"/>
  <c r="H181" i="58" s="1"/>
  <c r="J182" i="49"/>
  <c r="H182" i="58" s="1"/>
  <c r="J183" i="49"/>
  <c r="H183" i="58" s="1"/>
  <c r="J184" i="49"/>
  <c r="H184" i="58" s="1"/>
  <c r="J185" i="49"/>
  <c r="H185" i="58" s="1"/>
  <c r="J186" i="49"/>
  <c r="H186" i="58" s="1"/>
  <c r="J187" i="49"/>
  <c r="H187" i="58" s="1"/>
  <c r="J188" i="49"/>
  <c r="H188" i="58" s="1"/>
  <c r="J189" i="49"/>
  <c r="H189" i="58" s="1"/>
  <c r="J190" i="49"/>
  <c r="H190" i="58" s="1"/>
  <c r="J191" i="49"/>
  <c r="H191" i="58" s="1"/>
  <c r="J192" i="49"/>
  <c r="H192" i="58" s="1"/>
  <c r="J193" i="49"/>
  <c r="H193" i="58" s="1"/>
  <c r="J194" i="49"/>
  <c r="H194" i="58" s="1"/>
  <c r="J195" i="49"/>
  <c r="H195" i="58" s="1"/>
  <c r="J196" i="49"/>
  <c r="H196" i="58" s="1"/>
  <c r="J197" i="49"/>
  <c r="H197" i="58" s="1"/>
  <c r="J198" i="49"/>
  <c r="H198" i="58" s="1"/>
  <c r="J199" i="49"/>
  <c r="H199" i="58" s="1"/>
  <c r="J200" i="49"/>
  <c r="H200" i="58" s="1"/>
  <c r="J201" i="49"/>
  <c r="H201" i="58" s="1"/>
  <c r="J202" i="49"/>
  <c r="H202" i="58" s="1"/>
  <c r="J203" i="49"/>
  <c r="H203" i="58" s="1"/>
  <c r="J204" i="49"/>
  <c r="H204" i="58" s="1"/>
  <c r="J205" i="49"/>
  <c r="H205" i="58" s="1"/>
  <c r="J206" i="49"/>
  <c r="H206" i="58" s="1"/>
  <c r="J207" i="49"/>
  <c r="H207" i="58" s="1"/>
  <c r="J208" i="49"/>
  <c r="H208" i="58" s="1"/>
  <c r="J209" i="49"/>
  <c r="H209" i="58" s="1"/>
  <c r="J210" i="49"/>
  <c r="H210" i="58" s="1"/>
  <c r="J211" i="49"/>
  <c r="H211" i="58" s="1"/>
  <c r="J212" i="49"/>
  <c r="H212" i="58" s="1"/>
  <c r="J213" i="49"/>
  <c r="H213" i="58" s="1"/>
  <c r="J214" i="49"/>
  <c r="H214" i="58" s="1"/>
  <c r="J215" i="49"/>
  <c r="H215" i="58" s="1"/>
  <c r="J216" i="49"/>
  <c r="H216" i="58" s="1"/>
  <c r="J217" i="49"/>
  <c r="H217" i="58" s="1"/>
  <c r="J218" i="49"/>
  <c r="H218" i="58" s="1"/>
  <c r="J219" i="49"/>
  <c r="H219" i="58" s="1"/>
  <c r="J220" i="49"/>
  <c r="H220" i="58" s="1"/>
  <c r="J221" i="49"/>
  <c r="H221" i="58" s="1"/>
  <c r="J222" i="49"/>
  <c r="H222" i="58" s="1"/>
  <c r="J223" i="49"/>
  <c r="H223" i="58" s="1"/>
  <c r="J224" i="49"/>
  <c r="H224" i="58" s="1"/>
  <c r="J225" i="49"/>
  <c r="H225" i="58" s="1"/>
  <c r="J226" i="49"/>
  <c r="H226" i="58" s="1"/>
  <c r="J227" i="49"/>
  <c r="H227" i="58" s="1"/>
  <c r="J228" i="49"/>
  <c r="H228" i="58" s="1"/>
  <c r="J229" i="49"/>
  <c r="H229" i="58" s="1"/>
  <c r="J230" i="49"/>
  <c r="H230" i="58" s="1"/>
  <c r="J231" i="49"/>
  <c r="H231" i="58" s="1"/>
  <c r="J232" i="49"/>
  <c r="H232" i="58" s="1"/>
  <c r="J233" i="49"/>
  <c r="H233" i="58" s="1"/>
  <c r="J234" i="49"/>
  <c r="H234" i="58" s="1"/>
  <c r="J235" i="49"/>
  <c r="H235" i="58" s="1"/>
  <c r="J236" i="49"/>
  <c r="H236" i="58" s="1"/>
  <c r="J237" i="49"/>
  <c r="H237" i="58" s="1"/>
  <c r="J238" i="49"/>
  <c r="H238" i="58" s="1"/>
  <c r="J239" i="49"/>
  <c r="H239" i="58" s="1"/>
  <c r="J240" i="49"/>
  <c r="H240" i="58" s="1"/>
  <c r="J241" i="49"/>
  <c r="H241" i="58" s="1"/>
  <c r="J242" i="49"/>
  <c r="H242" i="58" s="1"/>
  <c r="J243" i="49"/>
  <c r="H243" i="58" s="1"/>
  <c r="J244" i="49"/>
  <c r="H244" i="58" s="1"/>
  <c r="J245" i="49"/>
  <c r="H245" i="58" s="1"/>
  <c r="J246" i="49"/>
  <c r="H246" i="58" s="1"/>
  <c r="J247" i="49"/>
  <c r="H247" i="58" s="1"/>
  <c r="J248" i="49"/>
  <c r="H248" i="58" s="1"/>
  <c r="J249" i="49"/>
  <c r="H249" i="58" s="1"/>
  <c r="J250" i="49"/>
  <c r="H250" i="58" s="1"/>
  <c r="J251" i="49"/>
  <c r="H251" i="58" s="1"/>
  <c r="J252" i="49"/>
  <c r="H252" i="58" s="1"/>
  <c r="J253" i="49"/>
  <c r="H253" i="58" s="1"/>
  <c r="J254" i="49"/>
  <c r="H254" i="58" s="1"/>
  <c r="J255" i="49"/>
  <c r="H255" i="58" s="1"/>
  <c r="J256" i="49"/>
  <c r="H256" i="58" s="1"/>
  <c r="J257" i="49"/>
  <c r="H257" i="58" s="1"/>
  <c r="J258" i="49"/>
  <c r="H258" i="58" s="1"/>
  <c r="J259" i="49"/>
  <c r="H259" i="58" s="1"/>
  <c r="J260" i="49"/>
  <c r="H260" i="58" s="1"/>
  <c r="J261" i="49"/>
  <c r="H261" i="58" s="1"/>
  <c r="J262" i="49"/>
  <c r="J263" i="49"/>
  <c r="H263" i="58" s="1"/>
  <c r="J265" i="49"/>
  <c r="H265" i="58" s="1"/>
  <c r="J266" i="49"/>
  <c r="H266" i="58" s="1"/>
  <c r="J268" i="49"/>
  <c r="H268" i="58" s="1"/>
  <c r="J269" i="49"/>
  <c r="H269" i="58" s="1"/>
  <c r="J271" i="49"/>
  <c r="H271" i="58" s="1"/>
  <c r="J3" i="49"/>
  <c r="H3" i="58" s="1"/>
  <c r="AJ282" i="49"/>
  <c r="AI282" i="49"/>
  <c r="AJ281" i="49"/>
  <c r="AJ283" i="49" s="1"/>
  <c r="AI281" i="49"/>
  <c r="AI283" i="49" s="1"/>
  <c r="AJ279" i="49"/>
  <c r="AI279" i="49"/>
  <c r="AJ278" i="49"/>
  <c r="AI278" i="49"/>
  <c r="AJ277" i="49"/>
  <c r="AI277" i="49"/>
  <c r="AJ276" i="49"/>
  <c r="AI276" i="49"/>
  <c r="AJ275" i="49"/>
  <c r="AI275" i="49"/>
  <c r="AJ274" i="49"/>
  <c r="AI274" i="49"/>
  <c r="H4" i="16"/>
  <c r="H5" i="16"/>
  <c r="H6" i="16"/>
  <c r="H7" i="16"/>
  <c r="H8" i="16"/>
  <c r="H9" i="16"/>
  <c r="H10" i="16"/>
  <c r="H11" i="16"/>
  <c r="H12" i="16"/>
  <c r="H13" i="16"/>
  <c r="H14" i="16"/>
  <c r="H15" i="16"/>
  <c r="H16" i="16"/>
  <c r="H17" i="16"/>
  <c r="H18" i="16"/>
  <c r="H19" i="16"/>
  <c r="H20" i="16"/>
  <c r="H21" i="16"/>
  <c r="H22" i="16"/>
  <c r="H23" i="16"/>
  <c r="H24" i="16"/>
  <c r="H25" i="16"/>
  <c r="H26" i="16"/>
  <c r="H27" i="16"/>
  <c r="H28" i="16"/>
  <c r="H29" i="16"/>
  <c r="H30" i="16"/>
  <c r="H31" i="16"/>
  <c r="H32" i="16"/>
  <c r="H33" i="16"/>
  <c r="H34" i="16"/>
  <c r="H35" i="16"/>
  <c r="H36" i="16"/>
  <c r="H37" i="16"/>
  <c r="H38" i="16"/>
  <c r="H39" i="16"/>
  <c r="H40" i="16"/>
  <c r="H41" i="16"/>
  <c r="H42" i="16"/>
  <c r="H43" i="16"/>
  <c r="H44" i="16"/>
  <c r="H45" i="16"/>
  <c r="H46" i="16"/>
  <c r="H47" i="16"/>
  <c r="H48" i="16"/>
  <c r="H49" i="16"/>
  <c r="H50" i="16"/>
  <c r="H51" i="16"/>
  <c r="H52" i="16"/>
  <c r="H53" i="16"/>
  <c r="H54" i="16"/>
  <c r="H55" i="16"/>
  <c r="H56" i="16"/>
  <c r="H57" i="16"/>
  <c r="H58" i="16"/>
  <c r="H59" i="16"/>
  <c r="H60" i="16"/>
  <c r="H61" i="16"/>
  <c r="H62" i="16"/>
  <c r="H63" i="16"/>
  <c r="H64" i="16"/>
  <c r="H65" i="16"/>
  <c r="H66" i="16"/>
  <c r="H67" i="16"/>
  <c r="H68" i="16"/>
  <c r="H69" i="16"/>
  <c r="H70" i="16"/>
  <c r="H71" i="16"/>
  <c r="H72" i="16"/>
  <c r="H73" i="16"/>
  <c r="H74" i="16"/>
  <c r="H75" i="16"/>
  <c r="H76" i="16"/>
  <c r="H77" i="16"/>
  <c r="H78" i="16"/>
  <c r="H79" i="16"/>
  <c r="H80" i="16"/>
  <c r="H81" i="16"/>
  <c r="H82" i="16"/>
  <c r="H83" i="16"/>
  <c r="H84" i="16"/>
  <c r="H85" i="16"/>
  <c r="H86" i="16"/>
  <c r="H87" i="16"/>
  <c r="H88" i="16"/>
  <c r="H89" i="16"/>
  <c r="H90" i="16"/>
  <c r="H91" i="16"/>
  <c r="H92" i="16"/>
  <c r="H93" i="16"/>
  <c r="H94" i="16"/>
  <c r="H95" i="16"/>
  <c r="H96" i="16"/>
  <c r="H97" i="16"/>
  <c r="H98" i="16"/>
  <c r="H99" i="16"/>
  <c r="H100" i="16"/>
  <c r="H101" i="16"/>
  <c r="H102" i="16"/>
  <c r="H103" i="16"/>
  <c r="H104" i="16"/>
  <c r="H105" i="16"/>
  <c r="H106" i="16"/>
  <c r="H107" i="16"/>
  <c r="H108" i="16"/>
  <c r="H109" i="16"/>
  <c r="H110" i="16"/>
  <c r="H111" i="16"/>
  <c r="H112" i="16"/>
  <c r="H113" i="16"/>
  <c r="H114" i="16"/>
  <c r="H115" i="16"/>
  <c r="H116" i="16"/>
  <c r="H117" i="16"/>
  <c r="H118" i="16"/>
  <c r="H119" i="16"/>
  <c r="H120" i="16"/>
  <c r="H121" i="16"/>
  <c r="H122" i="16"/>
  <c r="H123" i="16"/>
  <c r="H124" i="16"/>
  <c r="H125" i="16"/>
  <c r="H126" i="16"/>
  <c r="H127" i="16"/>
  <c r="H128" i="16"/>
  <c r="H129" i="16"/>
  <c r="H130" i="16"/>
  <c r="H131" i="16"/>
  <c r="H132" i="16"/>
  <c r="H133" i="16"/>
  <c r="H134" i="16"/>
  <c r="H135" i="16"/>
  <c r="H136" i="16"/>
  <c r="H137" i="16"/>
  <c r="H138" i="16"/>
  <c r="H139" i="16"/>
  <c r="H140" i="16"/>
  <c r="H141" i="16"/>
  <c r="H142" i="16"/>
  <c r="H143" i="16"/>
  <c r="H144" i="16"/>
  <c r="H145" i="16"/>
  <c r="H146" i="16"/>
  <c r="H147" i="16"/>
  <c r="H148" i="16"/>
  <c r="H149" i="16"/>
  <c r="H150" i="16"/>
  <c r="H151" i="16"/>
  <c r="H152" i="16"/>
  <c r="H153" i="16"/>
  <c r="H154" i="16"/>
  <c r="H155" i="16"/>
  <c r="H156" i="16"/>
  <c r="H157" i="16"/>
  <c r="H158" i="16"/>
  <c r="H159" i="16"/>
  <c r="H160" i="16"/>
  <c r="H161" i="16"/>
  <c r="H162" i="16"/>
  <c r="H163" i="16"/>
  <c r="H164" i="16"/>
  <c r="H165" i="16"/>
  <c r="H166" i="16"/>
  <c r="H167" i="16"/>
  <c r="H168" i="16"/>
  <c r="H169" i="16"/>
  <c r="H170" i="16"/>
  <c r="H171" i="16"/>
  <c r="H172" i="16"/>
  <c r="H173" i="16"/>
  <c r="H174" i="16"/>
  <c r="H175" i="16"/>
  <c r="H176" i="16"/>
  <c r="H177" i="16"/>
  <c r="H178" i="16"/>
  <c r="H179" i="16"/>
  <c r="H180" i="16"/>
  <c r="H181" i="16"/>
  <c r="H182" i="16"/>
  <c r="H183" i="16"/>
  <c r="H184" i="16"/>
  <c r="H185" i="16"/>
  <c r="H186" i="16"/>
  <c r="H187" i="16"/>
  <c r="H188" i="16"/>
  <c r="H189" i="16"/>
  <c r="H190" i="16"/>
  <c r="H191" i="16"/>
  <c r="H192" i="16"/>
  <c r="H193" i="16"/>
  <c r="H194" i="16"/>
  <c r="H195" i="16"/>
  <c r="H196" i="16"/>
  <c r="H197" i="16"/>
  <c r="H198" i="16"/>
  <c r="H199" i="16"/>
  <c r="H200" i="16"/>
  <c r="H201" i="16"/>
  <c r="H202" i="16"/>
  <c r="H203" i="16"/>
  <c r="H204" i="16"/>
  <c r="H205" i="16"/>
  <c r="H206" i="16"/>
  <c r="H207" i="16"/>
  <c r="H208" i="16"/>
  <c r="H209" i="16"/>
  <c r="H210" i="16"/>
  <c r="H211" i="16"/>
  <c r="H212" i="16"/>
  <c r="H213" i="16"/>
  <c r="H214" i="16"/>
  <c r="H215" i="16"/>
  <c r="H216" i="16"/>
  <c r="H217" i="16"/>
  <c r="H218" i="16"/>
  <c r="H219" i="16"/>
  <c r="H220" i="16"/>
  <c r="H221" i="16"/>
  <c r="H222" i="16"/>
  <c r="H223" i="16"/>
  <c r="H224" i="16"/>
  <c r="H225" i="16"/>
  <c r="H226" i="16"/>
  <c r="H227" i="16"/>
  <c r="H228" i="16"/>
  <c r="H229" i="16"/>
  <c r="H230" i="16"/>
  <c r="H231" i="16"/>
  <c r="H232" i="16"/>
  <c r="H233" i="16"/>
  <c r="H234" i="16"/>
  <c r="H235" i="16"/>
  <c r="H236" i="16"/>
  <c r="H237" i="16"/>
  <c r="H238" i="16"/>
  <c r="H239" i="16"/>
  <c r="H240" i="16"/>
  <c r="H241" i="16"/>
  <c r="H242" i="16"/>
  <c r="H243" i="16"/>
  <c r="H244" i="16"/>
  <c r="H245" i="16"/>
  <c r="H246" i="16"/>
  <c r="H247" i="16"/>
  <c r="H248" i="16"/>
  <c r="H249" i="16"/>
  <c r="H250" i="16"/>
  <c r="H251" i="16"/>
  <c r="H252" i="16"/>
  <c r="H253" i="16"/>
  <c r="H254" i="16"/>
  <c r="H255" i="16"/>
  <c r="H256" i="16"/>
  <c r="H257" i="16"/>
  <c r="H258" i="16"/>
  <c r="H259" i="16"/>
  <c r="H260" i="16"/>
  <c r="H261" i="16"/>
  <c r="H262" i="16"/>
  <c r="H263" i="16"/>
  <c r="H265" i="16"/>
  <c r="H266" i="16"/>
  <c r="H268" i="16"/>
  <c r="H269" i="16"/>
  <c r="H271" i="16"/>
  <c r="H3" i="16"/>
  <c r="P282" i="16"/>
  <c r="O282" i="16"/>
  <c r="P281" i="16"/>
  <c r="P283" i="16" s="1"/>
  <c r="O281" i="16"/>
  <c r="O283" i="16" s="1"/>
  <c r="P279" i="16"/>
  <c r="O279" i="16"/>
  <c r="P278" i="16"/>
  <c r="O278" i="16"/>
  <c r="P277" i="16"/>
  <c r="O277" i="16"/>
  <c r="P276" i="16"/>
  <c r="O276" i="16"/>
  <c r="P275" i="16"/>
  <c r="O275" i="16"/>
  <c r="P274" i="16"/>
  <c r="O274" i="16"/>
  <c r="H262" i="60"/>
  <c r="H263" i="60"/>
  <c r="H265" i="60"/>
  <c r="H266" i="60"/>
  <c r="H268" i="60"/>
  <c r="H269" i="60"/>
  <c r="H271" i="60"/>
  <c r="H4" i="60"/>
  <c r="H5" i="60"/>
  <c r="H6" i="60"/>
  <c r="H7" i="60"/>
  <c r="H8" i="60"/>
  <c r="H9" i="60"/>
  <c r="H10" i="60"/>
  <c r="H11" i="60"/>
  <c r="H12" i="60"/>
  <c r="H13" i="60"/>
  <c r="H14" i="60"/>
  <c r="H15" i="60"/>
  <c r="H16" i="60"/>
  <c r="H17" i="60"/>
  <c r="H18" i="60"/>
  <c r="H19" i="60"/>
  <c r="H20" i="60"/>
  <c r="H21" i="60"/>
  <c r="H22" i="60"/>
  <c r="H23" i="60"/>
  <c r="H24" i="60"/>
  <c r="H25" i="60"/>
  <c r="H26" i="60"/>
  <c r="H27" i="60"/>
  <c r="H28" i="60"/>
  <c r="H29" i="60"/>
  <c r="H30" i="60"/>
  <c r="H31" i="60"/>
  <c r="H32" i="60"/>
  <c r="H33" i="60"/>
  <c r="H34" i="60"/>
  <c r="H35" i="60"/>
  <c r="H36" i="60"/>
  <c r="H37" i="60"/>
  <c r="H38" i="60"/>
  <c r="H39" i="60"/>
  <c r="H40" i="60"/>
  <c r="H41" i="60"/>
  <c r="H42" i="60"/>
  <c r="H43" i="60"/>
  <c r="H44" i="60"/>
  <c r="H45" i="60"/>
  <c r="H46" i="60"/>
  <c r="H47" i="60"/>
  <c r="H48" i="60"/>
  <c r="H49" i="60"/>
  <c r="H50" i="60"/>
  <c r="H51" i="60"/>
  <c r="H52" i="60"/>
  <c r="H53" i="60"/>
  <c r="H54" i="60"/>
  <c r="H55" i="60"/>
  <c r="H56" i="60"/>
  <c r="H57" i="60"/>
  <c r="H58" i="60"/>
  <c r="H59" i="60"/>
  <c r="H60" i="60"/>
  <c r="H61" i="60"/>
  <c r="H62" i="60"/>
  <c r="H63" i="60"/>
  <c r="H64" i="60"/>
  <c r="H65" i="60"/>
  <c r="H66" i="60"/>
  <c r="H67" i="60"/>
  <c r="H68" i="60"/>
  <c r="H69" i="60"/>
  <c r="H70" i="60"/>
  <c r="H71" i="60"/>
  <c r="H72" i="60"/>
  <c r="H73" i="60"/>
  <c r="H74" i="60"/>
  <c r="H75" i="60"/>
  <c r="H76" i="60"/>
  <c r="H77" i="60"/>
  <c r="H78" i="60"/>
  <c r="H79" i="60"/>
  <c r="H80" i="60"/>
  <c r="H81" i="60"/>
  <c r="H82" i="60"/>
  <c r="H83" i="60"/>
  <c r="H84" i="60"/>
  <c r="H85" i="60"/>
  <c r="H86" i="60"/>
  <c r="H87" i="60"/>
  <c r="H88" i="60"/>
  <c r="H89" i="60"/>
  <c r="H90" i="60"/>
  <c r="H91" i="60"/>
  <c r="H92" i="60"/>
  <c r="H93" i="60"/>
  <c r="H94" i="60"/>
  <c r="H95" i="60"/>
  <c r="H96" i="60"/>
  <c r="H97" i="60"/>
  <c r="H98" i="60"/>
  <c r="H99" i="60"/>
  <c r="H100" i="60"/>
  <c r="H101" i="60"/>
  <c r="H102" i="60"/>
  <c r="H103" i="60"/>
  <c r="H104" i="60"/>
  <c r="H105" i="60"/>
  <c r="H106" i="60"/>
  <c r="H107" i="60"/>
  <c r="H108" i="60"/>
  <c r="H109" i="60"/>
  <c r="H110" i="60"/>
  <c r="H111" i="60"/>
  <c r="H112" i="60"/>
  <c r="H113" i="60"/>
  <c r="H114" i="60"/>
  <c r="H115" i="60"/>
  <c r="H116" i="60"/>
  <c r="H117" i="60"/>
  <c r="H118" i="60"/>
  <c r="H119" i="60"/>
  <c r="H120" i="60"/>
  <c r="H121" i="60"/>
  <c r="H122" i="60"/>
  <c r="H123" i="60"/>
  <c r="H124" i="60"/>
  <c r="H125" i="60"/>
  <c r="H126" i="60"/>
  <c r="H127" i="60"/>
  <c r="H128" i="60"/>
  <c r="H129" i="60"/>
  <c r="H130" i="60"/>
  <c r="H131" i="60"/>
  <c r="H132" i="60"/>
  <c r="H133" i="60"/>
  <c r="H134" i="60"/>
  <c r="H135" i="60"/>
  <c r="H136" i="60"/>
  <c r="H137" i="60"/>
  <c r="H138" i="60"/>
  <c r="H139" i="60"/>
  <c r="H140" i="60"/>
  <c r="H141" i="60"/>
  <c r="H142" i="60"/>
  <c r="H143" i="60"/>
  <c r="H144" i="60"/>
  <c r="H145" i="60"/>
  <c r="H146" i="60"/>
  <c r="H147" i="60"/>
  <c r="H148" i="60"/>
  <c r="H149" i="60"/>
  <c r="H150" i="60"/>
  <c r="H151" i="60"/>
  <c r="H152" i="60"/>
  <c r="H153" i="60"/>
  <c r="H154" i="60"/>
  <c r="H155" i="60"/>
  <c r="H156" i="60"/>
  <c r="H157" i="60"/>
  <c r="H158" i="60"/>
  <c r="H159" i="60"/>
  <c r="H160" i="60"/>
  <c r="H161" i="60"/>
  <c r="H162" i="60"/>
  <c r="H163" i="60"/>
  <c r="H164" i="60"/>
  <c r="H165" i="60"/>
  <c r="H166" i="60"/>
  <c r="H167" i="60"/>
  <c r="H168" i="60"/>
  <c r="H169" i="60"/>
  <c r="H170" i="60"/>
  <c r="H171" i="60"/>
  <c r="H172" i="60"/>
  <c r="H173" i="60"/>
  <c r="H174" i="60"/>
  <c r="H175" i="60"/>
  <c r="H176" i="60"/>
  <c r="H177" i="60"/>
  <c r="H178" i="60"/>
  <c r="H179" i="60"/>
  <c r="H180" i="60"/>
  <c r="H181" i="60"/>
  <c r="H182" i="60"/>
  <c r="H183" i="60"/>
  <c r="H184" i="60"/>
  <c r="H185" i="60"/>
  <c r="H186" i="60"/>
  <c r="H187" i="60"/>
  <c r="H188" i="60"/>
  <c r="H189" i="60"/>
  <c r="H190" i="60"/>
  <c r="H191" i="60"/>
  <c r="H192" i="60"/>
  <c r="H193" i="60"/>
  <c r="H194" i="60"/>
  <c r="H195" i="60"/>
  <c r="H196" i="60"/>
  <c r="H197" i="60"/>
  <c r="H198" i="60"/>
  <c r="H199" i="60"/>
  <c r="H200" i="60"/>
  <c r="H201" i="60"/>
  <c r="H202" i="60"/>
  <c r="H203" i="60"/>
  <c r="H204" i="60"/>
  <c r="H205" i="60"/>
  <c r="H206" i="60"/>
  <c r="H207" i="60"/>
  <c r="H208" i="60"/>
  <c r="H209" i="60"/>
  <c r="H210" i="60"/>
  <c r="H211" i="60"/>
  <c r="H212" i="60"/>
  <c r="H213" i="60"/>
  <c r="H214" i="60"/>
  <c r="H215" i="60"/>
  <c r="H216" i="60"/>
  <c r="H217" i="60"/>
  <c r="H218" i="60"/>
  <c r="H219" i="60"/>
  <c r="H220" i="60"/>
  <c r="H221" i="60"/>
  <c r="H222" i="60"/>
  <c r="H223" i="60"/>
  <c r="H224" i="60"/>
  <c r="H225" i="60"/>
  <c r="H226" i="60"/>
  <c r="H227" i="60"/>
  <c r="H228" i="60"/>
  <c r="H229" i="60"/>
  <c r="H230" i="60"/>
  <c r="H231" i="60"/>
  <c r="H232" i="60"/>
  <c r="H233" i="60"/>
  <c r="H234" i="60"/>
  <c r="H235" i="60"/>
  <c r="H236" i="60"/>
  <c r="H237" i="60"/>
  <c r="H238" i="60"/>
  <c r="H239" i="60"/>
  <c r="H240" i="60"/>
  <c r="H241" i="60"/>
  <c r="H242" i="60"/>
  <c r="H243" i="60"/>
  <c r="H244" i="60"/>
  <c r="H245" i="60"/>
  <c r="H246" i="60"/>
  <c r="H247" i="60"/>
  <c r="H248" i="60"/>
  <c r="H249" i="60"/>
  <c r="H250" i="60"/>
  <c r="H251" i="60"/>
  <c r="H252" i="60"/>
  <c r="H253" i="60"/>
  <c r="H254" i="60"/>
  <c r="H255" i="60"/>
  <c r="H256" i="60"/>
  <c r="H257" i="60"/>
  <c r="H258" i="60"/>
  <c r="H259" i="60"/>
  <c r="H260" i="60"/>
  <c r="H261" i="60"/>
  <c r="H3" i="60"/>
  <c r="H262" i="61"/>
  <c r="H263" i="61"/>
  <c r="H265" i="61"/>
  <c r="H266" i="61"/>
  <c r="H268" i="61"/>
  <c r="H269" i="61"/>
  <c r="H271" i="61"/>
  <c r="H4" i="61"/>
  <c r="H5" i="61"/>
  <c r="H6" i="61"/>
  <c r="H7" i="61"/>
  <c r="H8" i="61"/>
  <c r="H9" i="61"/>
  <c r="H10" i="61"/>
  <c r="H11" i="61"/>
  <c r="H12" i="61"/>
  <c r="H13" i="61"/>
  <c r="H14" i="61"/>
  <c r="H15" i="61"/>
  <c r="H16" i="61"/>
  <c r="H17" i="61"/>
  <c r="H18" i="61"/>
  <c r="H19" i="61"/>
  <c r="H20" i="61"/>
  <c r="H21" i="61"/>
  <c r="H22" i="61"/>
  <c r="H23" i="61"/>
  <c r="H24" i="61"/>
  <c r="H25" i="61"/>
  <c r="H26" i="61"/>
  <c r="H27" i="61"/>
  <c r="H28" i="61"/>
  <c r="H29" i="61"/>
  <c r="H30" i="61"/>
  <c r="H31" i="61"/>
  <c r="H32" i="61"/>
  <c r="H33" i="61"/>
  <c r="H34" i="61"/>
  <c r="H35" i="61"/>
  <c r="H36" i="61"/>
  <c r="H37" i="61"/>
  <c r="H38" i="61"/>
  <c r="H39" i="61"/>
  <c r="H40" i="61"/>
  <c r="H41" i="61"/>
  <c r="H42" i="61"/>
  <c r="H43" i="61"/>
  <c r="H44" i="61"/>
  <c r="H45" i="61"/>
  <c r="H46" i="61"/>
  <c r="H47" i="61"/>
  <c r="H48" i="61"/>
  <c r="H49" i="61"/>
  <c r="H50" i="61"/>
  <c r="H51" i="61"/>
  <c r="H52" i="61"/>
  <c r="H53" i="61"/>
  <c r="H54" i="61"/>
  <c r="H55" i="61"/>
  <c r="H56" i="61"/>
  <c r="H57" i="61"/>
  <c r="H58" i="61"/>
  <c r="H59" i="61"/>
  <c r="H60" i="61"/>
  <c r="H61" i="61"/>
  <c r="H62" i="61"/>
  <c r="H63" i="61"/>
  <c r="H64" i="61"/>
  <c r="H65" i="61"/>
  <c r="H66" i="61"/>
  <c r="H67" i="61"/>
  <c r="H68" i="61"/>
  <c r="H69" i="61"/>
  <c r="H70" i="61"/>
  <c r="H71" i="61"/>
  <c r="H72" i="61"/>
  <c r="H73" i="61"/>
  <c r="H74" i="61"/>
  <c r="H75" i="61"/>
  <c r="H76" i="61"/>
  <c r="H77" i="61"/>
  <c r="H78" i="61"/>
  <c r="H79" i="61"/>
  <c r="H80" i="61"/>
  <c r="H81" i="61"/>
  <c r="H82" i="61"/>
  <c r="H83" i="61"/>
  <c r="H84" i="61"/>
  <c r="H85" i="61"/>
  <c r="H86" i="61"/>
  <c r="H87" i="61"/>
  <c r="H88" i="61"/>
  <c r="H89" i="61"/>
  <c r="H90" i="61"/>
  <c r="H91" i="61"/>
  <c r="H92" i="61"/>
  <c r="H93" i="61"/>
  <c r="H94" i="61"/>
  <c r="H95" i="61"/>
  <c r="H96" i="61"/>
  <c r="H97" i="61"/>
  <c r="H98" i="61"/>
  <c r="H99" i="61"/>
  <c r="H100" i="61"/>
  <c r="H101" i="61"/>
  <c r="H102" i="61"/>
  <c r="H103" i="61"/>
  <c r="H104" i="61"/>
  <c r="H105" i="61"/>
  <c r="H106" i="61"/>
  <c r="H107" i="61"/>
  <c r="H108" i="61"/>
  <c r="H109" i="61"/>
  <c r="H110" i="61"/>
  <c r="H111" i="61"/>
  <c r="H112" i="61"/>
  <c r="H113" i="61"/>
  <c r="H114" i="61"/>
  <c r="H115" i="61"/>
  <c r="H116" i="61"/>
  <c r="H117" i="61"/>
  <c r="H118" i="61"/>
  <c r="H119" i="61"/>
  <c r="H120" i="61"/>
  <c r="H121" i="61"/>
  <c r="H122" i="61"/>
  <c r="H123" i="61"/>
  <c r="H124" i="61"/>
  <c r="H125" i="61"/>
  <c r="H126" i="61"/>
  <c r="H127" i="61"/>
  <c r="H128" i="61"/>
  <c r="H129" i="61"/>
  <c r="H130" i="61"/>
  <c r="H131" i="61"/>
  <c r="H132" i="61"/>
  <c r="H133" i="61"/>
  <c r="H134" i="61"/>
  <c r="H135" i="61"/>
  <c r="H136" i="61"/>
  <c r="H137" i="61"/>
  <c r="H138" i="61"/>
  <c r="H139" i="61"/>
  <c r="H140" i="61"/>
  <c r="H141" i="61"/>
  <c r="H142" i="61"/>
  <c r="H143" i="61"/>
  <c r="H144" i="61"/>
  <c r="H145" i="61"/>
  <c r="H146" i="61"/>
  <c r="H147" i="61"/>
  <c r="H148" i="61"/>
  <c r="H149" i="61"/>
  <c r="H150" i="61"/>
  <c r="H151" i="61"/>
  <c r="H152" i="61"/>
  <c r="H153" i="61"/>
  <c r="H154" i="61"/>
  <c r="H155" i="61"/>
  <c r="H156" i="61"/>
  <c r="H157" i="61"/>
  <c r="H158" i="61"/>
  <c r="H159" i="61"/>
  <c r="H160" i="61"/>
  <c r="H161" i="61"/>
  <c r="H162" i="61"/>
  <c r="H163" i="61"/>
  <c r="H164" i="61"/>
  <c r="H165" i="61"/>
  <c r="H166" i="61"/>
  <c r="H167" i="61"/>
  <c r="H168" i="61"/>
  <c r="H169" i="61"/>
  <c r="H170" i="61"/>
  <c r="H171" i="61"/>
  <c r="H172" i="61"/>
  <c r="H173" i="61"/>
  <c r="H174" i="61"/>
  <c r="H175" i="61"/>
  <c r="H176" i="61"/>
  <c r="H177" i="61"/>
  <c r="H178" i="61"/>
  <c r="H179" i="61"/>
  <c r="H180" i="61"/>
  <c r="H181" i="61"/>
  <c r="H182" i="61"/>
  <c r="H183" i="61"/>
  <c r="H184" i="61"/>
  <c r="H185" i="61"/>
  <c r="H186" i="61"/>
  <c r="H187" i="61"/>
  <c r="H188" i="61"/>
  <c r="H189" i="61"/>
  <c r="H190" i="61"/>
  <c r="H191" i="61"/>
  <c r="H192" i="61"/>
  <c r="H193" i="61"/>
  <c r="H194" i="61"/>
  <c r="H195" i="61"/>
  <c r="H196" i="61"/>
  <c r="H197" i="61"/>
  <c r="H198" i="61"/>
  <c r="H199" i="61"/>
  <c r="H200" i="61"/>
  <c r="H201" i="61"/>
  <c r="H202" i="61"/>
  <c r="H203" i="61"/>
  <c r="H204" i="61"/>
  <c r="H205" i="61"/>
  <c r="H206" i="61"/>
  <c r="H207" i="61"/>
  <c r="H208" i="61"/>
  <c r="H209" i="61"/>
  <c r="H210" i="61"/>
  <c r="H211" i="61"/>
  <c r="H212" i="61"/>
  <c r="H213" i="61"/>
  <c r="H214" i="61"/>
  <c r="H215" i="61"/>
  <c r="H216" i="61"/>
  <c r="H217" i="61"/>
  <c r="H218" i="61"/>
  <c r="H219" i="61"/>
  <c r="H220" i="61"/>
  <c r="H221" i="61"/>
  <c r="H222" i="61"/>
  <c r="H223" i="61"/>
  <c r="H224" i="61"/>
  <c r="H225" i="61"/>
  <c r="H226" i="61"/>
  <c r="H227" i="61"/>
  <c r="H228" i="61"/>
  <c r="H229" i="61"/>
  <c r="H230" i="61"/>
  <c r="H231" i="61"/>
  <c r="H232" i="61"/>
  <c r="H233" i="61"/>
  <c r="H234" i="61"/>
  <c r="H235" i="61"/>
  <c r="H236" i="61"/>
  <c r="H237" i="61"/>
  <c r="H238" i="61"/>
  <c r="H239" i="61"/>
  <c r="H240" i="61"/>
  <c r="H241" i="61"/>
  <c r="H242" i="61"/>
  <c r="H243" i="61"/>
  <c r="H244" i="61"/>
  <c r="H245" i="61"/>
  <c r="H246" i="61"/>
  <c r="H247" i="61"/>
  <c r="H248" i="61"/>
  <c r="H249" i="61"/>
  <c r="H250" i="61"/>
  <c r="H251" i="61"/>
  <c r="H252" i="61"/>
  <c r="H253" i="61"/>
  <c r="H254" i="61"/>
  <c r="H255" i="61"/>
  <c r="H256" i="61"/>
  <c r="H257" i="61"/>
  <c r="H258" i="61"/>
  <c r="H259" i="61"/>
  <c r="H260" i="61"/>
  <c r="H261" i="61"/>
  <c r="H3" i="61"/>
  <c r="M283" i="68" l="1"/>
  <c r="I283" i="68"/>
  <c r="K283" i="68"/>
  <c r="J274" i="68"/>
  <c r="J275" i="68"/>
  <c r="F274" i="68"/>
  <c r="B275" i="68"/>
  <c r="J277" i="68"/>
  <c r="L275" i="68"/>
  <c r="J276" i="68"/>
  <c r="G274" i="68"/>
  <c r="G281" i="68"/>
  <c r="M275" i="68"/>
  <c r="H281" i="68"/>
  <c r="M274" i="68"/>
  <c r="F276" i="68"/>
  <c r="H282" i="68"/>
  <c r="E279" i="68"/>
  <c r="G282" i="68"/>
  <c r="F275" i="68"/>
  <c r="G276" i="68"/>
  <c r="F281" i="68"/>
  <c r="F283" i="68" s="1"/>
  <c r="E276" i="68"/>
  <c r="K274" i="68"/>
  <c r="L282" i="68"/>
  <c r="L283" i="68" s="1"/>
  <c r="J282" i="68"/>
  <c r="J283" i="68" s="1"/>
  <c r="H277" i="68"/>
  <c r="J279" i="68"/>
  <c r="I278" i="68"/>
  <c r="B281" i="68"/>
  <c r="B283" i="68" s="1"/>
  <c r="B284" i="68" s="1"/>
  <c r="J278" i="68"/>
  <c r="E281" i="68"/>
  <c r="I274" i="68"/>
  <c r="K277" i="68"/>
  <c r="K278" i="68"/>
  <c r="F278" i="68"/>
  <c r="B279" i="68"/>
  <c r="B277" i="68"/>
  <c r="M279" i="68"/>
  <c r="AI284" i="49"/>
  <c r="AJ284" i="49"/>
  <c r="H283" i="68" l="1"/>
  <c r="G283" i="68"/>
  <c r="C281" i="68"/>
  <c r="C278" i="68"/>
  <c r="C279" i="68"/>
  <c r="E282" i="68"/>
  <c r="E283" i="68" s="1"/>
  <c r="C282" i="68"/>
  <c r="E277" i="68"/>
  <c r="C277" i="68"/>
  <c r="E274" i="68"/>
  <c r="E275" i="68"/>
  <c r="C276" i="68"/>
  <c r="E278" i="68"/>
  <c r="I279" i="67"/>
  <c r="G279" i="67"/>
  <c r="D279" i="67"/>
  <c r="J279" i="67"/>
  <c r="H279" i="67"/>
  <c r="B277" i="67"/>
  <c r="H281" i="67"/>
  <c r="L282" i="67"/>
  <c r="B282" i="67"/>
  <c r="K282" i="67"/>
  <c r="D275" i="67"/>
  <c r="M282" i="67"/>
  <c r="H274" i="67"/>
  <c r="D274" i="67"/>
  <c r="G275" i="67"/>
  <c r="J275" i="67"/>
  <c r="K275" i="67"/>
  <c r="H275" i="67"/>
  <c r="K274" i="67"/>
  <c r="M275" i="67"/>
  <c r="L274" i="67"/>
  <c r="I275" i="67"/>
  <c r="J274" i="67"/>
  <c r="I274" i="67"/>
  <c r="G274" i="67"/>
  <c r="F274" i="67"/>
  <c r="M281" i="67"/>
  <c r="L281" i="67"/>
  <c r="K281" i="67"/>
  <c r="J281" i="67"/>
  <c r="I281" i="67"/>
  <c r="M276" i="67"/>
  <c r="L276" i="67"/>
  <c r="K276" i="67"/>
  <c r="J276" i="67"/>
  <c r="I276" i="67"/>
  <c r="H276" i="67"/>
  <c r="G276" i="67"/>
  <c r="B276" i="67"/>
  <c r="J282" i="67"/>
  <c r="I282" i="67"/>
  <c r="H282" i="67"/>
  <c r="G282" i="67"/>
  <c r="F282" i="67"/>
  <c r="G281" i="67"/>
  <c r="F281" i="67"/>
  <c r="B281" i="67"/>
  <c r="M279" i="67"/>
  <c r="L279" i="67"/>
  <c r="K279" i="67"/>
  <c r="F279" i="67"/>
  <c r="B279" i="67"/>
  <c r="M278" i="67"/>
  <c r="L278" i="67"/>
  <c r="K278" i="67"/>
  <c r="J278" i="67"/>
  <c r="I278" i="67"/>
  <c r="G278" i="67"/>
  <c r="D278" i="67"/>
  <c r="M277" i="67"/>
  <c r="L277" i="67"/>
  <c r="K277" i="67"/>
  <c r="J277" i="67"/>
  <c r="I277" i="67"/>
  <c r="H277" i="67"/>
  <c r="G277" i="67"/>
  <c r="F277" i="67"/>
  <c r="D277" i="67"/>
  <c r="D276" i="67"/>
  <c r="F275" i="67"/>
  <c r="M274" i="67"/>
  <c r="B274" i="67"/>
  <c r="C283" i="68" l="1"/>
  <c r="C275" i="68"/>
  <c r="C274" i="68"/>
  <c r="L283" i="67"/>
  <c r="F278" i="67"/>
  <c r="J283" i="67"/>
  <c r="I283" i="67"/>
  <c r="M283" i="67"/>
  <c r="E279" i="67"/>
  <c r="E281" i="67"/>
  <c r="E277" i="67"/>
  <c r="K283" i="67"/>
  <c r="E282" i="67"/>
  <c r="B275" i="67"/>
  <c r="F276" i="67"/>
  <c r="L275" i="67"/>
  <c r="F283" i="67"/>
  <c r="G283" i="67"/>
  <c r="B283" i="67"/>
  <c r="B284" i="67" s="1"/>
  <c r="H283" i="67"/>
  <c r="H278" i="67" l="1"/>
  <c r="E283" i="67"/>
  <c r="E274" i="67"/>
  <c r="E275" i="67"/>
  <c r="C281" i="67"/>
  <c r="E276" i="67"/>
  <c r="C276" i="67"/>
  <c r="C279" i="67"/>
  <c r="C282" i="67"/>
  <c r="C278" i="67"/>
  <c r="C277" i="67"/>
  <c r="E278" i="67" l="1"/>
  <c r="C283" i="67"/>
  <c r="C274" i="67"/>
  <c r="C275" i="67"/>
  <c r="B278" i="67" l="1"/>
  <c r="I278" i="61" l="1"/>
  <c r="M278" i="61"/>
  <c r="L278" i="61"/>
  <c r="H278" i="61"/>
  <c r="J274" i="61"/>
  <c r="M281" i="61"/>
  <c r="L281" i="61"/>
  <c r="H275" i="61"/>
  <c r="L274" i="61"/>
  <c r="I275" i="61"/>
  <c r="G281" i="61"/>
  <c r="M276" i="61"/>
  <c r="L276" i="61"/>
  <c r="B282" i="61"/>
  <c r="I282" i="61"/>
  <c r="H274" i="61"/>
  <c r="D274" i="61"/>
  <c r="M282" i="61"/>
  <c r="L282" i="61"/>
  <c r="J281" i="61"/>
  <c r="F281" i="61"/>
  <c r="K276" i="61"/>
  <c r="J276" i="61"/>
  <c r="G277" i="61"/>
  <c r="L279" i="61"/>
  <c r="G278" i="61"/>
  <c r="J277" i="61"/>
  <c r="I277" i="61"/>
  <c r="F276" i="61"/>
  <c r="K282" i="61"/>
  <c r="K279" i="61"/>
  <c r="J279" i="61"/>
  <c r="I279" i="61"/>
  <c r="H279" i="61"/>
  <c r="G279" i="61"/>
  <c r="F279" i="61"/>
  <c r="D279" i="61"/>
  <c r="D278" i="61"/>
  <c r="M277" i="61"/>
  <c r="L277" i="61"/>
  <c r="K277" i="61"/>
  <c r="F277" i="61"/>
  <c r="D277" i="61"/>
  <c r="B277" i="61"/>
  <c r="D276" i="61"/>
  <c r="I274" i="61"/>
  <c r="D279" i="60"/>
  <c r="M277" i="60"/>
  <c r="J282" i="60"/>
  <c r="K282" i="60"/>
  <c r="I282" i="60"/>
  <c r="H282" i="60"/>
  <c r="M275" i="60"/>
  <c r="L275" i="60"/>
  <c r="K275" i="60"/>
  <c r="I274" i="60"/>
  <c r="H274" i="60"/>
  <c r="F274" i="60"/>
  <c r="J275" i="60"/>
  <c r="H275" i="60"/>
  <c r="G274" i="60"/>
  <c r="D274" i="60"/>
  <c r="B274" i="60"/>
  <c r="M276" i="60"/>
  <c r="K276" i="60"/>
  <c r="L281" i="60"/>
  <c r="K281" i="60"/>
  <c r="J281" i="60"/>
  <c r="J283" i="60" s="1"/>
  <c r="I281" i="60"/>
  <c r="G281" i="60"/>
  <c r="G283" i="60" s="1"/>
  <c r="J276" i="60"/>
  <c r="I276" i="60"/>
  <c r="H276" i="60"/>
  <c r="G276" i="60"/>
  <c r="F276" i="60"/>
  <c r="E276" i="60"/>
  <c r="M282" i="60"/>
  <c r="L282" i="60"/>
  <c r="G282" i="60"/>
  <c r="F282" i="60"/>
  <c r="B282" i="60"/>
  <c r="M281" i="60"/>
  <c r="M283" i="60" s="1"/>
  <c r="B281" i="60"/>
  <c r="M279" i="60"/>
  <c r="L279" i="60"/>
  <c r="K279" i="60"/>
  <c r="J279" i="60"/>
  <c r="I279" i="60"/>
  <c r="H279" i="60"/>
  <c r="G279" i="60"/>
  <c r="F279" i="60"/>
  <c r="B279" i="60"/>
  <c r="M278" i="60"/>
  <c r="L278" i="60"/>
  <c r="K278" i="60"/>
  <c r="J278" i="60"/>
  <c r="I278" i="60"/>
  <c r="H278" i="60"/>
  <c r="G278" i="60"/>
  <c r="F278" i="60"/>
  <c r="D278" i="60"/>
  <c r="B278" i="60"/>
  <c r="L277" i="60"/>
  <c r="K277" i="60"/>
  <c r="J277" i="60"/>
  <c r="I277" i="60"/>
  <c r="H277" i="60"/>
  <c r="G277" i="60"/>
  <c r="F277" i="60"/>
  <c r="D277" i="60"/>
  <c r="B277" i="60"/>
  <c r="L276" i="60"/>
  <c r="D276" i="60"/>
  <c r="B276" i="60"/>
  <c r="M274" i="60"/>
  <c r="L274" i="60"/>
  <c r="K274" i="60"/>
  <c r="J274" i="60"/>
  <c r="B276" i="16"/>
  <c r="I282" i="16"/>
  <c r="M282" i="16"/>
  <c r="G278" i="16"/>
  <c r="L277" i="16"/>
  <c r="F279" i="49"/>
  <c r="L277" i="49"/>
  <c r="K277" i="49"/>
  <c r="J274" i="49"/>
  <c r="H281" i="49"/>
  <c r="O282" i="49"/>
  <c r="M282" i="49"/>
  <c r="K282" i="49"/>
  <c r="H282" i="49"/>
  <c r="F282" i="49"/>
  <c r="M281" i="49"/>
  <c r="L281" i="49"/>
  <c r="O276" i="49"/>
  <c r="H276" i="49"/>
  <c r="F276" i="49"/>
  <c r="B276" i="49"/>
  <c r="H276" i="61" l="1"/>
  <c r="B278" i="61"/>
  <c r="E276" i="61"/>
  <c r="I276" i="61"/>
  <c r="G274" i="61"/>
  <c r="F278" i="61"/>
  <c r="I281" i="61"/>
  <c r="I283" i="61" s="1"/>
  <c r="H281" i="61"/>
  <c r="L283" i="61"/>
  <c r="M283" i="61"/>
  <c r="F282" i="61"/>
  <c r="F283" i="61" s="1"/>
  <c r="H282" i="61"/>
  <c r="M275" i="61"/>
  <c r="J275" i="61"/>
  <c r="K275" i="61"/>
  <c r="L275" i="61"/>
  <c r="F275" i="61"/>
  <c r="F274" i="61"/>
  <c r="B276" i="61"/>
  <c r="B281" i="61"/>
  <c r="B283" i="61" s="1"/>
  <c r="B284" i="61" s="1"/>
  <c r="K274" i="61"/>
  <c r="B274" i="61"/>
  <c r="M274" i="61"/>
  <c r="K281" i="61"/>
  <c r="K283" i="61" s="1"/>
  <c r="D275" i="61"/>
  <c r="G275" i="61"/>
  <c r="G276" i="61"/>
  <c r="K278" i="61"/>
  <c r="J282" i="61"/>
  <c r="J283" i="61" s="1"/>
  <c r="G282" i="61"/>
  <c r="G283" i="61" s="1"/>
  <c r="M279" i="61"/>
  <c r="B279" i="61"/>
  <c r="B275" i="61"/>
  <c r="H277" i="61"/>
  <c r="J278" i="61"/>
  <c r="E274" i="60"/>
  <c r="E282" i="60"/>
  <c r="E277" i="60"/>
  <c r="C277" i="60"/>
  <c r="C278" i="60"/>
  <c r="E279" i="60"/>
  <c r="E281" i="60"/>
  <c r="K283" i="60"/>
  <c r="C282" i="60"/>
  <c r="C276" i="60"/>
  <c r="E278" i="60"/>
  <c r="C279" i="60"/>
  <c r="B275" i="60"/>
  <c r="D275" i="60"/>
  <c r="E275" i="60"/>
  <c r="F275" i="60"/>
  <c r="F281" i="60"/>
  <c r="G275" i="60"/>
  <c r="H281" i="60"/>
  <c r="I275" i="60"/>
  <c r="F283" i="60"/>
  <c r="I283" i="60"/>
  <c r="H283" i="60"/>
  <c r="L283" i="60"/>
  <c r="B283" i="60"/>
  <c r="B284" i="60" s="1"/>
  <c r="F282" i="16"/>
  <c r="M276" i="16"/>
  <c r="D274" i="16"/>
  <c r="D276" i="16"/>
  <c r="I276" i="16"/>
  <c r="H281" i="16"/>
  <c r="J282" i="16"/>
  <c r="L282" i="16"/>
  <c r="H278" i="16"/>
  <c r="B277" i="16"/>
  <c r="L281" i="16"/>
  <c r="I278" i="16"/>
  <c r="G276" i="16"/>
  <c r="K281" i="16"/>
  <c r="M281" i="16"/>
  <c r="M283" i="16" s="1"/>
  <c r="D279" i="16"/>
  <c r="H277" i="16"/>
  <c r="M279" i="16"/>
  <c r="K276" i="16"/>
  <c r="L276" i="16"/>
  <c r="G282" i="16"/>
  <c r="H274" i="16"/>
  <c r="I277" i="16"/>
  <c r="M277" i="16"/>
  <c r="F281" i="16"/>
  <c r="I275" i="16"/>
  <c r="K277" i="16"/>
  <c r="J274" i="16"/>
  <c r="J275" i="16"/>
  <c r="F276" i="16"/>
  <c r="F278" i="16"/>
  <c r="H282" i="16"/>
  <c r="I281" i="16"/>
  <c r="I283" i="16" s="1"/>
  <c r="I274" i="16"/>
  <c r="H276" i="16"/>
  <c r="J281" i="16"/>
  <c r="H275" i="16"/>
  <c r="J276" i="16"/>
  <c r="F274" i="16"/>
  <c r="G275" i="16"/>
  <c r="B274" i="16"/>
  <c r="F275" i="16"/>
  <c r="D275" i="16"/>
  <c r="B278" i="16"/>
  <c r="K282" i="16"/>
  <c r="K274" i="16"/>
  <c r="K275" i="16"/>
  <c r="H279" i="16"/>
  <c r="B282" i="16"/>
  <c r="L274" i="16"/>
  <c r="F277" i="16"/>
  <c r="J278" i="16"/>
  <c r="B281" i="16"/>
  <c r="M274" i="16"/>
  <c r="G274" i="16"/>
  <c r="G277" i="16"/>
  <c r="K278" i="16"/>
  <c r="I279" i="16"/>
  <c r="L278" i="16"/>
  <c r="J279" i="16"/>
  <c r="M278" i="16"/>
  <c r="K279" i="16"/>
  <c r="L279" i="16"/>
  <c r="J277" i="16"/>
  <c r="D278" i="16"/>
  <c r="G281" i="16"/>
  <c r="L275" i="16"/>
  <c r="B279" i="16"/>
  <c r="F279" i="16"/>
  <c r="G279" i="16"/>
  <c r="M275" i="16"/>
  <c r="D277" i="16"/>
  <c r="B275" i="16"/>
  <c r="H283" i="49"/>
  <c r="D279" i="49"/>
  <c r="D276" i="49"/>
  <c r="L282" i="49"/>
  <c r="L283" i="49" s="1"/>
  <c r="L284" i="49" s="1"/>
  <c r="K274" i="49"/>
  <c r="M277" i="49"/>
  <c r="L274" i="49"/>
  <c r="N282" i="49"/>
  <c r="M274" i="49"/>
  <c r="B279" i="49"/>
  <c r="D278" i="49"/>
  <c r="L276" i="49"/>
  <c r="H278" i="49"/>
  <c r="M283" i="49"/>
  <c r="M284" i="49" s="1"/>
  <c r="J276" i="49"/>
  <c r="N281" i="49"/>
  <c r="N274" i="49"/>
  <c r="M276" i="49"/>
  <c r="J278" i="49"/>
  <c r="J279" i="49"/>
  <c r="N276" i="49"/>
  <c r="B277" i="49"/>
  <c r="B282" i="49"/>
  <c r="J275" i="49"/>
  <c r="K278" i="49"/>
  <c r="K279" i="49"/>
  <c r="O274" i="49"/>
  <c r="K276" i="49"/>
  <c r="B281" i="49"/>
  <c r="L278" i="49"/>
  <c r="L279" i="49"/>
  <c r="B274" i="49"/>
  <c r="H277" i="49"/>
  <c r="M278" i="49"/>
  <c r="M279" i="49"/>
  <c r="D275" i="49"/>
  <c r="F281" i="49"/>
  <c r="F283" i="49" s="1"/>
  <c r="F275" i="49"/>
  <c r="J277" i="49"/>
  <c r="N278" i="49"/>
  <c r="B278" i="49"/>
  <c r="N279" i="49"/>
  <c r="N277" i="49"/>
  <c r="O281" i="49"/>
  <c r="O283" i="49" s="1"/>
  <c r="O284" i="49" s="1"/>
  <c r="J282" i="49"/>
  <c r="H274" i="49"/>
  <c r="O278" i="49"/>
  <c r="O279" i="49"/>
  <c r="O277" i="49"/>
  <c r="D274" i="49"/>
  <c r="H275" i="49"/>
  <c r="J281" i="49"/>
  <c r="F274" i="49"/>
  <c r="K275" i="49"/>
  <c r="K281" i="49"/>
  <c r="K283" i="49" s="1"/>
  <c r="L275" i="49"/>
  <c r="H279" i="49"/>
  <c r="M275" i="49"/>
  <c r="N275" i="49"/>
  <c r="F278" i="49"/>
  <c r="O275" i="49"/>
  <c r="D277" i="49"/>
  <c r="F277" i="49"/>
  <c r="B275" i="49"/>
  <c r="H283" i="61" l="1"/>
  <c r="E278" i="61"/>
  <c r="E279" i="61"/>
  <c r="C282" i="61"/>
  <c r="E275" i="61"/>
  <c r="E274" i="61"/>
  <c r="C279" i="61"/>
  <c r="C281" i="61"/>
  <c r="C283" i="61" s="1"/>
  <c r="C278" i="61"/>
  <c r="E281" i="61"/>
  <c r="E277" i="61"/>
  <c r="E282" i="61"/>
  <c r="E283" i="60"/>
  <c r="C281" i="60"/>
  <c r="C283" i="60" s="1"/>
  <c r="C275" i="60"/>
  <c r="C274" i="60"/>
  <c r="F283" i="16"/>
  <c r="L283" i="16"/>
  <c r="H283" i="16"/>
  <c r="J283" i="49"/>
  <c r="J284" i="49" s="1"/>
  <c r="K283" i="16"/>
  <c r="J283" i="16"/>
  <c r="G283" i="16"/>
  <c r="B283" i="16"/>
  <c r="C278" i="16"/>
  <c r="E276" i="16"/>
  <c r="E275" i="16"/>
  <c r="E274" i="16"/>
  <c r="E277" i="16"/>
  <c r="E282" i="16"/>
  <c r="C282" i="16"/>
  <c r="E279" i="16"/>
  <c r="E278" i="16"/>
  <c r="E281" i="16"/>
  <c r="N283" i="49"/>
  <c r="N284" i="49" s="1"/>
  <c r="E281" i="49"/>
  <c r="C276" i="49"/>
  <c r="E279" i="49"/>
  <c r="C278" i="49"/>
  <c r="C279" i="49"/>
  <c r="E278" i="49"/>
  <c r="E282" i="49"/>
  <c r="C282" i="49"/>
  <c r="B283" i="49"/>
  <c r="B284" i="49" s="1"/>
  <c r="E277" i="49"/>
  <c r="C274" i="49"/>
  <c r="C275" i="49"/>
  <c r="C281" i="49"/>
  <c r="E276" i="49"/>
  <c r="E275" i="49"/>
  <c r="E274" i="49"/>
  <c r="H284" i="49"/>
  <c r="K284" i="49"/>
  <c r="F284" i="49"/>
  <c r="E283" i="49" l="1"/>
  <c r="E283" i="61"/>
  <c r="C276" i="61"/>
  <c r="C274" i="61"/>
  <c r="C275" i="61"/>
  <c r="C277" i="61"/>
  <c r="C279" i="16"/>
  <c r="C281" i="16"/>
  <c r="C283" i="16" s="1"/>
  <c r="C276" i="16"/>
  <c r="E283" i="16"/>
  <c r="C277" i="16"/>
  <c r="C274" i="16"/>
  <c r="C275" i="16"/>
  <c r="C283" i="49"/>
  <c r="C284" i="49" s="1"/>
  <c r="C277" i="49"/>
  <c r="E284" i="49"/>
  <c r="AG261" i="49" l="1"/>
  <c r="AG260" i="49"/>
  <c r="AG259" i="49"/>
  <c r="AG258" i="49"/>
  <c r="AG257" i="49"/>
  <c r="AG256" i="49"/>
  <c r="AG255" i="49"/>
  <c r="AG254" i="49"/>
  <c r="AG253" i="49"/>
  <c r="AG252" i="49"/>
  <c r="AG251" i="49"/>
  <c r="AG250" i="49"/>
  <c r="AG249" i="49"/>
  <c r="AG248" i="49"/>
  <c r="AG247" i="49"/>
  <c r="AG246" i="49"/>
  <c r="AG245" i="49"/>
  <c r="AG244" i="49"/>
  <c r="AG243" i="49"/>
  <c r="AG242" i="49"/>
  <c r="AG241" i="49"/>
  <c r="AG240" i="49"/>
  <c r="AG239" i="49"/>
  <c r="AG238" i="49"/>
  <c r="AG237" i="49"/>
  <c r="AG236" i="49"/>
  <c r="AG235" i="49"/>
  <c r="AG234" i="49"/>
  <c r="AG233" i="49"/>
  <c r="AG232" i="49"/>
  <c r="AG231" i="49"/>
  <c r="AG230" i="49"/>
  <c r="AG229" i="49"/>
  <c r="AG228" i="49"/>
  <c r="AG227" i="49"/>
  <c r="AG226" i="49"/>
  <c r="AG225" i="49"/>
  <c r="AG224" i="49"/>
  <c r="AG223" i="49"/>
  <c r="AG222" i="49"/>
  <c r="AG221" i="49"/>
  <c r="AG220" i="49"/>
  <c r="AG219" i="49"/>
  <c r="AG218" i="49"/>
  <c r="AG217" i="49"/>
  <c r="AG216" i="49"/>
  <c r="AG215" i="49"/>
  <c r="AG214" i="49"/>
  <c r="AG213" i="49"/>
  <c r="AG212" i="49"/>
  <c r="AG211" i="49"/>
  <c r="AG210" i="49"/>
  <c r="AG209" i="49"/>
  <c r="AG208" i="49"/>
  <c r="AG207" i="49"/>
  <c r="AG206" i="49"/>
  <c r="AG205" i="49"/>
  <c r="AG204" i="49"/>
  <c r="AG203" i="49"/>
  <c r="AG202" i="49"/>
  <c r="AG201" i="49"/>
  <c r="AG200" i="49"/>
  <c r="AG199" i="49"/>
  <c r="AG198" i="49"/>
  <c r="AG197" i="49"/>
  <c r="AG196" i="49"/>
  <c r="AG195" i="49"/>
  <c r="AG194" i="49"/>
  <c r="AG193" i="49"/>
  <c r="AG192" i="49"/>
  <c r="AG191" i="49"/>
  <c r="AG190" i="49"/>
  <c r="AG189" i="49"/>
  <c r="AG188" i="49"/>
  <c r="AG187" i="49"/>
  <c r="AG186" i="49"/>
  <c r="AG185" i="49"/>
  <c r="AG184" i="49"/>
  <c r="AG183" i="49"/>
  <c r="AG182" i="49"/>
  <c r="AG181" i="49"/>
  <c r="AG180" i="49"/>
  <c r="AG179" i="49"/>
  <c r="AG178" i="49"/>
  <c r="AG177" i="49"/>
  <c r="AG176" i="49"/>
  <c r="AG175" i="49"/>
  <c r="AG174" i="49"/>
  <c r="AG173" i="49"/>
  <c r="AG172" i="49"/>
  <c r="AG171" i="49"/>
  <c r="AG170" i="49"/>
  <c r="AG169" i="49"/>
  <c r="AG168" i="49"/>
  <c r="AG167" i="49"/>
  <c r="AG166" i="49"/>
  <c r="AG165" i="49"/>
  <c r="AG164" i="49"/>
  <c r="AG163" i="49"/>
  <c r="AG162" i="49"/>
  <c r="AG161" i="49"/>
  <c r="AG160" i="49"/>
  <c r="AG159" i="49"/>
  <c r="AG158" i="49"/>
  <c r="AG157" i="49"/>
  <c r="AG156" i="49"/>
  <c r="AG155" i="49"/>
  <c r="AG154" i="49"/>
  <c r="AG153" i="49"/>
  <c r="AG152" i="49"/>
  <c r="AG151" i="49"/>
  <c r="AG150" i="49"/>
  <c r="AG149" i="49"/>
  <c r="AG148" i="49"/>
  <c r="AG147" i="49"/>
  <c r="AG146" i="49"/>
  <c r="AG145" i="49"/>
  <c r="AG144" i="49"/>
  <c r="AG143" i="49"/>
  <c r="AG142" i="49"/>
  <c r="AG141" i="49"/>
  <c r="AG140" i="49"/>
  <c r="AG139" i="49"/>
  <c r="AG138" i="49"/>
  <c r="AG137" i="49"/>
  <c r="AG136" i="49"/>
  <c r="AG135" i="49"/>
  <c r="AG134" i="49"/>
  <c r="AG133" i="49"/>
  <c r="AG132" i="49"/>
  <c r="AG131" i="49"/>
  <c r="AG130" i="49"/>
  <c r="AG129" i="49"/>
  <c r="AG128" i="49"/>
  <c r="AG127" i="49"/>
  <c r="AG126" i="49"/>
  <c r="AG125" i="49"/>
  <c r="AG124" i="49"/>
  <c r="AG123" i="49"/>
  <c r="AG122" i="49"/>
  <c r="AG121" i="49"/>
  <c r="AG120" i="49"/>
  <c r="AG119" i="49"/>
  <c r="AG118" i="49"/>
  <c r="AG117" i="49"/>
  <c r="AG116" i="49"/>
  <c r="AG115" i="49"/>
  <c r="AG114" i="49"/>
  <c r="AG113" i="49"/>
  <c r="AG112" i="49"/>
  <c r="AG111" i="49"/>
  <c r="AG110" i="49"/>
  <c r="AG109" i="49"/>
  <c r="AG108" i="49"/>
  <c r="AG107" i="49"/>
  <c r="AG106" i="49"/>
  <c r="AG105" i="49"/>
  <c r="AG104" i="49"/>
  <c r="AG103" i="49"/>
  <c r="AG102" i="49"/>
  <c r="AG101" i="49"/>
  <c r="AG100" i="49"/>
  <c r="AG99" i="49"/>
  <c r="AG98" i="49"/>
  <c r="AG97" i="49"/>
  <c r="AG96" i="49"/>
  <c r="AG95" i="49"/>
  <c r="AG94" i="49"/>
  <c r="AG93" i="49"/>
  <c r="AG92" i="49"/>
  <c r="AG91" i="49"/>
  <c r="AG90" i="49"/>
  <c r="AG89" i="49"/>
  <c r="AG88" i="49"/>
  <c r="AG87" i="49"/>
  <c r="AG86" i="49"/>
  <c r="AG85" i="49"/>
  <c r="AG84" i="49"/>
  <c r="AG83" i="49"/>
  <c r="AG82" i="49"/>
  <c r="AG81" i="49"/>
  <c r="AG80" i="49"/>
  <c r="AG79" i="49"/>
  <c r="AG78" i="49"/>
  <c r="AG77" i="49"/>
  <c r="AG76" i="49"/>
  <c r="AG75" i="49"/>
  <c r="AG74" i="49"/>
  <c r="AG73" i="49"/>
  <c r="AG72" i="49"/>
  <c r="AG71" i="49"/>
  <c r="AG70" i="49"/>
  <c r="AG69" i="49"/>
  <c r="AG68" i="49"/>
  <c r="AG67" i="49"/>
  <c r="AG66" i="49"/>
  <c r="AG65" i="49"/>
  <c r="AG64" i="49"/>
  <c r="AG63" i="49"/>
  <c r="AG62" i="49"/>
  <c r="AG61" i="49"/>
  <c r="AG60" i="49"/>
  <c r="AG59" i="49"/>
  <c r="AG58" i="49"/>
  <c r="AG57" i="49"/>
  <c r="AG56" i="49"/>
  <c r="AG55" i="49"/>
  <c r="AG54" i="49"/>
  <c r="AG53" i="49"/>
  <c r="AG52" i="49"/>
  <c r="AG51" i="49"/>
  <c r="AG50" i="49"/>
  <c r="AG49" i="49"/>
  <c r="AG48" i="49"/>
  <c r="AG47" i="49"/>
  <c r="AG46" i="49"/>
  <c r="AG45" i="49"/>
  <c r="AG44" i="49"/>
  <c r="AG43" i="49"/>
  <c r="AG42" i="49"/>
  <c r="AG41" i="49"/>
  <c r="AG40" i="49"/>
  <c r="AG39" i="49"/>
  <c r="AG38" i="49"/>
  <c r="AG37" i="49"/>
  <c r="AG36" i="49"/>
  <c r="AG35" i="49"/>
  <c r="AG34" i="49"/>
  <c r="AG33" i="49"/>
  <c r="AG32" i="49"/>
  <c r="AG31" i="49"/>
  <c r="AG30" i="49"/>
  <c r="AG29" i="49"/>
  <c r="AG28" i="49"/>
  <c r="AG27" i="49"/>
  <c r="AG26" i="49"/>
  <c r="AG25" i="49"/>
  <c r="AG24" i="49"/>
  <c r="AG23" i="49"/>
  <c r="AG22" i="49"/>
  <c r="AG21" i="49"/>
  <c r="AG20" i="49"/>
  <c r="AG19" i="49"/>
  <c r="AG18" i="49"/>
  <c r="AG17" i="49"/>
  <c r="AG16" i="49"/>
  <c r="AG15" i="49"/>
  <c r="AG14" i="49"/>
  <c r="AG13" i="49"/>
  <c r="AG12" i="49"/>
  <c r="AG11" i="49"/>
  <c r="AG10" i="49"/>
  <c r="AG9" i="49"/>
  <c r="AG8" i="49"/>
  <c r="AG7" i="49"/>
  <c r="AG6" i="49"/>
  <c r="AG5" i="49"/>
  <c r="AG4" i="49"/>
  <c r="P261" i="49"/>
  <c r="P260" i="49"/>
  <c r="P259" i="49"/>
  <c r="P258" i="49"/>
  <c r="P257" i="49"/>
  <c r="P256" i="49"/>
  <c r="P255" i="49"/>
  <c r="P254" i="49"/>
  <c r="P253" i="49"/>
  <c r="P252" i="49"/>
  <c r="P251" i="49"/>
  <c r="P250" i="49"/>
  <c r="P249" i="49"/>
  <c r="P248" i="49"/>
  <c r="P247" i="49"/>
  <c r="P246" i="49"/>
  <c r="P245" i="49"/>
  <c r="P244" i="49"/>
  <c r="P243" i="49"/>
  <c r="P242" i="49"/>
  <c r="P241" i="49"/>
  <c r="P240" i="49"/>
  <c r="P239" i="49"/>
  <c r="P238" i="49"/>
  <c r="P237" i="49"/>
  <c r="P236" i="49"/>
  <c r="P235" i="49"/>
  <c r="P234" i="49"/>
  <c r="P233" i="49"/>
  <c r="P232" i="49"/>
  <c r="P231" i="49"/>
  <c r="P230" i="49"/>
  <c r="P229" i="49"/>
  <c r="P228" i="49"/>
  <c r="P227" i="49"/>
  <c r="P226" i="49"/>
  <c r="P225" i="49"/>
  <c r="P224" i="49"/>
  <c r="P223" i="49"/>
  <c r="P222" i="49"/>
  <c r="P221" i="49"/>
  <c r="P220" i="49"/>
  <c r="P219" i="49"/>
  <c r="P218" i="49"/>
  <c r="P217" i="49"/>
  <c r="P216" i="49"/>
  <c r="P215" i="49"/>
  <c r="P214" i="49"/>
  <c r="P213" i="49"/>
  <c r="P212" i="49"/>
  <c r="P211" i="49"/>
  <c r="P210" i="49"/>
  <c r="P209" i="49"/>
  <c r="P208" i="49"/>
  <c r="P207" i="49"/>
  <c r="P206" i="49"/>
  <c r="P205" i="49"/>
  <c r="P204" i="49"/>
  <c r="P203" i="49"/>
  <c r="P202" i="49"/>
  <c r="P201" i="49"/>
  <c r="P200" i="49"/>
  <c r="P199" i="49"/>
  <c r="P198" i="49"/>
  <c r="P197" i="49"/>
  <c r="P196" i="49"/>
  <c r="P195" i="49"/>
  <c r="P194" i="49"/>
  <c r="P193" i="49"/>
  <c r="P192" i="49"/>
  <c r="P191" i="49"/>
  <c r="P190" i="49"/>
  <c r="P189" i="49"/>
  <c r="P188" i="49"/>
  <c r="P187" i="49"/>
  <c r="P186" i="49"/>
  <c r="P185" i="49"/>
  <c r="P184" i="49"/>
  <c r="P183" i="49"/>
  <c r="P182" i="49"/>
  <c r="P181" i="49"/>
  <c r="P180" i="49"/>
  <c r="P179" i="49"/>
  <c r="P178" i="49"/>
  <c r="P177" i="49"/>
  <c r="P176" i="49"/>
  <c r="P175" i="49"/>
  <c r="P174" i="49"/>
  <c r="P173" i="49"/>
  <c r="P172" i="49"/>
  <c r="P171" i="49"/>
  <c r="P170" i="49"/>
  <c r="P169" i="49"/>
  <c r="P168" i="49"/>
  <c r="P167" i="49"/>
  <c r="P166" i="49"/>
  <c r="P165" i="49"/>
  <c r="P164" i="49"/>
  <c r="P163" i="49"/>
  <c r="P162" i="49"/>
  <c r="P161" i="49"/>
  <c r="P160" i="49"/>
  <c r="P159" i="49"/>
  <c r="P158" i="49"/>
  <c r="P157" i="49"/>
  <c r="P156" i="49"/>
  <c r="P155" i="49"/>
  <c r="P154" i="49"/>
  <c r="P153" i="49"/>
  <c r="P152" i="49"/>
  <c r="P151" i="49"/>
  <c r="P150" i="49"/>
  <c r="P149" i="49"/>
  <c r="P148" i="49"/>
  <c r="P147" i="49"/>
  <c r="P146" i="49"/>
  <c r="P145" i="49"/>
  <c r="P144" i="49"/>
  <c r="P143" i="49"/>
  <c r="P142" i="49"/>
  <c r="P141" i="49"/>
  <c r="P140" i="49"/>
  <c r="P139" i="49"/>
  <c r="P138" i="49"/>
  <c r="P137" i="49"/>
  <c r="P136" i="49"/>
  <c r="P135" i="49"/>
  <c r="P134" i="49"/>
  <c r="P133" i="49"/>
  <c r="P132" i="49"/>
  <c r="P131" i="49"/>
  <c r="P130" i="49"/>
  <c r="P129" i="49"/>
  <c r="P128" i="49"/>
  <c r="P127" i="49"/>
  <c r="P126" i="49"/>
  <c r="P125" i="49"/>
  <c r="P124" i="49"/>
  <c r="P123" i="49"/>
  <c r="P122" i="49"/>
  <c r="P121" i="49"/>
  <c r="P120" i="49"/>
  <c r="P119" i="49"/>
  <c r="P118" i="49"/>
  <c r="P117" i="49"/>
  <c r="P116" i="49"/>
  <c r="P115" i="49"/>
  <c r="P114" i="49"/>
  <c r="P113" i="49"/>
  <c r="P112" i="49"/>
  <c r="P111" i="49"/>
  <c r="P110" i="49"/>
  <c r="P109" i="49"/>
  <c r="P108" i="49"/>
  <c r="P107" i="49"/>
  <c r="P106" i="49"/>
  <c r="P105" i="49"/>
  <c r="P104" i="49"/>
  <c r="P103" i="49"/>
  <c r="P102" i="49"/>
  <c r="P101" i="49"/>
  <c r="P100" i="49"/>
  <c r="P99" i="49"/>
  <c r="P98" i="49"/>
  <c r="P97" i="49"/>
  <c r="P96" i="49"/>
  <c r="P95" i="49"/>
  <c r="P94" i="49"/>
  <c r="P93" i="49"/>
  <c r="P92" i="49"/>
  <c r="P91" i="49"/>
  <c r="P90" i="49"/>
  <c r="P89" i="49"/>
  <c r="P88" i="49"/>
  <c r="P87" i="49"/>
  <c r="P86" i="49"/>
  <c r="P85" i="49"/>
  <c r="P84" i="49"/>
  <c r="P83" i="49"/>
  <c r="P82" i="49"/>
  <c r="P81" i="49"/>
  <c r="P80" i="49"/>
  <c r="P79" i="49"/>
  <c r="P78" i="49"/>
  <c r="P77" i="49"/>
  <c r="P76" i="49"/>
  <c r="P75" i="49"/>
  <c r="P74" i="49"/>
  <c r="P73" i="49"/>
  <c r="P72" i="49"/>
  <c r="P71" i="49"/>
  <c r="P70" i="49"/>
  <c r="P69" i="49"/>
  <c r="P68" i="49"/>
  <c r="P67" i="49"/>
  <c r="P66" i="49"/>
  <c r="P65" i="49"/>
  <c r="P64" i="49"/>
  <c r="P63" i="49"/>
  <c r="P62" i="49"/>
  <c r="P61" i="49"/>
  <c r="P60" i="49"/>
  <c r="P59" i="49"/>
  <c r="P58" i="49"/>
  <c r="P57" i="49"/>
  <c r="P56" i="49"/>
  <c r="P55" i="49"/>
  <c r="P54" i="49"/>
  <c r="P53" i="49"/>
  <c r="P52" i="49"/>
  <c r="P51" i="49"/>
  <c r="P50" i="49"/>
  <c r="P49" i="49"/>
  <c r="P48" i="49"/>
  <c r="P47" i="49"/>
  <c r="P46" i="49"/>
  <c r="P45" i="49"/>
  <c r="P44" i="49"/>
  <c r="P43" i="49"/>
  <c r="P42" i="49"/>
  <c r="P41" i="49"/>
  <c r="P40" i="49"/>
  <c r="P39" i="49"/>
  <c r="P38" i="49"/>
  <c r="P37" i="49"/>
  <c r="P36" i="49"/>
  <c r="P35" i="49"/>
  <c r="P34" i="49"/>
  <c r="P33" i="49"/>
  <c r="P32" i="49"/>
  <c r="P31" i="49"/>
  <c r="P30" i="49"/>
  <c r="P29" i="49"/>
  <c r="P28" i="49"/>
  <c r="P27" i="49"/>
  <c r="P26" i="49"/>
  <c r="P25" i="49"/>
  <c r="P24" i="49"/>
  <c r="P23" i="49"/>
  <c r="P22" i="49"/>
  <c r="P21" i="49"/>
  <c r="P20" i="49"/>
  <c r="P19" i="49"/>
  <c r="P18" i="49"/>
  <c r="P17" i="49"/>
  <c r="P16" i="49"/>
  <c r="P15" i="49"/>
  <c r="P14" i="49"/>
  <c r="P13" i="49"/>
  <c r="P12" i="49"/>
  <c r="P11" i="49"/>
  <c r="P10" i="49"/>
  <c r="P9" i="49"/>
  <c r="P8" i="49"/>
  <c r="P7" i="49"/>
  <c r="P6" i="49"/>
  <c r="P5" i="49"/>
  <c r="P4" i="49"/>
  <c r="W264" i="49" l="1"/>
  <c r="R239" i="49"/>
  <c r="R238" i="49"/>
  <c r="R237" i="49"/>
  <c r="R236" i="49"/>
  <c r="R235" i="49"/>
  <c r="R234" i="49"/>
  <c r="R233" i="49"/>
  <c r="R232" i="49"/>
  <c r="R231" i="49"/>
  <c r="R230" i="49"/>
  <c r="R229" i="49"/>
  <c r="R228" i="49"/>
  <c r="R227" i="49"/>
  <c r="R226" i="49"/>
  <c r="R225" i="49"/>
  <c r="R224" i="49"/>
  <c r="R223" i="49"/>
  <c r="R222" i="49"/>
  <c r="R221" i="49"/>
  <c r="R220" i="49"/>
  <c r="R219" i="49"/>
  <c r="R218" i="49"/>
  <c r="R217" i="49"/>
  <c r="R216" i="49"/>
  <c r="R215" i="49"/>
  <c r="R214" i="49"/>
  <c r="R213" i="49"/>
  <c r="R212" i="49"/>
  <c r="R211" i="49"/>
  <c r="R210" i="49"/>
  <c r="R209" i="49"/>
  <c r="R208" i="49"/>
  <c r="R207" i="49"/>
  <c r="R206" i="49"/>
  <c r="R205" i="49"/>
  <c r="R204" i="49"/>
  <c r="R203" i="49"/>
  <c r="R202" i="49"/>
  <c r="R201" i="49"/>
  <c r="R200" i="49"/>
  <c r="R199" i="49"/>
  <c r="R198" i="49"/>
  <c r="R197" i="49"/>
  <c r="R196" i="49"/>
  <c r="R195" i="49"/>
  <c r="R194" i="49"/>
  <c r="R193" i="49"/>
  <c r="R192" i="49"/>
  <c r="R191" i="49"/>
  <c r="R190" i="49"/>
  <c r="R189" i="49"/>
  <c r="R188" i="49"/>
  <c r="R187" i="49"/>
  <c r="R186" i="49"/>
  <c r="R185" i="49"/>
  <c r="R184" i="49"/>
  <c r="R183" i="49"/>
  <c r="R182" i="49"/>
  <c r="R181" i="49"/>
  <c r="R180" i="49"/>
  <c r="R179" i="49"/>
  <c r="R178" i="49"/>
  <c r="R177" i="49"/>
  <c r="R176" i="49"/>
  <c r="R175" i="49"/>
  <c r="R174" i="49"/>
  <c r="R173" i="49"/>
  <c r="R172" i="49"/>
  <c r="R171" i="49"/>
  <c r="R170" i="49"/>
  <c r="R169" i="49"/>
  <c r="R168" i="49"/>
  <c r="R167" i="49"/>
  <c r="R166" i="49"/>
  <c r="R165" i="49"/>
  <c r="R164" i="49"/>
  <c r="R163" i="49"/>
  <c r="R162" i="49"/>
  <c r="R161" i="49"/>
  <c r="R160" i="49"/>
  <c r="R159" i="49"/>
  <c r="R158" i="49"/>
  <c r="R157" i="49"/>
  <c r="R156" i="49"/>
  <c r="R155" i="49"/>
  <c r="R154" i="49"/>
  <c r="R153" i="49"/>
  <c r="R152" i="49"/>
  <c r="R151" i="49"/>
  <c r="R150" i="49"/>
  <c r="R149" i="49"/>
  <c r="R148" i="49"/>
  <c r="R147" i="49"/>
  <c r="R146" i="49"/>
  <c r="R145" i="49"/>
  <c r="R144" i="49"/>
  <c r="R143" i="49"/>
  <c r="R142" i="49"/>
  <c r="R141" i="49"/>
  <c r="R140" i="49"/>
  <c r="R139" i="49"/>
  <c r="R138" i="49"/>
  <c r="R137" i="49"/>
  <c r="R136" i="49"/>
  <c r="R135" i="49"/>
  <c r="R134" i="49"/>
  <c r="R133" i="49"/>
  <c r="R132" i="49"/>
  <c r="R131" i="49"/>
  <c r="R130" i="49"/>
  <c r="R129" i="49"/>
  <c r="R128" i="49"/>
  <c r="R127" i="49"/>
  <c r="R126" i="49"/>
  <c r="R125" i="49"/>
  <c r="R124" i="49"/>
  <c r="R123" i="49"/>
  <c r="R122" i="49"/>
  <c r="R119" i="49"/>
  <c r="R118" i="49"/>
  <c r="R117" i="49"/>
  <c r="R116" i="49"/>
  <c r="R114" i="49"/>
  <c r="R113" i="49"/>
  <c r="R112" i="49"/>
  <c r="R111" i="49"/>
  <c r="R110" i="49"/>
  <c r="R109" i="49"/>
  <c r="R108" i="49"/>
  <c r="R107" i="49"/>
  <c r="R106" i="49"/>
  <c r="R105" i="49"/>
  <c r="R104" i="49"/>
  <c r="R103" i="49"/>
  <c r="R102" i="49"/>
  <c r="R101" i="49"/>
  <c r="R100" i="49"/>
  <c r="R99" i="49"/>
  <c r="R98" i="49"/>
  <c r="R97" i="49"/>
  <c r="R96" i="49"/>
  <c r="R95" i="49"/>
  <c r="R94" i="49"/>
  <c r="R93" i="49"/>
  <c r="R92" i="49"/>
  <c r="R91" i="49"/>
  <c r="R90" i="49"/>
  <c r="R89" i="49"/>
  <c r="R88" i="49"/>
  <c r="R87" i="49"/>
  <c r="R86" i="49"/>
  <c r="R85" i="49"/>
  <c r="R84" i="49"/>
  <c r="R83" i="49"/>
  <c r="R82" i="49"/>
  <c r="R81" i="49"/>
  <c r="R80" i="49"/>
  <c r="R79" i="49"/>
  <c r="R78" i="49"/>
  <c r="R77" i="49"/>
  <c r="R76" i="49"/>
  <c r="R75" i="49"/>
  <c r="R74" i="49"/>
  <c r="R73" i="49"/>
  <c r="R72" i="49"/>
  <c r="R71" i="49"/>
  <c r="R70" i="49"/>
  <c r="R69" i="49"/>
  <c r="R68" i="49"/>
  <c r="R67" i="49"/>
  <c r="R66" i="49"/>
  <c r="R65" i="49"/>
  <c r="R64" i="49"/>
  <c r="R62" i="49"/>
  <c r="R61" i="49"/>
  <c r="R60" i="49"/>
  <c r="R59" i="49"/>
  <c r="R58" i="49"/>
  <c r="R57" i="49"/>
  <c r="R56" i="49"/>
  <c r="R55" i="49"/>
  <c r="R54" i="49"/>
  <c r="R53" i="49"/>
  <c r="R52" i="49"/>
  <c r="R51" i="49"/>
  <c r="R50" i="49"/>
  <c r="R49" i="49"/>
  <c r="R48" i="49"/>
  <c r="R47" i="49"/>
  <c r="R46" i="49"/>
  <c r="R45" i="49"/>
  <c r="R44" i="49"/>
  <c r="R43" i="49"/>
  <c r="R42" i="49"/>
  <c r="R41" i="49"/>
  <c r="R40" i="49"/>
  <c r="R39" i="49"/>
  <c r="R38" i="49"/>
  <c r="R37" i="49"/>
  <c r="R36" i="49"/>
  <c r="R35" i="49"/>
  <c r="R34" i="49"/>
  <c r="R33" i="49"/>
  <c r="R32" i="49"/>
  <c r="R31" i="49"/>
  <c r="R30" i="49"/>
  <c r="R29" i="49"/>
  <c r="R28" i="49"/>
  <c r="R27" i="49"/>
  <c r="R26" i="49"/>
  <c r="R24" i="49"/>
  <c r="R23" i="49"/>
  <c r="R22" i="49"/>
  <c r="R21" i="49"/>
  <c r="R20" i="49"/>
  <c r="R19" i="49"/>
  <c r="R18" i="49"/>
  <c r="R17" i="49"/>
  <c r="R16" i="49"/>
  <c r="R15" i="49"/>
  <c r="R14" i="49"/>
  <c r="R13" i="49"/>
  <c r="R12" i="49"/>
  <c r="R11" i="49"/>
  <c r="R10" i="49"/>
  <c r="R9" i="49"/>
  <c r="R8" i="49"/>
  <c r="R7" i="49"/>
  <c r="R6" i="49"/>
  <c r="R5" i="49"/>
  <c r="R4" i="49"/>
  <c r="Q143" i="49" l="1"/>
  <c r="Q28" i="49"/>
  <c r="Q206" i="49"/>
  <c r="Q174" i="49"/>
  <c r="Q126" i="49"/>
  <c r="Q91" i="49"/>
  <c r="Q59" i="49"/>
  <c r="Q10" i="49"/>
  <c r="Q237" i="49"/>
  <c r="Q221" i="49"/>
  <c r="Q205" i="49"/>
  <c r="Q189" i="49"/>
  <c r="Q173" i="49"/>
  <c r="Q157" i="49"/>
  <c r="Q141" i="49"/>
  <c r="Q125" i="49"/>
  <c r="Q106" i="49"/>
  <c r="Q90" i="49"/>
  <c r="Q74" i="49"/>
  <c r="Q58" i="49"/>
  <c r="Q42" i="49"/>
  <c r="Q26" i="49"/>
  <c r="Q9" i="49"/>
  <c r="Q207" i="49"/>
  <c r="Q44" i="49"/>
  <c r="Q222" i="49"/>
  <c r="Q158" i="49"/>
  <c r="Q27" i="49"/>
  <c r="Q236" i="49"/>
  <c r="Q220" i="49"/>
  <c r="Q204" i="49"/>
  <c r="Q188" i="49"/>
  <c r="Q172" i="49"/>
  <c r="Q156" i="49"/>
  <c r="Q140" i="49"/>
  <c r="Q124" i="49"/>
  <c r="Q105" i="49"/>
  <c r="Q89" i="49"/>
  <c r="Q73" i="49"/>
  <c r="Q57" i="49"/>
  <c r="Q41" i="49"/>
  <c r="Q24" i="49"/>
  <c r="Q8" i="49"/>
  <c r="Q92" i="49"/>
  <c r="Q238" i="49"/>
  <c r="Q190" i="49"/>
  <c r="Q142" i="49"/>
  <c r="Q107" i="49"/>
  <c r="Q75" i="49"/>
  <c r="Q43" i="49"/>
  <c r="Q235" i="49"/>
  <c r="Q219" i="49"/>
  <c r="Q203" i="49"/>
  <c r="Q187" i="49"/>
  <c r="Q171" i="49"/>
  <c r="Q155" i="49"/>
  <c r="Q139" i="49"/>
  <c r="Q123" i="49"/>
  <c r="Q104" i="49"/>
  <c r="Q88" i="49"/>
  <c r="Q72" i="49"/>
  <c r="Q56" i="49"/>
  <c r="Q40" i="49"/>
  <c r="Q23" i="49"/>
  <c r="Q7" i="49"/>
  <c r="Q234" i="49"/>
  <c r="Q218" i="49"/>
  <c r="Q202" i="49"/>
  <c r="Q186" i="49"/>
  <c r="Q170" i="49"/>
  <c r="Q154" i="49"/>
  <c r="Q138" i="49"/>
  <c r="Q122" i="49"/>
  <c r="Q103" i="49"/>
  <c r="Q87" i="49"/>
  <c r="Q71" i="49"/>
  <c r="Q55" i="49"/>
  <c r="Q39" i="49"/>
  <c r="Q22" i="49"/>
  <c r="Q6" i="49"/>
  <c r="Q233" i="49"/>
  <c r="Q217" i="49"/>
  <c r="Q201" i="49"/>
  <c r="Q185" i="49"/>
  <c r="Q169" i="49"/>
  <c r="Q153" i="49"/>
  <c r="Q137" i="49"/>
  <c r="Q119" i="49"/>
  <c r="Q102" i="49"/>
  <c r="Q86" i="49"/>
  <c r="Q70" i="49"/>
  <c r="Q54" i="49"/>
  <c r="Q38" i="49"/>
  <c r="Q21" i="49"/>
  <c r="Q5" i="49"/>
  <c r="Q232" i="49"/>
  <c r="Q216" i="49"/>
  <c r="Q200" i="49"/>
  <c r="Q184" i="49"/>
  <c r="Q168" i="49"/>
  <c r="Q152" i="49"/>
  <c r="Q136" i="49"/>
  <c r="Q118" i="49"/>
  <c r="Q101" i="49"/>
  <c r="Q85" i="49"/>
  <c r="Q69" i="49"/>
  <c r="Q53" i="49"/>
  <c r="Q37" i="49"/>
  <c r="Q20" i="49"/>
  <c r="Q231" i="49"/>
  <c r="Q215" i="49"/>
  <c r="Q199" i="49"/>
  <c r="Q183" i="49"/>
  <c r="Q167" i="49"/>
  <c r="Q151" i="49"/>
  <c r="Q135" i="49"/>
  <c r="Q117" i="49"/>
  <c r="Q100" i="49"/>
  <c r="Q84" i="49"/>
  <c r="Q68" i="49"/>
  <c r="Q52" i="49"/>
  <c r="Q36" i="49"/>
  <c r="Q19" i="49"/>
  <c r="Q230" i="49"/>
  <c r="Q214" i="49"/>
  <c r="Q198" i="49"/>
  <c r="Q182" i="49"/>
  <c r="Q166" i="49"/>
  <c r="Q150" i="49"/>
  <c r="Q134" i="49"/>
  <c r="Q116" i="49"/>
  <c r="Q99" i="49"/>
  <c r="Q83" i="49"/>
  <c r="Q67" i="49"/>
  <c r="Q51" i="49"/>
  <c r="Q35" i="49"/>
  <c r="Q18" i="49"/>
  <c r="Q229" i="49"/>
  <c r="Q213" i="49"/>
  <c r="Q197" i="49"/>
  <c r="Q181" i="49"/>
  <c r="Q165" i="49"/>
  <c r="Q149" i="49"/>
  <c r="Q133" i="49"/>
  <c r="Q114" i="49"/>
  <c r="Q98" i="49"/>
  <c r="Q82" i="49"/>
  <c r="Q66" i="49"/>
  <c r="Q50" i="49"/>
  <c r="Q34" i="49"/>
  <c r="Q17" i="49"/>
  <c r="Q228" i="49"/>
  <c r="Q212" i="49"/>
  <c r="Q196" i="49"/>
  <c r="Q180" i="49"/>
  <c r="Q164" i="49"/>
  <c r="Q148" i="49"/>
  <c r="Q132" i="49"/>
  <c r="Q113" i="49"/>
  <c r="Q97" i="49"/>
  <c r="Q81" i="49"/>
  <c r="Q65" i="49"/>
  <c r="Q49" i="49"/>
  <c r="Q33" i="49"/>
  <c r="Q16" i="49"/>
  <c r="Q227" i="49"/>
  <c r="Q211" i="49"/>
  <c r="Q195" i="49"/>
  <c r="Q179" i="49"/>
  <c r="Q163" i="49"/>
  <c r="Q147" i="49"/>
  <c r="Q131" i="49"/>
  <c r="Q112" i="49"/>
  <c r="Q96" i="49"/>
  <c r="Q80" i="49"/>
  <c r="Q64" i="49"/>
  <c r="Q48" i="49"/>
  <c r="Q32" i="49"/>
  <c r="Q15" i="49"/>
  <c r="Q223" i="49"/>
  <c r="Q60" i="49"/>
  <c r="Q226" i="49"/>
  <c r="Q210" i="49"/>
  <c r="Q194" i="49"/>
  <c r="Q178" i="49"/>
  <c r="Q162" i="49"/>
  <c r="Q146" i="49"/>
  <c r="Q130" i="49"/>
  <c r="Q111" i="49"/>
  <c r="Q95" i="49"/>
  <c r="Q79" i="49"/>
  <c r="Q47" i="49"/>
  <c r="Q31" i="49"/>
  <c r="Q14" i="49"/>
  <c r="Q191" i="49"/>
  <c r="Q159" i="49"/>
  <c r="Q127" i="49"/>
  <c r="Q76" i="49"/>
  <c r="Q4" i="49"/>
  <c r="Q225" i="49"/>
  <c r="Q209" i="49"/>
  <c r="Q193" i="49"/>
  <c r="Q177" i="49"/>
  <c r="Q161" i="49"/>
  <c r="Q145" i="49"/>
  <c r="Q129" i="49"/>
  <c r="Q110" i="49"/>
  <c r="Q94" i="49"/>
  <c r="Q78" i="49"/>
  <c r="Q62" i="49"/>
  <c r="Q46" i="49"/>
  <c r="Q30" i="49"/>
  <c r="Q13" i="49"/>
  <c r="Q175" i="49"/>
  <c r="Q108" i="49"/>
  <c r="Q11" i="49"/>
  <c r="Q224" i="49"/>
  <c r="Q208" i="49"/>
  <c r="Q192" i="49"/>
  <c r="Q176" i="49"/>
  <c r="Q160" i="49"/>
  <c r="Q144" i="49"/>
  <c r="Q128" i="49"/>
  <c r="Q109" i="49"/>
  <c r="Q93" i="49"/>
  <c r="Q77" i="49"/>
  <c r="Q61" i="49"/>
  <c r="Q45" i="49"/>
  <c r="Q29" i="49"/>
  <c r="Q12" i="49"/>
  <c r="Q239" i="49" l="1"/>
  <c r="B284" i="1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64" authorId="0" shapeId="0" xr:uid="{94DF692A-DFC1-4A69-8F17-AAB840287C3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감가상각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결산분개</t>
        </r>
        <r>
          <rPr>
            <sz val="9"/>
            <color indexed="81"/>
            <rFont val="Tahoma"/>
            <family val="2"/>
          </rPr>
          <t xml:space="preserve"> (</t>
        </r>
        <r>
          <rPr>
            <sz val="9"/>
            <color indexed="81"/>
            <rFont val="돋움"/>
            <family val="3"/>
            <charset val="129"/>
          </rPr>
          <t>月</t>
        </r>
        <r>
          <rPr>
            <sz val="9"/>
            <color indexed="81"/>
            <rFont val="Tahoma"/>
            <family val="2"/>
          </rPr>
          <t xml:space="preserve"> 80</t>
        </r>
        <r>
          <rPr>
            <sz val="9"/>
            <color indexed="81"/>
            <rFont val="돋움"/>
            <family val="3"/>
            <charset val="129"/>
          </rPr>
          <t>만</t>
        </r>
        <r>
          <rPr>
            <sz val="9"/>
            <color indexed="81"/>
            <rFont val="Tahoma"/>
            <family val="2"/>
          </rPr>
          <t>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8" authorId="0" shapeId="0" xr:uid="{EE0B79B6-ADC6-43C8-91B3-37824F28DA2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정책수수료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8" authorId="0" shapeId="0" xr:uid="{C24839B9-6962-4A34-ABE4-B13248153AC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KT</t>
        </r>
        <r>
          <rPr>
            <sz val="9"/>
            <color indexed="81"/>
            <rFont val="돋움"/>
            <family val="3"/>
            <charset val="129"/>
          </rPr>
          <t>닷컴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수수료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조정분
</t>
        </r>
      </text>
    </comment>
  </commentList>
</comments>
</file>

<file path=xl/sharedStrings.xml><?xml version="1.0" encoding="utf-8"?>
<sst xmlns="http://schemas.openxmlformats.org/spreadsheetml/2006/main" count="4381" uniqueCount="436">
  <si>
    <t>매            출</t>
  </si>
  <si>
    <t xml:space="preserve"> 상    품   매   출</t>
  </si>
  <si>
    <t xml:space="preserve">  상품단말기매출-고객</t>
  </si>
  <si>
    <t xml:space="preserve">  상품단말기매출-판매점</t>
  </si>
  <si>
    <t xml:space="preserve">  상품매출액-채권승계</t>
  </si>
  <si>
    <t xml:space="preserve">  상품매출액-신용카드매출</t>
  </si>
  <si>
    <t xml:space="preserve">  상품매출액-보험매출</t>
  </si>
  <si>
    <t xml:space="preserve"> 수수료수입</t>
  </si>
  <si>
    <t xml:space="preserve">  수수료수입-KT(RDS)</t>
  </si>
  <si>
    <t xml:space="preserve">  수수료수입-기타</t>
  </si>
  <si>
    <t xml:space="preserve">  수수료수입-관리</t>
  </si>
  <si>
    <t xml:space="preserve">  수수료수입-매장성</t>
  </si>
  <si>
    <t xml:space="preserve">  수수료수입-유선</t>
  </si>
  <si>
    <t xml:space="preserve">  수수료수입-정책</t>
  </si>
  <si>
    <t>매   출  원   가</t>
  </si>
  <si>
    <t xml:space="preserve"> 상 품 매 출  원 가</t>
  </si>
  <si>
    <t>매  출 총 이  익</t>
  </si>
  <si>
    <t>판매비와일반관리비</t>
  </si>
  <si>
    <t xml:space="preserve"> 임   원    급   여</t>
  </si>
  <si>
    <t xml:space="preserve"> 직   원    급   여</t>
  </si>
  <si>
    <t xml:space="preserve">  급료와임금</t>
  </si>
  <si>
    <t xml:space="preserve">  초과근무수당</t>
  </si>
  <si>
    <t xml:space="preserve">  직책수당</t>
  </si>
  <si>
    <t xml:space="preserve">  휴일근무수당</t>
  </si>
  <si>
    <t xml:space="preserve">  제수당기타</t>
  </si>
  <si>
    <t xml:space="preserve">  복리급식보조비</t>
  </si>
  <si>
    <t xml:space="preserve">  급료와임금-영업직</t>
  </si>
  <si>
    <t xml:space="preserve">  초과근무수당-영업직</t>
  </si>
  <si>
    <t xml:space="preserve">  직책수당-영업직</t>
  </si>
  <si>
    <t xml:space="preserve">  복리급식보조비-영업직</t>
  </si>
  <si>
    <t xml:space="preserve">  연차수당-영업직</t>
  </si>
  <si>
    <t xml:space="preserve">  휴일근무수당-영업직</t>
  </si>
  <si>
    <t xml:space="preserve">  제수당기타-영업직</t>
  </si>
  <si>
    <t xml:space="preserve"> 상      여      금</t>
  </si>
  <si>
    <t xml:space="preserve">  정기상여수당</t>
  </si>
  <si>
    <t xml:space="preserve">  정기상여수당-영업직</t>
  </si>
  <si>
    <t xml:space="preserve"> 퇴직급여충당금전입</t>
  </si>
  <si>
    <t xml:space="preserve">  퇴직급여충당금전입_부서별</t>
  </si>
  <si>
    <t xml:space="preserve"> 복  리  후  생  비</t>
  </si>
  <si>
    <t xml:space="preserve">  복리임원자기계발비</t>
  </si>
  <si>
    <t xml:space="preserve">  복리산재보험료</t>
  </si>
  <si>
    <t xml:space="preserve">  복리건강보험료</t>
  </si>
  <si>
    <t xml:space="preserve">  복리국민연금</t>
  </si>
  <si>
    <t xml:space="preserve">  복리고용보험료</t>
  </si>
  <si>
    <t xml:space="preserve">  복리포인트(마케팅)</t>
  </si>
  <si>
    <t xml:space="preserve">  복리포인트(사업)</t>
  </si>
  <si>
    <t xml:space="preserve">  복리기타</t>
  </si>
  <si>
    <t xml:space="preserve">  복리기타-생수</t>
  </si>
  <si>
    <t xml:space="preserve">  복리의료비(일반)</t>
  </si>
  <si>
    <t xml:space="preserve">  복리의료비(치과)</t>
  </si>
  <si>
    <t xml:space="preserve">  복리경조비_일반직</t>
  </si>
  <si>
    <t xml:space="preserve">  복리경조비_영업직</t>
  </si>
  <si>
    <t xml:space="preserve">  복리자녀학자금_일반직</t>
  </si>
  <si>
    <t xml:space="preserve">  복리포인트</t>
  </si>
  <si>
    <t xml:space="preserve">  복리놀이공원이용지원</t>
  </si>
  <si>
    <t xml:space="preserve">  복리휴양시설이용지원</t>
  </si>
  <si>
    <t xml:space="preserve">  복리포인트(유선)</t>
  </si>
  <si>
    <t xml:space="preserve"> 여  비  교  통  비</t>
  </si>
  <si>
    <t xml:space="preserve">  국내출장비</t>
  </si>
  <si>
    <t xml:space="preserve"> 통      신      비</t>
  </si>
  <si>
    <t xml:space="preserve">  통신-국내외전화료</t>
  </si>
  <si>
    <t xml:space="preserve">  통신-이동통신비</t>
  </si>
  <si>
    <t xml:space="preserve">  통신-정보통신이용료</t>
  </si>
  <si>
    <t xml:space="preserve">  통신-우편료(기본)</t>
  </si>
  <si>
    <t xml:space="preserve"> 수  도  광  열  비</t>
  </si>
  <si>
    <t xml:space="preserve">  수도광열전기료</t>
  </si>
  <si>
    <t xml:space="preserve"> 감  가  상  각  비</t>
  </si>
  <si>
    <t xml:space="preserve"> 지  급  임  차  료</t>
  </si>
  <si>
    <t xml:space="preserve">  임차료-렌트카</t>
  </si>
  <si>
    <t xml:space="preserve">  임차료-건물</t>
  </si>
  <si>
    <t xml:space="preserve">  임차료-관리비</t>
  </si>
  <si>
    <t xml:space="preserve"> 보      험      료</t>
  </si>
  <si>
    <t xml:space="preserve">  보험화재보험료</t>
  </si>
  <si>
    <t xml:space="preserve"> 차  량  유  지  비</t>
  </si>
  <si>
    <t xml:space="preserve">  차량유지비- 통행주차료</t>
  </si>
  <si>
    <t xml:space="preserve">  차량유지비-본사(기본)</t>
  </si>
  <si>
    <t xml:space="preserve">  차량유지비-직영(기본)</t>
  </si>
  <si>
    <t xml:space="preserve">  차량유지비(전기차)</t>
  </si>
  <si>
    <t xml:space="preserve"> 운      반      비</t>
  </si>
  <si>
    <t xml:space="preserve">  단말기물류비(기본)</t>
  </si>
  <si>
    <t xml:space="preserve"> 교  육  훈  련  비</t>
  </si>
  <si>
    <t xml:space="preserve">  교육직장내</t>
  </si>
  <si>
    <t xml:space="preserve">  교육채용경비</t>
  </si>
  <si>
    <t xml:space="preserve"> 회      의      비</t>
  </si>
  <si>
    <t xml:space="preserve">  회의비-직영(기본)</t>
  </si>
  <si>
    <t xml:space="preserve">  회의비-본사(기본)</t>
  </si>
  <si>
    <t xml:space="preserve">  회의비-활동비(기본)</t>
  </si>
  <si>
    <t xml:space="preserve">  회의비-포상</t>
  </si>
  <si>
    <t xml:space="preserve">  회의비(사업)</t>
  </si>
  <si>
    <t xml:space="preserve">  회의비(마케팅)</t>
  </si>
  <si>
    <t xml:space="preserve">  회의비-강사(기본)</t>
  </si>
  <si>
    <t xml:space="preserve"> 소    모   품   비</t>
  </si>
  <si>
    <t xml:space="preserve">  소모품-MRO</t>
  </si>
  <si>
    <t xml:space="preserve">  소모품-일괄구매</t>
  </si>
  <si>
    <t xml:space="preserve">  소모품사무,일반용품(기본)</t>
  </si>
  <si>
    <t xml:space="preserve"> 지 급 수 수 료</t>
  </si>
  <si>
    <t xml:space="preserve">  수수료-보안용역</t>
  </si>
  <si>
    <t xml:space="preserve">  이체수수료</t>
  </si>
  <si>
    <t xml:space="preserve">  수수료-공사용역수수료</t>
  </si>
  <si>
    <t xml:space="preserve">  수수료-대행외부용역</t>
  </si>
  <si>
    <t xml:space="preserve">  파견사업급여</t>
  </si>
  <si>
    <t xml:space="preserve"> 판  매  촉  진  비</t>
  </si>
  <si>
    <t xml:space="preserve">  판촉유지-고객불만비(사업)</t>
  </si>
  <si>
    <t xml:space="preserve">  판촉유지-고객불만비(마케팅)</t>
  </si>
  <si>
    <t xml:space="preserve">  판촉신규-유선판촉비</t>
  </si>
  <si>
    <t xml:space="preserve">  판촉비(마케팅)</t>
  </si>
  <si>
    <t xml:space="preserve">  판촉비(유선)</t>
  </si>
  <si>
    <t xml:space="preserve"> 판  매  수  수  료</t>
  </si>
  <si>
    <t xml:space="preserve">  판매수수료-판매점리베이트</t>
  </si>
  <si>
    <t xml:space="preserve">  판매수수료-유선상품</t>
  </si>
  <si>
    <t xml:space="preserve"> 무형 고정자산 상각</t>
  </si>
  <si>
    <t>영  업 외 비  용</t>
  </si>
  <si>
    <t>법  인 세 비  용</t>
  </si>
  <si>
    <t xml:space="preserve">  심야근무수당-영업직</t>
  </si>
  <si>
    <t xml:space="preserve">  복리자녀학자금_영업직</t>
  </si>
  <si>
    <t xml:space="preserve">  복리대학자녀학자금_영업직</t>
  </si>
  <si>
    <t xml:space="preserve">  판촉비(사업)</t>
  </si>
  <si>
    <t xml:space="preserve">  수수료-전문가자문료</t>
  </si>
  <si>
    <t xml:space="preserve">  상품매출액-부분납</t>
  </si>
  <si>
    <t xml:space="preserve">  수수료수입-순액처리</t>
  </si>
  <si>
    <t xml:space="preserve">  수수료수입-AS</t>
  </si>
  <si>
    <t xml:space="preserve">  수수료수입-용역</t>
  </si>
  <si>
    <t xml:space="preserve">  급료와임금-SC직</t>
  </si>
  <si>
    <t xml:space="preserve">  초과근무수당-SC직</t>
  </si>
  <si>
    <t xml:space="preserve">  직책수당-SC직</t>
  </si>
  <si>
    <t xml:space="preserve">  휴일근무수당-SC직</t>
  </si>
  <si>
    <t xml:space="preserve">  복리급식보조비-SC직</t>
  </si>
  <si>
    <t xml:space="preserve">  사내강사비</t>
  </si>
  <si>
    <t xml:space="preserve">  급료와임금-기타직</t>
  </si>
  <si>
    <t xml:space="preserve">  연차수당-기타직</t>
  </si>
  <si>
    <t xml:space="preserve">  프로모션-기타직</t>
  </si>
  <si>
    <t xml:space="preserve">  정기상여수당-SC직</t>
  </si>
  <si>
    <t xml:space="preserve">  정기상여수당-기타직</t>
  </si>
  <si>
    <t xml:space="preserve"> 잡              급</t>
  </si>
  <si>
    <t xml:space="preserve">  복리업무지원비</t>
  </si>
  <si>
    <t xml:space="preserve">  복리자녀학자금_임원</t>
  </si>
  <si>
    <t xml:space="preserve"> 접      대      비</t>
  </si>
  <si>
    <t xml:space="preserve">  접대비-세금계산서</t>
  </si>
  <si>
    <t xml:space="preserve">  접대비-1만원초과</t>
  </si>
  <si>
    <t xml:space="preserve"> 세 금 과  공 과 금</t>
  </si>
  <si>
    <t xml:space="preserve">  세금과공과 면허세</t>
  </si>
  <si>
    <t xml:space="preserve">  세금과공과금</t>
  </si>
  <si>
    <t xml:space="preserve">  임차료-OA기기</t>
  </si>
  <si>
    <t xml:space="preserve">  보험보증보험료</t>
  </si>
  <si>
    <t xml:space="preserve">  보험직원단체보험료</t>
  </si>
  <si>
    <t xml:space="preserve">  장애인고용부담금</t>
  </si>
  <si>
    <t xml:space="preserve"> 도  서  인  쇄  비</t>
  </si>
  <si>
    <t xml:space="preserve">  조사연구-도서구입비</t>
  </si>
  <si>
    <t xml:space="preserve">  조사연구-신문구독</t>
  </si>
  <si>
    <t xml:space="preserve">  고충처리협의비</t>
  </si>
  <si>
    <t xml:space="preserve">  회의비(한마음)</t>
  </si>
  <si>
    <t xml:space="preserve">  회의비(유선)</t>
  </si>
  <si>
    <t xml:space="preserve">  IT유지보수대행수수료</t>
  </si>
  <si>
    <t xml:space="preserve">  수수료-서비스이용료</t>
  </si>
  <si>
    <t xml:space="preserve">  수수료-법정수수료</t>
  </si>
  <si>
    <t xml:space="preserve">  수수료-금융거래</t>
  </si>
  <si>
    <t xml:space="preserve"> 광  고  선  전  비</t>
  </si>
  <si>
    <t xml:space="preserve">  광고매체 온라인광고비</t>
  </si>
  <si>
    <t xml:space="preserve">  판매수수료-AS</t>
  </si>
  <si>
    <t xml:space="preserve"> 이    자   수   익</t>
  </si>
  <si>
    <t xml:space="preserve"> 외    환  차    익</t>
  </si>
  <si>
    <t xml:space="preserve"> 잡      이      익</t>
  </si>
  <si>
    <t xml:space="preserve"> 이   자    비   용</t>
  </si>
  <si>
    <t xml:space="preserve"> 유형자산  처분손실</t>
  </si>
  <si>
    <t xml:space="preserve"> 무형자산 처분손실</t>
  </si>
  <si>
    <t xml:space="preserve"> 잡      손      실</t>
  </si>
  <si>
    <t xml:space="preserve">  판촉유지-판촉활동</t>
  </si>
  <si>
    <t>채널별 소계</t>
    <phoneticPr fontId="2" type="noConversion"/>
  </si>
  <si>
    <t>기업/공공</t>
    <phoneticPr fontId="2" type="noConversion"/>
  </si>
  <si>
    <t>IoT</t>
    <phoneticPr fontId="2" type="noConversion"/>
  </si>
  <si>
    <t xml:space="preserve">  상품매출액-대형유통</t>
  </si>
  <si>
    <t xml:space="preserve">  연차수당</t>
  </si>
  <si>
    <t xml:space="preserve">  연차수당-SC직</t>
  </si>
  <si>
    <t xml:space="preserve">  제수당기타-기타직</t>
  </si>
  <si>
    <t xml:space="preserve">  복리차량보조비</t>
  </si>
  <si>
    <t xml:space="preserve">  복리심야근무실비</t>
  </si>
  <si>
    <t xml:space="preserve">  복리심야근무실비-SC직</t>
  </si>
  <si>
    <t xml:space="preserve">  시상비(마케팅)</t>
  </si>
  <si>
    <t xml:space="preserve">  휴일근무수당-기타직</t>
  </si>
  <si>
    <t xml:space="preserve">  특별상여수당</t>
  </si>
  <si>
    <t xml:space="preserve">  임원상여수당</t>
  </si>
  <si>
    <t xml:space="preserve"> 포상비</t>
  </si>
  <si>
    <t xml:space="preserve">  복리경조비_임원</t>
  </si>
  <si>
    <t xml:space="preserve">  복리경조비_SC직</t>
  </si>
  <si>
    <t xml:space="preserve">  복리자녀교육비_일반직</t>
  </si>
  <si>
    <t xml:space="preserve">  복리자녀교육비_SC직</t>
  </si>
  <si>
    <t xml:space="preserve">  복리자녀교육비_영업직</t>
  </si>
  <si>
    <t xml:space="preserve">  복리자녀학자금_SC직</t>
  </si>
  <si>
    <t xml:space="preserve">  복리자녀학자금_기타직</t>
  </si>
  <si>
    <t xml:space="preserve">  복리대학자녀학자금_일반직</t>
  </si>
  <si>
    <t xml:space="preserve">  복리포인트(성과형)</t>
  </si>
  <si>
    <t xml:space="preserve">  접대비-신용카드</t>
  </si>
  <si>
    <t xml:space="preserve">  통신-우편료(마케팅)</t>
  </si>
  <si>
    <t xml:space="preserve">  통신-우편료(성과형)</t>
  </si>
  <si>
    <t xml:space="preserve">  세금과공과 벌과금및가산세등</t>
  </si>
  <si>
    <t xml:space="preserve">  세금과공과 제세기타</t>
  </si>
  <si>
    <t xml:space="preserve">  임차료-기타</t>
  </si>
  <si>
    <t xml:space="preserve">  임차료-물류센터</t>
  </si>
  <si>
    <t xml:space="preserve">  차량유지비(사업)</t>
  </si>
  <si>
    <t xml:space="preserve">  차량유지비(마케팅)</t>
  </si>
  <si>
    <t xml:space="preserve">  차량유지비(유선)</t>
  </si>
  <si>
    <t xml:space="preserve">  단말기물류비-유선선장품</t>
  </si>
  <si>
    <t xml:space="preserve">  단말기물류비(사업)</t>
  </si>
  <si>
    <t xml:space="preserve">  단말기물류비(마케팅)</t>
  </si>
  <si>
    <t xml:space="preserve">  단말기물류비(성과형)</t>
  </si>
  <si>
    <t xml:space="preserve">  단말기물류비(유선)</t>
  </si>
  <si>
    <t xml:space="preserve">  교육국내위탁</t>
  </si>
  <si>
    <t xml:space="preserve">  교육채용경비(마케팅)</t>
  </si>
  <si>
    <t xml:space="preserve">  교육연수</t>
  </si>
  <si>
    <t xml:space="preserve">  회의비(성과형)</t>
  </si>
  <si>
    <t xml:space="preserve">  소모품사무,일반용품(사업)</t>
  </si>
  <si>
    <t xml:space="preserve">  소모품사무,일반용품(마케팅)</t>
  </si>
  <si>
    <t xml:space="preserve">  파견사업급여_프로모션(마케팅)</t>
  </si>
  <si>
    <t xml:space="preserve">  파견사업급여_프로모션(사업)</t>
  </si>
  <si>
    <t xml:space="preserve">  수수료_단말기수리비(마케팅)</t>
  </si>
  <si>
    <t xml:space="preserve">  수수료-대행외부용역(사업)</t>
  </si>
  <si>
    <t xml:space="preserve">  판촉유지-고객불만비(AS)</t>
  </si>
  <si>
    <t xml:space="preserve">  판촉비(성과형)</t>
  </si>
  <si>
    <t xml:space="preserve"> 대  손  상  각  비</t>
  </si>
  <si>
    <t xml:space="preserve">  판매수수료-온라인벤더</t>
  </si>
  <si>
    <t xml:space="preserve">  관리수수료(성과형)</t>
  </si>
  <si>
    <t xml:space="preserve">  판매수수료-대형마트</t>
  </si>
  <si>
    <t xml:space="preserve">  판매수수료-기타</t>
  </si>
  <si>
    <t xml:space="preserve"> 무형자산 처분이익</t>
  </si>
  <si>
    <t xml:space="preserve"> 유형자산  처분이익</t>
  </si>
  <si>
    <t xml:space="preserve"> 외   환    차   손</t>
  </si>
  <si>
    <t xml:space="preserve"> 기      부      금</t>
  </si>
  <si>
    <t xml:space="preserve">  복리경조비_기타직</t>
    <phoneticPr fontId="2" type="noConversion"/>
  </si>
  <si>
    <t xml:space="preserve">  복리자녀교육비_기타직</t>
    <phoneticPr fontId="2" type="noConversion"/>
  </si>
  <si>
    <t xml:space="preserve">  복리교육지원비</t>
    <phoneticPr fontId="2" type="noConversion"/>
  </si>
  <si>
    <t xml:space="preserve">  판매수수료(특판,폐쇄몰)</t>
    <phoneticPr fontId="2" type="noConversion"/>
  </si>
  <si>
    <t>영   업  이   익</t>
    <phoneticPr fontId="2" type="noConversion"/>
  </si>
  <si>
    <t>당  기 순 이  익</t>
    <phoneticPr fontId="2" type="noConversion"/>
  </si>
  <si>
    <t>합계</t>
    <phoneticPr fontId="2" type="noConversion"/>
  </si>
  <si>
    <t>비중</t>
    <phoneticPr fontId="2" type="noConversion"/>
  </si>
  <si>
    <t>판관비 검증</t>
    <phoneticPr fontId="2" type="noConversion"/>
  </si>
  <si>
    <t>세부 항목 검증</t>
    <phoneticPr fontId="2" type="noConversion"/>
  </si>
  <si>
    <t>영업이익 검증</t>
    <phoneticPr fontId="2" type="noConversion"/>
  </si>
  <si>
    <t>당기순이익 검증</t>
    <phoneticPr fontId="2" type="noConversion"/>
  </si>
  <si>
    <t>무선 판매손익</t>
    <phoneticPr fontId="2" type="noConversion"/>
  </si>
  <si>
    <t>유선 판매손익</t>
    <phoneticPr fontId="2" type="noConversion"/>
  </si>
  <si>
    <t>판매손익 계</t>
    <phoneticPr fontId="2" type="noConversion"/>
  </si>
  <si>
    <t>도매</t>
    <phoneticPr fontId="2" type="noConversion"/>
  </si>
  <si>
    <t xml:space="preserve"> 사용권자산처분이익</t>
  </si>
  <si>
    <t>영업외수익 검증</t>
    <phoneticPr fontId="2" type="noConversion"/>
  </si>
  <si>
    <t>영업외비용 검증</t>
    <phoneticPr fontId="2" type="noConversion"/>
  </si>
  <si>
    <t xml:space="preserve">  복리선택적(wow펀드)</t>
  </si>
  <si>
    <t xml:space="preserve"> 장려금</t>
  </si>
  <si>
    <t>소매</t>
    <phoneticPr fontId="2" type="noConversion"/>
  </si>
  <si>
    <t xml:space="preserve">  수수료수입-P3.0</t>
  </si>
  <si>
    <t>전사 공통비
(경총)</t>
    <phoneticPr fontId="2" type="noConversion"/>
  </si>
  <si>
    <t xml:space="preserve"> 외 화  환 산 손 실</t>
  </si>
  <si>
    <t xml:space="preserve"> 파생상품평가손실</t>
  </si>
  <si>
    <t xml:space="preserve">  복리포인트(마케팅_포상)</t>
  </si>
  <si>
    <t xml:space="preserve">  복리포인트(유선_포상)</t>
  </si>
  <si>
    <t xml:space="preserve">  복리포인트(사업_포상)</t>
  </si>
  <si>
    <t xml:space="preserve">  교육초빙강사</t>
  </si>
  <si>
    <t xml:space="preserve">  수수료_단말기수리비(사업)</t>
  </si>
  <si>
    <t xml:space="preserve"> 외 화 환 산 이  익</t>
  </si>
  <si>
    <t xml:space="preserve">  복리대학자녀학자금_임원</t>
  </si>
  <si>
    <t xml:space="preserve">  판촉비(결합)</t>
    <phoneticPr fontId="2" type="noConversion"/>
  </si>
  <si>
    <t xml:space="preserve">  수도광열전기료(연체)</t>
  </si>
  <si>
    <t xml:space="preserve">  임차료-건물(연체)</t>
  </si>
  <si>
    <t xml:space="preserve">  임차료-관리비(연체)</t>
  </si>
  <si>
    <t xml:space="preserve"> 파생상품평가이익</t>
  </si>
  <si>
    <t xml:space="preserve"> 사용권자산처분손실</t>
  </si>
  <si>
    <t xml:space="preserve">  임원국내출장비</t>
  </si>
  <si>
    <t xml:space="preserve">  특별격려금</t>
    <phoneticPr fontId="2" type="noConversion"/>
  </si>
  <si>
    <t>영  업 외 수  익</t>
    <phoneticPr fontId="2" type="noConversion"/>
  </si>
  <si>
    <t xml:space="preserve">  모성보호지원금</t>
  </si>
  <si>
    <t xml:space="preserve">  차량운행지원비</t>
  </si>
  <si>
    <t xml:space="preserve">  차량운행지원비_임원</t>
  </si>
  <si>
    <t>소계</t>
    <phoneticPr fontId="2" type="noConversion"/>
  </si>
  <si>
    <t>사내</t>
    <phoneticPr fontId="2" type="noConversion"/>
  </si>
  <si>
    <t>사외</t>
    <phoneticPr fontId="2" type="noConversion"/>
  </si>
  <si>
    <t>기업</t>
    <phoneticPr fontId="2" type="noConversion"/>
  </si>
  <si>
    <t>iot</t>
    <phoneticPr fontId="2" type="noConversion"/>
  </si>
  <si>
    <t>법유</t>
    <phoneticPr fontId="2" type="noConversion"/>
  </si>
  <si>
    <t>비즈</t>
    <phoneticPr fontId="2" type="noConversion"/>
  </si>
  <si>
    <t>신사업</t>
    <phoneticPr fontId="2" type="noConversion"/>
  </si>
  <si>
    <t>[신사업 채널 공통비 제외]</t>
    <phoneticPr fontId="2" type="noConversion"/>
  </si>
  <si>
    <t>채널 공통비 (영본,영기,영품,교훈)</t>
  </si>
  <si>
    <t>영   업  이   익 (채널공통비 포함)</t>
  </si>
  <si>
    <t>전사 공통비 (경총) _ 영업이익</t>
  </si>
  <si>
    <t>영   업  이   익(채널+전사공통비 포함)</t>
  </si>
  <si>
    <t>점프업 도/소매 조정 후 영업이익</t>
  </si>
  <si>
    <t>점프업 금액</t>
  </si>
  <si>
    <t xml:space="preserve">  수수료수입-신사업</t>
  </si>
  <si>
    <t>채널공통비
(영총/영기/역강 등)</t>
    <phoneticPr fontId="2" type="noConversion"/>
  </si>
  <si>
    <t>유통영업혁신단</t>
    <phoneticPr fontId="2" type="noConversion"/>
  </si>
  <si>
    <t>법인영업혁신단</t>
    <phoneticPr fontId="2" type="noConversion"/>
  </si>
  <si>
    <t>유통플랫폼</t>
    <phoneticPr fontId="2" type="noConversion"/>
  </si>
  <si>
    <t>디지털(KT샵)</t>
    <phoneticPr fontId="2" type="noConversion"/>
  </si>
  <si>
    <t>디지털(기타)</t>
    <phoneticPr fontId="2" type="noConversion"/>
  </si>
  <si>
    <t>법인영업</t>
    <phoneticPr fontId="2" type="noConversion"/>
  </si>
  <si>
    <t>소상공인</t>
    <phoneticPr fontId="2" type="noConversion"/>
  </si>
  <si>
    <t xml:space="preserve">  부임여비</t>
  </si>
  <si>
    <t xml:space="preserve">  출장교통보조비</t>
  </si>
  <si>
    <t>업무량</t>
    <phoneticPr fontId="2" type="noConversion"/>
  </si>
  <si>
    <t xml:space="preserve">  상품매출-기타</t>
    <phoneticPr fontId="2" type="noConversion"/>
  </si>
  <si>
    <t>계정명</t>
    <phoneticPr fontId="2" type="noConversion"/>
  </si>
  <si>
    <t xml:space="preserve">  상품매출-기타</t>
  </si>
  <si>
    <t xml:space="preserve">  특별격려금</t>
  </si>
  <si>
    <t xml:space="preserve">  복리경조비_기타직</t>
  </si>
  <si>
    <t xml:space="preserve">  복리자녀교육비_기타직</t>
  </si>
  <si>
    <t xml:space="preserve">  복리교육지원비</t>
  </si>
  <si>
    <t xml:space="preserve">  판촉비(결합)</t>
  </si>
  <si>
    <t xml:space="preserve">  판매수수료(특판,폐쇄몰)</t>
  </si>
  <si>
    <t>영   업  이   익</t>
  </si>
  <si>
    <t>영  업 외 수  익</t>
  </si>
  <si>
    <t xml:space="preserve"> 파생상품처분손실</t>
  </si>
  <si>
    <t>당  기 순 이  익</t>
  </si>
  <si>
    <t>채널 공통비 (영총/영기/역강 등)</t>
  </si>
  <si>
    <t>계정명</t>
  </si>
  <si>
    <t xml:space="preserve"> 파생상품처분손실</t>
    <phoneticPr fontId="2" type="noConversion"/>
  </si>
  <si>
    <t>채널 공통비 (영총/영기/역강 등)</t>
    <phoneticPr fontId="2" type="noConversion"/>
  </si>
  <si>
    <t>영   업  이   익 (채널공통비 포함)</t>
    <phoneticPr fontId="2" type="noConversion"/>
  </si>
  <si>
    <t>전사 공통비 (경총) _ 영업이익</t>
    <phoneticPr fontId="2" type="noConversion"/>
  </si>
  <si>
    <t>영   업  이   익(채널+전사공통비 포함)</t>
    <phoneticPr fontId="2" type="noConversion"/>
  </si>
  <si>
    <t>점프업 도/소매 조정 후 영업이익</t>
    <phoneticPr fontId="2" type="noConversion"/>
  </si>
  <si>
    <t>점프업 금액</t>
    <phoneticPr fontId="2" type="noConversion"/>
  </si>
  <si>
    <t>도매 Win-Win H/C</t>
    <phoneticPr fontId="2" type="noConversion"/>
  </si>
  <si>
    <t>합계</t>
  </si>
  <si>
    <t>20600000</t>
  </si>
  <si>
    <t>A3011</t>
  </si>
  <si>
    <t>A3012</t>
  </si>
  <si>
    <t>A3013</t>
  </si>
  <si>
    <t>신사업팀</t>
  </si>
  <si>
    <t>플랫폼사업1팀</t>
  </si>
  <si>
    <t>플랫폼사업2팀</t>
  </si>
  <si>
    <t>모바일파트</t>
  </si>
  <si>
    <t>손            익</t>
  </si>
  <si>
    <t>법인세비용차감전순이익</t>
  </si>
  <si>
    <t>법인세비용차감전계속사업순이익</t>
  </si>
  <si>
    <t>계속 사  업 이익</t>
  </si>
  <si>
    <t>중단 사  업 손익</t>
  </si>
  <si>
    <t>주당이익</t>
  </si>
  <si>
    <t>기본주당계속사업이익</t>
  </si>
  <si>
    <t>기본주당순이익</t>
  </si>
  <si>
    <t>희석주당계속사업이익</t>
  </si>
  <si>
    <t>희석주당순이익</t>
  </si>
  <si>
    <t>20600010</t>
  </si>
  <si>
    <t>NL0000000</t>
  </si>
  <si>
    <t>코코넛</t>
  </si>
  <si>
    <t>20600011</t>
  </si>
  <si>
    <t>NG0000000</t>
  </si>
  <si>
    <t>NGK000000</t>
  </si>
  <si>
    <t>NT0000000</t>
  </si>
  <si>
    <t>굿바이</t>
  </si>
  <si>
    <t>굿바이 키오스크(중고폰)</t>
  </si>
  <si>
    <t>시연폰</t>
  </si>
  <si>
    <t>20600000TF</t>
  </si>
  <si>
    <t>NA0000000</t>
  </si>
  <si>
    <t>NR0000000</t>
  </si>
  <si>
    <t>YC00564</t>
  </si>
  <si>
    <t>AS 물류대행</t>
  </si>
  <si>
    <t>임대폰대행</t>
  </si>
  <si>
    <t>리본 신촌점</t>
  </si>
  <si>
    <t>법인세비용차감전순이익</t>
    <phoneticPr fontId="2" type="noConversion"/>
  </si>
  <si>
    <t>법인세비용차감전계속사업순이익</t>
    <phoneticPr fontId="2" type="noConversion"/>
  </si>
  <si>
    <t>계속사업이익</t>
    <phoneticPr fontId="2" type="noConversion"/>
  </si>
  <si>
    <t>SUM</t>
    <phoneticPr fontId="2" type="noConversion"/>
  </si>
  <si>
    <t>신사업/플1/플2/모바일</t>
    <phoneticPr fontId="2" type="noConversion"/>
  </si>
  <si>
    <t>(영업)</t>
    <phoneticPr fontId="2" type="noConversion"/>
  </si>
  <si>
    <t>(비영업_스텝)</t>
    <phoneticPr fontId="2" type="noConversion"/>
  </si>
  <si>
    <t>디지털</t>
    <phoneticPr fontId="2" type="noConversion"/>
  </si>
  <si>
    <t>유통플랫폼사업단</t>
    <phoneticPr fontId="2" type="noConversion"/>
  </si>
  <si>
    <t>코코넛</t>
    <phoneticPr fontId="2" type="noConversion"/>
  </si>
  <si>
    <t>굿바이</t>
    <phoneticPr fontId="2" type="noConversion"/>
  </si>
  <si>
    <t>시연폰</t>
    <phoneticPr fontId="2" type="noConversion"/>
  </si>
  <si>
    <t>C/2</t>
    <phoneticPr fontId="2" type="noConversion"/>
  </si>
  <si>
    <t xml:space="preserve"> 유형자산  처분손실</t>
    <phoneticPr fontId="2" type="noConversion"/>
  </si>
  <si>
    <t xml:space="preserve">  포상비</t>
  </si>
  <si>
    <t xml:space="preserve">  잡손실(기타)</t>
  </si>
  <si>
    <t>NRB000000N</t>
  </si>
  <si>
    <t>리본 모바일</t>
  </si>
  <si>
    <t xml:space="preserve">  잡이익(단수차액)</t>
  </si>
  <si>
    <t>리본 모바일+신촌</t>
    <phoneticPr fontId="2" type="noConversion"/>
  </si>
  <si>
    <r>
      <rPr>
        <b/>
        <vertAlign val="superscript"/>
        <sz val="12"/>
        <color theme="1"/>
        <rFont val="굴림체"/>
        <family val="3"/>
        <charset val="129"/>
      </rPr>
      <t>*</t>
    </r>
    <r>
      <rPr>
        <b/>
        <sz val="9"/>
        <color theme="1"/>
        <rFont val="굴림체"/>
        <family val="3"/>
        <charset val="129"/>
      </rPr>
      <t>리본모바일+신촌</t>
    </r>
    <phoneticPr fontId="2" type="noConversion"/>
  </si>
  <si>
    <t>코코넛/굿바이/대행 등</t>
    <phoneticPr fontId="2" type="noConversion"/>
  </si>
  <si>
    <t>리본(모바일+신촌)</t>
    <phoneticPr fontId="2" type="noConversion"/>
  </si>
  <si>
    <t>2024년</t>
    <phoneticPr fontId="36" type="noConversion"/>
  </si>
  <si>
    <t>2025년</t>
    <phoneticPr fontId="36" type="noConversion"/>
  </si>
  <si>
    <t>합계</t>
    <phoneticPr fontId="36" type="noConversion"/>
  </si>
  <si>
    <t>1월</t>
    <phoneticPr fontId="36" type="noConversion"/>
  </si>
  <si>
    <t>2월</t>
    <phoneticPr fontId="36" type="noConversion"/>
  </si>
  <si>
    <t>3월</t>
    <phoneticPr fontId="36" type="noConversion"/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</si>
  <si>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</si>
  <si>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</si>
  <si>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</si>
  <si>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</si>
  <si>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</si>
  <si>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</si>
  <si>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</si>
  <si>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</si>
  <si>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</si>
  <si>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실적</t>
    <phoneticPr fontId="36" type="noConversion"/>
  </si>
  <si>
    <t>매출(억원)</t>
    <phoneticPr fontId="36" type="noConversion"/>
  </si>
  <si>
    <t>이익(억원)</t>
    <phoneticPr fontId="36" type="noConversion"/>
  </si>
  <si>
    <t>소매</t>
    <phoneticPr fontId="36" type="noConversion"/>
  </si>
  <si>
    <t>도매</t>
    <phoneticPr fontId="36" type="noConversion"/>
  </si>
  <si>
    <t>온라인</t>
    <phoneticPr fontId="36" type="noConversion"/>
  </si>
  <si>
    <t>B2B</t>
    <phoneticPr fontId="36" type="noConversion"/>
  </si>
  <si>
    <t>플랫폼사업</t>
    <phoneticPr fontId="36" type="noConversion"/>
  </si>
  <si>
    <t>■ 유심 판매 현황</t>
    <phoneticPr fontId="36" type="noConversion"/>
  </si>
  <si>
    <t>재고운영</t>
    <phoneticPr fontId="36" type="noConversion"/>
  </si>
  <si>
    <t>기타(AS대행/임대폰)</t>
    <phoneticPr fontId="2" type="noConversion"/>
  </si>
  <si>
    <t xml:space="preserve">  정책수수료</t>
    <phoneticPr fontId="2" type="noConversion"/>
  </si>
  <si>
    <t xml:space="preserve">  관리수수료</t>
    <phoneticPr fontId="2" type="noConversion"/>
  </si>
  <si>
    <t xml:space="preserve">  기타수수료</t>
    <phoneticPr fontId="2" type="noConversion"/>
  </si>
  <si>
    <t xml:space="preserve">  인건비</t>
    <phoneticPr fontId="2" type="noConversion"/>
  </si>
  <si>
    <t xml:space="preserve">  마케팅비</t>
    <phoneticPr fontId="2" type="noConversion"/>
  </si>
  <si>
    <t xml:space="preserve">  임차관리비</t>
    <phoneticPr fontId="2" type="noConversion"/>
  </si>
  <si>
    <t xml:space="preserve">  감가상각비</t>
    <phoneticPr fontId="2" type="noConversion"/>
  </si>
  <si>
    <t xml:space="preserve">  기타운영비</t>
    <phoneticPr fontId="2" type="noConversion"/>
  </si>
  <si>
    <t>4월</t>
    <phoneticPr fontId="36" type="noConversion"/>
  </si>
  <si>
    <t>5월</t>
    <phoneticPr fontId="36" type="noConversion"/>
  </si>
  <si>
    <t>6월</t>
    <phoneticPr fontId="36" type="noConversion"/>
  </si>
  <si>
    <t>7월</t>
    <phoneticPr fontId="36" type="noConversion"/>
  </si>
  <si>
    <t>8월</t>
    <phoneticPr fontId="36" type="noConversion"/>
  </si>
  <si>
    <t>9월</t>
    <phoneticPr fontId="36" type="noConversion"/>
  </si>
  <si>
    <t>10월</t>
    <phoneticPr fontId="36" type="noConversion"/>
  </si>
  <si>
    <t>11월</t>
    <phoneticPr fontId="36" type="noConversion"/>
  </si>
  <si>
    <t>12월</t>
    <phoneticPr fontId="36" type="noConversion"/>
  </si>
  <si>
    <t>모바일파트©인건비 &gt;&gt;</t>
    <phoneticPr fontId="2" type="noConversion"/>
  </si>
  <si>
    <t>1/N</t>
    <phoneticPr fontId="2" type="noConversion"/>
  </si>
  <si>
    <r>
      <t>1</t>
    </r>
    <r>
      <rPr>
        <b/>
        <sz val="10"/>
        <color theme="0"/>
        <rFont val="Arial Unicode MS"/>
        <family val="2"/>
        <charset val="129"/>
      </rPr>
      <t xml:space="preserve">명 </t>
    </r>
    <r>
      <rPr>
        <b/>
        <sz val="10"/>
        <color theme="0"/>
        <rFont val="Arial"/>
        <family val="2"/>
      </rPr>
      <t>(0.5+0.5)</t>
    </r>
    <phoneticPr fontId="2" type="noConversion"/>
  </si>
  <si>
    <r>
      <t>5</t>
    </r>
    <r>
      <rPr>
        <b/>
        <sz val="10"/>
        <color theme="0"/>
        <rFont val="Arial Unicode MS"/>
        <family val="2"/>
        <charset val="129"/>
      </rPr>
      <t>명</t>
    </r>
    <phoneticPr fontId="2" type="noConversion"/>
  </si>
  <si>
    <r>
      <t>as+</t>
    </r>
    <r>
      <rPr>
        <b/>
        <sz val="10"/>
        <color theme="0"/>
        <rFont val="Arial Unicode MS"/>
        <family val="2"/>
        <charset val="129"/>
      </rPr>
      <t>임대</t>
    </r>
    <phoneticPr fontId="2" type="noConversion"/>
  </si>
  <si>
    <t>리본</t>
    <phoneticPr fontId="2" type="noConversion"/>
  </si>
  <si>
    <t>as</t>
    <phoneticPr fontId="2" type="noConversion"/>
  </si>
  <si>
    <t>임대</t>
    <phoneticPr fontId="2" type="noConversion"/>
  </si>
  <si>
    <t>E+F+Q</t>
    <phoneticPr fontId="2" type="noConversion"/>
  </si>
  <si>
    <t>AS대행</t>
    <phoneticPr fontId="2" type="noConversion"/>
  </si>
  <si>
    <t>임대폰대행</t>
    <phoneticPr fontId="2" type="noConversion"/>
  </si>
  <si>
    <t>리본(모바일/신촌)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</si>
</sst>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176" formatCode="#,##0_ ;[Red]\-#,##0\ "/>
    <numFmt numFmtId="177" formatCode="0.0%"/>
    <numFmt numFmtId="178" formatCode="#,##0.0_ ;[Red]\-#,##0.0\ "/>
    <numFmt numFmtId="179" formatCode="#,##0_);[Red]\(#,##0\)"/>
    <numFmt numFmtId="180" formatCode="###,###,###,###"/>
    <numFmt numFmtId="181" formatCode="#,##0_ "/>
    <numFmt numFmtId="182" formatCode="#,##0.0_ "/>
    <numFmt numFmtId="183" formatCode="_-* #,##0.0_-;\-* #,##0.0_-;_-* &quot;-&quot;_-;_-@_-"/>
    <numFmt numFmtId="185" formatCode="#,##0.00_ ;[Red]\-#,##0.00\ "/>
  </numFmts>
  <fonts count="48" x14ac:knownFonts="1">
    <font>
      <sz val="10"/>
      <color indexed="8"/>
      <name val="Arial"/>
      <family val="2"/>
    </font>
    <font>
      <sz val="10"/>
      <color indexed="8"/>
      <name val="Arial"/>
      <family val="2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10"/>
      <color indexed="8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indexed="9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  <font>
      <sz val="10"/>
      <name val="Arial"/>
      <family val="2"/>
    </font>
    <font>
      <sz val="10"/>
      <color indexed="8"/>
      <name val="맑은 고딕"/>
      <family val="3"/>
      <charset val="129"/>
    </font>
    <font>
      <b/>
      <sz val="10"/>
      <color indexed="8"/>
      <name val="맑은 고딕"/>
      <family val="3"/>
      <charset val="129"/>
    </font>
    <font>
      <b/>
      <sz val="9"/>
      <name val="굴림"/>
      <family val="3"/>
      <charset val="129"/>
    </font>
    <font>
      <b/>
      <i/>
      <u/>
      <sz val="10"/>
      <color indexed="8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9"/>
      <name val="맑은 고딕"/>
      <family val="3"/>
      <charset val="129"/>
      <scheme val="minor"/>
    </font>
    <font>
      <b/>
      <sz val="9"/>
      <name val="맑은 고딕"/>
      <family val="3"/>
      <charset val="129"/>
      <scheme val="major"/>
    </font>
    <font>
      <b/>
      <i/>
      <u/>
      <sz val="10"/>
      <name val="맑은 고딕"/>
      <family val="3"/>
      <charset val="129"/>
    </font>
    <font>
      <sz val="9"/>
      <color indexed="9"/>
      <name val="굴림체"/>
      <family val="3"/>
      <charset val="129"/>
    </font>
    <font>
      <sz val="9"/>
      <color indexed="8"/>
      <name val="굴림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9"/>
      <color indexed="8"/>
      <name val="굴림"/>
      <family val="3"/>
      <charset val="129"/>
    </font>
    <font>
      <b/>
      <sz val="9"/>
      <color theme="1"/>
      <name val="굴림체"/>
      <family val="3"/>
      <charset val="129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u/>
      <sz val="10"/>
      <color indexed="8"/>
      <name val="Arial"/>
      <family val="2"/>
    </font>
    <font>
      <b/>
      <vertAlign val="superscript"/>
      <sz val="12"/>
      <color theme="1"/>
      <name val="굴림체"/>
      <family val="3"/>
      <charset val="129"/>
    </font>
    <font>
      <sz val="10"/>
      <color indexed="8"/>
      <name val="Arial"/>
      <family val="2"/>
    </font>
    <font>
      <b/>
      <sz val="9"/>
      <name val="굴림체"/>
      <family val="3"/>
      <charset val="129"/>
    </font>
    <font>
      <b/>
      <sz val="18"/>
      <color theme="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10"/>
      <color rgb="FF000000"/>
      <name val="Arial Unicode MS"/>
      <family val="2"/>
      <charset val="129"/>
    </font>
    <font>
      <b/>
      <sz val="10"/>
      <color theme="0"/>
      <name val="Arial Unicode MS"/>
      <family val="2"/>
      <charset val="129"/>
    </font>
    <font>
      <b/>
      <sz val="10"/>
      <color theme="0"/>
      <name val="Arial"/>
      <family val="2"/>
    </font>
    <font>
      <b/>
      <sz val="10"/>
      <color theme="0"/>
      <name val="돋움"/>
      <family val="2"/>
      <charset val="129"/>
    </font>
    <font>
      <b/>
      <sz val="10"/>
      <name val="굴림"/>
      <family val="3"/>
      <charset val="129"/>
    </font>
  </fonts>
  <fills count="25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34998626667073579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ashed">
        <color theme="0" tint="-0.499984740745262"/>
      </left>
      <right style="dashed">
        <color theme="0" tint="-0.499984740745262"/>
      </right>
      <top style="dashed">
        <color theme="0" tint="-0.499984740745262"/>
      </top>
      <bottom/>
      <diagonal/>
    </border>
    <border>
      <left style="dashed">
        <color theme="0" tint="-0.499984740745262"/>
      </left>
      <right style="dashed">
        <color theme="0" tint="-0.499984740745262"/>
      </right>
      <top/>
      <bottom/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 style="dashed">
        <color auto="1"/>
      </left>
      <right/>
      <top/>
      <bottom/>
      <diagonal/>
    </border>
    <border>
      <left/>
      <right style="dashed">
        <color auto="1"/>
      </right>
      <top/>
      <bottom/>
      <diagonal/>
    </border>
    <border>
      <left/>
      <right style="dashed">
        <color theme="0" tint="-0.499984740745262"/>
      </right>
      <top style="dashed">
        <color theme="0" tint="-0.499984740745262"/>
      </top>
      <bottom/>
      <diagonal/>
    </border>
    <border>
      <left/>
      <right style="dashed">
        <color theme="0" tint="-0.499984740745262"/>
      </right>
      <top/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0" tint="-0.499984740745262"/>
      </right>
      <top style="thin">
        <color theme="1"/>
      </top>
      <bottom/>
      <diagonal/>
    </border>
    <border>
      <left style="thin">
        <color theme="0" tint="-0.499984740745262"/>
      </left>
      <right/>
      <top style="thin">
        <color theme="1"/>
      </top>
      <bottom style="thin">
        <color theme="0" tint="-0.499984740745262"/>
      </bottom>
      <diagonal/>
    </border>
    <border>
      <left/>
      <right/>
      <top style="thin">
        <color theme="1"/>
      </top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hair">
        <color theme="0" tint="-0.499984740745262"/>
      </bottom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/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hair">
        <color theme="0" tint="-0.499984740745262"/>
      </top>
      <bottom/>
      <diagonal/>
    </border>
    <border>
      <left style="thin">
        <color theme="0" tint="-0.499984740745262"/>
      </left>
      <right/>
      <top style="hair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hair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hair">
        <color theme="0" tint="-0.499984740745262"/>
      </top>
      <bottom style="thin">
        <color theme="0" tint="-0.49998474074526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11">
    <xf numFmtId="0" fontId="0" fillId="0" borderId="0"/>
    <xf numFmtId="9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/>
    <xf numFmtId="0" fontId="11" fillId="0" borderId="0"/>
    <xf numFmtId="41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29" fillId="0" borderId="0"/>
    <xf numFmtId="0" fontId="30" fillId="0" borderId="0"/>
    <xf numFmtId="0" fontId="1" fillId="0" borderId="0"/>
    <xf numFmtId="0" fontId="33" fillId="0" borderId="0"/>
  </cellStyleXfs>
  <cellXfs count="239">
    <xf numFmtId="0" fontId="0" fillId="0" borderId="0" xfId="0" applyNumberFormat="1" applyFont="1" applyFill="1" applyBorder="1" applyAlignment="1" applyProtection="1"/>
    <xf numFmtId="176" fontId="4" fillId="0" borderId="0" xfId="3" applyNumberFormat="1" applyFont="1" applyFill="1" applyBorder="1" applyAlignment="1" applyProtection="1"/>
    <xf numFmtId="176" fontId="5" fillId="0" borderId="0" xfId="3" applyNumberFormat="1" applyFont="1" applyFill="1" applyBorder="1" applyAlignment="1" applyProtection="1"/>
    <xf numFmtId="176" fontId="5" fillId="0" borderId="0" xfId="0" applyNumberFormat="1" applyFont="1" applyFill="1" applyBorder="1" applyAlignment="1" applyProtection="1"/>
    <xf numFmtId="0" fontId="12" fillId="0" borderId="0" xfId="0" applyNumberFormat="1" applyFont="1" applyFill="1" applyBorder="1" applyAlignment="1" applyProtection="1"/>
    <xf numFmtId="176" fontId="12" fillId="0" borderId="0" xfId="2" applyNumberFormat="1" applyFont="1" applyFill="1" applyBorder="1" applyAlignment="1" applyProtection="1"/>
    <xf numFmtId="0" fontId="6" fillId="0" borderId="1" xfId="0" applyFont="1" applyBorder="1" applyAlignment="1" applyProtection="1">
      <alignment vertical="center"/>
    </xf>
    <xf numFmtId="176" fontId="5" fillId="0" borderId="1" xfId="2" applyNumberFormat="1" applyFont="1" applyFill="1" applyBorder="1" applyAlignment="1" applyProtection="1"/>
    <xf numFmtId="0" fontId="6" fillId="8" borderId="1" xfId="0" applyFont="1" applyFill="1" applyBorder="1" applyAlignment="1" applyProtection="1">
      <alignment vertical="center"/>
    </xf>
    <xf numFmtId="0" fontId="12" fillId="0" borderId="1" xfId="0" applyNumberFormat="1" applyFont="1" applyFill="1" applyBorder="1" applyAlignment="1" applyProtection="1"/>
    <xf numFmtId="176" fontId="12" fillId="0" borderId="1" xfId="2" applyNumberFormat="1" applyFont="1" applyFill="1" applyBorder="1" applyAlignment="1" applyProtection="1"/>
    <xf numFmtId="176" fontId="12" fillId="0" borderId="0" xfId="0" applyNumberFormat="1" applyFont="1" applyFill="1" applyBorder="1" applyAlignment="1" applyProtection="1"/>
    <xf numFmtId="176" fontId="13" fillId="0" borderId="0" xfId="0" applyNumberFormat="1" applyFont="1" applyFill="1" applyBorder="1" applyAlignment="1" applyProtection="1"/>
    <xf numFmtId="176" fontId="4" fillId="8" borderId="1" xfId="2" applyNumberFormat="1" applyFont="1" applyFill="1" applyBorder="1" applyAlignment="1" applyProtection="1"/>
    <xf numFmtId="0" fontId="13" fillId="0" borderId="0" xfId="0" applyNumberFormat="1" applyFont="1" applyFill="1" applyBorder="1" applyAlignment="1" applyProtection="1"/>
    <xf numFmtId="0" fontId="6" fillId="10" borderId="1" xfId="0" applyFont="1" applyFill="1" applyBorder="1" applyAlignment="1" applyProtection="1">
      <alignment vertical="center"/>
    </xf>
    <xf numFmtId="176" fontId="6" fillId="10" borderId="1" xfId="2" applyNumberFormat="1" applyFont="1" applyFill="1" applyBorder="1" applyAlignment="1" applyProtection="1"/>
    <xf numFmtId="0" fontId="6" fillId="11" borderId="1" xfId="0" applyFont="1" applyFill="1" applyBorder="1" applyAlignment="1" applyProtection="1">
      <alignment vertical="center"/>
    </xf>
    <xf numFmtId="176" fontId="4" fillId="11" borderId="1" xfId="2" applyNumberFormat="1" applyFont="1" applyFill="1" applyBorder="1" applyAlignment="1" applyProtection="1"/>
    <xf numFmtId="176" fontId="15" fillId="4" borderId="0" xfId="3" applyNumberFormat="1" applyFont="1" applyFill="1" applyBorder="1" applyAlignment="1" applyProtection="1">
      <alignment horizontal="center"/>
    </xf>
    <xf numFmtId="176" fontId="5" fillId="0" borderId="0" xfId="0" applyNumberFormat="1" applyFont="1" applyFill="1" applyBorder="1" applyAlignment="1" applyProtection="1">
      <alignment horizontal="center"/>
    </xf>
    <xf numFmtId="9" fontId="16" fillId="13" borderId="1" xfId="1" applyFont="1" applyFill="1" applyBorder="1" applyAlignment="1" applyProtection="1"/>
    <xf numFmtId="0" fontId="17" fillId="12" borderId="1" xfId="0" applyNumberFormat="1" applyFont="1" applyFill="1" applyBorder="1" applyAlignment="1" applyProtection="1"/>
    <xf numFmtId="176" fontId="17" fillId="12" borderId="1" xfId="2" applyNumberFormat="1" applyFont="1" applyFill="1" applyBorder="1" applyAlignment="1" applyProtection="1"/>
    <xf numFmtId="0" fontId="10" fillId="4" borderId="10" xfId="0" applyFont="1" applyFill="1" applyBorder="1" applyAlignment="1">
      <alignment vertical="center"/>
    </xf>
    <xf numFmtId="176" fontId="7" fillId="3" borderId="5" xfId="3" applyNumberFormat="1" applyFont="1" applyFill="1" applyBorder="1" applyAlignment="1">
      <alignment horizontal="center" vertical="center" wrapText="1"/>
    </xf>
    <xf numFmtId="176" fontId="7" fillId="3" borderId="10" xfId="3" applyNumberFormat="1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vertical="center"/>
    </xf>
    <xf numFmtId="0" fontId="9" fillId="0" borderId="10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0" fillId="6" borderId="10" xfId="0" applyFont="1" applyFill="1" applyBorder="1" applyAlignment="1">
      <alignment vertical="center"/>
    </xf>
    <xf numFmtId="0" fontId="10" fillId="7" borderId="10" xfId="0" applyFont="1" applyFill="1" applyBorder="1" applyAlignment="1">
      <alignment vertical="center"/>
    </xf>
    <xf numFmtId="176" fontId="5" fillId="0" borderId="10" xfId="3" applyNumberFormat="1" applyFont="1" applyBorder="1"/>
    <xf numFmtId="176" fontId="8" fillId="0" borderId="10" xfId="0" applyNumberFormat="1" applyFont="1" applyBorder="1" applyAlignment="1">
      <alignment vertical="center"/>
    </xf>
    <xf numFmtId="0" fontId="8" fillId="0" borderId="10" xfId="0" applyFont="1" applyBorder="1" applyAlignment="1">
      <alignment vertical="center"/>
    </xf>
    <xf numFmtId="176" fontId="5" fillId="0" borderId="0" xfId="3" applyNumberFormat="1" applyFont="1"/>
    <xf numFmtId="176" fontId="5" fillId="0" borderId="0" xfId="0" applyNumberFormat="1" applyFont="1"/>
    <xf numFmtId="0" fontId="12" fillId="0" borderId="10" xfId="0" applyFont="1" applyBorder="1"/>
    <xf numFmtId="176" fontId="12" fillId="0" borderId="10" xfId="0" applyNumberFormat="1" applyFont="1" applyBorder="1"/>
    <xf numFmtId="0" fontId="12" fillId="4" borderId="10" xfId="0" applyFont="1" applyFill="1" applyBorder="1"/>
    <xf numFmtId="0" fontId="12" fillId="6" borderId="10" xfId="0" applyFont="1" applyFill="1" applyBorder="1"/>
    <xf numFmtId="176" fontId="12" fillId="0" borderId="10" xfId="2" applyNumberFormat="1" applyFont="1" applyFill="1" applyBorder="1" applyAlignment="1" applyProtection="1"/>
    <xf numFmtId="176" fontId="9" fillId="5" borderId="10" xfId="0" applyNumberFormat="1" applyFont="1" applyFill="1" applyBorder="1" applyAlignment="1">
      <alignment vertical="center"/>
    </xf>
    <xf numFmtId="176" fontId="9" fillId="0" borderId="10" xfId="0" applyNumberFormat="1" applyFont="1" applyBorder="1" applyAlignment="1">
      <alignment vertical="center"/>
    </xf>
    <xf numFmtId="176" fontId="10" fillId="0" borderId="10" xfId="0" applyNumberFormat="1" applyFont="1" applyBorder="1" applyAlignment="1">
      <alignment vertical="center"/>
    </xf>
    <xf numFmtId="176" fontId="10" fillId="4" borderId="10" xfId="0" applyNumberFormat="1" applyFont="1" applyFill="1" applyBorder="1" applyAlignment="1">
      <alignment vertical="center"/>
    </xf>
    <xf numFmtId="176" fontId="10" fillId="6" borderId="10" xfId="0" applyNumberFormat="1" applyFont="1" applyFill="1" applyBorder="1" applyAlignment="1">
      <alignment vertical="center"/>
    </xf>
    <xf numFmtId="176" fontId="10" fillId="7" borderId="10" xfId="0" applyNumberFormat="1" applyFont="1" applyFill="1" applyBorder="1" applyAlignment="1">
      <alignment vertical="center"/>
    </xf>
    <xf numFmtId="176" fontId="17" fillId="12" borderId="1" xfId="1" applyNumberFormat="1" applyFont="1" applyFill="1" applyBorder="1" applyAlignment="1" applyProtection="1"/>
    <xf numFmtId="0" fontId="14" fillId="9" borderId="10" xfId="0" applyFont="1" applyFill="1" applyBorder="1" applyAlignment="1">
      <alignment vertical="center"/>
    </xf>
    <xf numFmtId="176" fontId="14" fillId="9" borderId="10" xfId="0" applyNumberFormat="1" applyFont="1" applyFill="1" applyBorder="1" applyAlignment="1">
      <alignment vertical="center"/>
    </xf>
    <xf numFmtId="176" fontId="18" fillId="9" borderId="10" xfId="0" applyNumberFormat="1" applyFont="1" applyFill="1" applyBorder="1" applyAlignment="1">
      <alignment vertical="center"/>
    </xf>
    <xf numFmtId="9" fontId="17" fillId="12" borderId="1" xfId="1" applyNumberFormat="1" applyFont="1" applyFill="1" applyBorder="1" applyAlignment="1" applyProtection="1"/>
    <xf numFmtId="177" fontId="17" fillId="12" borderId="1" xfId="1" applyNumberFormat="1" applyFont="1" applyFill="1" applyBorder="1" applyAlignment="1" applyProtection="1"/>
    <xf numFmtId="176" fontId="9" fillId="4" borderId="10" xfId="0" applyNumberFormat="1" applyFont="1" applyFill="1" applyBorder="1" applyAlignment="1">
      <alignment vertical="center"/>
    </xf>
    <xf numFmtId="176" fontId="4" fillId="0" borderId="1" xfId="2" applyNumberFormat="1" applyFont="1" applyFill="1" applyBorder="1" applyAlignment="1" applyProtection="1"/>
    <xf numFmtId="176" fontId="7" fillId="3" borderId="5" xfId="3" applyNumberFormat="1" applyFont="1" applyFill="1" applyBorder="1" applyAlignment="1">
      <alignment horizontal="center" vertical="center" wrapText="1"/>
    </xf>
    <xf numFmtId="176" fontId="4" fillId="5" borderId="10" xfId="0" applyNumberFormat="1" applyFont="1" applyFill="1" applyBorder="1" applyAlignment="1">
      <alignment vertical="center"/>
    </xf>
    <xf numFmtId="176" fontId="4" fillId="5" borderId="2" xfId="0" applyNumberFormat="1" applyFont="1" applyFill="1" applyBorder="1" applyAlignment="1">
      <alignment vertical="center"/>
    </xf>
    <xf numFmtId="176" fontId="4" fillId="5" borderId="10" xfId="3" applyNumberFormat="1" applyFont="1" applyFill="1" applyBorder="1" applyAlignment="1">
      <alignment vertical="center"/>
    </xf>
    <xf numFmtId="176" fontId="4" fillId="0" borderId="10" xfId="0" applyNumberFormat="1" applyFont="1" applyBorder="1" applyAlignment="1">
      <alignment vertical="center"/>
    </xf>
    <xf numFmtId="176" fontId="4" fillId="0" borderId="2" xfId="0" applyNumberFormat="1" applyFont="1" applyBorder="1" applyAlignment="1">
      <alignment vertical="center"/>
    </xf>
    <xf numFmtId="176" fontId="4" fillId="0" borderId="10" xfId="3" applyNumberFormat="1" applyFont="1" applyBorder="1" applyAlignment="1">
      <alignment vertical="center"/>
    </xf>
    <xf numFmtId="176" fontId="5" fillId="0" borderId="10" xfId="0" applyNumberFormat="1" applyFont="1" applyBorder="1" applyAlignment="1">
      <alignment vertical="center"/>
    </xf>
    <xf numFmtId="176" fontId="5" fillId="0" borderId="2" xfId="0" applyNumberFormat="1" applyFont="1" applyBorder="1" applyAlignment="1">
      <alignment vertical="center"/>
    </xf>
    <xf numFmtId="176" fontId="5" fillId="0" borderId="10" xfId="3" applyNumberFormat="1" applyFont="1" applyBorder="1" applyAlignment="1">
      <alignment vertical="center"/>
    </xf>
    <xf numFmtId="176" fontId="4" fillId="12" borderId="10" xfId="0" applyNumberFormat="1" applyFont="1" applyFill="1" applyBorder="1" applyAlignment="1">
      <alignment vertical="center"/>
    </xf>
    <xf numFmtId="176" fontId="5" fillId="12" borderId="10" xfId="0" applyNumberFormat="1" applyFont="1" applyFill="1" applyBorder="1" applyAlignment="1">
      <alignment vertical="center"/>
    </xf>
    <xf numFmtId="176" fontId="4" fillId="4" borderId="10" xfId="0" applyNumberFormat="1" applyFont="1" applyFill="1" applyBorder="1" applyAlignment="1">
      <alignment vertical="center"/>
    </xf>
    <xf numFmtId="176" fontId="4" fillId="0" borderId="10" xfId="0" applyNumberFormat="1" applyFont="1" applyBorder="1"/>
    <xf numFmtId="176" fontId="4" fillId="0" borderId="10" xfId="3" applyNumberFormat="1" applyFont="1" applyBorder="1"/>
    <xf numFmtId="176" fontId="5" fillId="0" borderId="10" xfId="0" applyNumberFormat="1" applyFont="1" applyBorder="1"/>
    <xf numFmtId="176" fontId="5" fillId="12" borderId="10" xfId="3" applyNumberFormat="1" applyFont="1" applyFill="1" applyBorder="1"/>
    <xf numFmtId="176" fontId="4" fillId="5" borderId="10" xfId="0" applyNumberFormat="1" applyFont="1" applyFill="1" applyBorder="1"/>
    <xf numFmtId="0" fontId="14" fillId="9" borderId="0" xfId="0" applyFont="1" applyFill="1" applyAlignment="1">
      <alignment vertical="center"/>
    </xf>
    <xf numFmtId="176" fontId="19" fillId="9" borderId="0" xfId="0" applyNumberFormat="1" applyFont="1" applyFill="1" applyAlignment="1">
      <alignment vertical="center"/>
    </xf>
    <xf numFmtId="176" fontId="4" fillId="9" borderId="10" xfId="0" applyNumberFormat="1" applyFont="1" applyFill="1" applyBorder="1"/>
    <xf numFmtId="176" fontId="4" fillId="9" borderId="2" xfId="0" applyNumberFormat="1" applyFont="1" applyFill="1" applyBorder="1" applyAlignment="1">
      <alignment vertical="center"/>
    </xf>
    <xf numFmtId="176" fontId="4" fillId="9" borderId="10" xfId="0" applyNumberFormat="1" applyFont="1" applyFill="1" applyBorder="1" applyAlignment="1">
      <alignment vertical="center"/>
    </xf>
    <xf numFmtId="176" fontId="4" fillId="9" borderId="10" xfId="3" applyNumberFormat="1" applyFont="1" applyFill="1" applyBorder="1"/>
    <xf numFmtId="176" fontId="4" fillId="5" borderId="10" xfId="3" applyNumberFormat="1" applyFont="1" applyFill="1" applyBorder="1"/>
    <xf numFmtId="176" fontId="7" fillId="3" borderId="5" xfId="3" applyNumberFormat="1" applyFont="1" applyFill="1" applyBorder="1" applyAlignment="1">
      <alignment horizontal="center" vertical="center" wrapText="1"/>
    </xf>
    <xf numFmtId="176" fontId="7" fillId="3" borderId="5" xfId="3" applyNumberFormat="1" applyFont="1" applyFill="1" applyBorder="1" applyAlignment="1">
      <alignment horizontal="center" vertical="center" wrapText="1"/>
    </xf>
    <xf numFmtId="176" fontId="4" fillId="0" borderId="0" xfId="3" applyNumberFormat="1" applyFont="1"/>
    <xf numFmtId="176" fontId="5" fillId="0" borderId="0" xfId="0" quotePrefix="1" applyNumberFormat="1" applyFont="1"/>
    <xf numFmtId="176" fontId="5" fillId="0" borderId="0" xfId="0" quotePrefix="1" applyNumberFormat="1" applyFont="1" applyAlignment="1">
      <alignment horizontal="center"/>
    </xf>
    <xf numFmtId="0" fontId="17" fillId="12" borderId="10" xfId="0" applyFont="1" applyFill="1" applyBorder="1"/>
    <xf numFmtId="176" fontId="17" fillId="12" borderId="10" xfId="2" applyNumberFormat="1" applyFont="1" applyFill="1" applyBorder="1" applyAlignment="1" applyProtection="1"/>
    <xf numFmtId="9" fontId="17" fillId="12" borderId="10" xfId="1" applyFont="1" applyFill="1" applyBorder="1" applyAlignment="1" applyProtection="1"/>
    <xf numFmtId="177" fontId="17" fillId="12" borderId="10" xfId="1" applyNumberFormat="1" applyFont="1" applyFill="1" applyBorder="1" applyAlignment="1" applyProtection="1"/>
    <xf numFmtId="177" fontId="17" fillId="0" borderId="10" xfId="1" applyNumberFormat="1" applyFont="1" applyFill="1" applyBorder="1" applyAlignment="1" applyProtection="1"/>
    <xf numFmtId="0" fontId="12" fillId="0" borderId="0" xfId="0" applyFont="1"/>
    <xf numFmtId="41" fontId="12" fillId="0" borderId="0" xfId="2" applyFont="1" applyFill="1" applyBorder="1" applyAlignment="1" applyProtection="1"/>
    <xf numFmtId="9" fontId="12" fillId="0" borderId="0" xfId="2" applyNumberFormat="1" applyFont="1" applyFill="1" applyBorder="1" applyAlignment="1" applyProtection="1">
      <alignment horizontal="center"/>
    </xf>
    <xf numFmtId="177" fontId="12" fillId="0" borderId="0" xfId="2" applyNumberFormat="1" applyFont="1" applyFill="1" applyBorder="1" applyAlignment="1" applyProtection="1"/>
    <xf numFmtId="0" fontId="6" fillId="0" borderId="10" xfId="0" applyFont="1" applyBorder="1" applyAlignment="1">
      <alignment vertical="center"/>
    </xf>
    <xf numFmtId="176" fontId="5" fillId="0" borderId="10" xfId="2" applyNumberFormat="1" applyFont="1" applyFill="1" applyBorder="1" applyAlignment="1" applyProtection="1"/>
    <xf numFmtId="0" fontId="6" fillId="8" borderId="10" xfId="0" applyFont="1" applyFill="1" applyBorder="1" applyAlignment="1">
      <alignment vertical="center"/>
    </xf>
    <xf numFmtId="176" fontId="4" fillId="8" borderId="10" xfId="2" applyNumberFormat="1" applyFont="1" applyFill="1" applyBorder="1" applyAlignment="1" applyProtection="1"/>
    <xf numFmtId="0" fontId="6" fillId="10" borderId="10" xfId="0" applyFont="1" applyFill="1" applyBorder="1" applyAlignment="1">
      <alignment vertical="center"/>
    </xf>
    <xf numFmtId="176" fontId="6" fillId="10" borderId="10" xfId="2" applyNumberFormat="1" applyFont="1" applyFill="1" applyBorder="1" applyAlignment="1" applyProtection="1"/>
    <xf numFmtId="178" fontId="5" fillId="0" borderId="0" xfId="0" applyNumberFormat="1" applyFont="1"/>
    <xf numFmtId="0" fontId="6" fillId="11" borderId="10" xfId="0" applyFont="1" applyFill="1" applyBorder="1" applyAlignment="1">
      <alignment vertical="center"/>
    </xf>
    <xf numFmtId="176" fontId="4" fillId="11" borderId="10" xfId="2" applyNumberFormat="1" applyFont="1" applyFill="1" applyBorder="1" applyAlignment="1" applyProtection="1"/>
    <xf numFmtId="176" fontId="15" fillId="4" borderId="0" xfId="3" applyNumberFormat="1" applyFont="1" applyFill="1" applyAlignment="1">
      <alignment horizontal="center"/>
    </xf>
    <xf numFmtId="176" fontId="15" fillId="14" borderId="0" xfId="3" applyNumberFormat="1" applyFont="1" applyFill="1" applyAlignment="1">
      <alignment horizontal="center"/>
    </xf>
    <xf numFmtId="179" fontId="20" fillId="15" borderId="0" xfId="2" applyNumberFormat="1" applyFont="1" applyFill="1" applyBorder="1" applyAlignment="1" applyProtection="1">
      <alignment horizontal="center" vertical="center"/>
    </xf>
    <xf numFmtId="0" fontId="0" fillId="0" borderId="0" xfId="0" applyNumberFormat="1" applyFont="1" applyFill="1" applyBorder="1" applyAlignment="1" applyProtection="1"/>
    <xf numFmtId="176" fontId="7" fillId="3" borderId="5" xfId="3" applyNumberFormat="1" applyFont="1" applyFill="1" applyBorder="1" applyAlignment="1">
      <alignment horizontal="center" vertical="center" wrapText="1"/>
    </xf>
    <xf numFmtId="0" fontId="8" fillId="9" borderId="10" xfId="0" applyFont="1" applyFill="1" applyBorder="1" applyAlignment="1">
      <alignment vertical="center"/>
    </xf>
    <xf numFmtId="176" fontId="8" fillId="9" borderId="10" xfId="0" applyNumberFormat="1" applyFont="1" applyFill="1" applyBorder="1" applyAlignment="1">
      <alignment vertical="center"/>
    </xf>
    <xf numFmtId="176" fontId="7" fillId="3" borderId="7" xfId="3" applyNumberFormat="1" applyFont="1" applyFill="1" applyBorder="1" applyAlignment="1">
      <alignment vertical="center" wrapText="1"/>
    </xf>
    <xf numFmtId="176" fontId="7" fillId="3" borderId="2" xfId="3" applyNumberFormat="1" applyFont="1" applyFill="1" applyBorder="1" applyAlignment="1">
      <alignment vertical="center" wrapText="1"/>
    </xf>
    <xf numFmtId="0" fontId="0" fillId="0" borderId="0" xfId="0" applyNumberFormat="1" applyFont="1" applyFill="1" applyBorder="1" applyAlignment="1" applyProtection="1"/>
    <xf numFmtId="176" fontId="7" fillId="3" borderId="5" xfId="3" applyNumberFormat="1" applyFont="1" applyFill="1" applyBorder="1" applyAlignment="1">
      <alignment horizontal="center" vertical="center" wrapText="1"/>
    </xf>
    <xf numFmtId="176" fontId="7" fillId="3" borderId="5" xfId="3" applyNumberFormat="1" applyFont="1" applyFill="1" applyBorder="1" applyAlignment="1">
      <alignment horizontal="center" vertical="center" wrapText="1"/>
    </xf>
    <xf numFmtId="176" fontId="0" fillId="0" borderId="0" xfId="0" applyNumberFormat="1"/>
    <xf numFmtId="176" fontId="5" fillId="0" borderId="4" xfId="2" applyNumberFormat="1" applyFont="1" applyFill="1" applyBorder="1" applyAlignment="1" applyProtection="1"/>
    <xf numFmtId="176" fontId="4" fillId="8" borderId="4" xfId="2" applyNumberFormat="1" applyFont="1" applyFill="1" applyBorder="1" applyAlignment="1" applyProtection="1"/>
    <xf numFmtId="176" fontId="6" fillId="10" borderId="4" xfId="2" applyNumberFormat="1" applyFont="1" applyFill="1" applyBorder="1" applyAlignment="1" applyProtection="1"/>
    <xf numFmtId="176" fontId="4" fillId="11" borderId="4" xfId="2" applyNumberFormat="1" applyFont="1" applyFill="1" applyBorder="1" applyAlignment="1" applyProtection="1"/>
    <xf numFmtId="180" fontId="26" fillId="0" borderId="0" xfId="0" applyNumberFormat="1" applyFont="1" applyAlignment="1">
      <alignment vertical="center"/>
    </xf>
    <xf numFmtId="180" fontId="22" fillId="0" borderId="0" xfId="0" applyNumberFormat="1" applyFont="1" applyAlignment="1">
      <alignment vertical="center"/>
    </xf>
    <xf numFmtId="180" fontId="0" fillId="0" borderId="13" xfId="0" applyNumberFormat="1" applyBorder="1"/>
    <xf numFmtId="0" fontId="0" fillId="0" borderId="0" xfId="0"/>
    <xf numFmtId="180" fontId="11" fillId="0" borderId="19" xfId="0" applyNumberFormat="1" applyFont="1" applyBorder="1"/>
    <xf numFmtId="0" fontId="27" fillId="16" borderId="14" xfId="0" applyFont="1" applyFill="1" applyBorder="1" applyAlignment="1">
      <alignment horizontal="center" vertical="center" wrapText="1"/>
    </xf>
    <xf numFmtId="0" fontId="27" fillId="16" borderId="15" xfId="0" applyFont="1" applyFill="1" applyBorder="1" applyAlignment="1">
      <alignment horizontal="center" vertical="center" wrapText="1"/>
    </xf>
    <xf numFmtId="0" fontId="27" fillId="16" borderId="16" xfId="0" applyFont="1" applyFill="1" applyBorder="1" applyAlignment="1">
      <alignment horizontal="center" vertical="center" wrapText="1"/>
    </xf>
    <xf numFmtId="0" fontId="27" fillId="16" borderId="17" xfId="0" applyFont="1" applyFill="1" applyBorder="1" applyAlignment="1">
      <alignment horizontal="center" vertical="center" wrapText="1"/>
    </xf>
    <xf numFmtId="181" fontId="28" fillId="0" borderId="16" xfId="0" applyNumberFormat="1" applyFont="1" applyBorder="1" applyAlignment="1">
      <alignment horizontal="right"/>
    </xf>
    <xf numFmtId="181" fontId="28" fillId="0" borderId="0" xfId="0" applyNumberFormat="1" applyFont="1" applyAlignment="1">
      <alignment horizontal="right"/>
    </xf>
    <xf numFmtId="0" fontId="0" fillId="0" borderId="16" xfId="0" applyBorder="1"/>
    <xf numFmtId="181" fontId="28" fillId="4" borderId="16" xfId="0" applyNumberFormat="1" applyFont="1" applyFill="1" applyBorder="1" applyAlignment="1">
      <alignment horizontal="right"/>
    </xf>
    <xf numFmtId="181" fontId="28" fillId="4" borderId="0" xfId="0" applyNumberFormat="1" applyFont="1" applyFill="1" applyAlignment="1">
      <alignment horizontal="right"/>
    </xf>
    <xf numFmtId="176" fontId="7" fillId="3" borderId="5" xfId="3" applyNumberFormat="1" applyFont="1" applyFill="1" applyBorder="1" applyAlignment="1">
      <alignment horizontal="center" vertical="center" wrapText="1"/>
    </xf>
    <xf numFmtId="181" fontId="6" fillId="11" borderId="1" xfId="0" applyNumberFormat="1" applyFont="1" applyFill="1" applyBorder="1" applyAlignment="1" applyProtection="1">
      <alignment vertical="center"/>
    </xf>
    <xf numFmtId="0" fontId="0" fillId="4" borderId="0" xfId="0" applyFill="1"/>
    <xf numFmtId="176" fontId="7" fillId="3" borderId="5" xfId="3" applyNumberFormat="1" applyFont="1" applyFill="1" applyBorder="1" applyAlignment="1">
      <alignment horizontal="center" vertical="center" wrapText="1"/>
    </xf>
    <xf numFmtId="180" fontId="22" fillId="0" borderId="0" xfId="0" applyNumberFormat="1" applyFont="1" applyFill="1" applyBorder="1" applyAlignment="1" applyProtection="1">
      <alignment vertical="center"/>
    </xf>
    <xf numFmtId="0" fontId="37" fillId="0" borderId="0" xfId="0" applyFont="1" applyAlignment="1">
      <alignment horizontal="left" vertical="center"/>
    </xf>
    <xf numFmtId="0" fontId="38" fillId="0" borderId="0" xfId="0" applyFont="1" applyAlignment="1">
      <alignment horizontal="center" vertical="center"/>
    </xf>
    <xf numFmtId="0" fontId="38" fillId="0" borderId="0" xfId="0" applyFont="1" applyAlignment="1">
      <alignment vertical="center"/>
    </xf>
    <xf numFmtId="0" fontId="40" fillId="18" borderId="20" xfId="0" applyFont="1" applyFill="1" applyBorder="1" applyAlignment="1">
      <alignment horizontal="center" vertical="center"/>
    </xf>
    <xf numFmtId="0" fontId="40" fillId="18" borderId="21" xfId="0" applyFont="1" applyFill="1" applyBorder="1" applyAlignment="1">
      <alignment horizontal="center" vertical="center"/>
    </xf>
    <xf numFmtId="0" fontId="40" fillId="18" borderId="22" xfId="0" applyFont="1" applyFill="1" applyBorder="1" applyAlignment="1">
      <alignment horizontal="center" vertical="center"/>
    </xf>
    <xf numFmtId="0" fontId="40" fillId="18" borderId="23" xfId="0" applyFont="1" applyFill="1" applyBorder="1" applyAlignment="1">
      <alignment horizontal="center" vertical="center"/>
    </xf>
    <xf numFmtId="0" fontId="40" fillId="18" borderId="24" xfId="0" applyFont="1" applyFill="1" applyBorder="1" applyAlignment="1">
      <alignment horizontal="center" vertical="center"/>
    </xf>
    <xf numFmtId="0" fontId="40" fillId="18" borderId="25" xfId="0" applyFont="1" applyFill="1" applyBorder="1" applyAlignment="1">
      <alignment horizontal="center" vertical="center"/>
    </xf>
    <xf numFmtId="0" fontId="40" fillId="18" borderId="26" xfId="0" applyFont="1" applyFill="1" applyBorder="1" applyAlignment="1">
      <alignment horizontal="center" vertical="center"/>
    </xf>
    <xf numFmtId="0" fontId="40" fillId="18" borderId="27" xfId="0" applyFont="1" applyFill="1" applyBorder="1" applyAlignment="1">
      <alignment horizontal="center" vertical="center"/>
    </xf>
    <xf numFmtId="0" fontId="41" fillId="0" borderId="29" xfId="0" applyFont="1" applyBorder="1" applyAlignment="1">
      <alignment horizontal="center" vertical="center"/>
    </xf>
    <xf numFmtId="41" fontId="40" fillId="9" borderId="29" xfId="2" applyFont="1" applyFill="1" applyBorder="1" applyAlignment="1">
      <alignment horizontal="right" vertical="center"/>
    </xf>
    <xf numFmtId="181" fontId="42" fillId="0" borderId="29" xfId="0" applyNumberFormat="1" applyFont="1" applyBorder="1" applyAlignment="1">
      <alignment horizontal="right" vertical="center"/>
    </xf>
    <xf numFmtId="41" fontId="41" fillId="0" borderId="29" xfId="0" applyNumberFormat="1" applyFont="1" applyBorder="1" applyAlignment="1">
      <alignment horizontal="right" vertical="center"/>
    </xf>
    <xf numFmtId="41" fontId="41" fillId="0" borderId="30" xfId="0" applyNumberFormat="1" applyFont="1" applyBorder="1" applyAlignment="1">
      <alignment horizontal="right" vertical="center"/>
    </xf>
    <xf numFmtId="0" fontId="41" fillId="0" borderId="32" xfId="0" applyFont="1" applyBorder="1" applyAlignment="1">
      <alignment horizontal="center" vertical="center"/>
    </xf>
    <xf numFmtId="182" fontId="40" fillId="9" borderId="32" xfId="2" applyNumberFormat="1" applyFont="1" applyFill="1" applyBorder="1" applyAlignment="1">
      <alignment horizontal="right" vertical="center"/>
    </xf>
    <xf numFmtId="182" fontId="42" fillId="0" borderId="32" xfId="2" applyNumberFormat="1" applyFont="1" applyBorder="1" applyAlignment="1">
      <alignment horizontal="right" vertical="center"/>
    </xf>
    <xf numFmtId="182" fontId="41" fillId="0" borderId="32" xfId="2" applyNumberFormat="1" applyFont="1" applyBorder="1" applyAlignment="1">
      <alignment horizontal="right" vertical="center"/>
    </xf>
    <xf numFmtId="182" fontId="41" fillId="0" borderId="33" xfId="2" applyNumberFormat="1" applyFont="1" applyBorder="1" applyAlignment="1">
      <alignment horizontal="right" vertical="center"/>
    </xf>
    <xf numFmtId="0" fontId="40" fillId="19" borderId="34" xfId="0" applyFont="1" applyFill="1" applyBorder="1" applyAlignment="1">
      <alignment horizontal="center" vertical="center"/>
    </xf>
    <xf numFmtId="182" fontId="40" fillId="19" borderId="34" xfId="2" applyNumberFormat="1" applyFont="1" applyFill="1" applyBorder="1" applyAlignment="1">
      <alignment horizontal="right" vertical="center"/>
    </xf>
    <xf numFmtId="182" fontId="17" fillId="19" borderId="34" xfId="0" applyNumberFormat="1" applyFont="1" applyFill="1" applyBorder="1" applyAlignment="1">
      <alignment horizontal="right" vertical="center"/>
    </xf>
    <xf numFmtId="182" fontId="39" fillId="19" borderId="34" xfId="0" applyNumberFormat="1" applyFont="1" applyFill="1" applyBorder="1" applyAlignment="1">
      <alignment horizontal="right" vertical="center"/>
    </xf>
    <xf numFmtId="182" fontId="39" fillId="19" borderId="35" xfId="0" applyNumberFormat="1" applyFont="1" applyFill="1" applyBorder="1" applyAlignment="1">
      <alignment horizontal="right" vertical="center"/>
    </xf>
    <xf numFmtId="182" fontId="40" fillId="19" borderId="36" xfId="2" applyNumberFormat="1" applyFont="1" applyFill="1" applyBorder="1" applyAlignment="1">
      <alignment horizontal="right" vertical="center"/>
    </xf>
    <xf numFmtId="182" fontId="17" fillId="19" borderId="36" xfId="0" applyNumberFormat="1" applyFont="1" applyFill="1" applyBorder="1" applyAlignment="1">
      <alignment horizontal="right" vertical="center"/>
    </xf>
    <xf numFmtId="182" fontId="39" fillId="19" borderId="36" xfId="0" applyNumberFormat="1" applyFont="1" applyFill="1" applyBorder="1" applyAlignment="1">
      <alignment horizontal="right" vertical="center"/>
    </xf>
    <xf numFmtId="182" fontId="39" fillId="19" borderId="37" xfId="0" applyNumberFormat="1" applyFont="1" applyFill="1" applyBorder="1" applyAlignment="1">
      <alignment horizontal="right" vertical="center"/>
    </xf>
    <xf numFmtId="0" fontId="40" fillId="19" borderId="36" xfId="0" applyFont="1" applyFill="1" applyBorder="1" applyAlignment="1">
      <alignment horizontal="center" vertical="center"/>
    </xf>
    <xf numFmtId="176" fontId="7" fillId="3" borderId="5" xfId="3" applyNumberFormat="1" applyFont="1" applyFill="1" applyBorder="1" applyAlignment="1">
      <alignment horizontal="center" vertical="center" wrapText="1"/>
    </xf>
    <xf numFmtId="176" fontId="7" fillId="3" borderId="5" xfId="3" applyNumberFormat="1" applyFont="1" applyFill="1" applyBorder="1" applyAlignment="1">
      <alignment horizontal="center" vertical="center" wrapText="1"/>
    </xf>
    <xf numFmtId="176" fontId="7" fillId="3" borderId="5" xfId="3" applyNumberFormat="1" applyFont="1" applyFill="1" applyBorder="1" applyAlignment="1">
      <alignment horizontal="center" vertical="center" wrapText="1"/>
    </xf>
    <xf numFmtId="0" fontId="21" fillId="3" borderId="0" xfId="0" applyFont="1" applyFill="1" applyAlignment="1">
      <alignment horizontal="center" vertical="center" wrapText="1"/>
    </xf>
    <xf numFmtId="180" fontId="0" fillId="0" borderId="0" xfId="0" applyNumberFormat="1" applyFont="1" applyFill="1" applyBorder="1" applyAlignment="1" applyProtection="1"/>
    <xf numFmtId="176" fontId="7" fillId="3" borderId="5" xfId="3" applyNumberFormat="1" applyFont="1" applyFill="1" applyBorder="1" applyAlignment="1">
      <alignment horizontal="center" vertical="center" wrapText="1"/>
    </xf>
    <xf numFmtId="0" fontId="43" fillId="0" borderId="0" xfId="0" applyFont="1"/>
    <xf numFmtId="176" fontId="45" fillId="20" borderId="39" xfId="0" applyNumberFormat="1" applyFont="1" applyFill="1" applyBorder="1" applyAlignment="1">
      <alignment horizontal="center"/>
    </xf>
    <xf numFmtId="176" fontId="44" fillId="20" borderId="39" xfId="0" applyNumberFormat="1" applyFont="1" applyFill="1" applyBorder="1" applyAlignment="1">
      <alignment horizontal="center"/>
    </xf>
    <xf numFmtId="176" fontId="46" fillId="20" borderId="39" xfId="0" applyNumberFormat="1" applyFont="1" applyFill="1" applyBorder="1" applyAlignment="1">
      <alignment horizontal="center"/>
    </xf>
    <xf numFmtId="0" fontId="22" fillId="0" borderId="0" xfId="0" applyFont="1" applyAlignment="1">
      <alignment vertical="center"/>
    </xf>
    <xf numFmtId="0" fontId="22" fillId="21" borderId="0" xfId="0" applyFont="1" applyFill="1" applyAlignment="1">
      <alignment vertical="center"/>
    </xf>
    <xf numFmtId="180" fontId="22" fillId="21" borderId="0" xfId="0" applyNumberFormat="1" applyFont="1" applyFill="1" applyAlignment="1">
      <alignment vertical="center"/>
    </xf>
    <xf numFmtId="180" fontId="0" fillId="21" borderId="13" xfId="0" applyNumberFormat="1" applyFill="1" applyBorder="1"/>
    <xf numFmtId="0" fontId="0" fillId="21" borderId="0" xfId="0" applyFill="1"/>
    <xf numFmtId="176" fontId="0" fillId="21" borderId="0" xfId="0" applyNumberFormat="1" applyFill="1"/>
    <xf numFmtId="0" fontId="22" fillId="4" borderId="0" xfId="0" applyFont="1" applyFill="1" applyAlignment="1">
      <alignment vertical="center"/>
    </xf>
    <xf numFmtId="180" fontId="22" fillId="4" borderId="0" xfId="0" applyNumberFormat="1" applyFont="1" applyFill="1" applyAlignment="1">
      <alignment vertical="center"/>
    </xf>
    <xf numFmtId="180" fontId="0" fillId="4" borderId="13" xfId="0" applyNumberFormat="1" applyFill="1" applyBorder="1"/>
    <xf numFmtId="176" fontId="0" fillId="4" borderId="0" xfId="0" applyNumberFormat="1" applyFill="1"/>
    <xf numFmtId="0" fontId="21" fillId="17" borderId="0" xfId="0" applyFont="1" applyFill="1" applyAlignment="1">
      <alignment horizontal="center" vertical="center" wrapText="1"/>
    </xf>
    <xf numFmtId="0" fontId="21" fillId="22" borderId="0" xfId="0" applyFont="1" applyFill="1" applyAlignment="1">
      <alignment horizontal="center" vertical="center" wrapText="1"/>
    </xf>
    <xf numFmtId="180" fontId="22" fillId="22" borderId="0" xfId="0" applyNumberFormat="1" applyFont="1" applyFill="1" applyAlignment="1">
      <alignment vertical="center"/>
    </xf>
    <xf numFmtId="180" fontId="11" fillId="21" borderId="19" xfId="0" applyNumberFormat="1" applyFont="1" applyFill="1" applyBorder="1"/>
    <xf numFmtId="176" fontId="7" fillId="24" borderId="10" xfId="3" applyNumberFormat="1" applyFont="1" applyFill="1" applyBorder="1" applyAlignment="1">
      <alignment horizontal="center" vertical="center" shrinkToFit="1"/>
    </xf>
    <xf numFmtId="176" fontId="9" fillId="19" borderId="10" xfId="0" applyNumberFormat="1" applyFont="1" applyFill="1" applyBorder="1" applyAlignment="1">
      <alignment vertical="center"/>
    </xf>
    <xf numFmtId="176" fontId="10" fillId="19" borderId="10" xfId="0" applyNumberFormat="1" applyFont="1" applyFill="1" applyBorder="1" applyAlignment="1">
      <alignment vertical="center"/>
    </xf>
    <xf numFmtId="176" fontId="9" fillId="7" borderId="10" xfId="0" applyNumberFormat="1" applyFont="1" applyFill="1" applyBorder="1" applyAlignment="1">
      <alignment vertical="center"/>
    </xf>
    <xf numFmtId="176" fontId="9" fillId="6" borderId="10" xfId="0" applyNumberFormat="1" applyFont="1" applyFill="1" applyBorder="1" applyAlignment="1">
      <alignment vertical="center"/>
    </xf>
    <xf numFmtId="176" fontId="47" fillId="9" borderId="10" xfId="0" applyNumberFormat="1" applyFont="1" applyFill="1" applyBorder="1" applyAlignment="1">
      <alignment vertical="center"/>
    </xf>
    <xf numFmtId="176" fontId="7" fillId="3" borderId="0" xfId="3" applyNumberFormat="1" applyFont="1" applyFill="1" applyAlignment="1">
      <alignment horizontal="center" vertical="center" wrapText="1"/>
    </xf>
    <xf numFmtId="176" fontId="7" fillId="3" borderId="6" xfId="3" applyNumberFormat="1" applyFont="1" applyFill="1" applyBorder="1" applyAlignment="1">
      <alignment horizontal="center" vertical="center" wrapText="1"/>
    </xf>
    <xf numFmtId="176" fontId="7" fillId="3" borderId="11" xfId="3" applyNumberFormat="1" applyFont="1" applyFill="1" applyBorder="1" applyAlignment="1">
      <alignment horizontal="center" vertical="center" wrapText="1"/>
    </xf>
    <xf numFmtId="176" fontId="7" fillId="3" borderId="4" xfId="3" applyNumberFormat="1" applyFont="1" applyFill="1" applyBorder="1" applyAlignment="1">
      <alignment horizontal="center" vertical="center" wrapText="1"/>
    </xf>
    <xf numFmtId="176" fontId="7" fillId="3" borderId="7" xfId="3" applyNumberFormat="1" applyFont="1" applyFill="1" applyBorder="1" applyAlignment="1">
      <alignment horizontal="center" vertical="center" wrapText="1"/>
    </xf>
    <xf numFmtId="176" fontId="7" fillId="3" borderId="8" xfId="3" applyNumberFormat="1" applyFont="1" applyFill="1" applyBorder="1" applyAlignment="1">
      <alignment horizontal="center" vertical="center" wrapText="1"/>
    </xf>
    <xf numFmtId="176" fontId="7" fillId="3" borderId="9" xfId="3" applyNumberFormat="1" applyFont="1" applyFill="1" applyBorder="1" applyAlignment="1">
      <alignment horizontal="center" vertical="center" wrapText="1"/>
    </xf>
    <xf numFmtId="176" fontId="7" fillId="2" borderId="10" xfId="3" applyNumberFormat="1" applyFont="1" applyFill="1" applyBorder="1" applyAlignment="1">
      <alignment horizontal="center" vertical="center" wrapText="1"/>
    </xf>
    <xf numFmtId="176" fontId="7" fillId="23" borderId="0" xfId="3" applyNumberFormat="1" applyFont="1" applyFill="1" applyAlignment="1">
      <alignment horizontal="center" vertical="center" wrapText="1"/>
    </xf>
    <xf numFmtId="176" fontId="7" fillId="3" borderId="3" xfId="3" applyNumberFormat="1" applyFont="1" applyFill="1" applyBorder="1" applyAlignment="1">
      <alignment horizontal="center" vertical="center" wrapText="1"/>
    </xf>
    <xf numFmtId="176" fontId="7" fillId="3" borderId="5" xfId="3" applyNumberFormat="1" applyFont="1" applyFill="1" applyBorder="1" applyAlignment="1">
      <alignment horizontal="center" vertical="center" wrapText="1"/>
    </xf>
    <xf numFmtId="176" fontId="7" fillId="3" borderId="2" xfId="3" applyNumberFormat="1" applyFont="1" applyFill="1" applyBorder="1" applyAlignment="1">
      <alignment horizontal="center" vertical="center" wrapText="1"/>
    </xf>
    <xf numFmtId="176" fontId="7" fillId="2" borderId="3" xfId="3" applyNumberFormat="1" applyFont="1" applyFill="1" applyBorder="1" applyAlignment="1">
      <alignment horizontal="center" vertical="center" wrapText="1"/>
    </xf>
    <xf numFmtId="176" fontId="7" fillId="2" borderId="5" xfId="3" applyNumberFormat="1" applyFont="1" applyFill="1" applyBorder="1" applyAlignment="1">
      <alignment horizontal="center" vertical="center" wrapText="1"/>
    </xf>
    <xf numFmtId="0" fontId="27" fillId="4" borderId="16" xfId="0" applyFont="1" applyFill="1" applyBorder="1" applyAlignment="1">
      <alignment horizontal="center" vertical="top" wrapText="1"/>
    </xf>
    <xf numFmtId="0" fontId="21" fillId="3" borderId="0" xfId="0" applyFont="1" applyFill="1" applyAlignment="1">
      <alignment horizontal="center" vertical="center" wrapText="1"/>
    </xf>
    <xf numFmtId="0" fontId="34" fillId="4" borderId="0" xfId="0" applyFont="1" applyFill="1" applyAlignment="1">
      <alignment horizontal="center" vertical="center" wrapText="1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21" fillId="17" borderId="0" xfId="0" applyFont="1" applyFill="1" applyAlignment="1">
      <alignment horizontal="center" vertical="center" wrapText="1"/>
    </xf>
    <xf numFmtId="176" fontId="45" fillId="20" borderId="39" xfId="0" applyNumberFormat="1" applyFont="1" applyFill="1" applyBorder="1" applyAlignment="1">
      <alignment horizontal="center"/>
    </xf>
    <xf numFmtId="0" fontId="31" fillId="0" borderId="12" xfId="0" applyFont="1" applyBorder="1" applyAlignment="1">
      <alignment horizontal="center" vertical="center"/>
    </xf>
    <xf numFmtId="0" fontId="31" fillId="0" borderId="13" xfId="0" applyFont="1" applyBorder="1" applyAlignment="1">
      <alignment horizontal="center" vertical="center"/>
    </xf>
    <xf numFmtId="176" fontId="44" fillId="20" borderId="38" xfId="0" applyNumberFormat="1" applyFont="1" applyFill="1" applyBorder="1" applyAlignment="1">
      <alignment horizontal="center" vertical="center"/>
    </xf>
    <xf numFmtId="176" fontId="44" fillId="20" borderId="40" xfId="0" applyNumberFormat="1" applyFont="1" applyFill="1" applyBorder="1" applyAlignment="1">
      <alignment horizontal="center" vertical="center"/>
    </xf>
    <xf numFmtId="0" fontId="40" fillId="0" borderId="28" xfId="0" applyFont="1" applyBorder="1" applyAlignment="1">
      <alignment horizontal="center" vertical="center"/>
    </xf>
    <xf numFmtId="0" fontId="40" fillId="0" borderId="31" xfId="0" applyFont="1" applyBorder="1" applyAlignment="1">
      <alignment horizontal="center" vertical="center"/>
    </xf>
    <xf numFmtId="0" fontId="40" fillId="0" borderId="25" xfId="0" applyFont="1" applyBorder="1" applyAlignment="1">
      <alignment horizontal="center" vertical="center"/>
    </xf>
    <xf numFmtId="0" fontId="35" fillId="17" borderId="0" xfId="0" applyFont="1" applyFill="1" applyAlignment="1">
      <alignment horizontal="center" vertical="center"/>
    </xf>
    <xf numFmtId="178" fontId="5" fillId="0" borderId="0" xfId="0" applyNumberFormat="1" applyFont="1" applyFill="1" applyBorder="1" applyAlignment="1" applyProtection="1"/>
    <xf numFmtId="176" fontId="17" fillId="12" borderId="10" xfId="1" applyNumberFormat="1" applyFont="1" applyFill="1" applyBorder="1" applyAlignment="1" applyProtection="1"/>
    <xf numFmtId="176" fontId="4" fillId="0" borderId="10" xfId="2" applyNumberFormat="1" applyFont="1" applyFill="1" applyBorder="1" applyAlignment="1" applyProtection="1"/>
    <xf numFmtId="183" fontId="9" fillId="4" borderId="10" xfId="2" applyNumberFormat="1" applyFont="1" applyFill="1" applyBorder="1" applyAlignment="1">
      <alignment vertical="center"/>
    </xf>
    <xf numFmtId="178" fontId="9" fillId="0" borderId="10" xfId="0" applyNumberFormat="1" applyFont="1" applyBorder="1" applyAlignment="1">
      <alignment vertical="center"/>
    </xf>
    <xf numFmtId="178" fontId="9" fillId="5" borderId="10" xfId="0" applyNumberFormat="1" applyFont="1" applyFill="1" applyBorder="1" applyAlignment="1">
      <alignment vertical="center"/>
    </xf>
    <xf numFmtId="185" fontId="10" fillId="4" borderId="10" xfId="0" applyNumberFormat="1" applyFont="1" applyFill="1" applyBorder="1" applyAlignment="1">
      <alignment vertical="center"/>
    </xf>
    <xf numFmtId="178" fontId="10" fillId="0" borderId="10" xfId="0" applyNumberFormat="1" applyFont="1" applyBorder="1" applyAlignment="1">
      <alignment vertical="center"/>
    </xf>
    <xf numFmtId="178" fontId="10" fillId="6" borderId="10" xfId="0" applyNumberFormat="1" applyFont="1" applyFill="1" applyBorder="1" applyAlignment="1">
      <alignment vertical="center"/>
    </xf>
  </cellXfs>
  <cellStyles count="11">
    <cellStyle name="백분율" xfId="1" builtinId="5"/>
    <cellStyle name="백분율 2" xfId="6" xr:uid="{00000000-0005-0000-0000-000001000000}"/>
    <cellStyle name="쉼표 [0]" xfId="2" builtinId="6"/>
    <cellStyle name="쉼표 [0] 2" xfId="5" xr:uid="{00000000-0005-0000-0000-000003000000}"/>
    <cellStyle name="표준" xfId="0" builtinId="0"/>
    <cellStyle name="표준 12" xfId="9" xr:uid="{931ED745-421A-438B-AE2E-F6E59603E8DC}"/>
    <cellStyle name="표준 2" xfId="3" xr:uid="{00000000-0005-0000-0000-000005000000}"/>
    <cellStyle name="표준 3" xfId="4" xr:uid="{00000000-0005-0000-0000-000006000000}"/>
    <cellStyle name="표준 4" xfId="7" xr:uid="{59686983-CCED-4D02-8921-7EAA88C53E1D}"/>
    <cellStyle name="표준 5" xfId="8" xr:uid="{37A3B1A3-EA8E-4257-9025-7544E3558BC1}"/>
    <cellStyle name="표준 6" xfId="10" xr:uid="{33D451EA-133E-4B2B-AE85-70BD4885E80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8251;%20BM&#48324;/&#9733;%20&#44221;&#52509;&#44292;%20&#48372;&#44256;&#50857;/&#9733;%20BM&#48324;%20&#51060;&#51061;&#44228;&#49328;&#49436;_2025&#45380;%20&#45572;&#51201;%20(&#48372;&#44256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종합"/>
      <sheetName val="1월"/>
      <sheetName val="2월"/>
      <sheetName val="3월"/>
      <sheetName val="4월"/>
      <sheetName val="5월"/>
      <sheetName val="6월"/>
      <sheetName val="7월"/>
      <sheetName val="8월"/>
      <sheetName val="9월"/>
      <sheetName val="10월"/>
      <sheetName val="11월"/>
      <sheetName val="12월"/>
      <sheetName val="유통플랫폼"/>
      <sheetName val="플랫폼1"/>
      <sheetName val="플랫폼2"/>
      <sheetName val="모바일"/>
      <sheetName val="※ 유심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1">
          <cell r="A1" t="str">
            <v>계정명</v>
          </cell>
          <cell r="B1" t="str">
            <v>합계</v>
          </cell>
          <cell r="C1" t="str">
            <v>20600000</v>
          </cell>
        </row>
        <row r="2">
          <cell r="A2" t="str">
            <v>계정명</v>
          </cell>
          <cell r="B2" t="str">
            <v>합계</v>
          </cell>
          <cell r="C2" t="str">
            <v>신사업팀</v>
          </cell>
        </row>
        <row r="3">
          <cell r="A3" t="str">
            <v>손            익</v>
          </cell>
          <cell r="B3">
            <v>5590865297</v>
          </cell>
          <cell r="C3">
            <v>-9600000</v>
          </cell>
        </row>
        <row r="4">
          <cell r="A4" t="str">
            <v>매            출</v>
          </cell>
          <cell r="B4">
            <v>55658424026</v>
          </cell>
          <cell r="C4">
            <v>0</v>
          </cell>
        </row>
        <row r="5">
          <cell r="A5" t="str">
            <v xml:space="preserve"> 상    품   매   출</v>
          </cell>
          <cell r="B5">
            <v>51015838152</v>
          </cell>
          <cell r="C5">
            <v>0</v>
          </cell>
        </row>
        <row r="6">
          <cell r="A6" t="str">
            <v xml:space="preserve">  상품단말기매출-고객</v>
          </cell>
          <cell r="B6">
            <v>46041554080</v>
          </cell>
          <cell r="C6">
            <v>0</v>
          </cell>
        </row>
        <row r="7">
          <cell r="A7" t="str">
            <v xml:space="preserve">  상품매출액-신용카드매출</v>
          </cell>
          <cell r="B7">
            <v>407223292</v>
          </cell>
          <cell r="C7">
            <v>0</v>
          </cell>
        </row>
        <row r="8">
          <cell r="A8" t="str">
            <v xml:space="preserve">  상품매출-기타</v>
          </cell>
          <cell r="B8">
            <v>4567060780</v>
          </cell>
          <cell r="C8">
            <v>0</v>
          </cell>
        </row>
        <row r="9">
          <cell r="A9" t="str">
            <v xml:space="preserve"> 수수료수입</v>
          </cell>
          <cell r="B9">
            <v>4642585874</v>
          </cell>
          <cell r="C9">
            <v>0</v>
          </cell>
        </row>
        <row r="10">
          <cell r="A10" t="str">
            <v xml:space="preserve">  수수료수입-KT(RDS)</v>
          </cell>
          <cell r="B10">
            <v>3314577868</v>
          </cell>
          <cell r="C10">
            <v>0</v>
          </cell>
        </row>
        <row r="11">
          <cell r="A11" t="str">
            <v xml:space="preserve">  수수료수입-기타</v>
          </cell>
          <cell r="B11">
            <v>305888006</v>
          </cell>
          <cell r="C11">
            <v>0</v>
          </cell>
        </row>
        <row r="12">
          <cell r="A12" t="str">
            <v xml:space="preserve">  수수료수입-용역</v>
          </cell>
          <cell r="B12">
            <v>1022120000</v>
          </cell>
          <cell r="C12">
            <v>0</v>
          </cell>
        </row>
        <row r="13">
          <cell r="A13" t="str">
            <v>매   출  원   가</v>
          </cell>
          <cell r="B13">
            <v>42348181294</v>
          </cell>
          <cell r="C13">
            <v>0</v>
          </cell>
        </row>
        <row r="14">
          <cell r="A14" t="str">
            <v xml:space="preserve"> 상 품 매 출  원 가</v>
          </cell>
          <cell r="B14">
            <v>42348181294</v>
          </cell>
          <cell r="C14">
            <v>0</v>
          </cell>
        </row>
        <row r="15">
          <cell r="A15" t="str">
            <v>매  출 총 이  익</v>
          </cell>
          <cell r="B15">
            <v>13310242732</v>
          </cell>
          <cell r="C15">
            <v>0</v>
          </cell>
        </row>
        <row r="16">
          <cell r="A16" t="str">
            <v>판매비와일반관리비</v>
          </cell>
          <cell r="B16">
            <v>7715395455</v>
          </cell>
          <cell r="C16">
            <v>9600000</v>
          </cell>
        </row>
        <row r="17">
          <cell r="A17" t="str">
            <v xml:space="preserve"> 직   원    급   여</v>
          </cell>
          <cell r="B17">
            <v>1002204290</v>
          </cell>
          <cell r="C17">
            <v>0</v>
          </cell>
        </row>
        <row r="18">
          <cell r="A18" t="str">
            <v xml:space="preserve">  급료와임금</v>
          </cell>
          <cell r="B18">
            <v>531956760</v>
          </cell>
          <cell r="C18">
            <v>0</v>
          </cell>
        </row>
        <row r="19">
          <cell r="A19" t="str">
            <v xml:space="preserve">  초과근무수당</v>
          </cell>
          <cell r="B19">
            <v>97224510</v>
          </cell>
          <cell r="C19">
            <v>0</v>
          </cell>
        </row>
        <row r="20">
          <cell r="A20" t="str">
            <v xml:space="preserve">  직책수당</v>
          </cell>
          <cell r="B20">
            <v>20400000</v>
          </cell>
          <cell r="C20">
            <v>0</v>
          </cell>
        </row>
        <row r="21">
          <cell r="A21" t="str">
            <v xml:space="preserve">  휴일근무수당</v>
          </cell>
          <cell r="B21">
            <v>8027910</v>
          </cell>
          <cell r="C21">
            <v>0</v>
          </cell>
        </row>
        <row r="22">
          <cell r="A22" t="str">
            <v xml:space="preserve">  제수당기타</v>
          </cell>
          <cell r="B22">
            <v>19371300</v>
          </cell>
          <cell r="C22">
            <v>0</v>
          </cell>
        </row>
        <row r="23">
          <cell r="A23" t="str">
            <v xml:space="preserve">  복리급식보조비</v>
          </cell>
          <cell r="B23">
            <v>19065000</v>
          </cell>
          <cell r="C23">
            <v>0</v>
          </cell>
        </row>
        <row r="24">
          <cell r="A24" t="str">
            <v xml:space="preserve">  급료와임금-영업직</v>
          </cell>
          <cell r="B24">
            <v>216914980</v>
          </cell>
          <cell r="C24">
            <v>0</v>
          </cell>
        </row>
        <row r="25">
          <cell r="A25" t="str">
            <v xml:space="preserve">  초과근무수당-영업직</v>
          </cell>
          <cell r="B25">
            <v>35747970</v>
          </cell>
          <cell r="C25">
            <v>0</v>
          </cell>
        </row>
        <row r="26">
          <cell r="A26" t="str">
            <v xml:space="preserve">  직책수당-영업직</v>
          </cell>
          <cell r="B26">
            <v>150000</v>
          </cell>
          <cell r="C26">
            <v>0</v>
          </cell>
        </row>
        <row r="27">
          <cell r="A27" t="str">
            <v xml:space="preserve">  복리급식보조비-영업직</v>
          </cell>
          <cell r="B27">
            <v>14759500</v>
          </cell>
          <cell r="C27">
            <v>0</v>
          </cell>
        </row>
        <row r="28">
          <cell r="A28" t="str">
            <v xml:space="preserve">  연차수당-영업직</v>
          </cell>
          <cell r="B28">
            <v>271370</v>
          </cell>
          <cell r="C28">
            <v>0</v>
          </cell>
        </row>
        <row r="29">
          <cell r="A29" t="str">
            <v xml:space="preserve">  휴일근무수당-영업직</v>
          </cell>
          <cell r="B29">
            <v>814990</v>
          </cell>
          <cell r="C29">
            <v>0</v>
          </cell>
        </row>
        <row r="30">
          <cell r="A30" t="str">
            <v xml:space="preserve">  제수당기타-영업직</v>
          </cell>
          <cell r="B30">
            <v>12000000</v>
          </cell>
          <cell r="C30">
            <v>0</v>
          </cell>
        </row>
        <row r="31">
          <cell r="A31" t="str">
            <v xml:space="preserve">  특별격려금</v>
          </cell>
          <cell r="B31">
            <v>25500000</v>
          </cell>
          <cell r="C31">
            <v>0</v>
          </cell>
        </row>
        <row r="32">
          <cell r="A32" t="str">
            <v xml:space="preserve"> 상      여      금</v>
          </cell>
          <cell r="B32">
            <v>212455470</v>
          </cell>
          <cell r="C32">
            <v>0</v>
          </cell>
        </row>
        <row r="33">
          <cell r="A33" t="str">
            <v xml:space="preserve">  정기상여수당</v>
          </cell>
          <cell r="B33">
            <v>86629610</v>
          </cell>
          <cell r="C33">
            <v>0</v>
          </cell>
        </row>
        <row r="34">
          <cell r="A34" t="str">
            <v xml:space="preserve">  특별상여수당</v>
          </cell>
          <cell r="B34">
            <v>109209360</v>
          </cell>
          <cell r="C34">
            <v>0</v>
          </cell>
        </row>
        <row r="35">
          <cell r="A35" t="str">
            <v xml:space="preserve">  정기상여수당-영업직</v>
          </cell>
          <cell r="B35">
            <v>16616500</v>
          </cell>
          <cell r="C35">
            <v>0</v>
          </cell>
        </row>
        <row r="36">
          <cell r="A36" t="str">
            <v xml:space="preserve"> 잡              급</v>
          </cell>
          <cell r="B36">
            <v>770000</v>
          </cell>
          <cell r="C36">
            <v>0</v>
          </cell>
        </row>
        <row r="37">
          <cell r="A37" t="str">
            <v xml:space="preserve"> 퇴직급여충당금전입</v>
          </cell>
          <cell r="B37">
            <v>96355182</v>
          </cell>
          <cell r="C37">
            <v>0</v>
          </cell>
        </row>
        <row r="38">
          <cell r="A38" t="str">
            <v xml:space="preserve">  퇴직급여충당금전입_부서별</v>
          </cell>
          <cell r="B38">
            <v>96355182</v>
          </cell>
          <cell r="C38">
            <v>0</v>
          </cell>
        </row>
        <row r="39">
          <cell r="A39" t="str">
            <v xml:space="preserve"> 포상비</v>
          </cell>
          <cell r="B39">
            <v>3000000</v>
          </cell>
          <cell r="C39">
            <v>0</v>
          </cell>
        </row>
        <row r="40">
          <cell r="A40" t="str">
            <v xml:space="preserve">  포상비</v>
          </cell>
          <cell r="B40">
            <v>3000000</v>
          </cell>
          <cell r="C40">
            <v>0</v>
          </cell>
        </row>
        <row r="41">
          <cell r="A41" t="str">
            <v xml:space="preserve"> 복  리  후  생  비</v>
          </cell>
          <cell r="B41">
            <v>177173881</v>
          </cell>
          <cell r="C41">
            <v>0</v>
          </cell>
        </row>
        <row r="42">
          <cell r="A42" t="str">
            <v xml:space="preserve">  복리산재보험료</v>
          </cell>
          <cell r="B42">
            <v>9137733</v>
          </cell>
          <cell r="C42">
            <v>0</v>
          </cell>
        </row>
        <row r="43">
          <cell r="A43" t="str">
            <v xml:space="preserve">  복리건강보험료</v>
          </cell>
          <cell r="B43">
            <v>46343260</v>
          </cell>
          <cell r="C43">
            <v>0</v>
          </cell>
        </row>
        <row r="44">
          <cell r="A44" t="str">
            <v xml:space="preserve">  복리국민연금</v>
          </cell>
          <cell r="B44">
            <v>40687490</v>
          </cell>
          <cell r="C44">
            <v>0</v>
          </cell>
        </row>
        <row r="45">
          <cell r="A45" t="str">
            <v xml:space="preserve">  복리고용보험료</v>
          </cell>
          <cell r="B45">
            <v>20191364</v>
          </cell>
          <cell r="C45">
            <v>0</v>
          </cell>
        </row>
        <row r="46">
          <cell r="A46" t="str">
            <v xml:space="preserve">  복리포인트(마케팅)</v>
          </cell>
          <cell r="B46">
            <v>13488000</v>
          </cell>
          <cell r="C46">
            <v>0</v>
          </cell>
        </row>
        <row r="47">
          <cell r="A47" t="str">
            <v xml:space="preserve">  복리포인트(사업)</v>
          </cell>
          <cell r="B47">
            <v>10850000</v>
          </cell>
          <cell r="C47">
            <v>0</v>
          </cell>
        </row>
        <row r="48">
          <cell r="A48" t="str">
            <v xml:space="preserve">  복리기타-생수</v>
          </cell>
          <cell r="B48">
            <v>1124464</v>
          </cell>
          <cell r="C48">
            <v>0</v>
          </cell>
        </row>
        <row r="49">
          <cell r="A49" t="str">
            <v xml:space="preserve">  복리의료비(일반)</v>
          </cell>
          <cell r="B49">
            <v>8288170</v>
          </cell>
          <cell r="C49">
            <v>0</v>
          </cell>
        </row>
        <row r="50">
          <cell r="A50" t="str">
            <v xml:space="preserve">  복리의료비(치과)</v>
          </cell>
          <cell r="B50">
            <v>1080800</v>
          </cell>
          <cell r="C50">
            <v>0</v>
          </cell>
        </row>
        <row r="51">
          <cell r="A51" t="str">
            <v xml:space="preserve">  복리경조비_일반직</v>
          </cell>
          <cell r="B51">
            <v>900000</v>
          </cell>
          <cell r="C51">
            <v>0</v>
          </cell>
        </row>
        <row r="52">
          <cell r="A52" t="str">
            <v xml:space="preserve">  복리경조비_영업직</v>
          </cell>
          <cell r="B52">
            <v>1500000</v>
          </cell>
          <cell r="C52">
            <v>0</v>
          </cell>
        </row>
        <row r="53">
          <cell r="A53" t="str">
            <v xml:space="preserve">  복리자녀교육비_일반직</v>
          </cell>
          <cell r="B53">
            <v>1200000</v>
          </cell>
          <cell r="C53">
            <v>0</v>
          </cell>
        </row>
        <row r="54">
          <cell r="A54" t="str">
            <v xml:space="preserve">  복리포인트</v>
          </cell>
          <cell r="B54">
            <v>21650000</v>
          </cell>
          <cell r="C54">
            <v>0</v>
          </cell>
        </row>
        <row r="55">
          <cell r="A55" t="str">
            <v xml:space="preserve">  복리놀이공원이용지원</v>
          </cell>
          <cell r="B55">
            <v>382600</v>
          </cell>
          <cell r="C55">
            <v>0</v>
          </cell>
        </row>
        <row r="56">
          <cell r="A56" t="str">
            <v xml:space="preserve">  복리휴양시설이용지원</v>
          </cell>
          <cell r="B56">
            <v>280000</v>
          </cell>
          <cell r="C56">
            <v>0</v>
          </cell>
        </row>
        <row r="57">
          <cell r="A57" t="str">
            <v xml:space="preserve">  복리포인트(유선)</v>
          </cell>
          <cell r="B57">
            <v>70000</v>
          </cell>
          <cell r="C57">
            <v>0</v>
          </cell>
        </row>
        <row r="58">
          <cell r="A58" t="str">
            <v xml:space="preserve"> 여  비  교  통  비</v>
          </cell>
          <cell r="B58">
            <v>25789404</v>
          </cell>
          <cell r="C58">
            <v>0</v>
          </cell>
        </row>
        <row r="59">
          <cell r="A59" t="str">
            <v xml:space="preserve">  임원국내출장비</v>
          </cell>
          <cell r="B59">
            <v>492000</v>
          </cell>
          <cell r="C59">
            <v>0</v>
          </cell>
        </row>
        <row r="60">
          <cell r="A60" t="str">
            <v xml:space="preserve">  국내출장비</v>
          </cell>
          <cell r="B60">
            <v>11593228</v>
          </cell>
          <cell r="C60">
            <v>0</v>
          </cell>
        </row>
        <row r="61">
          <cell r="A61" t="str">
            <v xml:space="preserve">  차량운행지원비</v>
          </cell>
          <cell r="B61">
            <v>1729976</v>
          </cell>
          <cell r="C61">
            <v>0</v>
          </cell>
        </row>
        <row r="62">
          <cell r="A62" t="str">
            <v xml:space="preserve">  출장교통보조비</v>
          </cell>
          <cell r="B62">
            <v>11974200</v>
          </cell>
          <cell r="C62">
            <v>0</v>
          </cell>
        </row>
        <row r="63">
          <cell r="A63" t="str">
            <v xml:space="preserve"> 접      대      비</v>
          </cell>
          <cell r="B63">
            <v>1300000</v>
          </cell>
          <cell r="C63">
            <v>0</v>
          </cell>
        </row>
        <row r="64">
          <cell r="A64" t="str">
            <v xml:space="preserve">  접대비-1만원초과</v>
          </cell>
          <cell r="B64">
            <v>1300000</v>
          </cell>
          <cell r="C64">
            <v>0</v>
          </cell>
        </row>
        <row r="65">
          <cell r="A65" t="str">
            <v xml:space="preserve"> 통      신      비</v>
          </cell>
          <cell r="B65">
            <v>10440707</v>
          </cell>
          <cell r="C65">
            <v>0</v>
          </cell>
        </row>
        <row r="66">
          <cell r="A66" t="str">
            <v xml:space="preserve">  통신-국내외전화료</v>
          </cell>
          <cell r="B66">
            <v>725574</v>
          </cell>
          <cell r="C66">
            <v>0</v>
          </cell>
        </row>
        <row r="67">
          <cell r="A67" t="str">
            <v xml:space="preserve">  통신-이동통신비</v>
          </cell>
          <cell r="B67">
            <v>6611748</v>
          </cell>
          <cell r="C67">
            <v>0</v>
          </cell>
        </row>
        <row r="68">
          <cell r="A68" t="str">
            <v xml:space="preserve">  통신-정보통신이용료</v>
          </cell>
          <cell r="B68">
            <v>2903305</v>
          </cell>
          <cell r="C68">
            <v>0</v>
          </cell>
        </row>
        <row r="69">
          <cell r="A69" t="str">
            <v xml:space="preserve">  통신-우편료(기본)</v>
          </cell>
          <cell r="B69">
            <v>200080</v>
          </cell>
          <cell r="C69">
            <v>0</v>
          </cell>
        </row>
        <row r="70">
          <cell r="A70" t="str">
            <v xml:space="preserve"> 수  도  광  열  비</v>
          </cell>
          <cell r="B70">
            <v>4129565</v>
          </cell>
          <cell r="C70">
            <v>0</v>
          </cell>
        </row>
        <row r="71">
          <cell r="A71" t="str">
            <v xml:space="preserve">  수도광열전기료</v>
          </cell>
          <cell r="B71">
            <v>4129565</v>
          </cell>
          <cell r="C71">
            <v>0</v>
          </cell>
        </row>
        <row r="72">
          <cell r="A72" t="str">
            <v xml:space="preserve"> 감  가  상  각  비</v>
          </cell>
          <cell r="B72">
            <v>319799989</v>
          </cell>
          <cell r="C72">
            <v>9600000</v>
          </cell>
        </row>
        <row r="73">
          <cell r="A73" t="str">
            <v xml:space="preserve"> 지  급  임  차  료</v>
          </cell>
          <cell r="B73">
            <v>168031590</v>
          </cell>
          <cell r="C73">
            <v>0</v>
          </cell>
        </row>
        <row r="74">
          <cell r="A74" t="str">
            <v xml:space="preserve">  임차료-건물</v>
          </cell>
          <cell r="B74">
            <v>144510000</v>
          </cell>
          <cell r="C74">
            <v>0</v>
          </cell>
        </row>
        <row r="75">
          <cell r="A75" t="str">
            <v xml:space="preserve">  임차료-관리비</v>
          </cell>
          <cell r="B75">
            <v>23521590</v>
          </cell>
          <cell r="C75">
            <v>0</v>
          </cell>
        </row>
        <row r="76">
          <cell r="A76" t="str">
            <v xml:space="preserve"> 보      험      료</v>
          </cell>
          <cell r="B76">
            <v>1716166</v>
          </cell>
          <cell r="C76">
            <v>0</v>
          </cell>
        </row>
        <row r="77">
          <cell r="A77" t="str">
            <v xml:space="preserve">  보험화재보험료</v>
          </cell>
          <cell r="B77">
            <v>1716166</v>
          </cell>
          <cell r="C77">
            <v>0</v>
          </cell>
        </row>
        <row r="78">
          <cell r="A78" t="str">
            <v xml:space="preserve"> 차  량  유  지  비</v>
          </cell>
          <cell r="B78">
            <v>1422630</v>
          </cell>
          <cell r="C78">
            <v>0</v>
          </cell>
        </row>
        <row r="79">
          <cell r="A79" t="str">
            <v xml:space="preserve">  차량유지비- 통행주차료</v>
          </cell>
          <cell r="B79">
            <v>1262570</v>
          </cell>
          <cell r="C79">
            <v>0</v>
          </cell>
        </row>
        <row r="80">
          <cell r="A80" t="str">
            <v xml:space="preserve">  차량유지비-본사(기본)</v>
          </cell>
          <cell r="B80">
            <v>160060</v>
          </cell>
          <cell r="C80">
            <v>0</v>
          </cell>
        </row>
        <row r="81">
          <cell r="A81" t="str">
            <v xml:space="preserve"> 운      반      비</v>
          </cell>
          <cell r="B81">
            <v>446998110</v>
          </cell>
          <cell r="C81">
            <v>0</v>
          </cell>
        </row>
        <row r="82">
          <cell r="A82" t="str">
            <v xml:space="preserve">  단말기물류비(기본)</v>
          </cell>
          <cell r="B82">
            <v>446998110</v>
          </cell>
          <cell r="C82">
            <v>0</v>
          </cell>
        </row>
        <row r="83">
          <cell r="A83" t="str">
            <v xml:space="preserve"> 교  육  훈  련  비</v>
          </cell>
          <cell r="B83">
            <v>4356728</v>
          </cell>
          <cell r="C83">
            <v>0</v>
          </cell>
        </row>
        <row r="84">
          <cell r="A84" t="str">
            <v xml:space="preserve">  교육채용경비</v>
          </cell>
          <cell r="B84">
            <v>356728</v>
          </cell>
          <cell r="C84">
            <v>0</v>
          </cell>
        </row>
        <row r="85">
          <cell r="A85" t="str">
            <v xml:space="preserve">  교육연수</v>
          </cell>
          <cell r="B85">
            <v>4000000</v>
          </cell>
          <cell r="C85">
            <v>0</v>
          </cell>
        </row>
        <row r="86">
          <cell r="A86" t="str">
            <v xml:space="preserve"> 회      의      비</v>
          </cell>
          <cell r="B86">
            <v>165105842</v>
          </cell>
          <cell r="C86">
            <v>0</v>
          </cell>
        </row>
        <row r="87">
          <cell r="A87" t="str">
            <v xml:space="preserve">  회의비-직영(기본)</v>
          </cell>
          <cell r="B87">
            <v>1571544</v>
          </cell>
          <cell r="C87">
            <v>0</v>
          </cell>
        </row>
        <row r="88">
          <cell r="A88" t="str">
            <v xml:space="preserve">  회의비-본사(기본)</v>
          </cell>
          <cell r="B88">
            <v>7426739</v>
          </cell>
          <cell r="C88">
            <v>0</v>
          </cell>
        </row>
        <row r="89">
          <cell r="A89" t="str">
            <v xml:space="preserve">  회의비(한마음)</v>
          </cell>
          <cell r="B89">
            <v>3934986</v>
          </cell>
          <cell r="C89">
            <v>0</v>
          </cell>
        </row>
        <row r="90">
          <cell r="A90" t="str">
            <v xml:space="preserve">  회의비-포상</v>
          </cell>
          <cell r="B90">
            <v>1478826</v>
          </cell>
          <cell r="C90">
            <v>0</v>
          </cell>
        </row>
        <row r="91">
          <cell r="A91" t="str">
            <v xml:space="preserve">  회의비(사업)</v>
          </cell>
          <cell r="B91">
            <v>121173797</v>
          </cell>
          <cell r="C91">
            <v>0</v>
          </cell>
        </row>
        <row r="92">
          <cell r="A92" t="str">
            <v xml:space="preserve">  회의비(마케팅)</v>
          </cell>
          <cell r="B92">
            <v>29519950</v>
          </cell>
          <cell r="C92">
            <v>0</v>
          </cell>
        </row>
        <row r="93">
          <cell r="A93" t="str">
            <v xml:space="preserve"> 소    모   품   비</v>
          </cell>
          <cell r="B93">
            <v>33236400</v>
          </cell>
          <cell r="C93">
            <v>0</v>
          </cell>
        </row>
        <row r="94">
          <cell r="A94" t="str">
            <v xml:space="preserve">  소모품-MRO</v>
          </cell>
          <cell r="B94">
            <v>925970</v>
          </cell>
          <cell r="C94">
            <v>0</v>
          </cell>
        </row>
        <row r="95">
          <cell r="A95" t="str">
            <v xml:space="preserve">  소모품-일괄구매</v>
          </cell>
          <cell r="B95">
            <v>22029182</v>
          </cell>
          <cell r="C95">
            <v>0</v>
          </cell>
        </row>
        <row r="96">
          <cell r="A96" t="str">
            <v xml:space="preserve">  소모품사무,일반용품(기본)</v>
          </cell>
          <cell r="B96">
            <v>10281248</v>
          </cell>
          <cell r="C96">
            <v>0</v>
          </cell>
        </row>
        <row r="97">
          <cell r="A97" t="str">
            <v xml:space="preserve"> 지 급 수 수 료</v>
          </cell>
          <cell r="B97">
            <v>4558399689</v>
          </cell>
          <cell r="C97">
            <v>0</v>
          </cell>
        </row>
        <row r="98">
          <cell r="A98" t="str">
            <v xml:space="preserve">  IT유지보수대행수수료</v>
          </cell>
          <cell r="B98">
            <v>317328026</v>
          </cell>
          <cell r="C98">
            <v>0</v>
          </cell>
        </row>
        <row r="99">
          <cell r="A99" t="str">
            <v xml:space="preserve">  수수료-서비스이용료</v>
          </cell>
          <cell r="B99">
            <v>3828600663</v>
          </cell>
          <cell r="C99">
            <v>0</v>
          </cell>
        </row>
        <row r="100">
          <cell r="A100" t="str">
            <v xml:space="preserve">  수수료-전문가자문료</v>
          </cell>
          <cell r="B100">
            <v>751590</v>
          </cell>
          <cell r="C100">
            <v>0</v>
          </cell>
        </row>
        <row r="101">
          <cell r="A101" t="str">
            <v xml:space="preserve">  수수료-보안용역</v>
          </cell>
          <cell r="B101">
            <v>824194</v>
          </cell>
          <cell r="C101">
            <v>0</v>
          </cell>
        </row>
        <row r="102">
          <cell r="A102" t="str">
            <v xml:space="preserve">  수수료-공사용역수수료</v>
          </cell>
          <cell r="B102">
            <v>97972000</v>
          </cell>
          <cell r="C102">
            <v>0</v>
          </cell>
        </row>
        <row r="103">
          <cell r="A103" t="str">
            <v xml:space="preserve">  수수료-대행외부용역</v>
          </cell>
          <cell r="B103">
            <v>296205486</v>
          </cell>
          <cell r="C103">
            <v>0</v>
          </cell>
        </row>
        <row r="104">
          <cell r="A104" t="str">
            <v xml:space="preserve">  파견사업급여</v>
          </cell>
          <cell r="B104">
            <v>16717730</v>
          </cell>
          <cell r="C104">
            <v>0</v>
          </cell>
        </row>
        <row r="105">
          <cell r="A105" t="str">
            <v xml:space="preserve"> 판  매  촉  진  비</v>
          </cell>
          <cell r="B105">
            <v>452709812</v>
          </cell>
          <cell r="C105">
            <v>0</v>
          </cell>
        </row>
        <row r="106">
          <cell r="A106" t="str">
            <v xml:space="preserve">  판촉비(사업)</v>
          </cell>
          <cell r="B106">
            <v>266454887</v>
          </cell>
          <cell r="C106">
            <v>0</v>
          </cell>
        </row>
        <row r="107">
          <cell r="A107" t="str">
            <v xml:space="preserve">  판촉비(마케팅)</v>
          </cell>
          <cell r="B107">
            <v>186254925</v>
          </cell>
          <cell r="C107">
            <v>0</v>
          </cell>
        </row>
        <row r="108">
          <cell r="A108" t="str">
            <v xml:space="preserve"> 무형 고정자산 상각</v>
          </cell>
          <cell r="B108">
            <v>30000000</v>
          </cell>
          <cell r="C108">
            <v>0</v>
          </cell>
        </row>
        <row r="109">
          <cell r="A109" t="str">
            <v>영   업  이   익</v>
          </cell>
          <cell r="B109">
            <v>5594847277</v>
          </cell>
          <cell r="C109">
            <v>-9600000</v>
          </cell>
        </row>
        <row r="110">
          <cell r="A110" t="str">
            <v>영  업 외 수  익</v>
          </cell>
          <cell r="B110">
            <v>20</v>
          </cell>
          <cell r="C110">
            <v>0</v>
          </cell>
        </row>
        <row r="111">
          <cell r="A111" t="str">
            <v xml:space="preserve"> 잡      이      익</v>
          </cell>
          <cell r="B111">
            <v>20</v>
          </cell>
          <cell r="C111">
            <v>0</v>
          </cell>
        </row>
        <row r="112">
          <cell r="A112" t="str">
            <v xml:space="preserve">  잡이익(단수차액)</v>
          </cell>
          <cell r="B112">
            <v>20</v>
          </cell>
          <cell r="C112">
            <v>0</v>
          </cell>
        </row>
        <row r="113">
          <cell r="A113" t="str">
            <v>영  업 외 비  용</v>
          </cell>
          <cell r="B113">
            <v>3982000</v>
          </cell>
          <cell r="C113">
            <v>0</v>
          </cell>
        </row>
        <row r="114">
          <cell r="A114" t="str">
            <v xml:space="preserve"> 잡      손      실</v>
          </cell>
          <cell r="B114">
            <v>3982000</v>
          </cell>
          <cell r="C114">
            <v>0</v>
          </cell>
        </row>
        <row r="115">
          <cell r="A115" t="str">
            <v xml:space="preserve">  잡손실(기타)</v>
          </cell>
          <cell r="B115">
            <v>3982000</v>
          </cell>
          <cell r="C115">
            <v>0</v>
          </cell>
        </row>
        <row r="116">
          <cell r="A116" t="str">
            <v>법인세비용차감전순이익</v>
          </cell>
          <cell r="B116">
            <v>5590865297</v>
          </cell>
          <cell r="C116">
            <v>-9600000</v>
          </cell>
        </row>
        <row r="117">
          <cell r="A117" t="str">
            <v>법인세비용차감전계속사업순이익</v>
          </cell>
          <cell r="B117">
            <v>5590865297</v>
          </cell>
          <cell r="C117">
            <v>-9600000</v>
          </cell>
        </row>
        <row r="118">
          <cell r="A118" t="str">
            <v>법  인 세 비  용</v>
          </cell>
          <cell r="B118">
            <v>0</v>
          </cell>
          <cell r="C118">
            <v>0</v>
          </cell>
        </row>
        <row r="119">
          <cell r="A119" t="str">
            <v>계속 사  업 이익</v>
          </cell>
          <cell r="B119">
            <v>5590865297</v>
          </cell>
          <cell r="C119">
            <v>-9600000</v>
          </cell>
        </row>
        <row r="120">
          <cell r="A120" t="str">
            <v>중단 사  업 손익</v>
          </cell>
          <cell r="B120">
            <v>0</v>
          </cell>
          <cell r="C120">
            <v>0</v>
          </cell>
        </row>
        <row r="121">
          <cell r="A121" t="str">
            <v>당  기 순 이  익</v>
          </cell>
          <cell r="B121">
            <v>5590865297</v>
          </cell>
          <cell r="C121">
            <v>-9600000</v>
          </cell>
        </row>
        <row r="122">
          <cell r="A122" t="str">
            <v>주당이익</v>
          </cell>
          <cell r="B122">
            <v>0</v>
          </cell>
          <cell r="C122">
            <v>0</v>
          </cell>
        </row>
        <row r="123">
          <cell r="A123" t="str">
            <v>기본주당계속사업이익</v>
          </cell>
          <cell r="B123">
            <v>0</v>
          </cell>
          <cell r="C123">
            <v>0</v>
          </cell>
        </row>
        <row r="124">
          <cell r="A124" t="str">
            <v>기본주당순이익</v>
          </cell>
          <cell r="B124">
            <v>0</v>
          </cell>
          <cell r="C124">
            <v>0</v>
          </cell>
        </row>
        <row r="125">
          <cell r="A125" t="str">
            <v>희석주당계속사업이익</v>
          </cell>
          <cell r="B125">
            <v>0</v>
          </cell>
          <cell r="C125">
            <v>0</v>
          </cell>
        </row>
        <row r="126">
          <cell r="A126" t="str">
            <v>희석주당순이익</v>
          </cell>
          <cell r="B126">
            <v>0</v>
          </cell>
          <cell r="C126">
            <v>0</v>
          </cell>
        </row>
      </sheetData>
      <sheetData sheetId="14">
        <row r="1">
          <cell r="A1" t="str">
            <v>계정명</v>
          </cell>
          <cell r="B1" t="str">
            <v>합계</v>
          </cell>
        </row>
        <row r="2">
          <cell r="A2" t="str">
            <v>계정명</v>
          </cell>
          <cell r="B2" t="str">
            <v>합계</v>
          </cell>
        </row>
        <row r="3">
          <cell r="A3" t="str">
            <v>손            익</v>
          </cell>
          <cell r="B3">
            <v>-302259290</v>
          </cell>
        </row>
        <row r="4">
          <cell r="A4" t="str">
            <v>매            출</v>
          </cell>
          <cell r="B4">
            <v>6682762318</v>
          </cell>
        </row>
        <row r="5">
          <cell r="A5" t="str">
            <v xml:space="preserve"> 상    품   매   출</v>
          </cell>
          <cell r="B5">
            <v>4557133512</v>
          </cell>
        </row>
        <row r="6">
          <cell r="A6" t="str">
            <v xml:space="preserve">  상품매출-기타</v>
          </cell>
          <cell r="B6">
            <v>4557133512</v>
          </cell>
        </row>
        <row r="7">
          <cell r="A7" t="str">
            <v xml:space="preserve"> 수수료수입</v>
          </cell>
          <cell r="B7">
            <v>2125628806</v>
          </cell>
        </row>
        <row r="8">
          <cell r="A8" t="str">
            <v xml:space="preserve">  수수료수입-KT(RDS)</v>
          </cell>
          <cell r="B8">
            <v>1870069164</v>
          </cell>
        </row>
        <row r="9">
          <cell r="A9" t="str">
            <v xml:space="preserve">  수수료수입-기타</v>
          </cell>
          <cell r="B9">
            <v>255559642</v>
          </cell>
        </row>
        <row r="10">
          <cell r="A10" t="str">
            <v>매   출  원   가</v>
          </cell>
          <cell r="B10">
            <v>4110141099</v>
          </cell>
        </row>
        <row r="11">
          <cell r="A11" t="str">
            <v xml:space="preserve"> 상 품 매 출  원 가</v>
          </cell>
          <cell r="B11">
            <v>4110141099</v>
          </cell>
        </row>
        <row r="12">
          <cell r="A12" t="str">
            <v>매  출 총 이  익</v>
          </cell>
          <cell r="B12">
            <v>2572621219</v>
          </cell>
        </row>
        <row r="13">
          <cell r="A13" t="str">
            <v>판매비와일반관리비</v>
          </cell>
          <cell r="B13">
            <v>2870898509</v>
          </cell>
        </row>
        <row r="14">
          <cell r="A14" t="str">
            <v xml:space="preserve"> 직   원    급   여</v>
          </cell>
          <cell r="B14">
            <v>252158180</v>
          </cell>
        </row>
        <row r="15">
          <cell r="A15" t="str">
            <v xml:space="preserve">  급료와임금</v>
          </cell>
          <cell r="B15">
            <v>151580040</v>
          </cell>
        </row>
        <row r="16">
          <cell r="A16" t="str">
            <v xml:space="preserve">  초과근무수당</v>
          </cell>
          <cell r="B16">
            <v>28356020</v>
          </cell>
        </row>
        <row r="17">
          <cell r="A17" t="str">
            <v xml:space="preserve">  직책수당</v>
          </cell>
          <cell r="B17">
            <v>8400000</v>
          </cell>
        </row>
        <row r="18">
          <cell r="A18" t="str">
            <v xml:space="preserve">  휴일근무수당</v>
          </cell>
          <cell r="B18">
            <v>684440</v>
          </cell>
        </row>
        <row r="19">
          <cell r="A19" t="str">
            <v xml:space="preserve">  제수당기타</v>
          </cell>
          <cell r="B19">
            <v>10535000</v>
          </cell>
        </row>
        <row r="20">
          <cell r="A20" t="str">
            <v xml:space="preserve">  복리급식보조비</v>
          </cell>
          <cell r="B20">
            <v>6975000</v>
          </cell>
        </row>
        <row r="21">
          <cell r="A21" t="str">
            <v xml:space="preserve">  급료와임금-영업직</v>
          </cell>
          <cell r="B21">
            <v>25889170</v>
          </cell>
        </row>
        <row r="22">
          <cell r="A22" t="str">
            <v xml:space="preserve">  초과근무수당-영업직</v>
          </cell>
          <cell r="B22">
            <v>4378510</v>
          </cell>
        </row>
        <row r="23">
          <cell r="A23" t="str">
            <v xml:space="preserve">  복리급식보조비-영업직</v>
          </cell>
          <cell r="B23">
            <v>1860000</v>
          </cell>
        </row>
        <row r="24">
          <cell r="A24" t="str">
            <v xml:space="preserve">  제수당기타-영업직</v>
          </cell>
          <cell r="B24">
            <v>6000000</v>
          </cell>
        </row>
        <row r="25">
          <cell r="A25" t="str">
            <v xml:space="preserve">  특별격려금</v>
          </cell>
          <cell r="B25">
            <v>7500000</v>
          </cell>
        </row>
        <row r="26">
          <cell r="A26" t="str">
            <v xml:space="preserve"> 상      여      금</v>
          </cell>
          <cell r="B26">
            <v>52137050</v>
          </cell>
        </row>
        <row r="27">
          <cell r="A27" t="str">
            <v xml:space="preserve">  정기상여수당</v>
          </cell>
          <cell r="B27">
            <v>26381150</v>
          </cell>
        </row>
        <row r="28">
          <cell r="A28" t="str">
            <v xml:space="preserve">  특별상여수당</v>
          </cell>
          <cell r="B28">
            <v>23955900</v>
          </cell>
        </row>
        <row r="29">
          <cell r="A29" t="str">
            <v xml:space="preserve">  정기상여수당-영업직</v>
          </cell>
          <cell r="B29">
            <v>1800000</v>
          </cell>
        </row>
        <row r="30">
          <cell r="A30" t="str">
            <v xml:space="preserve"> 퇴직급여충당금전입</v>
          </cell>
          <cell r="B30">
            <v>20989541</v>
          </cell>
        </row>
        <row r="31">
          <cell r="A31" t="str">
            <v xml:space="preserve">  퇴직급여충당금전입_부서별</v>
          </cell>
          <cell r="B31">
            <v>20989541</v>
          </cell>
        </row>
        <row r="32">
          <cell r="A32" t="str">
            <v xml:space="preserve"> 복  리  후  생  비</v>
          </cell>
          <cell r="B32">
            <v>37582805</v>
          </cell>
        </row>
        <row r="33">
          <cell r="A33" t="str">
            <v xml:space="preserve">  복리산재보험료</v>
          </cell>
          <cell r="B33">
            <v>2231658</v>
          </cell>
        </row>
        <row r="34">
          <cell r="A34" t="str">
            <v xml:space="preserve">  복리건강보험료</v>
          </cell>
          <cell r="B34">
            <v>10095650</v>
          </cell>
        </row>
        <row r="35">
          <cell r="A35" t="str">
            <v xml:space="preserve">  복리국민연금</v>
          </cell>
          <cell r="B35">
            <v>10430310</v>
          </cell>
        </row>
        <row r="36">
          <cell r="A36" t="str">
            <v xml:space="preserve">  복리고용보험료</v>
          </cell>
          <cell r="B36">
            <v>4930837</v>
          </cell>
        </row>
        <row r="37">
          <cell r="A37" t="str">
            <v xml:space="preserve">  복리포인트(마케팅)</v>
          </cell>
          <cell r="B37">
            <v>200000</v>
          </cell>
        </row>
        <row r="38">
          <cell r="A38" t="str">
            <v xml:space="preserve">  복리포인트(사업)</v>
          </cell>
          <cell r="B38">
            <v>2450000</v>
          </cell>
        </row>
        <row r="39">
          <cell r="A39" t="str">
            <v xml:space="preserve">  복리의료비(일반)</v>
          </cell>
          <cell r="B39">
            <v>1352050</v>
          </cell>
        </row>
        <row r="40">
          <cell r="A40" t="str">
            <v xml:space="preserve">  복리의료비(치과)</v>
          </cell>
          <cell r="B40">
            <v>122300</v>
          </cell>
        </row>
        <row r="41">
          <cell r="A41" t="str">
            <v xml:space="preserve">  복리경조비_일반직</v>
          </cell>
          <cell r="B41">
            <v>300000</v>
          </cell>
        </row>
        <row r="42">
          <cell r="A42" t="str">
            <v xml:space="preserve">  복리포인트</v>
          </cell>
          <cell r="B42">
            <v>5400000</v>
          </cell>
        </row>
        <row r="43">
          <cell r="A43" t="str">
            <v xml:space="preserve">  복리휴양시설이용지원</v>
          </cell>
          <cell r="B43">
            <v>70000</v>
          </cell>
        </row>
        <row r="44">
          <cell r="A44" t="str">
            <v xml:space="preserve"> 여  비  교  통  비</v>
          </cell>
          <cell r="B44">
            <v>5920700</v>
          </cell>
        </row>
        <row r="45">
          <cell r="A45" t="str">
            <v xml:space="preserve">  국내출장비</v>
          </cell>
          <cell r="B45">
            <v>2842700</v>
          </cell>
        </row>
        <row r="46">
          <cell r="A46" t="str">
            <v xml:space="preserve">  차량운행지원비</v>
          </cell>
          <cell r="B46">
            <v>684000</v>
          </cell>
        </row>
        <row r="47">
          <cell r="A47" t="str">
            <v xml:space="preserve">  출장교통보조비</v>
          </cell>
          <cell r="B47">
            <v>2394000</v>
          </cell>
        </row>
        <row r="48">
          <cell r="A48" t="str">
            <v xml:space="preserve"> 접      대      비</v>
          </cell>
          <cell r="B48">
            <v>1300000</v>
          </cell>
        </row>
        <row r="49">
          <cell r="A49" t="str">
            <v xml:space="preserve">  접대비-1만원초과</v>
          </cell>
          <cell r="B49">
            <v>1300000</v>
          </cell>
        </row>
        <row r="50">
          <cell r="A50" t="str">
            <v xml:space="preserve"> 통      신      비</v>
          </cell>
          <cell r="B50">
            <v>3085305</v>
          </cell>
        </row>
        <row r="51">
          <cell r="A51" t="str">
            <v xml:space="preserve">  통신-국내외전화료</v>
          </cell>
          <cell r="B51">
            <v>172800</v>
          </cell>
        </row>
        <row r="52">
          <cell r="A52" t="str">
            <v xml:space="preserve">  통신-정보통신이용료</v>
          </cell>
          <cell r="B52">
            <v>2903305</v>
          </cell>
        </row>
        <row r="53">
          <cell r="A53" t="str">
            <v xml:space="preserve">  통신-우편료(기본)</v>
          </cell>
          <cell r="B53">
            <v>9200</v>
          </cell>
        </row>
        <row r="54">
          <cell r="A54" t="str">
            <v xml:space="preserve"> 차  량  유  지  비</v>
          </cell>
          <cell r="B54">
            <v>337960</v>
          </cell>
        </row>
        <row r="55">
          <cell r="A55" t="str">
            <v xml:space="preserve">  차량유지비- 통행주차료</v>
          </cell>
          <cell r="B55">
            <v>257900</v>
          </cell>
        </row>
        <row r="56">
          <cell r="A56" t="str">
            <v xml:space="preserve">  차량유지비-본사(기본)</v>
          </cell>
          <cell r="B56">
            <v>80060</v>
          </cell>
        </row>
        <row r="57">
          <cell r="A57" t="str">
            <v xml:space="preserve"> 운      반      비</v>
          </cell>
          <cell r="B57">
            <v>367913925</v>
          </cell>
        </row>
        <row r="58">
          <cell r="A58" t="str">
            <v xml:space="preserve">  단말기물류비(기본)</v>
          </cell>
          <cell r="B58">
            <v>367913925</v>
          </cell>
        </row>
        <row r="59">
          <cell r="A59" t="str">
            <v xml:space="preserve"> 회      의      비</v>
          </cell>
          <cell r="B59">
            <v>96883410</v>
          </cell>
        </row>
        <row r="60">
          <cell r="A60" t="str">
            <v xml:space="preserve">  회의비-본사(기본)</v>
          </cell>
          <cell r="B60">
            <v>3362793</v>
          </cell>
        </row>
        <row r="61">
          <cell r="A61" t="str">
            <v xml:space="preserve">  회의비(한마음)</v>
          </cell>
          <cell r="B61">
            <v>1391709</v>
          </cell>
        </row>
        <row r="62">
          <cell r="A62" t="str">
            <v xml:space="preserve">  회의비-포상</v>
          </cell>
          <cell r="B62">
            <v>249097</v>
          </cell>
        </row>
        <row r="63">
          <cell r="A63" t="str">
            <v xml:space="preserve">  회의비(사업)</v>
          </cell>
          <cell r="B63">
            <v>64755705</v>
          </cell>
        </row>
        <row r="64">
          <cell r="A64" t="str">
            <v xml:space="preserve">  회의비(마케팅)</v>
          </cell>
          <cell r="B64">
            <v>27124106</v>
          </cell>
        </row>
        <row r="65">
          <cell r="A65" t="str">
            <v xml:space="preserve"> 소    모   품   비</v>
          </cell>
          <cell r="B65">
            <v>1058101</v>
          </cell>
        </row>
        <row r="66">
          <cell r="A66" t="str">
            <v xml:space="preserve">  소모품사무,일반용품(기본)</v>
          </cell>
          <cell r="B66">
            <v>1058101</v>
          </cell>
        </row>
        <row r="67">
          <cell r="A67" t="str">
            <v xml:space="preserve"> 지 급 수 수 료</v>
          </cell>
          <cell r="B67">
            <v>1859508712</v>
          </cell>
        </row>
        <row r="68">
          <cell r="A68" t="str">
            <v xml:space="preserve">  IT유지보수대행수수료</v>
          </cell>
          <cell r="B68">
            <v>798000</v>
          </cell>
        </row>
        <row r="69">
          <cell r="A69" t="str">
            <v xml:space="preserve">  수수료-서비스이용료</v>
          </cell>
          <cell r="B69">
            <v>1858550712</v>
          </cell>
        </row>
        <row r="70">
          <cell r="A70" t="str">
            <v xml:space="preserve">  수수료-대행외부용역</v>
          </cell>
          <cell r="B70">
            <v>160000</v>
          </cell>
        </row>
        <row r="71">
          <cell r="A71" t="str">
            <v xml:space="preserve"> 판  매  촉  진  비</v>
          </cell>
          <cell r="B71">
            <v>142022820</v>
          </cell>
        </row>
        <row r="72">
          <cell r="A72" t="str">
            <v xml:space="preserve">  판촉비(사업)</v>
          </cell>
          <cell r="B72">
            <v>36884936</v>
          </cell>
        </row>
        <row r="73">
          <cell r="A73" t="str">
            <v xml:space="preserve">  판촉비(마케팅)</v>
          </cell>
          <cell r="B73">
            <v>105137884</v>
          </cell>
        </row>
        <row r="74">
          <cell r="A74" t="str">
            <v xml:space="preserve"> 무형 고정자산 상각</v>
          </cell>
          <cell r="B74">
            <v>30000000</v>
          </cell>
        </row>
        <row r="75">
          <cell r="A75" t="str">
            <v>영   업  이   익</v>
          </cell>
          <cell r="B75">
            <v>-298277290</v>
          </cell>
        </row>
        <row r="76">
          <cell r="A76" t="str">
            <v>영  업 외 수  익</v>
          </cell>
          <cell r="B76">
            <v>0</v>
          </cell>
        </row>
        <row r="77">
          <cell r="A77" t="str">
            <v>영  업 외 비  용</v>
          </cell>
          <cell r="B77">
            <v>3982000</v>
          </cell>
        </row>
        <row r="78">
          <cell r="A78" t="str">
            <v xml:space="preserve"> 잡      손      실</v>
          </cell>
          <cell r="B78">
            <v>3982000</v>
          </cell>
        </row>
        <row r="79">
          <cell r="A79" t="str">
            <v xml:space="preserve">  잡손실(기타)</v>
          </cell>
          <cell r="B79">
            <v>3982000</v>
          </cell>
        </row>
        <row r="80">
          <cell r="A80" t="str">
            <v>법인세비용차감전순이익</v>
          </cell>
          <cell r="B80">
            <v>-302259290</v>
          </cell>
        </row>
        <row r="81">
          <cell r="A81" t="str">
            <v>법인세비용차감전계속사업순이익</v>
          </cell>
          <cell r="B81">
            <v>-302259290</v>
          </cell>
        </row>
        <row r="82">
          <cell r="A82" t="str">
            <v>법  인 세 비  용</v>
          </cell>
          <cell r="B82">
            <v>0</v>
          </cell>
        </row>
        <row r="83">
          <cell r="A83" t="str">
            <v>계속사업이익</v>
          </cell>
          <cell r="B83">
            <v>-302259290</v>
          </cell>
        </row>
        <row r="84">
          <cell r="A84" t="str">
            <v>중단 사  업 손익</v>
          </cell>
          <cell r="B84">
            <v>0</v>
          </cell>
        </row>
        <row r="85">
          <cell r="A85" t="str">
            <v>당  기 순 이  익</v>
          </cell>
          <cell r="B85">
            <v>-302259290</v>
          </cell>
        </row>
        <row r="86">
          <cell r="A86" t="str">
            <v>주당이익</v>
          </cell>
          <cell r="B86">
            <v>0</v>
          </cell>
        </row>
        <row r="87">
          <cell r="A87" t="str">
            <v>기본주당계속사업이익</v>
          </cell>
          <cell r="B87">
            <v>0</v>
          </cell>
        </row>
        <row r="88">
          <cell r="A88" t="str">
            <v>기본주당순이익</v>
          </cell>
          <cell r="B88">
            <v>0</v>
          </cell>
        </row>
        <row r="89">
          <cell r="A89" t="str">
            <v>희석주당계속사업이익</v>
          </cell>
          <cell r="B89">
            <v>0</v>
          </cell>
        </row>
        <row r="90">
          <cell r="A90" t="str">
            <v>희석주당순이익</v>
          </cell>
          <cell r="B90">
            <v>0</v>
          </cell>
        </row>
      </sheetData>
      <sheetData sheetId="15">
        <row r="1">
          <cell r="A1" t="str">
            <v>계정명</v>
          </cell>
          <cell r="B1" t="str">
            <v>합계</v>
          </cell>
          <cell r="C1" t="str">
            <v>20600011</v>
          </cell>
          <cell r="E1" t="str">
            <v>NG0000000</v>
          </cell>
          <cell r="F1" t="str">
            <v>NGK000000</v>
          </cell>
          <cell r="G1" t="str">
            <v>NT0000000</v>
          </cell>
          <cell r="H1" t="str">
            <v>NRB000000N</v>
          </cell>
          <cell r="J1" t="str">
            <v>SUM</v>
          </cell>
          <cell r="L1" t="str">
            <v>C/2</v>
          </cell>
          <cell r="M1" t="str">
            <v>E+F+Q</v>
          </cell>
          <cell r="O1" t="str">
            <v>리본 모바일+신촌</v>
          </cell>
        </row>
        <row r="2">
          <cell r="A2" t="str">
            <v>계정명</v>
          </cell>
          <cell r="B2" t="str">
            <v>합계</v>
          </cell>
          <cell r="C2" t="str">
            <v>플랫폼사업2팀</v>
          </cell>
          <cell r="E2" t="str">
            <v>굿바이</v>
          </cell>
          <cell r="F2" t="str">
            <v>굿바이 키오스크(중고폰)</v>
          </cell>
          <cell r="G2" t="str">
            <v>시연폰</v>
          </cell>
          <cell r="H2" t="str">
            <v>리본 모바일</v>
          </cell>
        </row>
        <row r="3">
          <cell r="A3" t="str">
            <v>손            익</v>
          </cell>
          <cell r="B3">
            <v>5934410622</v>
          </cell>
          <cell r="C3">
            <v>-386135094</v>
          </cell>
          <cell r="E3">
            <v>-171252189</v>
          </cell>
          <cell r="F3">
            <v>780942133</v>
          </cell>
          <cell r="G3">
            <v>6054866663</v>
          </cell>
          <cell r="H3">
            <v>-344010891</v>
          </cell>
          <cell r="J3">
            <v>6664556607</v>
          </cell>
          <cell r="L3">
            <v>-193067547</v>
          </cell>
          <cell r="M3">
            <v>600089944</v>
          </cell>
          <cell r="O3">
            <v>-690720704.33333337</v>
          </cell>
        </row>
        <row r="4">
          <cell r="A4" t="str">
            <v>매            출</v>
          </cell>
          <cell r="B4">
            <v>47370147327</v>
          </cell>
          <cell r="C4">
            <v>337931430</v>
          </cell>
          <cell r="E4">
            <v>222455034</v>
          </cell>
          <cell r="F4">
            <v>9773828742</v>
          </cell>
          <cell r="G4">
            <v>36950460848</v>
          </cell>
          <cell r="H4">
            <v>85471273</v>
          </cell>
          <cell r="J4">
            <v>46946744624</v>
          </cell>
          <cell r="L4">
            <v>168965715</v>
          </cell>
          <cell r="M4">
            <v>9996283776</v>
          </cell>
          <cell r="O4">
            <v>891320688</v>
          </cell>
        </row>
        <row r="5">
          <cell r="A5" t="str">
            <v xml:space="preserve"> 상    품   매   출</v>
          </cell>
          <cell r="B5">
            <v>45971037043</v>
          </cell>
          <cell r="C5">
            <v>0</v>
          </cell>
          <cell r="E5">
            <v>0</v>
          </cell>
          <cell r="F5">
            <v>9035257470</v>
          </cell>
          <cell r="G5">
            <v>36850308300</v>
          </cell>
          <cell r="H5">
            <v>85471273</v>
          </cell>
          <cell r="J5">
            <v>45885565770</v>
          </cell>
          <cell r="L5">
            <v>0</v>
          </cell>
          <cell r="M5">
            <v>9035257470</v>
          </cell>
          <cell r="O5">
            <v>573138870</v>
          </cell>
        </row>
        <row r="6">
          <cell r="A6" t="str">
            <v xml:space="preserve">  상품단말기매출-고객</v>
          </cell>
          <cell r="B6">
            <v>45961109775</v>
          </cell>
          <cell r="C6">
            <v>0</v>
          </cell>
          <cell r="E6">
            <v>0</v>
          </cell>
          <cell r="F6">
            <v>9035257470</v>
          </cell>
          <cell r="G6">
            <v>36840381032</v>
          </cell>
          <cell r="H6">
            <v>85471273</v>
          </cell>
          <cell r="J6">
            <v>45875638502</v>
          </cell>
          <cell r="L6">
            <v>0</v>
          </cell>
          <cell r="M6">
            <v>9035257470</v>
          </cell>
          <cell r="O6">
            <v>165915578</v>
          </cell>
        </row>
        <row r="7">
          <cell r="A7" t="str">
            <v xml:space="preserve">  상품매출-기타</v>
          </cell>
          <cell r="B7">
            <v>9927268</v>
          </cell>
          <cell r="C7">
            <v>0</v>
          </cell>
          <cell r="E7">
            <v>0</v>
          </cell>
          <cell r="F7">
            <v>0</v>
          </cell>
          <cell r="G7">
            <v>9927268</v>
          </cell>
          <cell r="H7">
            <v>0</v>
          </cell>
          <cell r="J7">
            <v>9927268</v>
          </cell>
          <cell r="L7">
            <v>0</v>
          </cell>
          <cell r="M7">
            <v>0</v>
          </cell>
          <cell r="O7">
            <v>0</v>
          </cell>
        </row>
        <row r="8">
          <cell r="A8" t="str">
            <v xml:space="preserve"> 수수료수입</v>
          </cell>
          <cell r="B8">
            <v>1399110284</v>
          </cell>
          <cell r="C8">
            <v>337931430</v>
          </cell>
          <cell r="E8">
            <v>222455034</v>
          </cell>
          <cell r="F8">
            <v>738571272</v>
          </cell>
          <cell r="G8">
            <v>100152548</v>
          </cell>
          <cell r="H8">
            <v>0</v>
          </cell>
          <cell r="J8">
            <v>1061178854</v>
          </cell>
          <cell r="L8">
            <v>168965715</v>
          </cell>
          <cell r="M8">
            <v>961026306</v>
          </cell>
          <cell r="O8">
            <v>318181818</v>
          </cell>
        </row>
        <row r="9">
          <cell r="A9" t="str">
            <v xml:space="preserve">  수수료수입-KT(RDS)</v>
          </cell>
          <cell r="B9">
            <v>1126326886</v>
          </cell>
          <cell r="C9">
            <v>337931430</v>
          </cell>
          <cell r="E9">
            <v>0</v>
          </cell>
          <cell r="F9">
            <v>736477272</v>
          </cell>
          <cell r="G9">
            <v>51918184</v>
          </cell>
          <cell r="H9">
            <v>0</v>
          </cell>
          <cell r="J9">
            <v>788395456</v>
          </cell>
          <cell r="L9">
            <v>168965715</v>
          </cell>
          <cell r="M9">
            <v>736477272</v>
          </cell>
          <cell r="O9">
            <v>318181818</v>
          </cell>
        </row>
        <row r="10">
          <cell r="A10" t="str">
            <v xml:space="preserve">  수수료수입-기타</v>
          </cell>
          <cell r="B10">
            <v>50328364</v>
          </cell>
          <cell r="C10">
            <v>0</v>
          </cell>
          <cell r="E10">
            <v>0</v>
          </cell>
          <cell r="F10">
            <v>2094000</v>
          </cell>
          <cell r="G10">
            <v>48234364</v>
          </cell>
          <cell r="H10">
            <v>0</v>
          </cell>
          <cell r="J10">
            <v>50328364</v>
          </cell>
          <cell r="L10">
            <v>0</v>
          </cell>
          <cell r="M10">
            <v>2094000</v>
          </cell>
          <cell r="O10">
            <v>0</v>
          </cell>
        </row>
        <row r="11">
          <cell r="A11" t="str">
            <v xml:space="preserve">  수수료수입-용역</v>
          </cell>
          <cell r="B11">
            <v>222455034</v>
          </cell>
          <cell r="C11">
            <v>0</v>
          </cell>
          <cell r="E11">
            <v>222455034</v>
          </cell>
          <cell r="F11">
            <v>0</v>
          </cell>
          <cell r="G11">
            <v>0</v>
          </cell>
          <cell r="H11">
            <v>0</v>
          </cell>
          <cell r="J11">
            <v>222455034</v>
          </cell>
          <cell r="L11">
            <v>0</v>
          </cell>
          <cell r="M11">
            <v>222455034</v>
          </cell>
          <cell r="O11">
            <v>0</v>
          </cell>
        </row>
        <row r="12">
          <cell r="A12" t="str">
            <v>매   출  원   가</v>
          </cell>
          <cell r="B12">
            <v>37868843230</v>
          </cell>
          <cell r="C12">
            <v>0</v>
          </cell>
          <cell r="E12">
            <v>0</v>
          </cell>
          <cell r="F12">
            <v>7894223749</v>
          </cell>
          <cell r="G12">
            <v>29895506448</v>
          </cell>
          <cell r="H12">
            <v>79113033</v>
          </cell>
          <cell r="J12">
            <v>37789730197</v>
          </cell>
          <cell r="L12">
            <v>0</v>
          </cell>
          <cell r="M12">
            <v>7894223749</v>
          </cell>
          <cell r="O12">
            <v>446853331.33333331</v>
          </cell>
        </row>
        <row r="13">
          <cell r="A13" t="str">
            <v xml:space="preserve"> 상 품 매 출  원 가</v>
          </cell>
          <cell r="B13">
            <v>37868843230</v>
          </cell>
          <cell r="C13">
            <v>0</v>
          </cell>
          <cell r="E13">
            <v>0</v>
          </cell>
          <cell r="F13">
            <v>7894223749</v>
          </cell>
          <cell r="G13">
            <v>29895506448</v>
          </cell>
          <cell r="H13">
            <v>79113033</v>
          </cell>
          <cell r="J13">
            <v>37789730197</v>
          </cell>
          <cell r="L13">
            <v>0</v>
          </cell>
          <cell r="M13">
            <v>7894223749</v>
          </cell>
          <cell r="O13">
            <v>446853331.33333331</v>
          </cell>
        </row>
        <row r="14">
          <cell r="A14" t="str">
            <v>매  출 총 이  익</v>
          </cell>
          <cell r="B14">
            <v>9501304097</v>
          </cell>
          <cell r="C14">
            <v>337931430</v>
          </cell>
          <cell r="E14">
            <v>222455034</v>
          </cell>
          <cell r="F14">
            <v>1879604993</v>
          </cell>
          <cell r="G14">
            <v>7054954400</v>
          </cell>
          <cell r="H14">
            <v>6358240</v>
          </cell>
          <cell r="J14">
            <v>9157014427</v>
          </cell>
          <cell r="L14">
            <v>168965715</v>
          </cell>
          <cell r="M14">
            <v>2102060027</v>
          </cell>
          <cell r="O14">
            <v>444467356.66666669</v>
          </cell>
        </row>
        <row r="15">
          <cell r="A15" t="str">
            <v>판매비와일반관리비</v>
          </cell>
          <cell r="B15">
            <v>3566893495</v>
          </cell>
          <cell r="C15">
            <v>724066524</v>
          </cell>
          <cell r="E15">
            <v>393707223</v>
          </cell>
          <cell r="F15">
            <v>1098662880</v>
          </cell>
          <cell r="G15">
            <v>1000087737</v>
          </cell>
          <cell r="H15">
            <v>350369131</v>
          </cell>
          <cell r="J15">
            <v>2492457840</v>
          </cell>
          <cell r="L15">
            <v>362033262</v>
          </cell>
          <cell r="M15">
            <v>1501970103</v>
          </cell>
          <cell r="O15">
            <v>1135188061</v>
          </cell>
        </row>
        <row r="16">
          <cell r="A16" t="str">
            <v xml:space="preserve"> 직   원    급   여</v>
          </cell>
          <cell r="B16">
            <v>333087550</v>
          </cell>
          <cell r="C16">
            <v>333087550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J16">
            <v>0</v>
          </cell>
          <cell r="L16">
            <v>166543775</v>
          </cell>
          <cell r="M16">
            <v>0</v>
          </cell>
          <cell r="O16">
            <v>366930345</v>
          </cell>
        </row>
        <row r="17">
          <cell r="A17" t="str">
            <v xml:space="preserve">  급료와임금</v>
          </cell>
          <cell r="B17">
            <v>212815570</v>
          </cell>
          <cell r="C17">
            <v>212815570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J17">
            <v>0</v>
          </cell>
          <cell r="L17">
            <v>106407785</v>
          </cell>
          <cell r="M17">
            <v>0</v>
          </cell>
          <cell r="O17">
            <v>139634291.66666666</v>
          </cell>
        </row>
        <row r="18">
          <cell r="A18" t="str">
            <v xml:space="preserve">  초과근무수당</v>
          </cell>
          <cell r="B18">
            <v>38904020</v>
          </cell>
          <cell r="C18">
            <v>38904020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J18">
            <v>0</v>
          </cell>
          <cell r="L18">
            <v>19452010</v>
          </cell>
          <cell r="M18">
            <v>0</v>
          </cell>
          <cell r="O18">
            <v>24970391.666666664</v>
          </cell>
        </row>
        <row r="19">
          <cell r="A19" t="str">
            <v xml:space="preserve">  직책수당</v>
          </cell>
          <cell r="B19">
            <v>8400000</v>
          </cell>
          <cell r="C19">
            <v>8400000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J19">
            <v>0</v>
          </cell>
          <cell r="L19">
            <v>4200000</v>
          </cell>
          <cell r="M19">
            <v>0</v>
          </cell>
          <cell r="O19">
            <v>3000000</v>
          </cell>
        </row>
        <row r="20">
          <cell r="A20" t="str">
            <v xml:space="preserve">  휴일근무수당</v>
          </cell>
          <cell r="B20">
            <v>6032780</v>
          </cell>
          <cell r="C20">
            <v>6032780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J20">
            <v>0</v>
          </cell>
          <cell r="L20">
            <v>3016390</v>
          </cell>
          <cell r="M20">
            <v>0</v>
          </cell>
          <cell r="O20">
            <v>1092241.6666666667</v>
          </cell>
        </row>
        <row r="21">
          <cell r="A21" t="str">
            <v xml:space="preserve">  제수당기타</v>
          </cell>
          <cell r="B21">
            <v>1733790</v>
          </cell>
          <cell r="C21">
            <v>1733790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J21">
            <v>0</v>
          </cell>
          <cell r="L21">
            <v>866895</v>
          </cell>
          <cell r="M21">
            <v>0</v>
          </cell>
          <cell r="O21">
            <v>5918758.333333334</v>
          </cell>
        </row>
        <row r="22">
          <cell r="A22" t="str">
            <v xml:space="preserve">  복리급식보조비</v>
          </cell>
          <cell r="B22">
            <v>7440000</v>
          </cell>
          <cell r="C22">
            <v>7440000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J22">
            <v>0</v>
          </cell>
          <cell r="L22">
            <v>3720000</v>
          </cell>
          <cell r="M22">
            <v>0</v>
          </cell>
          <cell r="O22">
            <v>3875000</v>
          </cell>
        </row>
        <row r="23">
          <cell r="A23" t="str">
            <v xml:space="preserve">  급료와임금-영업직</v>
          </cell>
          <cell r="B23">
            <v>40696250</v>
          </cell>
          <cell r="C23">
            <v>40696250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J23">
            <v>0</v>
          </cell>
          <cell r="L23">
            <v>20348125</v>
          </cell>
          <cell r="M23">
            <v>0</v>
          </cell>
          <cell r="O23">
            <v>140333038.33333331</v>
          </cell>
        </row>
        <row r="24">
          <cell r="A24" t="str">
            <v xml:space="preserve">  초과근무수당-영업직</v>
          </cell>
          <cell r="B24">
            <v>6009850</v>
          </cell>
          <cell r="C24">
            <v>6009850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J24">
            <v>0</v>
          </cell>
          <cell r="L24">
            <v>3004925</v>
          </cell>
          <cell r="M24">
            <v>0</v>
          </cell>
          <cell r="O24">
            <v>23685065</v>
          </cell>
        </row>
        <row r="25">
          <cell r="A25" t="str">
            <v xml:space="preserve">  복리급식보조비-영업직</v>
          </cell>
          <cell r="B25">
            <v>2703000</v>
          </cell>
          <cell r="C25">
            <v>2703000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J25">
            <v>0</v>
          </cell>
          <cell r="L25">
            <v>1351500</v>
          </cell>
          <cell r="M25">
            <v>0</v>
          </cell>
          <cell r="O25">
            <v>9576500</v>
          </cell>
        </row>
        <row r="26">
          <cell r="A26" t="str">
            <v xml:space="preserve">  연차수당-영업직</v>
          </cell>
          <cell r="B26">
            <v>271370</v>
          </cell>
          <cell r="C26">
            <v>271370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J26">
            <v>0</v>
          </cell>
          <cell r="L26">
            <v>135685</v>
          </cell>
          <cell r="M26">
            <v>0</v>
          </cell>
          <cell r="O26">
            <v>0</v>
          </cell>
        </row>
        <row r="27">
          <cell r="A27" t="str">
            <v xml:space="preserve">  휴일근무수당-영업직</v>
          </cell>
          <cell r="B27">
            <v>580920</v>
          </cell>
          <cell r="C27">
            <v>580920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J27">
            <v>0</v>
          </cell>
          <cell r="L27">
            <v>290460</v>
          </cell>
          <cell r="M27">
            <v>0</v>
          </cell>
          <cell r="O27">
            <v>195058.33333333331</v>
          </cell>
        </row>
        <row r="28">
          <cell r="A28" t="str">
            <v xml:space="preserve">  특별격려금</v>
          </cell>
          <cell r="B28">
            <v>7500000</v>
          </cell>
          <cell r="C28">
            <v>7500000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J28">
            <v>0</v>
          </cell>
          <cell r="L28">
            <v>3750000</v>
          </cell>
          <cell r="M28">
            <v>0</v>
          </cell>
          <cell r="O28">
            <v>9500000</v>
          </cell>
        </row>
        <row r="29">
          <cell r="A29" t="str">
            <v xml:space="preserve"> 상      여      금</v>
          </cell>
          <cell r="B29">
            <v>92280640</v>
          </cell>
          <cell r="C29">
            <v>92280640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J29">
            <v>0</v>
          </cell>
          <cell r="L29">
            <v>46140320</v>
          </cell>
          <cell r="M29">
            <v>0</v>
          </cell>
          <cell r="O29">
            <v>57238780</v>
          </cell>
        </row>
        <row r="30">
          <cell r="A30" t="str">
            <v xml:space="preserve">  정기상여수당</v>
          </cell>
          <cell r="B30">
            <v>36667830</v>
          </cell>
          <cell r="C30">
            <v>36667830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J30">
            <v>0</v>
          </cell>
          <cell r="L30">
            <v>18333915</v>
          </cell>
          <cell r="M30">
            <v>0</v>
          </cell>
          <cell r="O30">
            <v>19650525</v>
          </cell>
        </row>
        <row r="31">
          <cell r="A31" t="str">
            <v xml:space="preserve">  특별상여수당</v>
          </cell>
          <cell r="B31">
            <v>50443360</v>
          </cell>
          <cell r="C31">
            <v>50443360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J31">
            <v>0</v>
          </cell>
          <cell r="L31">
            <v>25221680</v>
          </cell>
          <cell r="M31">
            <v>0</v>
          </cell>
          <cell r="O31">
            <v>29008416.666666664</v>
          </cell>
        </row>
        <row r="32">
          <cell r="A32" t="str">
            <v xml:space="preserve">  정기상여수당-영업직</v>
          </cell>
          <cell r="B32">
            <v>5169450</v>
          </cell>
          <cell r="C32">
            <v>5169450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J32">
            <v>0</v>
          </cell>
          <cell r="L32">
            <v>2584725</v>
          </cell>
          <cell r="M32">
            <v>0</v>
          </cell>
          <cell r="O32">
            <v>8579838.333333334</v>
          </cell>
        </row>
        <row r="33">
          <cell r="A33" t="str">
            <v xml:space="preserve"> 퇴직급여충당금전입</v>
          </cell>
          <cell r="B33">
            <v>35673714</v>
          </cell>
          <cell r="C33">
            <v>35673714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J33">
            <v>0</v>
          </cell>
          <cell r="L33">
            <v>17836857</v>
          </cell>
          <cell r="M33">
            <v>0</v>
          </cell>
          <cell r="O33">
            <v>34585780.833333336</v>
          </cell>
        </row>
        <row r="34">
          <cell r="A34" t="str">
            <v xml:space="preserve">  퇴직급여충당금전입_부서별</v>
          </cell>
          <cell r="B34">
            <v>35673714</v>
          </cell>
          <cell r="C34">
            <v>35673714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J34">
            <v>0</v>
          </cell>
          <cell r="L34">
            <v>17836857</v>
          </cell>
          <cell r="M34">
            <v>0</v>
          </cell>
          <cell r="O34">
            <v>34585780.833333336</v>
          </cell>
        </row>
        <row r="35">
          <cell r="A35" t="str">
            <v xml:space="preserve"> 포상비</v>
          </cell>
          <cell r="B35">
            <v>2000000</v>
          </cell>
          <cell r="C35">
            <v>2000000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J35">
            <v>0</v>
          </cell>
          <cell r="L35">
            <v>1000000</v>
          </cell>
          <cell r="M35">
            <v>0</v>
          </cell>
          <cell r="O35">
            <v>833333.33333333326</v>
          </cell>
        </row>
        <row r="36">
          <cell r="A36" t="str">
            <v xml:space="preserve">  포상비</v>
          </cell>
          <cell r="B36">
            <v>2000000</v>
          </cell>
          <cell r="C36">
            <v>2000000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J36">
            <v>0</v>
          </cell>
          <cell r="L36">
            <v>1000000</v>
          </cell>
          <cell r="M36">
            <v>0</v>
          </cell>
          <cell r="O36">
            <v>833333.33333333326</v>
          </cell>
        </row>
        <row r="37">
          <cell r="A37" t="str">
            <v xml:space="preserve"> 복  리  후  생  비</v>
          </cell>
          <cell r="B37">
            <v>59770791</v>
          </cell>
          <cell r="C37">
            <v>59770791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J37">
            <v>0</v>
          </cell>
          <cell r="L37">
            <v>29885395.5</v>
          </cell>
          <cell r="M37">
            <v>0</v>
          </cell>
          <cell r="O37">
            <v>71319397</v>
          </cell>
        </row>
        <row r="38">
          <cell r="A38" t="str">
            <v xml:space="preserve">  복리산재보험료</v>
          </cell>
          <cell r="B38">
            <v>3156074</v>
          </cell>
          <cell r="C38">
            <v>3156074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J38">
            <v>0</v>
          </cell>
          <cell r="L38">
            <v>1578037</v>
          </cell>
          <cell r="M38">
            <v>0</v>
          </cell>
          <cell r="O38">
            <v>3288040.5</v>
          </cell>
        </row>
        <row r="39">
          <cell r="A39" t="str">
            <v xml:space="preserve">  복리건강보험료</v>
          </cell>
          <cell r="B39">
            <v>17170730</v>
          </cell>
          <cell r="C39">
            <v>17170730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J39">
            <v>0</v>
          </cell>
          <cell r="L39">
            <v>8585365</v>
          </cell>
          <cell r="M39">
            <v>0</v>
          </cell>
          <cell r="O39">
            <v>16619755</v>
          </cell>
        </row>
        <row r="40">
          <cell r="A40" t="str">
            <v xml:space="preserve">  복리국민연금</v>
          </cell>
          <cell r="B40">
            <v>13740310</v>
          </cell>
          <cell r="C40">
            <v>13740310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J40">
            <v>0</v>
          </cell>
          <cell r="L40">
            <v>6870155</v>
          </cell>
          <cell r="M40">
            <v>0</v>
          </cell>
          <cell r="O40">
            <v>14586550</v>
          </cell>
        </row>
        <row r="41">
          <cell r="A41" t="str">
            <v xml:space="preserve">  복리고용보험료</v>
          </cell>
          <cell r="B41">
            <v>6940814</v>
          </cell>
          <cell r="C41">
            <v>6940814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J41">
            <v>0</v>
          </cell>
          <cell r="L41">
            <v>3470407</v>
          </cell>
          <cell r="M41">
            <v>0</v>
          </cell>
          <cell r="O41">
            <v>7300780.5</v>
          </cell>
        </row>
        <row r="42">
          <cell r="A42" t="str">
            <v xml:space="preserve">  복리포인트(마케팅)</v>
          </cell>
          <cell r="B42">
            <v>535000</v>
          </cell>
          <cell r="C42">
            <v>535000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J42">
            <v>0</v>
          </cell>
          <cell r="L42">
            <v>267500</v>
          </cell>
          <cell r="M42">
            <v>0</v>
          </cell>
          <cell r="O42">
            <v>12561333.333333334</v>
          </cell>
        </row>
        <row r="43">
          <cell r="A43" t="str">
            <v xml:space="preserve">  복리포인트(사업)</v>
          </cell>
          <cell r="B43">
            <v>3500000</v>
          </cell>
          <cell r="C43">
            <v>3500000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J43">
            <v>0</v>
          </cell>
          <cell r="L43">
            <v>1750000</v>
          </cell>
          <cell r="M43">
            <v>0</v>
          </cell>
          <cell r="O43">
            <v>4083333.333333333</v>
          </cell>
        </row>
        <row r="44">
          <cell r="A44" t="str">
            <v xml:space="preserve">  복리기타-생수</v>
          </cell>
          <cell r="B44">
            <v>937913</v>
          </cell>
          <cell r="C44">
            <v>937913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J44">
            <v>0</v>
          </cell>
          <cell r="L44">
            <v>468956.5</v>
          </cell>
          <cell r="M44">
            <v>0</v>
          </cell>
          <cell r="O44">
            <v>186551</v>
          </cell>
        </row>
        <row r="45">
          <cell r="A45" t="str">
            <v xml:space="preserve">  복리의료비(일반)</v>
          </cell>
          <cell r="B45">
            <v>3302050</v>
          </cell>
          <cell r="C45">
            <v>3302050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J45">
            <v>0</v>
          </cell>
          <cell r="L45">
            <v>1651025</v>
          </cell>
          <cell r="M45">
            <v>0</v>
          </cell>
          <cell r="O45">
            <v>3078720</v>
          </cell>
        </row>
        <row r="46">
          <cell r="A46" t="str">
            <v xml:space="preserve">  복리의료비(치과)</v>
          </cell>
          <cell r="B46">
            <v>909300</v>
          </cell>
          <cell r="C46">
            <v>909300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J46">
            <v>0</v>
          </cell>
          <cell r="L46">
            <v>454650</v>
          </cell>
          <cell r="M46">
            <v>0</v>
          </cell>
          <cell r="O46">
            <v>41000</v>
          </cell>
        </row>
        <row r="47">
          <cell r="A47" t="str">
            <v xml:space="preserve">  복리경조비_일반직</v>
          </cell>
          <cell r="B47">
            <v>500000</v>
          </cell>
          <cell r="C47">
            <v>500000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J47">
            <v>0</v>
          </cell>
          <cell r="L47">
            <v>250000</v>
          </cell>
          <cell r="M47">
            <v>0</v>
          </cell>
          <cell r="O47">
            <v>83333.333333333343</v>
          </cell>
        </row>
        <row r="48">
          <cell r="A48" t="str">
            <v xml:space="preserve">  복리경조비_영업직</v>
          </cell>
          <cell r="B48">
            <v>1300000</v>
          </cell>
          <cell r="C48">
            <v>1300000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J48">
            <v>0</v>
          </cell>
          <cell r="L48">
            <v>650000</v>
          </cell>
          <cell r="M48">
            <v>0</v>
          </cell>
          <cell r="O48">
            <v>183333.33333333334</v>
          </cell>
        </row>
        <row r="49">
          <cell r="A49" t="str">
            <v xml:space="preserve">  복리자녀교육비_일반직</v>
          </cell>
          <cell r="B49">
            <v>1050000</v>
          </cell>
          <cell r="C49">
            <v>1050000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J49">
            <v>0</v>
          </cell>
          <cell r="L49">
            <v>525000</v>
          </cell>
          <cell r="M49">
            <v>0</v>
          </cell>
          <cell r="O49">
            <v>125000</v>
          </cell>
        </row>
        <row r="50">
          <cell r="A50" t="str">
            <v xml:space="preserve">  복리포인트</v>
          </cell>
          <cell r="B50">
            <v>6450000</v>
          </cell>
          <cell r="C50">
            <v>6450000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J50">
            <v>0</v>
          </cell>
          <cell r="L50">
            <v>3225000</v>
          </cell>
          <cell r="M50">
            <v>0</v>
          </cell>
          <cell r="O50">
            <v>8858333.3333333321</v>
          </cell>
        </row>
        <row r="51">
          <cell r="A51" t="str">
            <v xml:space="preserve">  복리놀이공원이용지원</v>
          </cell>
          <cell r="B51">
            <v>228600</v>
          </cell>
          <cell r="C51">
            <v>228600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J51">
            <v>0</v>
          </cell>
          <cell r="L51">
            <v>114300</v>
          </cell>
          <cell r="M51">
            <v>0</v>
          </cell>
          <cell r="O51">
            <v>128333.33333333334</v>
          </cell>
        </row>
        <row r="52">
          <cell r="A52" t="str">
            <v xml:space="preserve">  복리포인트(유선)</v>
          </cell>
          <cell r="B52">
            <v>50000</v>
          </cell>
          <cell r="C52">
            <v>50000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J52">
            <v>0</v>
          </cell>
          <cell r="L52">
            <v>25000</v>
          </cell>
          <cell r="M52">
            <v>0</v>
          </cell>
          <cell r="O52">
            <v>20000</v>
          </cell>
        </row>
        <row r="53">
          <cell r="A53" t="str">
            <v xml:space="preserve"> 여  비  교  통  비</v>
          </cell>
          <cell r="B53">
            <v>8649876</v>
          </cell>
          <cell r="C53">
            <v>8649876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J53">
            <v>0</v>
          </cell>
          <cell r="L53">
            <v>4324938</v>
          </cell>
          <cell r="M53">
            <v>0</v>
          </cell>
          <cell r="O53">
            <v>9349023.333333334</v>
          </cell>
        </row>
        <row r="54">
          <cell r="A54" t="str">
            <v xml:space="preserve">  임원국내출장비</v>
          </cell>
          <cell r="B54">
            <v>492000</v>
          </cell>
          <cell r="C54">
            <v>492000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J54">
            <v>0</v>
          </cell>
          <cell r="L54">
            <v>246000</v>
          </cell>
          <cell r="M54">
            <v>0</v>
          </cell>
          <cell r="O54">
            <v>0</v>
          </cell>
        </row>
        <row r="55">
          <cell r="A55" t="str">
            <v xml:space="preserve">  국내출장비</v>
          </cell>
          <cell r="B55">
            <v>1421900</v>
          </cell>
          <cell r="C55">
            <v>1421900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J55">
            <v>0</v>
          </cell>
          <cell r="L55">
            <v>710950</v>
          </cell>
          <cell r="M55">
            <v>0</v>
          </cell>
          <cell r="O55">
            <v>6107190</v>
          </cell>
        </row>
        <row r="56">
          <cell r="A56" t="str">
            <v xml:space="preserve">  차량운행지원비</v>
          </cell>
          <cell r="B56">
            <v>1045976</v>
          </cell>
          <cell r="C56">
            <v>1045976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J56">
            <v>0</v>
          </cell>
          <cell r="L56">
            <v>522988</v>
          </cell>
          <cell r="M56">
            <v>0</v>
          </cell>
          <cell r="O56">
            <v>0</v>
          </cell>
        </row>
        <row r="57">
          <cell r="A57" t="str">
            <v xml:space="preserve">  출장교통보조비</v>
          </cell>
          <cell r="B57">
            <v>5690000</v>
          </cell>
          <cell r="C57">
            <v>5690000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J57">
            <v>0</v>
          </cell>
          <cell r="L57">
            <v>2845000</v>
          </cell>
          <cell r="M57">
            <v>0</v>
          </cell>
          <cell r="O57">
            <v>3241833.333333333</v>
          </cell>
        </row>
        <row r="58">
          <cell r="A58" t="str">
            <v xml:space="preserve"> 통      신      비</v>
          </cell>
          <cell r="B58">
            <v>2986620</v>
          </cell>
          <cell r="C58">
            <v>67733</v>
          </cell>
          <cell r="E58">
            <v>0</v>
          </cell>
          <cell r="F58">
            <v>2588967</v>
          </cell>
          <cell r="G58">
            <v>329920</v>
          </cell>
          <cell r="H58">
            <v>0</v>
          </cell>
          <cell r="J58">
            <v>2918887</v>
          </cell>
          <cell r="L58">
            <v>33866.5</v>
          </cell>
          <cell r="M58">
            <v>2588967</v>
          </cell>
          <cell r="O58">
            <v>674821</v>
          </cell>
        </row>
        <row r="59">
          <cell r="A59" t="str">
            <v xml:space="preserve">  통신-국내외전화료</v>
          </cell>
          <cell r="B59">
            <v>67733</v>
          </cell>
          <cell r="C59">
            <v>67733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J59">
            <v>0</v>
          </cell>
          <cell r="L59">
            <v>33866.5</v>
          </cell>
          <cell r="M59">
            <v>0</v>
          </cell>
          <cell r="O59">
            <v>485041</v>
          </cell>
        </row>
        <row r="60">
          <cell r="A60" t="str">
            <v xml:space="preserve">  통신-이동통신비</v>
          </cell>
          <cell r="B60">
            <v>2918887</v>
          </cell>
          <cell r="C60">
            <v>0</v>
          </cell>
          <cell r="E60">
            <v>0</v>
          </cell>
          <cell r="F60">
            <v>2588967</v>
          </cell>
          <cell r="G60">
            <v>329920</v>
          </cell>
          <cell r="H60">
            <v>0</v>
          </cell>
          <cell r="J60">
            <v>2918887</v>
          </cell>
          <cell r="L60">
            <v>0</v>
          </cell>
          <cell r="M60">
            <v>2588967</v>
          </cell>
          <cell r="O60">
            <v>0</v>
          </cell>
        </row>
        <row r="61">
          <cell r="A61" t="str">
            <v xml:space="preserve"> 감  가  상  각  비</v>
          </cell>
          <cell r="B61">
            <v>310199989</v>
          </cell>
          <cell r="C61">
            <v>0</v>
          </cell>
          <cell r="E61">
            <v>0</v>
          </cell>
          <cell r="F61">
            <v>310199989</v>
          </cell>
          <cell r="G61">
            <v>0</v>
          </cell>
          <cell r="H61">
            <v>0</v>
          </cell>
          <cell r="J61">
            <v>310199989</v>
          </cell>
          <cell r="L61">
            <v>0</v>
          </cell>
          <cell r="M61">
            <v>319799989</v>
          </cell>
          <cell r="O61">
            <v>0</v>
          </cell>
        </row>
        <row r="62">
          <cell r="A62" t="str">
            <v xml:space="preserve"> 지  급  임  차  료</v>
          </cell>
          <cell r="B62">
            <v>50298537</v>
          </cell>
          <cell r="C62">
            <v>1400000</v>
          </cell>
          <cell r="E62">
            <v>17229443</v>
          </cell>
          <cell r="F62">
            <v>0</v>
          </cell>
          <cell r="G62">
            <v>31669094</v>
          </cell>
          <cell r="H62">
            <v>0</v>
          </cell>
          <cell r="J62">
            <v>48898537</v>
          </cell>
          <cell r="L62">
            <v>700000</v>
          </cell>
          <cell r="M62">
            <v>17229443</v>
          </cell>
          <cell r="O62">
            <v>72310000</v>
          </cell>
        </row>
        <row r="63">
          <cell r="A63" t="str">
            <v xml:space="preserve">  임차료-건물</v>
          </cell>
          <cell r="B63">
            <v>38600000</v>
          </cell>
          <cell r="C63">
            <v>1400000</v>
          </cell>
          <cell r="E63">
            <v>13200000</v>
          </cell>
          <cell r="F63">
            <v>0</v>
          </cell>
          <cell r="G63">
            <v>24000000</v>
          </cell>
          <cell r="H63">
            <v>0</v>
          </cell>
          <cell r="J63">
            <v>37200000</v>
          </cell>
          <cell r="L63">
            <v>700000</v>
          </cell>
          <cell r="M63">
            <v>13200000</v>
          </cell>
          <cell r="O63">
            <v>71110000</v>
          </cell>
        </row>
        <row r="64">
          <cell r="A64" t="str">
            <v xml:space="preserve">  임차료-관리비</v>
          </cell>
          <cell r="B64">
            <v>11698537</v>
          </cell>
          <cell r="C64">
            <v>0</v>
          </cell>
          <cell r="E64">
            <v>4029443</v>
          </cell>
          <cell r="F64">
            <v>0</v>
          </cell>
          <cell r="G64">
            <v>7669094</v>
          </cell>
          <cell r="H64">
            <v>0</v>
          </cell>
          <cell r="J64">
            <v>11698537</v>
          </cell>
          <cell r="L64">
            <v>0</v>
          </cell>
          <cell r="M64">
            <v>4029443</v>
          </cell>
          <cell r="O64">
            <v>1200000</v>
          </cell>
        </row>
        <row r="65">
          <cell r="A65" t="str">
            <v xml:space="preserve"> 보      험      료</v>
          </cell>
          <cell r="B65">
            <v>1519973</v>
          </cell>
          <cell r="C65">
            <v>1519973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J65">
            <v>0</v>
          </cell>
          <cell r="L65">
            <v>759986.5</v>
          </cell>
          <cell r="M65">
            <v>0</v>
          </cell>
          <cell r="O65">
            <v>196193</v>
          </cell>
        </row>
        <row r="66">
          <cell r="A66" t="str">
            <v xml:space="preserve">  보험화재보험료</v>
          </cell>
          <cell r="B66">
            <v>1519973</v>
          </cell>
          <cell r="C66">
            <v>1519973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J66">
            <v>0</v>
          </cell>
          <cell r="L66">
            <v>759986.5</v>
          </cell>
          <cell r="M66">
            <v>0</v>
          </cell>
          <cell r="O66">
            <v>196193</v>
          </cell>
        </row>
        <row r="67">
          <cell r="A67" t="str">
            <v xml:space="preserve"> 차  량  유  지  비</v>
          </cell>
          <cell r="B67">
            <v>423270</v>
          </cell>
          <cell r="C67">
            <v>423270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J67">
            <v>0</v>
          </cell>
          <cell r="L67">
            <v>211635</v>
          </cell>
          <cell r="M67">
            <v>0</v>
          </cell>
          <cell r="O67">
            <v>647083.33333333337</v>
          </cell>
        </row>
        <row r="68">
          <cell r="A68" t="str">
            <v xml:space="preserve">  차량유지비- 통행주차료</v>
          </cell>
          <cell r="B68">
            <v>343270</v>
          </cell>
          <cell r="C68">
            <v>343270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J68">
            <v>0</v>
          </cell>
          <cell r="L68">
            <v>171635</v>
          </cell>
          <cell r="M68">
            <v>0</v>
          </cell>
          <cell r="O68">
            <v>647083.33333333337</v>
          </cell>
        </row>
        <row r="69">
          <cell r="A69" t="str">
            <v xml:space="preserve">  차량유지비-본사(기본)</v>
          </cell>
          <cell r="B69">
            <v>80000</v>
          </cell>
          <cell r="C69">
            <v>80000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J69">
            <v>0</v>
          </cell>
          <cell r="L69">
            <v>40000</v>
          </cell>
          <cell r="M69">
            <v>0</v>
          </cell>
          <cell r="O69">
            <v>0</v>
          </cell>
        </row>
        <row r="70">
          <cell r="A70" t="str">
            <v xml:space="preserve"> 운      반      비</v>
          </cell>
          <cell r="B70">
            <v>62155934</v>
          </cell>
          <cell r="C70">
            <v>0</v>
          </cell>
          <cell r="E70">
            <v>20000</v>
          </cell>
          <cell r="F70">
            <v>0</v>
          </cell>
          <cell r="G70">
            <v>62135934</v>
          </cell>
          <cell r="H70">
            <v>0</v>
          </cell>
          <cell r="J70">
            <v>62155934</v>
          </cell>
          <cell r="L70">
            <v>0</v>
          </cell>
          <cell r="M70">
            <v>20000</v>
          </cell>
          <cell r="O70">
            <v>1058000</v>
          </cell>
        </row>
        <row r="71">
          <cell r="A71" t="str">
            <v xml:space="preserve">  단말기물류비(기본)</v>
          </cell>
          <cell r="B71">
            <v>62155934</v>
          </cell>
          <cell r="C71">
            <v>0</v>
          </cell>
          <cell r="E71">
            <v>20000</v>
          </cell>
          <cell r="F71">
            <v>0</v>
          </cell>
          <cell r="G71">
            <v>62135934</v>
          </cell>
          <cell r="H71">
            <v>0</v>
          </cell>
          <cell r="J71">
            <v>62155934</v>
          </cell>
          <cell r="L71">
            <v>0</v>
          </cell>
          <cell r="M71">
            <v>20000</v>
          </cell>
          <cell r="O71">
            <v>1058000</v>
          </cell>
        </row>
        <row r="72">
          <cell r="A72" t="str">
            <v xml:space="preserve"> 교  육  훈  련  비</v>
          </cell>
          <cell r="B72">
            <v>4000000</v>
          </cell>
          <cell r="C72">
            <v>4000000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J72">
            <v>0</v>
          </cell>
          <cell r="L72">
            <v>2000000</v>
          </cell>
          <cell r="M72">
            <v>0</v>
          </cell>
          <cell r="O72">
            <v>356728</v>
          </cell>
        </row>
        <row r="73">
          <cell r="A73" t="str">
            <v xml:space="preserve">  교육연수</v>
          </cell>
          <cell r="B73">
            <v>4000000</v>
          </cell>
          <cell r="C73">
            <v>4000000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J73">
            <v>0</v>
          </cell>
          <cell r="L73">
            <v>2000000</v>
          </cell>
          <cell r="M73">
            <v>0</v>
          </cell>
          <cell r="O73">
            <v>0</v>
          </cell>
        </row>
        <row r="74">
          <cell r="A74" t="str">
            <v xml:space="preserve"> 회      의      비</v>
          </cell>
          <cell r="B74">
            <v>46760909</v>
          </cell>
          <cell r="C74">
            <v>44687036</v>
          </cell>
          <cell r="E74">
            <v>0</v>
          </cell>
          <cell r="F74">
            <v>0</v>
          </cell>
          <cell r="G74">
            <v>2073873</v>
          </cell>
          <cell r="H74">
            <v>0</v>
          </cell>
          <cell r="J74">
            <v>2073873</v>
          </cell>
          <cell r="L74">
            <v>22343518</v>
          </cell>
          <cell r="M74">
            <v>0</v>
          </cell>
          <cell r="O74">
            <v>18607248</v>
          </cell>
        </row>
        <row r="75">
          <cell r="A75" t="str">
            <v xml:space="preserve">  회의비-본사(기본)</v>
          </cell>
          <cell r="B75">
            <v>2239718</v>
          </cell>
          <cell r="C75">
            <v>2239718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J75">
            <v>0</v>
          </cell>
          <cell r="L75">
            <v>1119859</v>
          </cell>
          <cell r="M75">
            <v>0</v>
          </cell>
          <cell r="O75">
            <v>1520190</v>
          </cell>
        </row>
        <row r="76">
          <cell r="A76" t="str">
            <v xml:space="preserve">  회의비(한마음)</v>
          </cell>
          <cell r="B76">
            <v>1920636</v>
          </cell>
          <cell r="C76">
            <v>1920636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J76">
            <v>0</v>
          </cell>
          <cell r="L76">
            <v>960318</v>
          </cell>
          <cell r="M76">
            <v>0</v>
          </cell>
          <cell r="O76">
            <v>577186.5</v>
          </cell>
        </row>
        <row r="77">
          <cell r="A77" t="str">
            <v xml:space="preserve">  회의비-포상</v>
          </cell>
          <cell r="B77">
            <v>936370</v>
          </cell>
          <cell r="C77">
            <v>936370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J77">
            <v>0</v>
          </cell>
          <cell r="L77">
            <v>468185</v>
          </cell>
          <cell r="M77">
            <v>0</v>
          </cell>
          <cell r="O77">
            <v>244465.83333333331</v>
          </cell>
        </row>
        <row r="78">
          <cell r="A78" t="str">
            <v xml:space="preserve">  회의비(사업)</v>
          </cell>
          <cell r="B78">
            <v>41573730</v>
          </cell>
          <cell r="C78">
            <v>39499857</v>
          </cell>
          <cell r="E78">
            <v>0</v>
          </cell>
          <cell r="F78">
            <v>0</v>
          </cell>
          <cell r="G78">
            <v>2073873</v>
          </cell>
          <cell r="H78">
            <v>0</v>
          </cell>
          <cell r="J78">
            <v>2073873</v>
          </cell>
          <cell r="L78">
            <v>19749928.5</v>
          </cell>
          <cell r="M78">
            <v>0</v>
          </cell>
          <cell r="O78">
            <v>12388472.666666668</v>
          </cell>
        </row>
        <row r="79">
          <cell r="A79" t="str">
            <v xml:space="preserve">  회의비(마케팅)</v>
          </cell>
          <cell r="B79">
            <v>90455</v>
          </cell>
          <cell r="C79">
            <v>90455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J79">
            <v>0</v>
          </cell>
          <cell r="L79">
            <v>45227.5</v>
          </cell>
          <cell r="M79">
            <v>0</v>
          </cell>
          <cell r="O79">
            <v>2305389</v>
          </cell>
        </row>
        <row r="80">
          <cell r="A80" t="str">
            <v xml:space="preserve"> 소    모   품   비</v>
          </cell>
          <cell r="B80">
            <v>6118840</v>
          </cell>
          <cell r="C80">
            <v>120000</v>
          </cell>
          <cell r="E80">
            <v>0</v>
          </cell>
          <cell r="F80">
            <v>0</v>
          </cell>
          <cell r="G80">
            <v>5998840</v>
          </cell>
          <cell r="H80">
            <v>0</v>
          </cell>
          <cell r="J80">
            <v>5998840</v>
          </cell>
          <cell r="L80">
            <v>60000</v>
          </cell>
          <cell r="M80">
            <v>0</v>
          </cell>
          <cell r="O80">
            <v>21993605.166666668</v>
          </cell>
        </row>
        <row r="81">
          <cell r="A81" t="str">
            <v xml:space="preserve">  소모품사무,일반용품(기본)</v>
          </cell>
          <cell r="B81">
            <v>6118840</v>
          </cell>
          <cell r="C81">
            <v>120000</v>
          </cell>
          <cell r="E81">
            <v>0</v>
          </cell>
          <cell r="F81">
            <v>0</v>
          </cell>
          <cell r="G81">
            <v>5998840</v>
          </cell>
          <cell r="H81">
            <v>0</v>
          </cell>
          <cell r="J81">
            <v>5998840</v>
          </cell>
          <cell r="L81">
            <v>60000</v>
          </cell>
          <cell r="M81">
            <v>0</v>
          </cell>
          <cell r="O81">
            <v>2667650.1666666665</v>
          </cell>
        </row>
        <row r="82">
          <cell r="A82" t="str">
            <v xml:space="preserve"> 지 급 수 수 료</v>
          </cell>
          <cell r="B82">
            <v>2270048021</v>
          </cell>
          <cell r="C82">
            <v>42536080</v>
          </cell>
          <cell r="E82">
            <v>376236870</v>
          </cell>
          <cell r="F82">
            <v>696996214</v>
          </cell>
          <cell r="G82">
            <v>805625076</v>
          </cell>
          <cell r="H82">
            <v>348653781</v>
          </cell>
          <cell r="J82">
            <v>1878858160</v>
          </cell>
          <cell r="L82">
            <v>21268040</v>
          </cell>
          <cell r="M82">
            <v>1073233084</v>
          </cell>
          <cell r="O82">
            <v>447040121</v>
          </cell>
        </row>
        <row r="83">
          <cell r="A83" t="str">
            <v xml:space="preserve">  IT유지보수대행수수료</v>
          </cell>
          <cell r="B83">
            <v>316162119</v>
          </cell>
          <cell r="C83">
            <v>162119</v>
          </cell>
          <cell r="E83">
            <v>0</v>
          </cell>
          <cell r="F83">
            <v>5500000</v>
          </cell>
          <cell r="G83">
            <v>0</v>
          </cell>
          <cell r="H83">
            <v>310500000</v>
          </cell>
          <cell r="J83">
            <v>5500000</v>
          </cell>
          <cell r="L83">
            <v>81059.5</v>
          </cell>
          <cell r="M83">
            <v>5500000</v>
          </cell>
          <cell r="O83">
            <v>310806589.16666669</v>
          </cell>
        </row>
        <row r="84">
          <cell r="A84" t="str">
            <v xml:space="preserve">  수수료-서비스이용료</v>
          </cell>
          <cell r="B84">
            <v>1641136786</v>
          </cell>
          <cell r="C84">
            <v>23266880</v>
          </cell>
          <cell r="E84">
            <v>341078370</v>
          </cell>
          <cell r="F84">
            <v>433082679</v>
          </cell>
          <cell r="G84">
            <v>805555076</v>
          </cell>
          <cell r="H84">
            <v>38153781</v>
          </cell>
          <cell r="J84">
            <v>1579716125</v>
          </cell>
          <cell r="L84">
            <v>11633440</v>
          </cell>
          <cell r="M84">
            <v>774161049</v>
          </cell>
          <cell r="O84">
            <v>53631981.166666672</v>
          </cell>
        </row>
        <row r="85">
          <cell r="A85" t="str">
            <v xml:space="preserve">  수수료-공사용역수수료</v>
          </cell>
          <cell r="B85">
            <v>1100000</v>
          </cell>
          <cell r="C85">
            <v>1100000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J85">
            <v>0</v>
          </cell>
          <cell r="L85">
            <v>550000</v>
          </cell>
          <cell r="M85">
            <v>0</v>
          </cell>
          <cell r="O85">
            <v>80726666.666666672</v>
          </cell>
        </row>
        <row r="86">
          <cell r="A86" t="str">
            <v xml:space="preserve">  수수료-대행외부용역</v>
          </cell>
          <cell r="B86">
            <v>294931386</v>
          </cell>
          <cell r="C86">
            <v>1289351</v>
          </cell>
          <cell r="E86">
            <v>35158500</v>
          </cell>
          <cell r="F86">
            <v>258413535</v>
          </cell>
          <cell r="G86">
            <v>70000</v>
          </cell>
          <cell r="H86">
            <v>0</v>
          </cell>
          <cell r="J86">
            <v>293642035</v>
          </cell>
          <cell r="L86">
            <v>644675.5</v>
          </cell>
          <cell r="M86">
            <v>293572035</v>
          </cell>
          <cell r="O86">
            <v>299100</v>
          </cell>
        </row>
        <row r="87">
          <cell r="A87" t="str">
            <v xml:space="preserve">  파견사업급여</v>
          </cell>
          <cell r="B87">
            <v>16717730</v>
          </cell>
          <cell r="C87">
            <v>16717730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J87">
            <v>0</v>
          </cell>
          <cell r="L87">
            <v>8358865</v>
          </cell>
          <cell r="M87">
            <v>0</v>
          </cell>
          <cell r="O87">
            <v>0</v>
          </cell>
        </row>
        <row r="88">
          <cell r="A88" t="str">
            <v xml:space="preserve"> 판  매  촉  진  비</v>
          </cell>
          <cell r="B88">
            <v>280918831</v>
          </cell>
          <cell r="C88">
            <v>97849861</v>
          </cell>
          <cell r="E88">
            <v>220910</v>
          </cell>
          <cell r="F88">
            <v>88877710</v>
          </cell>
          <cell r="G88">
            <v>92255000</v>
          </cell>
          <cell r="H88">
            <v>1715350</v>
          </cell>
          <cell r="J88">
            <v>181353620</v>
          </cell>
          <cell r="L88">
            <v>48924930.5</v>
          </cell>
          <cell r="M88">
            <v>89098620</v>
          </cell>
          <cell r="O88">
            <v>27148037</v>
          </cell>
        </row>
        <row r="89">
          <cell r="A89" t="str">
            <v xml:space="preserve">  판촉비(사업)</v>
          </cell>
          <cell r="B89">
            <v>200201790</v>
          </cell>
          <cell r="C89">
            <v>37771861</v>
          </cell>
          <cell r="E89">
            <v>220910</v>
          </cell>
          <cell r="F89">
            <v>71304619</v>
          </cell>
          <cell r="G89">
            <v>89555000</v>
          </cell>
          <cell r="H89">
            <v>1349400</v>
          </cell>
          <cell r="J89">
            <v>161080529</v>
          </cell>
          <cell r="L89">
            <v>18885930.5</v>
          </cell>
          <cell r="M89">
            <v>71525529</v>
          </cell>
          <cell r="O89">
            <v>26382087</v>
          </cell>
        </row>
        <row r="90">
          <cell r="A90" t="str">
            <v xml:space="preserve">  판촉비(마케팅)</v>
          </cell>
          <cell r="B90">
            <v>80717041</v>
          </cell>
          <cell r="C90">
            <v>60078000</v>
          </cell>
          <cell r="E90">
            <v>0</v>
          </cell>
          <cell r="F90">
            <v>17573091</v>
          </cell>
          <cell r="G90">
            <v>2700000</v>
          </cell>
          <cell r="H90">
            <v>365950</v>
          </cell>
          <cell r="J90">
            <v>20273091</v>
          </cell>
          <cell r="L90">
            <v>30039000</v>
          </cell>
          <cell r="M90">
            <v>17573091</v>
          </cell>
          <cell r="O90">
            <v>765950</v>
          </cell>
        </row>
        <row r="91">
          <cell r="A91" t="str">
            <v>영   업  이   익</v>
          </cell>
          <cell r="B91">
            <v>5934410602</v>
          </cell>
          <cell r="C91">
            <v>-386135094</v>
          </cell>
          <cell r="E91">
            <v>-171252189</v>
          </cell>
          <cell r="F91">
            <v>780942113</v>
          </cell>
          <cell r="G91">
            <v>6054866663</v>
          </cell>
          <cell r="H91">
            <v>-344010891</v>
          </cell>
          <cell r="J91">
            <v>6664556587</v>
          </cell>
          <cell r="L91">
            <v>-193067547</v>
          </cell>
          <cell r="M91">
            <v>600089924</v>
          </cell>
          <cell r="O91">
            <v>-690720704.33333337</v>
          </cell>
        </row>
        <row r="92">
          <cell r="A92" t="str">
            <v>영  업 외 수  익</v>
          </cell>
          <cell r="B92">
            <v>20</v>
          </cell>
          <cell r="C92">
            <v>0</v>
          </cell>
          <cell r="E92">
            <v>0</v>
          </cell>
          <cell r="F92">
            <v>20</v>
          </cell>
          <cell r="G92">
            <v>0</v>
          </cell>
          <cell r="H92">
            <v>0</v>
          </cell>
          <cell r="J92">
            <v>20</v>
          </cell>
          <cell r="L92">
            <v>0</v>
          </cell>
          <cell r="M92">
            <v>20</v>
          </cell>
          <cell r="O92">
            <v>0</v>
          </cell>
        </row>
        <row r="93">
          <cell r="A93" t="str">
            <v xml:space="preserve"> 잡      이      익</v>
          </cell>
          <cell r="B93">
            <v>20</v>
          </cell>
          <cell r="C93">
            <v>0</v>
          </cell>
          <cell r="E93">
            <v>0</v>
          </cell>
          <cell r="F93">
            <v>20</v>
          </cell>
          <cell r="G93">
            <v>0</v>
          </cell>
          <cell r="H93">
            <v>0</v>
          </cell>
          <cell r="J93">
            <v>20</v>
          </cell>
          <cell r="L93">
            <v>0</v>
          </cell>
          <cell r="M93">
            <v>20</v>
          </cell>
          <cell r="O93">
            <v>0</v>
          </cell>
        </row>
        <row r="94">
          <cell r="A94" t="str">
            <v xml:space="preserve">  잡이익(단수차액)</v>
          </cell>
          <cell r="B94">
            <v>20</v>
          </cell>
          <cell r="C94">
            <v>0</v>
          </cell>
          <cell r="E94">
            <v>0</v>
          </cell>
          <cell r="F94">
            <v>20</v>
          </cell>
          <cell r="G94">
            <v>0</v>
          </cell>
          <cell r="H94">
            <v>0</v>
          </cell>
          <cell r="L94">
            <v>0</v>
          </cell>
          <cell r="M94">
            <v>20</v>
          </cell>
          <cell r="O94">
            <v>0</v>
          </cell>
        </row>
        <row r="95">
          <cell r="A95" t="str">
            <v>영  업 외 비  용</v>
          </cell>
          <cell r="B95">
            <v>0</v>
          </cell>
          <cell r="C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J95">
            <v>0</v>
          </cell>
          <cell r="L95">
            <v>0</v>
          </cell>
          <cell r="M95">
            <v>0</v>
          </cell>
          <cell r="O95">
            <v>0</v>
          </cell>
        </row>
        <row r="96">
          <cell r="A96" t="str">
            <v>법인세비용차감전순이익</v>
          </cell>
          <cell r="B96">
            <v>5934410622</v>
          </cell>
          <cell r="C96">
            <v>-386135094</v>
          </cell>
          <cell r="E96">
            <v>-171252189</v>
          </cell>
          <cell r="F96">
            <v>780942133</v>
          </cell>
          <cell r="G96">
            <v>6054866663</v>
          </cell>
          <cell r="H96">
            <v>-344010891</v>
          </cell>
          <cell r="J96">
            <v>6664556607</v>
          </cell>
          <cell r="L96">
            <v>-193067547</v>
          </cell>
          <cell r="M96">
            <v>600089944</v>
          </cell>
          <cell r="O96">
            <v>-690720704.33333337</v>
          </cell>
        </row>
        <row r="97">
          <cell r="A97" t="str">
            <v>법인세비용차감전계속사업순이익</v>
          </cell>
          <cell r="B97">
            <v>5934410622</v>
          </cell>
          <cell r="C97">
            <v>-386135094</v>
          </cell>
          <cell r="E97">
            <v>-171252189</v>
          </cell>
          <cell r="F97">
            <v>780942133</v>
          </cell>
          <cell r="G97">
            <v>6054866663</v>
          </cell>
          <cell r="H97">
            <v>-344010891</v>
          </cell>
          <cell r="J97">
            <v>6664556607</v>
          </cell>
          <cell r="L97">
            <v>-193067547</v>
          </cell>
          <cell r="M97">
            <v>600089944</v>
          </cell>
          <cell r="O97">
            <v>-690720704.33333337</v>
          </cell>
        </row>
        <row r="98">
          <cell r="A98" t="str">
            <v>법  인 세 비  용</v>
          </cell>
          <cell r="B98">
            <v>0</v>
          </cell>
          <cell r="C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J98">
            <v>0</v>
          </cell>
          <cell r="L98">
            <v>0</v>
          </cell>
          <cell r="M98">
            <v>0</v>
          </cell>
          <cell r="O98">
            <v>0</v>
          </cell>
        </row>
        <row r="99">
          <cell r="A99" t="str">
            <v>계속 사  업 이익</v>
          </cell>
          <cell r="B99">
            <v>5934410622</v>
          </cell>
          <cell r="C99">
            <v>-386135094</v>
          </cell>
          <cell r="E99">
            <v>-171252189</v>
          </cell>
          <cell r="F99">
            <v>780942133</v>
          </cell>
          <cell r="G99">
            <v>6054866663</v>
          </cell>
          <cell r="H99">
            <v>-344010891</v>
          </cell>
          <cell r="J99">
            <v>6664556607</v>
          </cell>
          <cell r="L99">
            <v>-193067547</v>
          </cell>
          <cell r="M99">
            <v>600089944</v>
          </cell>
          <cell r="O99">
            <v>-344010891</v>
          </cell>
        </row>
        <row r="100">
          <cell r="A100" t="str">
            <v>중단 사  업 손익</v>
          </cell>
          <cell r="B100">
            <v>0</v>
          </cell>
          <cell r="C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J100">
            <v>0</v>
          </cell>
          <cell r="L100">
            <v>0</v>
          </cell>
          <cell r="M100">
            <v>0</v>
          </cell>
          <cell r="O100">
            <v>0</v>
          </cell>
        </row>
        <row r="101">
          <cell r="A101" t="str">
            <v>당  기 순 이  익</v>
          </cell>
          <cell r="B101">
            <v>5934410622</v>
          </cell>
          <cell r="C101">
            <v>-386135094</v>
          </cell>
          <cell r="E101">
            <v>-171252189</v>
          </cell>
          <cell r="F101">
            <v>780942133</v>
          </cell>
          <cell r="G101">
            <v>6054866663</v>
          </cell>
          <cell r="H101">
            <v>-344010891</v>
          </cell>
          <cell r="L101">
            <v>-193067547</v>
          </cell>
          <cell r="M101">
            <v>600089944</v>
          </cell>
          <cell r="O101">
            <v>-690720704.33333337</v>
          </cell>
        </row>
        <row r="102">
          <cell r="A102" t="str">
            <v>주당이익</v>
          </cell>
          <cell r="B102">
            <v>0</v>
          </cell>
          <cell r="C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L102">
            <v>0</v>
          </cell>
          <cell r="M102">
            <v>0</v>
          </cell>
          <cell r="O102">
            <v>0</v>
          </cell>
        </row>
        <row r="103">
          <cell r="A103" t="str">
            <v>기본주당계속사업이익</v>
          </cell>
          <cell r="B103">
            <v>0</v>
          </cell>
          <cell r="C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L103">
            <v>0</v>
          </cell>
          <cell r="M103">
            <v>0</v>
          </cell>
          <cell r="O103">
            <v>0</v>
          </cell>
        </row>
        <row r="104">
          <cell r="A104" t="str">
            <v>기본주당순이익</v>
          </cell>
          <cell r="B104">
            <v>0</v>
          </cell>
          <cell r="C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L104">
            <v>0</v>
          </cell>
          <cell r="M104">
            <v>0</v>
          </cell>
          <cell r="O104">
            <v>0</v>
          </cell>
        </row>
        <row r="105">
          <cell r="A105" t="str">
            <v>희석주당계속사업이익</v>
          </cell>
          <cell r="B105">
            <v>0</v>
          </cell>
          <cell r="C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L105">
            <v>0</v>
          </cell>
          <cell r="M105">
            <v>0</v>
          </cell>
          <cell r="O105">
            <v>0</v>
          </cell>
        </row>
        <row r="106">
          <cell r="A106" t="str">
            <v>희석주당순이익</v>
          </cell>
          <cell r="B106">
            <v>0</v>
          </cell>
          <cell r="C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</row>
      </sheetData>
      <sheetData sheetId="16">
        <row r="1">
          <cell r="A1" t="str">
            <v>계정명</v>
          </cell>
          <cell r="B1" t="str">
            <v>합계</v>
          </cell>
          <cell r="C1" t="str">
            <v>20600000TF</v>
          </cell>
          <cell r="E1" t="str">
            <v>NA0000000</v>
          </cell>
          <cell r="F1" t="str">
            <v>NR0000000</v>
          </cell>
          <cell r="G1" t="str">
            <v>YC00564</v>
          </cell>
          <cell r="H1" t="str">
            <v>SUM</v>
          </cell>
          <cell r="J1" t="str">
            <v>모바일파트©인건비 &gt;&gt;</v>
          </cell>
          <cell r="K1" t="str">
            <v>1/N</v>
          </cell>
          <cell r="L1" t="str">
            <v>1명 (0.5+0.5)</v>
          </cell>
          <cell r="N1" t="str">
            <v>5명</v>
          </cell>
          <cell r="Q1" t="str">
            <v>1명 (0.5+0.5)</v>
          </cell>
          <cell r="S1" t="str">
            <v>5명</v>
          </cell>
        </row>
        <row r="2">
          <cell r="A2" t="str">
            <v>계정명</v>
          </cell>
          <cell r="B2" t="str">
            <v>합계</v>
          </cell>
          <cell r="C2" t="str">
            <v>모바일파트</v>
          </cell>
          <cell r="E2" t="str">
            <v>AS 물류대행</v>
          </cell>
          <cell r="F2" t="str">
            <v>임대폰대행</v>
          </cell>
          <cell r="G2" t="str">
            <v>리본 신촌점</v>
          </cell>
          <cell r="L2" t="str">
            <v>as+임대</v>
          </cell>
          <cell r="N2" t="str">
            <v>리본</v>
          </cell>
          <cell r="Q2" t="str">
            <v>as</v>
          </cell>
          <cell r="R2" t="str">
            <v>임대</v>
          </cell>
          <cell r="S2" t="str">
            <v>리본</v>
          </cell>
        </row>
        <row r="3">
          <cell r="A3" t="str">
            <v>손            익</v>
          </cell>
          <cell r="B3">
            <v>-31686035</v>
          </cell>
          <cell r="C3">
            <v>-650992078</v>
          </cell>
          <cell r="E3">
            <v>99730369</v>
          </cell>
          <cell r="F3">
            <v>323792089</v>
          </cell>
          <cell r="G3">
            <v>195783585</v>
          </cell>
          <cell r="H3">
            <v>423522458</v>
          </cell>
          <cell r="K3">
            <v>-108498679.66666667</v>
          </cell>
          <cell r="L3">
            <v>-54249339.833333336</v>
          </cell>
          <cell r="M3">
            <v>-54249339.833333336</v>
          </cell>
          <cell r="N3">
            <v>-542493398.33333337</v>
          </cell>
          <cell r="O3" t="b">
            <v>1</v>
          </cell>
          <cell r="Q3">
            <v>45481029.166666664</v>
          </cell>
          <cell r="R3">
            <v>269542749.16666669</v>
          </cell>
          <cell r="S3">
            <v>-346709813.33333337</v>
          </cell>
        </row>
        <row r="4">
          <cell r="A4" t="str">
            <v>매            출</v>
          </cell>
          <cell r="B4">
            <v>1605514381</v>
          </cell>
          <cell r="C4">
            <v>0</v>
          </cell>
          <cell r="E4">
            <v>357710000</v>
          </cell>
          <cell r="F4">
            <v>441954966</v>
          </cell>
          <cell r="G4">
            <v>805849415</v>
          </cell>
          <cell r="H4">
            <v>799664966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 t="b">
            <v>1</v>
          </cell>
          <cell r="Q4">
            <v>357710000</v>
          </cell>
          <cell r="R4">
            <v>441954966</v>
          </cell>
          <cell r="S4">
            <v>805849415</v>
          </cell>
        </row>
        <row r="5">
          <cell r="A5" t="str">
            <v xml:space="preserve"> 상    품   매   출</v>
          </cell>
          <cell r="B5">
            <v>487667597</v>
          </cell>
          <cell r="C5">
            <v>0</v>
          </cell>
          <cell r="E5">
            <v>0</v>
          </cell>
          <cell r="F5">
            <v>0</v>
          </cell>
          <cell r="G5">
            <v>487667597</v>
          </cell>
          <cell r="H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 t="b">
            <v>1</v>
          </cell>
          <cell r="Q5">
            <v>0</v>
          </cell>
          <cell r="R5">
            <v>0</v>
          </cell>
          <cell r="S5">
            <v>487667597</v>
          </cell>
        </row>
        <row r="6">
          <cell r="A6" t="str">
            <v xml:space="preserve">  상품단말기매출-고객</v>
          </cell>
          <cell r="B6">
            <v>80444305</v>
          </cell>
          <cell r="C6">
            <v>0</v>
          </cell>
          <cell r="E6">
            <v>0</v>
          </cell>
          <cell r="F6">
            <v>0</v>
          </cell>
          <cell r="G6">
            <v>80444305</v>
          </cell>
          <cell r="H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 t="b">
            <v>1</v>
          </cell>
          <cell r="Q6">
            <v>0</v>
          </cell>
          <cell r="R6">
            <v>0</v>
          </cell>
          <cell r="S6">
            <v>80444305</v>
          </cell>
        </row>
        <row r="7">
          <cell r="A7" t="str">
            <v xml:space="preserve">  상품매출액-신용카드매출</v>
          </cell>
          <cell r="B7">
            <v>407223292</v>
          </cell>
          <cell r="C7">
            <v>0</v>
          </cell>
          <cell r="E7">
            <v>0</v>
          </cell>
          <cell r="F7">
            <v>0</v>
          </cell>
          <cell r="G7">
            <v>407223292</v>
          </cell>
          <cell r="H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 t="b">
            <v>1</v>
          </cell>
          <cell r="Q7">
            <v>0</v>
          </cell>
          <cell r="R7">
            <v>0</v>
          </cell>
          <cell r="S7">
            <v>407223292</v>
          </cell>
        </row>
        <row r="8">
          <cell r="A8" t="str">
            <v xml:space="preserve"> 수수료수입</v>
          </cell>
          <cell r="B8">
            <v>1117846784</v>
          </cell>
          <cell r="C8">
            <v>0</v>
          </cell>
          <cell r="E8">
            <v>357710000</v>
          </cell>
          <cell r="F8">
            <v>441954966</v>
          </cell>
          <cell r="G8">
            <v>318181818</v>
          </cell>
          <cell r="H8">
            <v>799664966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 t="b">
            <v>1</v>
          </cell>
          <cell r="Q8">
            <v>357710000</v>
          </cell>
          <cell r="R8">
            <v>441954966</v>
          </cell>
          <cell r="S8">
            <v>318181818</v>
          </cell>
        </row>
        <row r="9">
          <cell r="A9" t="str">
            <v xml:space="preserve">  수수료수입-KT(RDS)</v>
          </cell>
          <cell r="B9">
            <v>318181818</v>
          </cell>
          <cell r="C9">
            <v>0</v>
          </cell>
          <cell r="E9">
            <v>0</v>
          </cell>
          <cell r="F9">
            <v>0</v>
          </cell>
          <cell r="G9">
            <v>318181818</v>
          </cell>
          <cell r="H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 t="b">
            <v>1</v>
          </cell>
          <cell r="Q9">
            <v>0</v>
          </cell>
          <cell r="R9">
            <v>0</v>
          </cell>
          <cell r="S9">
            <v>318181818</v>
          </cell>
        </row>
        <row r="10">
          <cell r="A10" t="str">
            <v xml:space="preserve">  수수료수입-용역</v>
          </cell>
          <cell r="B10">
            <v>799664966</v>
          </cell>
          <cell r="C10">
            <v>0</v>
          </cell>
          <cell r="E10">
            <v>357710000</v>
          </cell>
          <cell r="F10">
            <v>441954966</v>
          </cell>
          <cell r="G10">
            <v>0</v>
          </cell>
          <cell r="H10">
            <v>799664966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 t="b">
            <v>1</v>
          </cell>
          <cell r="Q10">
            <v>357710000</v>
          </cell>
          <cell r="R10">
            <v>441954966</v>
          </cell>
          <cell r="S10">
            <v>0</v>
          </cell>
        </row>
        <row r="11">
          <cell r="A11" t="str">
            <v>매   출  원   가</v>
          </cell>
          <cell r="B11">
            <v>369196965</v>
          </cell>
          <cell r="C11">
            <v>8740000</v>
          </cell>
          <cell r="E11">
            <v>0</v>
          </cell>
          <cell r="F11">
            <v>0</v>
          </cell>
          <cell r="G11">
            <v>360456965</v>
          </cell>
          <cell r="H11">
            <v>0</v>
          </cell>
          <cell r="K11">
            <v>1456666.6666666667</v>
          </cell>
          <cell r="L11">
            <v>728333.33333333337</v>
          </cell>
          <cell r="M11">
            <v>728333.33333333337</v>
          </cell>
          <cell r="N11">
            <v>7283333.333333334</v>
          </cell>
          <cell r="O11" t="b">
            <v>1</v>
          </cell>
          <cell r="Q11">
            <v>728333.33333333337</v>
          </cell>
          <cell r="R11">
            <v>728333.33333333337</v>
          </cell>
          <cell r="S11">
            <v>367740298.33333331</v>
          </cell>
        </row>
        <row r="12">
          <cell r="A12" t="str">
            <v xml:space="preserve"> 상 품 매 출  원 가</v>
          </cell>
          <cell r="B12">
            <v>369196965</v>
          </cell>
          <cell r="C12">
            <v>8740000</v>
          </cell>
          <cell r="E12">
            <v>0</v>
          </cell>
          <cell r="F12">
            <v>0</v>
          </cell>
          <cell r="G12">
            <v>360456965</v>
          </cell>
          <cell r="H12">
            <v>0</v>
          </cell>
          <cell r="K12">
            <v>1456666.6666666667</v>
          </cell>
          <cell r="L12">
            <v>728333.33333333337</v>
          </cell>
          <cell r="M12">
            <v>728333.33333333337</v>
          </cell>
          <cell r="N12">
            <v>7283333.333333334</v>
          </cell>
          <cell r="O12" t="b">
            <v>1</v>
          </cell>
          <cell r="Q12">
            <v>728333.33333333337</v>
          </cell>
          <cell r="R12">
            <v>728333.33333333337</v>
          </cell>
          <cell r="S12">
            <v>367740298.33333331</v>
          </cell>
        </row>
        <row r="13">
          <cell r="A13" t="str">
            <v>매  출 총 이  익</v>
          </cell>
          <cell r="B13">
            <v>1236317416</v>
          </cell>
          <cell r="C13">
            <v>-8740000</v>
          </cell>
          <cell r="E13">
            <v>357710000</v>
          </cell>
          <cell r="F13">
            <v>441954966</v>
          </cell>
          <cell r="G13">
            <v>445392450</v>
          </cell>
          <cell r="H13">
            <v>799664966</v>
          </cell>
          <cell r="K13">
            <v>-1456666.6666666667</v>
          </cell>
          <cell r="L13">
            <v>-728333.33333333337</v>
          </cell>
          <cell r="M13">
            <v>-728333.33333333337</v>
          </cell>
          <cell r="N13">
            <v>-7283333.333333334</v>
          </cell>
          <cell r="O13" t="b">
            <v>1</v>
          </cell>
          <cell r="Q13">
            <v>356981666.66666669</v>
          </cell>
          <cell r="R13">
            <v>441226632.66666669</v>
          </cell>
          <cell r="S13">
            <v>438109116.66666669</v>
          </cell>
        </row>
        <row r="14">
          <cell r="A14" t="str">
            <v>판매비와일반관리비</v>
          </cell>
          <cell r="B14">
            <v>1268003451</v>
          </cell>
          <cell r="C14">
            <v>642252078</v>
          </cell>
          <cell r="E14">
            <v>257979631</v>
          </cell>
          <cell r="F14">
            <v>118162877</v>
          </cell>
          <cell r="G14">
            <v>249608865</v>
          </cell>
          <cell r="H14">
            <v>376142508</v>
          </cell>
          <cell r="K14">
            <v>107042013</v>
          </cell>
          <cell r="L14">
            <v>53521006.5</v>
          </cell>
          <cell r="M14">
            <v>53521006.5</v>
          </cell>
          <cell r="N14">
            <v>535210065</v>
          </cell>
          <cell r="O14" t="b">
            <v>1</v>
          </cell>
          <cell r="Q14">
            <v>311500637.5</v>
          </cell>
          <cell r="R14">
            <v>171683883.5</v>
          </cell>
          <cell r="S14">
            <v>784818930</v>
          </cell>
        </row>
        <row r="15">
          <cell r="A15" t="str">
            <v xml:space="preserve"> 직   원    급   여</v>
          </cell>
          <cell r="B15">
            <v>416958560</v>
          </cell>
          <cell r="C15">
            <v>300169290</v>
          </cell>
          <cell r="E15">
            <v>0</v>
          </cell>
          <cell r="F15">
            <v>0</v>
          </cell>
          <cell r="G15">
            <v>116789270</v>
          </cell>
          <cell r="H15">
            <v>0</v>
          </cell>
          <cell r="K15">
            <v>50028215</v>
          </cell>
          <cell r="L15">
            <v>25014107.5</v>
          </cell>
          <cell r="M15">
            <v>25014107.5</v>
          </cell>
          <cell r="N15">
            <v>250141075</v>
          </cell>
          <cell r="O15" t="b">
            <v>1</v>
          </cell>
          <cell r="Q15">
            <v>25014107.5</v>
          </cell>
          <cell r="R15">
            <v>25014107.5</v>
          </cell>
          <cell r="S15">
            <v>366930345</v>
          </cell>
        </row>
        <row r="16">
          <cell r="A16" t="str">
            <v xml:space="preserve">  급료와임금</v>
          </cell>
          <cell r="B16">
            <v>167561150</v>
          </cell>
          <cell r="C16">
            <v>167561150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K16">
            <v>27926858.333333332</v>
          </cell>
          <cell r="L16">
            <v>13963429.166666666</v>
          </cell>
          <cell r="M16">
            <v>13963429.166666666</v>
          </cell>
          <cell r="N16">
            <v>139634291.66666666</v>
          </cell>
          <cell r="O16" t="b">
            <v>1</v>
          </cell>
          <cell r="Q16">
            <v>13963429.166666666</v>
          </cell>
          <cell r="R16">
            <v>13963429.166666666</v>
          </cell>
          <cell r="S16">
            <v>139634291.66666666</v>
          </cell>
        </row>
        <row r="17">
          <cell r="A17" t="str">
            <v xml:space="preserve">  초과근무수당</v>
          </cell>
          <cell r="B17">
            <v>29964470</v>
          </cell>
          <cell r="C17">
            <v>29964470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K17">
            <v>4994078.333333333</v>
          </cell>
          <cell r="L17">
            <v>2497039.1666666665</v>
          </cell>
          <cell r="M17">
            <v>2497039.1666666665</v>
          </cell>
          <cell r="N17">
            <v>24970391.666666664</v>
          </cell>
          <cell r="O17" t="b">
            <v>1</v>
          </cell>
          <cell r="Q17">
            <v>2497039.1666666665</v>
          </cell>
          <cell r="R17">
            <v>2497039.1666666665</v>
          </cell>
          <cell r="S17">
            <v>24970391.666666664</v>
          </cell>
        </row>
        <row r="18">
          <cell r="A18" t="str">
            <v xml:space="preserve">  직책수당</v>
          </cell>
          <cell r="B18">
            <v>3600000</v>
          </cell>
          <cell r="C18">
            <v>3600000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K18">
            <v>600000</v>
          </cell>
          <cell r="L18">
            <v>300000</v>
          </cell>
          <cell r="M18">
            <v>300000</v>
          </cell>
          <cell r="N18">
            <v>3000000</v>
          </cell>
          <cell r="O18" t="b">
            <v>1</v>
          </cell>
          <cell r="Q18">
            <v>300000</v>
          </cell>
          <cell r="R18">
            <v>300000</v>
          </cell>
          <cell r="S18">
            <v>3000000</v>
          </cell>
        </row>
        <row r="19">
          <cell r="A19" t="str">
            <v xml:space="preserve">  휴일근무수당</v>
          </cell>
          <cell r="B19">
            <v>1310690</v>
          </cell>
          <cell r="C19">
            <v>1310690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K19">
            <v>218448.33333333334</v>
          </cell>
          <cell r="L19">
            <v>109224.16666666667</v>
          </cell>
          <cell r="M19">
            <v>109224.16666666667</v>
          </cell>
          <cell r="N19">
            <v>1092241.6666666667</v>
          </cell>
          <cell r="O19" t="b">
            <v>1</v>
          </cell>
          <cell r="Q19">
            <v>109224.16666666667</v>
          </cell>
          <cell r="R19">
            <v>109224.16666666667</v>
          </cell>
          <cell r="S19">
            <v>1092241.6666666667</v>
          </cell>
        </row>
        <row r="20">
          <cell r="A20" t="str">
            <v xml:space="preserve">  제수당기타</v>
          </cell>
          <cell r="B20">
            <v>7102510</v>
          </cell>
          <cell r="C20">
            <v>7102510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K20">
            <v>1183751.6666666667</v>
          </cell>
          <cell r="L20">
            <v>591875.83333333337</v>
          </cell>
          <cell r="M20">
            <v>591875.83333333337</v>
          </cell>
          <cell r="N20">
            <v>5918758.333333334</v>
          </cell>
          <cell r="O20" t="b">
            <v>1</v>
          </cell>
          <cell r="Q20">
            <v>591875.83333333337</v>
          </cell>
          <cell r="R20">
            <v>591875.83333333337</v>
          </cell>
          <cell r="S20">
            <v>5918758.333333334</v>
          </cell>
        </row>
        <row r="21">
          <cell r="A21" t="str">
            <v xml:space="preserve">  복리급식보조비</v>
          </cell>
          <cell r="B21">
            <v>4650000</v>
          </cell>
          <cell r="C21">
            <v>4650000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K21">
            <v>775000</v>
          </cell>
          <cell r="L21">
            <v>387500</v>
          </cell>
          <cell r="M21">
            <v>387500</v>
          </cell>
          <cell r="N21">
            <v>3875000</v>
          </cell>
          <cell r="O21" t="b">
            <v>1</v>
          </cell>
          <cell r="Q21">
            <v>387500</v>
          </cell>
          <cell r="R21">
            <v>387500</v>
          </cell>
          <cell r="S21">
            <v>3875000</v>
          </cell>
        </row>
        <row r="22">
          <cell r="A22" t="str">
            <v xml:space="preserve">  급료와임금-영업직</v>
          </cell>
          <cell r="B22">
            <v>150329560</v>
          </cell>
          <cell r="C22">
            <v>59979130</v>
          </cell>
          <cell r="E22">
            <v>0</v>
          </cell>
          <cell r="F22">
            <v>0</v>
          </cell>
          <cell r="G22">
            <v>90350430</v>
          </cell>
          <cell r="H22">
            <v>0</v>
          </cell>
          <cell r="K22">
            <v>9996521.666666666</v>
          </cell>
          <cell r="L22">
            <v>4998260.833333333</v>
          </cell>
          <cell r="M22">
            <v>4998260.833333333</v>
          </cell>
          <cell r="N22">
            <v>49982608.333333328</v>
          </cell>
          <cell r="O22" t="b">
            <v>1</v>
          </cell>
          <cell r="Q22">
            <v>4998260.833333333</v>
          </cell>
          <cell r="R22">
            <v>4998260.833333333</v>
          </cell>
          <cell r="S22">
            <v>140333038.33333331</v>
          </cell>
        </row>
        <row r="23">
          <cell r="A23" t="str">
            <v xml:space="preserve">  초과근무수당-영업직</v>
          </cell>
          <cell r="B23">
            <v>25359610</v>
          </cell>
          <cell r="C23">
            <v>10047270</v>
          </cell>
          <cell r="E23">
            <v>0</v>
          </cell>
          <cell r="F23">
            <v>0</v>
          </cell>
          <cell r="G23">
            <v>15312340</v>
          </cell>
          <cell r="H23">
            <v>0</v>
          </cell>
          <cell r="K23">
            <v>1674545</v>
          </cell>
          <cell r="L23">
            <v>837272.5</v>
          </cell>
          <cell r="M23">
            <v>837272.5</v>
          </cell>
          <cell r="N23">
            <v>8372725</v>
          </cell>
          <cell r="O23" t="b">
            <v>1</v>
          </cell>
          <cell r="Q23">
            <v>837272.5</v>
          </cell>
          <cell r="R23">
            <v>837272.5</v>
          </cell>
          <cell r="S23">
            <v>23685065</v>
          </cell>
        </row>
        <row r="24">
          <cell r="A24" t="str">
            <v xml:space="preserve">  직책수당-영업직</v>
          </cell>
          <cell r="B24">
            <v>150000</v>
          </cell>
          <cell r="C24">
            <v>0</v>
          </cell>
          <cell r="E24">
            <v>0</v>
          </cell>
          <cell r="F24">
            <v>0</v>
          </cell>
          <cell r="G24">
            <v>150000</v>
          </cell>
          <cell r="H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 t="b">
            <v>1</v>
          </cell>
          <cell r="Q24">
            <v>0</v>
          </cell>
          <cell r="R24">
            <v>0</v>
          </cell>
          <cell r="S24">
            <v>150000</v>
          </cell>
        </row>
        <row r="25">
          <cell r="A25" t="str">
            <v xml:space="preserve">  복리급식보조비-영업직</v>
          </cell>
          <cell r="B25">
            <v>10196500</v>
          </cell>
          <cell r="C25">
            <v>3720000</v>
          </cell>
          <cell r="E25">
            <v>0</v>
          </cell>
          <cell r="F25">
            <v>0</v>
          </cell>
          <cell r="G25">
            <v>6476500</v>
          </cell>
          <cell r="H25">
            <v>0</v>
          </cell>
          <cell r="K25">
            <v>620000</v>
          </cell>
          <cell r="L25">
            <v>310000</v>
          </cell>
          <cell r="M25">
            <v>310000</v>
          </cell>
          <cell r="N25">
            <v>3100000</v>
          </cell>
          <cell r="O25" t="b">
            <v>1</v>
          </cell>
          <cell r="Q25">
            <v>310000</v>
          </cell>
          <cell r="R25">
            <v>310000</v>
          </cell>
          <cell r="S25">
            <v>9576500</v>
          </cell>
        </row>
        <row r="26">
          <cell r="A26" t="str">
            <v xml:space="preserve">  휴일근무수당-영업직</v>
          </cell>
          <cell r="B26">
            <v>234070</v>
          </cell>
          <cell r="C26">
            <v>234070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K26">
            <v>39011.666666666664</v>
          </cell>
          <cell r="L26">
            <v>19505.833333333332</v>
          </cell>
          <cell r="M26">
            <v>19505.833333333332</v>
          </cell>
          <cell r="N26">
            <v>195058.33333333331</v>
          </cell>
          <cell r="O26" t="b">
            <v>1</v>
          </cell>
          <cell r="Q26">
            <v>19505.833333333332</v>
          </cell>
          <cell r="R26">
            <v>19505.833333333332</v>
          </cell>
          <cell r="S26">
            <v>195058.33333333331</v>
          </cell>
        </row>
        <row r="27">
          <cell r="A27" t="str">
            <v xml:space="preserve">  제수당기타-영업직</v>
          </cell>
          <cell r="B27">
            <v>6000000</v>
          </cell>
          <cell r="C27">
            <v>6000000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K27">
            <v>1000000</v>
          </cell>
          <cell r="L27">
            <v>500000</v>
          </cell>
          <cell r="M27">
            <v>500000</v>
          </cell>
          <cell r="N27">
            <v>5000000</v>
          </cell>
          <cell r="O27" t="b">
            <v>1</v>
          </cell>
          <cell r="Q27">
            <v>500000</v>
          </cell>
          <cell r="R27">
            <v>500000</v>
          </cell>
          <cell r="S27">
            <v>5000000</v>
          </cell>
        </row>
        <row r="28">
          <cell r="A28" t="str">
            <v xml:space="preserve">  특별격려금</v>
          </cell>
          <cell r="B28">
            <v>10500000</v>
          </cell>
          <cell r="C28">
            <v>6000000</v>
          </cell>
          <cell r="E28">
            <v>0</v>
          </cell>
          <cell r="F28">
            <v>0</v>
          </cell>
          <cell r="G28">
            <v>4500000</v>
          </cell>
          <cell r="H28">
            <v>0</v>
          </cell>
          <cell r="K28">
            <v>1000000</v>
          </cell>
          <cell r="L28">
            <v>500000</v>
          </cell>
          <cell r="M28">
            <v>500000</v>
          </cell>
          <cell r="N28">
            <v>5000000</v>
          </cell>
          <cell r="O28" t="b">
            <v>1</v>
          </cell>
          <cell r="Q28">
            <v>500000</v>
          </cell>
          <cell r="R28">
            <v>500000</v>
          </cell>
          <cell r="S28">
            <v>9500000</v>
          </cell>
        </row>
        <row r="29">
          <cell r="A29" t="str">
            <v xml:space="preserve"> 상      여      금</v>
          </cell>
          <cell r="B29">
            <v>68037780</v>
          </cell>
          <cell r="C29">
            <v>64794000</v>
          </cell>
          <cell r="E29">
            <v>0</v>
          </cell>
          <cell r="F29">
            <v>0</v>
          </cell>
          <cell r="G29">
            <v>3243780</v>
          </cell>
          <cell r="H29">
            <v>0</v>
          </cell>
          <cell r="K29">
            <v>10799000</v>
          </cell>
          <cell r="L29">
            <v>5399500</v>
          </cell>
          <cell r="M29">
            <v>5399500</v>
          </cell>
          <cell r="N29">
            <v>53995000</v>
          </cell>
          <cell r="O29" t="b">
            <v>1</v>
          </cell>
          <cell r="Q29">
            <v>5399500</v>
          </cell>
          <cell r="R29">
            <v>5399500</v>
          </cell>
          <cell r="S29">
            <v>57238780</v>
          </cell>
        </row>
        <row r="30">
          <cell r="A30" t="str">
            <v xml:space="preserve">  정기상여수당</v>
          </cell>
          <cell r="B30">
            <v>23580630</v>
          </cell>
          <cell r="C30">
            <v>23580630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K30">
            <v>3930105</v>
          </cell>
          <cell r="L30">
            <v>1965052.5</v>
          </cell>
          <cell r="M30">
            <v>1965052.5</v>
          </cell>
          <cell r="N30">
            <v>19650525</v>
          </cell>
          <cell r="O30" t="b">
            <v>1</v>
          </cell>
          <cell r="Q30">
            <v>1965052.5</v>
          </cell>
          <cell r="R30">
            <v>1965052.5</v>
          </cell>
          <cell r="S30">
            <v>19650525</v>
          </cell>
        </row>
        <row r="31">
          <cell r="A31" t="str">
            <v xml:space="preserve">  특별상여수당</v>
          </cell>
          <cell r="B31">
            <v>34810100</v>
          </cell>
          <cell r="C31">
            <v>34810100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K31">
            <v>5801683.333333333</v>
          </cell>
          <cell r="L31">
            <v>2900841.6666666665</v>
          </cell>
          <cell r="M31">
            <v>2900841.6666666665</v>
          </cell>
          <cell r="N31">
            <v>29008416.666666664</v>
          </cell>
          <cell r="O31" t="b">
            <v>1</v>
          </cell>
          <cell r="Q31">
            <v>2900841.6666666665</v>
          </cell>
          <cell r="R31">
            <v>2900841.6666666665</v>
          </cell>
          <cell r="S31">
            <v>29008416.666666664</v>
          </cell>
        </row>
        <row r="32">
          <cell r="A32" t="str">
            <v xml:space="preserve">  정기상여수당-영업직</v>
          </cell>
          <cell r="B32">
            <v>9647050</v>
          </cell>
          <cell r="C32">
            <v>6403270</v>
          </cell>
          <cell r="E32">
            <v>0</v>
          </cell>
          <cell r="F32">
            <v>0</v>
          </cell>
          <cell r="G32">
            <v>3243780</v>
          </cell>
          <cell r="H32">
            <v>0</v>
          </cell>
          <cell r="K32">
            <v>1067211.6666666667</v>
          </cell>
          <cell r="L32">
            <v>533605.83333333337</v>
          </cell>
          <cell r="M32">
            <v>533605.83333333337</v>
          </cell>
          <cell r="N32">
            <v>5336058.333333334</v>
          </cell>
          <cell r="O32" t="b">
            <v>1</v>
          </cell>
          <cell r="Q32">
            <v>533605.83333333337</v>
          </cell>
          <cell r="R32">
            <v>533605.83333333337</v>
          </cell>
          <cell r="S32">
            <v>8579838.333333334</v>
          </cell>
        </row>
        <row r="33">
          <cell r="A33" t="str">
            <v xml:space="preserve"> 잡              급</v>
          </cell>
          <cell r="B33">
            <v>770000</v>
          </cell>
          <cell r="C33">
            <v>0</v>
          </cell>
          <cell r="E33">
            <v>0</v>
          </cell>
          <cell r="F33">
            <v>0</v>
          </cell>
          <cell r="G33">
            <v>770000</v>
          </cell>
          <cell r="H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 t="b">
            <v>1</v>
          </cell>
          <cell r="Q33">
            <v>0</v>
          </cell>
          <cell r="R33">
            <v>0</v>
          </cell>
          <cell r="S33">
            <v>770000</v>
          </cell>
        </row>
        <row r="34">
          <cell r="A34" t="str">
            <v xml:space="preserve"> 퇴직급여충당금전입</v>
          </cell>
          <cell r="B34">
            <v>39691927</v>
          </cell>
          <cell r="C34">
            <v>30636877</v>
          </cell>
          <cell r="E34">
            <v>0</v>
          </cell>
          <cell r="F34">
            <v>0</v>
          </cell>
          <cell r="G34">
            <v>9055050</v>
          </cell>
          <cell r="H34">
            <v>0</v>
          </cell>
          <cell r="K34">
            <v>5106146.166666667</v>
          </cell>
          <cell r="L34">
            <v>2553073.0833333335</v>
          </cell>
          <cell r="M34">
            <v>2553073.0833333335</v>
          </cell>
          <cell r="N34">
            <v>25530730.833333336</v>
          </cell>
          <cell r="O34" t="b">
            <v>1</v>
          </cell>
          <cell r="Q34">
            <v>2553073.0833333335</v>
          </cell>
          <cell r="R34">
            <v>2553073.0833333335</v>
          </cell>
          <cell r="S34">
            <v>34585780.833333336</v>
          </cell>
        </row>
        <row r="35">
          <cell r="A35" t="str">
            <v xml:space="preserve">  퇴직급여충당금전입_부서별</v>
          </cell>
          <cell r="B35">
            <v>39691927</v>
          </cell>
          <cell r="C35">
            <v>30636877</v>
          </cell>
          <cell r="E35">
            <v>0</v>
          </cell>
          <cell r="F35">
            <v>0</v>
          </cell>
          <cell r="G35">
            <v>9055050</v>
          </cell>
          <cell r="H35">
            <v>0</v>
          </cell>
          <cell r="K35">
            <v>5106146.166666667</v>
          </cell>
          <cell r="L35">
            <v>2553073.0833333335</v>
          </cell>
          <cell r="M35">
            <v>2553073.0833333335</v>
          </cell>
          <cell r="N35">
            <v>25530730.833333336</v>
          </cell>
          <cell r="O35" t="b">
            <v>1</v>
          </cell>
          <cell r="Q35">
            <v>2553073.0833333335</v>
          </cell>
          <cell r="R35">
            <v>2553073.0833333335</v>
          </cell>
          <cell r="S35">
            <v>34585780.833333336</v>
          </cell>
        </row>
        <row r="36">
          <cell r="A36" t="str">
            <v xml:space="preserve"> 포상비</v>
          </cell>
          <cell r="B36">
            <v>1000000</v>
          </cell>
          <cell r="C36">
            <v>1000000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K36">
            <v>166666.66666666666</v>
          </cell>
          <cell r="L36">
            <v>83333.333333333328</v>
          </cell>
          <cell r="M36">
            <v>83333.333333333328</v>
          </cell>
          <cell r="N36">
            <v>833333.33333333326</v>
          </cell>
          <cell r="O36" t="b">
            <v>1</v>
          </cell>
          <cell r="Q36">
            <v>83333.333333333328</v>
          </cell>
          <cell r="R36">
            <v>83333.333333333328</v>
          </cell>
          <cell r="S36">
            <v>833333.33333333326</v>
          </cell>
        </row>
        <row r="37">
          <cell r="A37" t="str">
            <v xml:space="preserve">  포상비</v>
          </cell>
          <cell r="B37">
            <v>1000000</v>
          </cell>
          <cell r="C37">
            <v>1000000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K37">
            <v>166666.66666666666</v>
          </cell>
          <cell r="L37">
            <v>83333.333333333328</v>
          </cell>
          <cell r="M37">
            <v>83333.333333333328</v>
          </cell>
          <cell r="N37">
            <v>833333.33333333326</v>
          </cell>
          <cell r="O37" t="b">
            <v>1</v>
          </cell>
          <cell r="Q37">
            <v>83333.333333333328</v>
          </cell>
          <cell r="R37">
            <v>83333.333333333328</v>
          </cell>
          <cell r="S37">
            <v>833333.33333333326</v>
          </cell>
        </row>
        <row r="38">
          <cell r="A38" t="str">
            <v xml:space="preserve"> 복  리  후  생  비</v>
          </cell>
          <cell r="B38">
            <v>79820285</v>
          </cell>
          <cell r="C38">
            <v>51005328</v>
          </cell>
          <cell r="E38">
            <v>0</v>
          </cell>
          <cell r="F38">
            <v>0</v>
          </cell>
          <cell r="G38">
            <v>28814957</v>
          </cell>
          <cell r="H38">
            <v>0</v>
          </cell>
          <cell r="K38">
            <v>8500888</v>
          </cell>
          <cell r="L38">
            <v>4250444</v>
          </cell>
          <cell r="M38">
            <v>4250444</v>
          </cell>
          <cell r="N38">
            <v>42504440</v>
          </cell>
          <cell r="O38" t="b">
            <v>1</v>
          </cell>
          <cell r="Q38">
            <v>4250444</v>
          </cell>
          <cell r="R38">
            <v>4250444</v>
          </cell>
          <cell r="S38">
            <v>71319397</v>
          </cell>
        </row>
        <row r="39">
          <cell r="A39" t="str">
            <v xml:space="preserve">  복리산재보험료</v>
          </cell>
          <cell r="B39">
            <v>3750001</v>
          </cell>
          <cell r="C39">
            <v>2771763</v>
          </cell>
          <cell r="E39">
            <v>0</v>
          </cell>
          <cell r="F39">
            <v>0</v>
          </cell>
          <cell r="G39">
            <v>978238</v>
          </cell>
          <cell r="H39">
            <v>0</v>
          </cell>
          <cell r="K39">
            <v>461960.5</v>
          </cell>
          <cell r="L39">
            <v>230980.25</v>
          </cell>
          <cell r="M39">
            <v>230980.25</v>
          </cell>
          <cell r="N39">
            <v>2309802.5</v>
          </cell>
          <cell r="O39" t="b">
            <v>1</v>
          </cell>
          <cell r="Q39">
            <v>230980.25</v>
          </cell>
          <cell r="R39">
            <v>230980.25</v>
          </cell>
          <cell r="S39">
            <v>3288040.5</v>
          </cell>
        </row>
        <row r="40">
          <cell r="A40" t="str">
            <v xml:space="preserve">  복리건강보험료</v>
          </cell>
          <cell r="B40">
            <v>19076880</v>
          </cell>
          <cell r="C40">
            <v>14742750</v>
          </cell>
          <cell r="E40">
            <v>0</v>
          </cell>
          <cell r="F40">
            <v>0</v>
          </cell>
          <cell r="G40">
            <v>4334130</v>
          </cell>
          <cell r="H40">
            <v>0</v>
          </cell>
          <cell r="K40">
            <v>2457125</v>
          </cell>
          <cell r="L40">
            <v>1228562.5</v>
          </cell>
          <cell r="M40">
            <v>1228562.5</v>
          </cell>
          <cell r="N40">
            <v>12285625</v>
          </cell>
          <cell r="O40" t="b">
            <v>1</v>
          </cell>
          <cell r="Q40">
            <v>1228562.5</v>
          </cell>
          <cell r="R40">
            <v>1228562.5</v>
          </cell>
          <cell r="S40">
            <v>16619755</v>
          </cell>
        </row>
        <row r="41">
          <cell r="A41" t="str">
            <v xml:space="preserve">  복리국민연금</v>
          </cell>
          <cell r="B41">
            <v>16516870</v>
          </cell>
          <cell r="C41">
            <v>11581920</v>
          </cell>
          <cell r="E41">
            <v>0</v>
          </cell>
          <cell r="F41">
            <v>0</v>
          </cell>
          <cell r="G41">
            <v>4934950</v>
          </cell>
          <cell r="H41">
            <v>0</v>
          </cell>
          <cell r="K41">
            <v>1930320</v>
          </cell>
          <cell r="L41">
            <v>965160</v>
          </cell>
          <cell r="M41">
            <v>965160</v>
          </cell>
          <cell r="N41">
            <v>9651600</v>
          </cell>
          <cell r="O41" t="b">
            <v>1</v>
          </cell>
          <cell r="Q41">
            <v>965160</v>
          </cell>
          <cell r="R41">
            <v>965160</v>
          </cell>
          <cell r="S41">
            <v>14586550</v>
          </cell>
        </row>
        <row r="42">
          <cell r="A42" t="str">
            <v xml:space="preserve">  복리고용보험료</v>
          </cell>
          <cell r="B42">
            <v>8319713</v>
          </cell>
          <cell r="C42">
            <v>6113595</v>
          </cell>
          <cell r="E42">
            <v>0</v>
          </cell>
          <cell r="F42">
            <v>0</v>
          </cell>
          <cell r="G42">
            <v>2206118</v>
          </cell>
          <cell r="H42">
            <v>0</v>
          </cell>
          <cell r="K42">
            <v>1018932.5</v>
          </cell>
          <cell r="L42">
            <v>509466.25</v>
          </cell>
          <cell r="M42">
            <v>509466.25</v>
          </cell>
          <cell r="N42">
            <v>5094662.5</v>
          </cell>
          <cell r="O42" t="b">
            <v>1</v>
          </cell>
          <cell r="Q42">
            <v>509466.25</v>
          </cell>
          <cell r="R42">
            <v>509466.25</v>
          </cell>
          <cell r="S42">
            <v>7300780.5</v>
          </cell>
        </row>
        <row r="43">
          <cell r="A43" t="str">
            <v xml:space="preserve">  복리포인트(마케팅)</v>
          </cell>
          <cell r="B43">
            <v>12753000</v>
          </cell>
          <cell r="C43">
            <v>1150000</v>
          </cell>
          <cell r="E43">
            <v>0</v>
          </cell>
          <cell r="F43">
            <v>0</v>
          </cell>
          <cell r="G43">
            <v>11603000</v>
          </cell>
          <cell r="H43">
            <v>0</v>
          </cell>
          <cell r="K43">
            <v>191666.66666666666</v>
          </cell>
          <cell r="L43">
            <v>95833.333333333328</v>
          </cell>
          <cell r="M43">
            <v>95833.333333333328</v>
          </cell>
          <cell r="N43">
            <v>958333.33333333326</v>
          </cell>
          <cell r="O43" t="b">
            <v>1</v>
          </cell>
          <cell r="Q43">
            <v>95833.333333333328</v>
          </cell>
          <cell r="R43">
            <v>95833.333333333328</v>
          </cell>
          <cell r="S43">
            <v>12561333.333333334</v>
          </cell>
        </row>
        <row r="44">
          <cell r="A44" t="str">
            <v xml:space="preserve">  복리포인트(사업)</v>
          </cell>
          <cell r="B44">
            <v>4900000</v>
          </cell>
          <cell r="C44">
            <v>4900000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K44">
            <v>816666.66666666663</v>
          </cell>
          <cell r="L44">
            <v>408333.33333333331</v>
          </cell>
          <cell r="M44">
            <v>408333.33333333331</v>
          </cell>
          <cell r="N44">
            <v>4083333.333333333</v>
          </cell>
          <cell r="O44" t="b">
            <v>1</v>
          </cell>
          <cell r="Q44">
            <v>408333.33333333331</v>
          </cell>
          <cell r="R44">
            <v>408333.33333333331</v>
          </cell>
          <cell r="S44">
            <v>4083333.333333333</v>
          </cell>
        </row>
        <row r="45">
          <cell r="A45" t="str">
            <v xml:space="preserve">  복리기타-생수</v>
          </cell>
          <cell r="B45">
            <v>186551</v>
          </cell>
          <cell r="C45">
            <v>0</v>
          </cell>
          <cell r="E45">
            <v>0</v>
          </cell>
          <cell r="F45">
            <v>0</v>
          </cell>
          <cell r="G45">
            <v>186551</v>
          </cell>
          <cell r="H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 t="b">
            <v>1</v>
          </cell>
          <cell r="Q45">
            <v>0</v>
          </cell>
          <cell r="R45">
            <v>0</v>
          </cell>
          <cell r="S45">
            <v>186551</v>
          </cell>
        </row>
        <row r="46">
          <cell r="A46" t="str">
            <v xml:space="preserve">  복리의료비(일반)</v>
          </cell>
          <cell r="B46">
            <v>3634070</v>
          </cell>
          <cell r="C46">
            <v>3332100</v>
          </cell>
          <cell r="E46">
            <v>0</v>
          </cell>
          <cell r="F46">
            <v>0</v>
          </cell>
          <cell r="G46">
            <v>301970</v>
          </cell>
          <cell r="H46">
            <v>0</v>
          </cell>
          <cell r="K46">
            <v>555350</v>
          </cell>
          <cell r="L46">
            <v>277675</v>
          </cell>
          <cell r="M46">
            <v>277675</v>
          </cell>
          <cell r="N46">
            <v>2776750</v>
          </cell>
          <cell r="O46" t="b">
            <v>1</v>
          </cell>
          <cell r="Q46">
            <v>277675</v>
          </cell>
          <cell r="R46">
            <v>277675</v>
          </cell>
          <cell r="S46">
            <v>3078720</v>
          </cell>
        </row>
        <row r="47">
          <cell r="A47" t="str">
            <v xml:space="preserve">  복리의료비(치과)</v>
          </cell>
          <cell r="B47">
            <v>49200</v>
          </cell>
          <cell r="C47">
            <v>49200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K47">
            <v>8200</v>
          </cell>
          <cell r="L47">
            <v>4100</v>
          </cell>
          <cell r="M47">
            <v>4100</v>
          </cell>
          <cell r="N47">
            <v>41000</v>
          </cell>
          <cell r="O47" t="b">
            <v>1</v>
          </cell>
          <cell r="Q47">
            <v>4100</v>
          </cell>
          <cell r="R47">
            <v>4100</v>
          </cell>
          <cell r="S47">
            <v>41000</v>
          </cell>
        </row>
        <row r="48">
          <cell r="A48" t="str">
            <v xml:space="preserve">  복리경조비_일반직</v>
          </cell>
          <cell r="B48">
            <v>100000</v>
          </cell>
          <cell r="C48">
            <v>100000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K48">
            <v>16666.666666666668</v>
          </cell>
          <cell r="L48">
            <v>8333.3333333333339</v>
          </cell>
          <cell r="M48">
            <v>8333.3333333333339</v>
          </cell>
          <cell r="N48">
            <v>83333.333333333343</v>
          </cell>
          <cell r="O48" t="b">
            <v>1</v>
          </cell>
          <cell r="Q48">
            <v>8333.3333333333339</v>
          </cell>
          <cell r="R48">
            <v>8333.3333333333339</v>
          </cell>
          <cell r="S48">
            <v>83333.333333333343</v>
          </cell>
        </row>
        <row r="49">
          <cell r="A49" t="str">
            <v xml:space="preserve">  복리경조비_영업직</v>
          </cell>
          <cell r="B49">
            <v>200000</v>
          </cell>
          <cell r="C49">
            <v>100000</v>
          </cell>
          <cell r="E49">
            <v>0</v>
          </cell>
          <cell r="F49">
            <v>0</v>
          </cell>
          <cell r="G49">
            <v>100000</v>
          </cell>
          <cell r="H49">
            <v>0</v>
          </cell>
          <cell r="K49">
            <v>16666.666666666668</v>
          </cell>
          <cell r="L49">
            <v>8333.3333333333339</v>
          </cell>
          <cell r="M49">
            <v>8333.3333333333339</v>
          </cell>
          <cell r="N49">
            <v>83333.333333333343</v>
          </cell>
          <cell r="O49" t="b">
            <v>1</v>
          </cell>
          <cell r="Q49">
            <v>8333.3333333333339</v>
          </cell>
          <cell r="R49">
            <v>8333.3333333333339</v>
          </cell>
          <cell r="S49">
            <v>183333.33333333334</v>
          </cell>
        </row>
        <row r="50">
          <cell r="A50" t="str">
            <v xml:space="preserve">  복리자녀교육비_일반직</v>
          </cell>
          <cell r="B50">
            <v>150000</v>
          </cell>
          <cell r="C50">
            <v>150000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K50">
            <v>25000</v>
          </cell>
          <cell r="L50">
            <v>12500</v>
          </cell>
          <cell r="M50">
            <v>12500</v>
          </cell>
          <cell r="N50">
            <v>125000</v>
          </cell>
          <cell r="O50" t="b">
            <v>1</v>
          </cell>
          <cell r="Q50">
            <v>12500</v>
          </cell>
          <cell r="R50">
            <v>12500</v>
          </cell>
          <cell r="S50">
            <v>125000</v>
          </cell>
        </row>
        <row r="51">
          <cell r="A51" t="str">
            <v xml:space="preserve">  복리포인트</v>
          </cell>
          <cell r="B51">
            <v>9800000</v>
          </cell>
          <cell r="C51">
            <v>5650000</v>
          </cell>
          <cell r="E51">
            <v>0</v>
          </cell>
          <cell r="F51">
            <v>0</v>
          </cell>
          <cell r="G51">
            <v>4150000</v>
          </cell>
          <cell r="H51">
            <v>0</v>
          </cell>
          <cell r="K51">
            <v>941666.66666666663</v>
          </cell>
          <cell r="L51">
            <v>470833.33333333331</v>
          </cell>
          <cell r="M51">
            <v>470833.33333333331</v>
          </cell>
          <cell r="N51">
            <v>4708333.333333333</v>
          </cell>
          <cell r="O51" t="b">
            <v>1</v>
          </cell>
          <cell r="Q51">
            <v>470833.33333333331</v>
          </cell>
          <cell r="R51">
            <v>470833.33333333331</v>
          </cell>
          <cell r="S51">
            <v>8858333.3333333321</v>
          </cell>
        </row>
        <row r="52">
          <cell r="A52" t="str">
            <v xml:space="preserve">  복리놀이공원이용지원</v>
          </cell>
          <cell r="B52">
            <v>154000</v>
          </cell>
          <cell r="C52">
            <v>154000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K52">
            <v>25666.666666666668</v>
          </cell>
          <cell r="L52">
            <v>12833.333333333334</v>
          </cell>
          <cell r="M52">
            <v>12833.333333333334</v>
          </cell>
          <cell r="N52">
            <v>128333.33333333334</v>
          </cell>
          <cell r="O52" t="b">
            <v>1</v>
          </cell>
          <cell r="Q52">
            <v>12833.333333333334</v>
          </cell>
          <cell r="R52">
            <v>12833.333333333334</v>
          </cell>
          <cell r="S52">
            <v>128333.33333333334</v>
          </cell>
        </row>
        <row r="53">
          <cell r="A53" t="str">
            <v xml:space="preserve">  복리휴양시설이용지원</v>
          </cell>
          <cell r="B53">
            <v>210000</v>
          </cell>
          <cell r="C53">
            <v>210000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K53">
            <v>35000</v>
          </cell>
          <cell r="L53">
            <v>17500</v>
          </cell>
          <cell r="M53">
            <v>17500</v>
          </cell>
          <cell r="N53">
            <v>175000</v>
          </cell>
          <cell r="O53" t="b">
            <v>1</v>
          </cell>
          <cell r="Q53">
            <v>17500</v>
          </cell>
          <cell r="R53">
            <v>17500</v>
          </cell>
          <cell r="S53">
            <v>175000</v>
          </cell>
        </row>
        <row r="54">
          <cell r="A54" t="str">
            <v xml:space="preserve">  복리포인트(유선)</v>
          </cell>
          <cell r="B54">
            <v>20000</v>
          </cell>
          <cell r="C54">
            <v>0</v>
          </cell>
          <cell r="E54">
            <v>0</v>
          </cell>
          <cell r="F54">
            <v>0</v>
          </cell>
          <cell r="G54">
            <v>20000</v>
          </cell>
          <cell r="H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 t="b">
            <v>1</v>
          </cell>
          <cell r="Q54">
            <v>0</v>
          </cell>
          <cell r="R54">
            <v>0</v>
          </cell>
          <cell r="S54">
            <v>20000</v>
          </cell>
        </row>
        <row r="55">
          <cell r="A55" t="str">
            <v xml:space="preserve"> 여  비  교  통  비</v>
          </cell>
          <cell r="B55">
            <v>11218828</v>
          </cell>
          <cell r="C55">
            <v>11218828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K55">
            <v>1869804.6666666667</v>
          </cell>
          <cell r="L55">
            <v>934902.33333333337</v>
          </cell>
          <cell r="M55">
            <v>934902.33333333337</v>
          </cell>
          <cell r="N55">
            <v>9349023.333333334</v>
          </cell>
          <cell r="O55" t="b">
            <v>1</v>
          </cell>
          <cell r="Q55">
            <v>934902.33333333337</v>
          </cell>
          <cell r="R55">
            <v>934902.33333333337</v>
          </cell>
          <cell r="S55">
            <v>9349023.333333334</v>
          </cell>
        </row>
        <row r="56">
          <cell r="A56" t="str">
            <v xml:space="preserve">  국내출장비</v>
          </cell>
          <cell r="B56">
            <v>7328628</v>
          </cell>
          <cell r="C56">
            <v>7328628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K56">
            <v>1221438</v>
          </cell>
          <cell r="L56">
            <v>610719</v>
          </cell>
          <cell r="M56">
            <v>610719</v>
          </cell>
          <cell r="N56">
            <v>6107190</v>
          </cell>
          <cell r="O56" t="b">
            <v>1</v>
          </cell>
          <cell r="Q56">
            <v>610719</v>
          </cell>
          <cell r="R56">
            <v>610719</v>
          </cell>
          <cell r="S56">
            <v>6107190</v>
          </cell>
        </row>
        <row r="57">
          <cell r="A57" t="str">
            <v xml:space="preserve">  출장교통보조비</v>
          </cell>
          <cell r="B57">
            <v>3890200</v>
          </cell>
          <cell r="C57">
            <v>3890200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K57">
            <v>648366.66666666663</v>
          </cell>
          <cell r="L57">
            <v>324183.33333333331</v>
          </cell>
          <cell r="M57">
            <v>324183.33333333331</v>
          </cell>
          <cell r="N57">
            <v>3241833.333333333</v>
          </cell>
          <cell r="O57" t="b">
            <v>1</v>
          </cell>
          <cell r="Q57">
            <v>324183.33333333331</v>
          </cell>
          <cell r="R57">
            <v>324183.33333333331</v>
          </cell>
          <cell r="S57">
            <v>3241833.333333333</v>
          </cell>
        </row>
        <row r="58">
          <cell r="A58" t="str">
            <v xml:space="preserve"> 통      신      비</v>
          </cell>
          <cell r="B58">
            <v>4368782</v>
          </cell>
          <cell r="C58">
            <v>6600</v>
          </cell>
          <cell r="E58">
            <v>2548683</v>
          </cell>
          <cell r="F58">
            <v>1144178</v>
          </cell>
          <cell r="G58">
            <v>669321</v>
          </cell>
          <cell r="H58">
            <v>3692861</v>
          </cell>
          <cell r="K58">
            <v>1100</v>
          </cell>
          <cell r="L58">
            <v>550</v>
          </cell>
          <cell r="M58">
            <v>550</v>
          </cell>
          <cell r="N58">
            <v>5500</v>
          </cell>
          <cell r="O58" t="b">
            <v>1</v>
          </cell>
          <cell r="Q58">
            <v>2549233</v>
          </cell>
          <cell r="R58">
            <v>1144728</v>
          </cell>
          <cell r="S58">
            <v>674821</v>
          </cell>
        </row>
        <row r="59">
          <cell r="A59" t="str">
            <v xml:space="preserve">  통신-국내외전화료</v>
          </cell>
          <cell r="B59">
            <v>485041</v>
          </cell>
          <cell r="C59">
            <v>0</v>
          </cell>
          <cell r="E59">
            <v>0</v>
          </cell>
          <cell r="F59">
            <v>0</v>
          </cell>
          <cell r="G59">
            <v>485041</v>
          </cell>
          <cell r="H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 t="b">
            <v>1</v>
          </cell>
          <cell r="Q59">
            <v>0</v>
          </cell>
          <cell r="R59">
            <v>0</v>
          </cell>
          <cell r="S59">
            <v>485041</v>
          </cell>
        </row>
        <row r="60">
          <cell r="A60" t="str">
            <v xml:space="preserve">  통신-이동통신비</v>
          </cell>
          <cell r="B60">
            <v>3692861</v>
          </cell>
          <cell r="C60">
            <v>0</v>
          </cell>
          <cell r="E60">
            <v>2548683</v>
          </cell>
          <cell r="F60">
            <v>1144178</v>
          </cell>
          <cell r="G60">
            <v>0</v>
          </cell>
          <cell r="H60">
            <v>3692861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 t="b">
            <v>1</v>
          </cell>
          <cell r="Q60">
            <v>2548683</v>
          </cell>
          <cell r="R60">
            <v>1144178</v>
          </cell>
          <cell r="S60">
            <v>0</v>
          </cell>
        </row>
        <row r="61">
          <cell r="A61" t="str">
            <v xml:space="preserve">  통신-우편료(기본)</v>
          </cell>
          <cell r="B61">
            <v>190880</v>
          </cell>
          <cell r="C61">
            <v>6600</v>
          </cell>
          <cell r="E61">
            <v>0</v>
          </cell>
          <cell r="F61">
            <v>0</v>
          </cell>
          <cell r="G61">
            <v>184280</v>
          </cell>
          <cell r="H61">
            <v>0</v>
          </cell>
          <cell r="K61">
            <v>1100</v>
          </cell>
          <cell r="L61">
            <v>550</v>
          </cell>
          <cell r="M61">
            <v>550</v>
          </cell>
          <cell r="N61">
            <v>5500</v>
          </cell>
          <cell r="O61" t="b">
            <v>1</v>
          </cell>
          <cell r="Q61">
            <v>550</v>
          </cell>
          <cell r="R61">
            <v>550</v>
          </cell>
          <cell r="S61">
            <v>189780</v>
          </cell>
        </row>
        <row r="62">
          <cell r="A62" t="str">
            <v xml:space="preserve"> 수  도  광  열  비</v>
          </cell>
          <cell r="B62">
            <v>4129565</v>
          </cell>
          <cell r="C62">
            <v>0</v>
          </cell>
          <cell r="E62">
            <v>0</v>
          </cell>
          <cell r="F62">
            <v>0</v>
          </cell>
          <cell r="G62">
            <v>4129565</v>
          </cell>
          <cell r="H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 t="b">
            <v>1</v>
          </cell>
          <cell r="Q62">
            <v>0</v>
          </cell>
          <cell r="R62">
            <v>0</v>
          </cell>
          <cell r="S62">
            <v>4129565</v>
          </cell>
        </row>
        <row r="63">
          <cell r="A63" t="str">
            <v xml:space="preserve">  수도광열전기료</v>
          </cell>
          <cell r="B63">
            <v>4129565</v>
          </cell>
          <cell r="C63">
            <v>0</v>
          </cell>
          <cell r="E63">
            <v>0</v>
          </cell>
          <cell r="F63">
            <v>0</v>
          </cell>
          <cell r="G63">
            <v>4129565</v>
          </cell>
          <cell r="H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 t="b">
            <v>1</v>
          </cell>
          <cell r="Q63">
            <v>0</v>
          </cell>
          <cell r="R63">
            <v>0</v>
          </cell>
          <cell r="S63">
            <v>4129565</v>
          </cell>
        </row>
        <row r="64">
          <cell r="A64" t="str">
            <v xml:space="preserve"> 지  급  임  차  료</v>
          </cell>
          <cell r="B64">
            <v>117733053</v>
          </cell>
          <cell r="C64">
            <v>0</v>
          </cell>
          <cell r="E64">
            <v>18795740</v>
          </cell>
          <cell r="F64">
            <v>26627313</v>
          </cell>
          <cell r="G64">
            <v>72310000</v>
          </cell>
          <cell r="H64">
            <v>45423053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 t="b">
            <v>1</v>
          </cell>
          <cell r="Q64">
            <v>18795740</v>
          </cell>
          <cell r="R64">
            <v>26627313</v>
          </cell>
          <cell r="S64">
            <v>72310000</v>
          </cell>
        </row>
        <row r="65">
          <cell r="A65" t="str">
            <v xml:space="preserve">  임차료-건물</v>
          </cell>
          <cell r="B65">
            <v>105910000</v>
          </cell>
          <cell r="C65">
            <v>0</v>
          </cell>
          <cell r="E65">
            <v>14400000</v>
          </cell>
          <cell r="F65">
            <v>20400000</v>
          </cell>
          <cell r="G65">
            <v>71110000</v>
          </cell>
          <cell r="H65">
            <v>34800000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 t="b">
            <v>1</v>
          </cell>
          <cell r="Q65">
            <v>14400000</v>
          </cell>
          <cell r="R65">
            <v>20400000</v>
          </cell>
          <cell r="S65">
            <v>71110000</v>
          </cell>
        </row>
        <row r="66">
          <cell r="A66" t="str">
            <v xml:space="preserve">  임차료-관리비</v>
          </cell>
          <cell r="B66">
            <v>11823053</v>
          </cell>
          <cell r="C66">
            <v>0</v>
          </cell>
          <cell r="E66">
            <v>4395740</v>
          </cell>
          <cell r="F66">
            <v>6227313</v>
          </cell>
          <cell r="G66">
            <v>1200000</v>
          </cell>
          <cell r="H66">
            <v>10623053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 t="b">
            <v>1</v>
          </cell>
          <cell r="Q66">
            <v>4395740</v>
          </cell>
          <cell r="R66">
            <v>6227313</v>
          </cell>
          <cell r="S66">
            <v>1200000</v>
          </cell>
        </row>
        <row r="67">
          <cell r="A67" t="str">
            <v xml:space="preserve"> 보      험      료</v>
          </cell>
          <cell r="B67">
            <v>196193</v>
          </cell>
          <cell r="C67">
            <v>0</v>
          </cell>
          <cell r="E67">
            <v>0</v>
          </cell>
          <cell r="F67">
            <v>0</v>
          </cell>
          <cell r="G67">
            <v>196193</v>
          </cell>
          <cell r="H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 t="b">
            <v>1</v>
          </cell>
          <cell r="Q67">
            <v>0</v>
          </cell>
          <cell r="R67">
            <v>0</v>
          </cell>
          <cell r="S67">
            <v>196193</v>
          </cell>
        </row>
        <row r="68">
          <cell r="A68" t="str">
            <v xml:space="preserve">  보험화재보험료</v>
          </cell>
          <cell r="B68">
            <v>196193</v>
          </cell>
          <cell r="C68">
            <v>0</v>
          </cell>
          <cell r="E68">
            <v>0</v>
          </cell>
          <cell r="F68">
            <v>0</v>
          </cell>
          <cell r="G68">
            <v>196193</v>
          </cell>
          <cell r="H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 t="b">
            <v>1</v>
          </cell>
          <cell r="Q68">
            <v>0</v>
          </cell>
          <cell r="R68">
            <v>0</v>
          </cell>
          <cell r="S68">
            <v>196193</v>
          </cell>
        </row>
        <row r="69">
          <cell r="A69" t="str">
            <v xml:space="preserve"> 차  량  유  지  비</v>
          </cell>
          <cell r="B69">
            <v>661400</v>
          </cell>
          <cell r="C69">
            <v>85900</v>
          </cell>
          <cell r="E69">
            <v>0</v>
          </cell>
          <cell r="F69">
            <v>0</v>
          </cell>
          <cell r="G69">
            <v>575500</v>
          </cell>
          <cell r="H69">
            <v>0</v>
          </cell>
          <cell r="K69">
            <v>14316.666666666666</v>
          </cell>
          <cell r="L69">
            <v>7158.333333333333</v>
          </cell>
          <cell r="M69">
            <v>7158.333333333333</v>
          </cell>
          <cell r="N69">
            <v>71583.333333333328</v>
          </cell>
          <cell r="O69" t="b">
            <v>1</v>
          </cell>
          <cell r="Q69">
            <v>7158.333333333333</v>
          </cell>
          <cell r="R69">
            <v>7158.333333333333</v>
          </cell>
          <cell r="S69">
            <v>647083.33333333337</v>
          </cell>
        </row>
        <row r="70">
          <cell r="A70" t="str">
            <v xml:space="preserve">  차량유지비- 통행주차료</v>
          </cell>
          <cell r="B70">
            <v>661400</v>
          </cell>
          <cell r="C70">
            <v>85900</v>
          </cell>
          <cell r="E70">
            <v>0</v>
          </cell>
          <cell r="F70">
            <v>0</v>
          </cell>
          <cell r="G70">
            <v>575500</v>
          </cell>
          <cell r="H70">
            <v>0</v>
          </cell>
          <cell r="K70">
            <v>14316.666666666666</v>
          </cell>
          <cell r="L70">
            <v>7158.333333333333</v>
          </cell>
          <cell r="M70">
            <v>7158.333333333333</v>
          </cell>
          <cell r="N70">
            <v>71583.333333333328</v>
          </cell>
          <cell r="O70" t="b">
            <v>1</v>
          </cell>
          <cell r="Q70">
            <v>7158.333333333333</v>
          </cell>
          <cell r="R70">
            <v>7158.333333333333</v>
          </cell>
          <cell r="S70">
            <v>647083.33333333337</v>
          </cell>
        </row>
        <row r="71">
          <cell r="A71" t="str">
            <v xml:space="preserve"> 운      반      비</v>
          </cell>
          <cell r="B71">
            <v>16928251</v>
          </cell>
          <cell r="C71">
            <v>0</v>
          </cell>
          <cell r="E71">
            <v>11502138</v>
          </cell>
          <cell r="F71">
            <v>4368113</v>
          </cell>
          <cell r="G71">
            <v>1058000</v>
          </cell>
          <cell r="H71">
            <v>15870251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 t="b">
            <v>1</v>
          </cell>
          <cell r="Q71">
            <v>11502138</v>
          </cell>
          <cell r="R71">
            <v>4368113</v>
          </cell>
          <cell r="S71">
            <v>1058000</v>
          </cell>
        </row>
        <row r="72">
          <cell r="A72" t="str">
            <v xml:space="preserve">  단말기물류비(기본)</v>
          </cell>
          <cell r="B72">
            <v>16928251</v>
          </cell>
          <cell r="C72">
            <v>0</v>
          </cell>
          <cell r="E72">
            <v>11502138</v>
          </cell>
          <cell r="F72">
            <v>4368113</v>
          </cell>
          <cell r="G72">
            <v>1058000</v>
          </cell>
          <cell r="H72">
            <v>15870251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 t="b">
            <v>1</v>
          </cell>
          <cell r="Q72">
            <v>11502138</v>
          </cell>
          <cell r="R72">
            <v>4368113</v>
          </cell>
          <cell r="S72">
            <v>1058000</v>
          </cell>
        </row>
        <row r="73">
          <cell r="A73" t="str">
            <v xml:space="preserve"> 교  육  훈  련  비</v>
          </cell>
          <cell r="B73">
            <v>356728</v>
          </cell>
          <cell r="C73">
            <v>0</v>
          </cell>
          <cell r="E73">
            <v>0</v>
          </cell>
          <cell r="F73">
            <v>0</v>
          </cell>
          <cell r="G73">
            <v>356728</v>
          </cell>
          <cell r="H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 t="b">
            <v>1</v>
          </cell>
          <cell r="Q73">
            <v>0</v>
          </cell>
          <cell r="R73">
            <v>0</v>
          </cell>
          <cell r="S73">
            <v>356728</v>
          </cell>
        </row>
        <row r="74">
          <cell r="A74" t="str">
            <v xml:space="preserve">  교육채용경비</v>
          </cell>
          <cell r="B74">
            <v>356728</v>
          </cell>
          <cell r="C74">
            <v>0</v>
          </cell>
          <cell r="E74">
            <v>0</v>
          </cell>
          <cell r="F74">
            <v>0</v>
          </cell>
          <cell r="G74">
            <v>356728</v>
          </cell>
          <cell r="H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 t="b">
            <v>1</v>
          </cell>
          <cell r="Q74">
            <v>0</v>
          </cell>
          <cell r="R74">
            <v>0</v>
          </cell>
          <cell r="S74">
            <v>356728</v>
          </cell>
        </row>
        <row r="75">
          <cell r="A75" t="str">
            <v xml:space="preserve"> 회      의      비</v>
          </cell>
          <cell r="B75">
            <v>21461523</v>
          </cell>
          <cell r="C75">
            <v>17125650</v>
          </cell>
          <cell r="E75">
            <v>0</v>
          </cell>
          <cell r="F75">
            <v>0</v>
          </cell>
          <cell r="G75">
            <v>4335873</v>
          </cell>
          <cell r="H75">
            <v>0</v>
          </cell>
          <cell r="K75">
            <v>2854275</v>
          </cell>
          <cell r="L75">
            <v>1427137.5</v>
          </cell>
          <cell r="M75">
            <v>1427137.5</v>
          </cell>
          <cell r="N75">
            <v>14271375</v>
          </cell>
          <cell r="O75" t="b">
            <v>1</v>
          </cell>
          <cell r="Q75">
            <v>1427137.5</v>
          </cell>
          <cell r="R75">
            <v>1427137.5</v>
          </cell>
          <cell r="S75">
            <v>18607248</v>
          </cell>
        </row>
        <row r="76">
          <cell r="A76" t="str">
            <v xml:space="preserve">  회의비-직영(기본)</v>
          </cell>
          <cell r="B76">
            <v>1571544</v>
          </cell>
          <cell r="C76">
            <v>0</v>
          </cell>
          <cell r="E76">
            <v>0</v>
          </cell>
          <cell r="F76">
            <v>0</v>
          </cell>
          <cell r="G76">
            <v>1571544</v>
          </cell>
          <cell r="H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 t="b">
            <v>1</v>
          </cell>
          <cell r="Q76">
            <v>0</v>
          </cell>
          <cell r="R76">
            <v>0</v>
          </cell>
          <cell r="S76">
            <v>1571544</v>
          </cell>
        </row>
        <row r="77">
          <cell r="A77" t="str">
            <v xml:space="preserve">  회의비-본사(기본)</v>
          </cell>
          <cell r="B77">
            <v>1824228</v>
          </cell>
          <cell r="C77">
            <v>1824228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K77">
            <v>304038</v>
          </cell>
          <cell r="L77">
            <v>152019</v>
          </cell>
          <cell r="M77">
            <v>152019</v>
          </cell>
          <cell r="N77">
            <v>1520190</v>
          </cell>
          <cell r="O77" t="b">
            <v>1</v>
          </cell>
          <cell r="Q77">
            <v>152019</v>
          </cell>
          <cell r="R77">
            <v>152019</v>
          </cell>
          <cell r="S77">
            <v>1520190</v>
          </cell>
        </row>
        <row r="78">
          <cell r="A78" t="str">
            <v xml:space="preserve">  회의비(한마음)</v>
          </cell>
          <cell r="B78">
            <v>622641</v>
          </cell>
          <cell r="C78">
            <v>272727</v>
          </cell>
          <cell r="E78">
            <v>0</v>
          </cell>
          <cell r="F78">
            <v>0</v>
          </cell>
          <cell r="G78">
            <v>349914</v>
          </cell>
          <cell r="H78">
            <v>0</v>
          </cell>
          <cell r="K78">
            <v>45454.5</v>
          </cell>
          <cell r="L78">
            <v>22727.25</v>
          </cell>
          <cell r="M78">
            <v>22727.25</v>
          </cell>
          <cell r="N78">
            <v>227272.5</v>
          </cell>
          <cell r="O78" t="b">
            <v>1</v>
          </cell>
          <cell r="Q78">
            <v>22727.25</v>
          </cell>
          <cell r="R78">
            <v>22727.25</v>
          </cell>
          <cell r="S78">
            <v>577186.5</v>
          </cell>
        </row>
        <row r="79">
          <cell r="A79" t="str">
            <v xml:space="preserve">  회의비-포상</v>
          </cell>
          <cell r="B79">
            <v>293359</v>
          </cell>
          <cell r="C79">
            <v>293359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K79">
            <v>48893.166666666664</v>
          </cell>
          <cell r="L79">
            <v>24446.583333333332</v>
          </cell>
          <cell r="M79">
            <v>24446.583333333332</v>
          </cell>
          <cell r="N79">
            <v>244465.83333333331</v>
          </cell>
          <cell r="O79" t="b">
            <v>1</v>
          </cell>
          <cell r="Q79">
            <v>24446.583333333332</v>
          </cell>
          <cell r="R79">
            <v>24446.583333333332</v>
          </cell>
          <cell r="S79">
            <v>244465.83333333331</v>
          </cell>
        </row>
        <row r="80">
          <cell r="A80" t="str">
            <v xml:space="preserve">  회의비(사업)</v>
          </cell>
          <cell r="B80">
            <v>14844362</v>
          </cell>
          <cell r="C80">
            <v>14735336</v>
          </cell>
          <cell r="E80">
            <v>0</v>
          </cell>
          <cell r="F80">
            <v>0</v>
          </cell>
          <cell r="G80">
            <v>109026</v>
          </cell>
          <cell r="H80">
            <v>0</v>
          </cell>
          <cell r="K80">
            <v>2455889.3333333335</v>
          </cell>
          <cell r="L80">
            <v>1227944.6666666667</v>
          </cell>
          <cell r="M80">
            <v>1227944.6666666667</v>
          </cell>
          <cell r="N80">
            <v>12279446.666666668</v>
          </cell>
          <cell r="O80" t="b">
            <v>1</v>
          </cell>
          <cell r="Q80">
            <v>1227944.6666666667</v>
          </cell>
          <cell r="R80">
            <v>1227944.6666666667</v>
          </cell>
          <cell r="S80">
            <v>12388472.666666668</v>
          </cell>
        </row>
        <row r="81">
          <cell r="A81" t="str">
            <v xml:space="preserve">  회의비(마케팅)</v>
          </cell>
          <cell r="B81">
            <v>2305389</v>
          </cell>
          <cell r="C81">
            <v>0</v>
          </cell>
          <cell r="E81">
            <v>0</v>
          </cell>
          <cell r="F81">
            <v>0</v>
          </cell>
          <cell r="G81">
            <v>2305389</v>
          </cell>
          <cell r="H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 t="b">
            <v>1</v>
          </cell>
          <cell r="Q81">
            <v>0</v>
          </cell>
          <cell r="R81">
            <v>0</v>
          </cell>
          <cell r="S81">
            <v>2305389</v>
          </cell>
        </row>
        <row r="82">
          <cell r="A82" t="str">
            <v xml:space="preserve"> 소    모   품   비</v>
          </cell>
          <cell r="B82">
            <v>26059459</v>
          </cell>
          <cell r="C82">
            <v>24395123</v>
          </cell>
          <cell r="E82">
            <v>0</v>
          </cell>
          <cell r="F82">
            <v>0</v>
          </cell>
          <cell r="G82">
            <v>1664336</v>
          </cell>
          <cell r="H82">
            <v>0</v>
          </cell>
          <cell r="K82">
            <v>4065853.8333333335</v>
          </cell>
          <cell r="L82">
            <v>2032926.9166666667</v>
          </cell>
          <cell r="M82">
            <v>2032926.9166666667</v>
          </cell>
          <cell r="N82">
            <v>20329269.166666668</v>
          </cell>
          <cell r="O82" t="b">
            <v>1</v>
          </cell>
          <cell r="Q82">
            <v>2032926.9166666667</v>
          </cell>
          <cell r="R82">
            <v>2032926.9166666667</v>
          </cell>
          <cell r="S82">
            <v>21993605.166666668</v>
          </cell>
        </row>
        <row r="83">
          <cell r="A83" t="str">
            <v xml:space="preserve">  소모품-MRO</v>
          </cell>
          <cell r="B83">
            <v>925970</v>
          </cell>
          <cell r="C83">
            <v>0</v>
          </cell>
          <cell r="E83">
            <v>0</v>
          </cell>
          <cell r="F83">
            <v>0</v>
          </cell>
          <cell r="G83">
            <v>925970</v>
          </cell>
          <cell r="H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 t="b">
            <v>1</v>
          </cell>
          <cell r="Q83">
            <v>0</v>
          </cell>
          <cell r="R83">
            <v>0</v>
          </cell>
          <cell r="S83">
            <v>925970</v>
          </cell>
        </row>
        <row r="84">
          <cell r="A84" t="str">
            <v xml:space="preserve">  소모품-일괄구매</v>
          </cell>
          <cell r="B84">
            <v>22029182</v>
          </cell>
          <cell r="C84">
            <v>21775182</v>
          </cell>
          <cell r="E84">
            <v>0</v>
          </cell>
          <cell r="F84">
            <v>0</v>
          </cell>
          <cell r="G84">
            <v>254000</v>
          </cell>
          <cell r="H84">
            <v>0</v>
          </cell>
          <cell r="K84">
            <v>3629197</v>
          </cell>
          <cell r="L84">
            <v>1814598.5</v>
          </cell>
          <cell r="M84">
            <v>1814598.5</v>
          </cell>
          <cell r="N84">
            <v>18145985</v>
          </cell>
          <cell r="O84" t="b">
            <v>1</v>
          </cell>
          <cell r="Q84">
            <v>1814598.5</v>
          </cell>
          <cell r="R84">
            <v>1814598.5</v>
          </cell>
          <cell r="S84">
            <v>18399985</v>
          </cell>
        </row>
        <row r="85">
          <cell r="A85" t="str">
            <v xml:space="preserve">  소모품사무,일반용품(기본)</v>
          </cell>
          <cell r="B85">
            <v>3104307</v>
          </cell>
          <cell r="C85">
            <v>2619941</v>
          </cell>
          <cell r="E85">
            <v>0</v>
          </cell>
          <cell r="F85">
            <v>0</v>
          </cell>
          <cell r="G85">
            <v>484366</v>
          </cell>
          <cell r="H85">
            <v>0</v>
          </cell>
          <cell r="K85">
            <v>436656.83333333331</v>
          </cell>
          <cell r="L85">
            <v>218328.41666666666</v>
          </cell>
          <cell r="M85">
            <v>218328.41666666666</v>
          </cell>
          <cell r="N85">
            <v>2183284.1666666665</v>
          </cell>
          <cell r="O85" t="b">
            <v>1</v>
          </cell>
          <cell r="Q85">
            <v>218328.41666666666</v>
          </cell>
          <cell r="R85">
            <v>218328.41666666666</v>
          </cell>
          <cell r="S85">
            <v>2667650.1666666665</v>
          </cell>
        </row>
        <row r="86">
          <cell r="A86" t="str">
            <v xml:space="preserve"> 지 급 수 수 료</v>
          </cell>
          <cell r="B86">
            <v>428842956</v>
          </cell>
          <cell r="C86">
            <v>115801638</v>
          </cell>
          <cell r="E86">
            <v>225133070</v>
          </cell>
          <cell r="F86">
            <v>86023273</v>
          </cell>
          <cell r="G86">
            <v>1884975</v>
          </cell>
          <cell r="H86">
            <v>311156343</v>
          </cell>
          <cell r="K86">
            <v>19300273</v>
          </cell>
          <cell r="L86">
            <v>9650136.5</v>
          </cell>
          <cell r="M86">
            <v>9650136.5</v>
          </cell>
          <cell r="N86">
            <v>96501365</v>
          </cell>
          <cell r="O86" t="b">
            <v>1</v>
          </cell>
          <cell r="Q86">
            <v>234783206.5</v>
          </cell>
          <cell r="R86">
            <v>95673409.5</v>
          </cell>
          <cell r="S86">
            <v>98386340</v>
          </cell>
        </row>
        <row r="87">
          <cell r="A87" t="str">
            <v xml:space="preserve">  IT유지보수대행수수료</v>
          </cell>
          <cell r="B87">
            <v>367907</v>
          </cell>
          <cell r="C87">
            <v>367907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K87">
            <v>61317.833333333336</v>
          </cell>
          <cell r="L87">
            <v>30658.916666666668</v>
          </cell>
          <cell r="M87">
            <v>30658.916666666668</v>
          </cell>
          <cell r="N87">
            <v>306589.16666666669</v>
          </cell>
          <cell r="O87" t="b">
            <v>1</v>
          </cell>
          <cell r="Q87">
            <v>30658.916666666668</v>
          </cell>
          <cell r="R87">
            <v>30658.916666666668</v>
          </cell>
          <cell r="S87">
            <v>306589.16666666669</v>
          </cell>
        </row>
        <row r="88">
          <cell r="A88" t="str">
            <v xml:space="preserve">  수수료-서비스이용료</v>
          </cell>
          <cell r="B88">
            <v>328913165</v>
          </cell>
          <cell r="C88">
            <v>18471731</v>
          </cell>
          <cell r="E88">
            <v>225133070</v>
          </cell>
          <cell r="F88">
            <v>85223273</v>
          </cell>
          <cell r="G88">
            <v>85091</v>
          </cell>
          <cell r="H88">
            <v>310356343</v>
          </cell>
          <cell r="K88">
            <v>3078621.8333333335</v>
          </cell>
          <cell r="L88">
            <v>1539310.9166666667</v>
          </cell>
          <cell r="M88">
            <v>1539310.9166666667</v>
          </cell>
          <cell r="N88">
            <v>15393109.166666668</v>
          </cell>
          <cell r="O88" t="b">
            <v>1</v>
          </cell>
          <cell r="Q88">
            <v>226672380.91666666</v>
          </cell>
          <cell r="R88">
            <v>86762583.916666672</v>
          </cell>
          <cell r="S88">
            <v>15478200.166666668</v>
          </cell>
        </row>
        <row r="89">
          <cell r="A89" t="str">
            <v xml:space="preserve">  수수료-전문가자문료</v>
          </cell>
          <cell r="B89">
            <v>751590</v>
          </cell>
          <cell r="C89">
            <v>0</v>
          </cell>
          <cell r="E89">
            <v>0</v>
          </cell>
          <cell r="F89">
            <v>0</v>
          </cell>
          <cell r="G89">
            <v>751590</v>
          </cell>
          <cell r="H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 t="b">
            <v>1</v>
          </cell>
          <cell r="Q89">
            <v>0</v>
          </cell>
          <cell r="R89">
            <v>0</v>
          </cell>
          <cell r="S89">
            <v>751590</v>
          </cell>
        </row>
        <row r="90">
          <cell r="A90" t="str">
            <v xml:space="preserve">  수수료-보안용역</v>
          </cell>
          <cell r="B90">
            <v>824194</v>
          </cell>
          <cell r="C90">
            <v>0</v>
          </cell>
          <cell r="E90">
            <v>0</v>
          </cell>
          <cell r="F90">
            <v>0</v>
          </cell>
          <cell r="G90">
            <v>824194</v>
          </cell>
          <cell r="H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 t="b">
            <v>1</v>
          </cell>
          <cell r="Q90">
            <v>0</v>
          </cell>
          <cell r="R90">
            <v>0</v>
          </cell>
          <cell r="S90">
            <v>824194</v>
          </cell>
        </row>
        <row r="91">
          <cell r="A91" t="str">
            <v xml:space="preserve">  수수료-공사용역수수료</v>
          </cell>
          <cell r="B91">
            <v>96872000</v>
          </cell>
          <cell r="C91">
            <v>96872000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K91">
            <v>16145333.333333334</v>
          </cell>
          <cell r="L91">
            <v>8072666.666666667</v>
          </cell>
          <cell r="M91">
            <v>8072666.666666667</v>
          </cell>
          <cell r="N91">
            <v>80726666.666666672</v>
          </cell>
          <cell r="O91" t="b">
            <v>1</v>
          </cell>
          <cell r="Q91">
            <v>8072666.666666667</v>
          </cell>
          <cell r="R91">
            <v>8072666.666666667</v>
          </cell>
          <cell r="S91">
            <v>80726666.666666672</v>
          </cell>
        </row>
        <row r="92">
          <cell r="A92" t="str">
            <v xml:space="preserve">  수수료-대행외부용역</v>
          </cell>
          <cell r="B92">
            <v>1114100</v>
          </cell>
          <cell r="C92">
            <v>90000</v>
          </cell>
          <cell r="E92">
            <v>0</v>
          </cell>
          <cell r="F92">
            <v>800000</v>
          </cell>
          <cell r="G92">
            <v>224100</v>
          </cell>
          <cell r="H92">
            <v>800000</v>
          </cell>
          <cell r="K92">
            <v>15000</v>
          </cell>
          <cell r="L92">
            <v>7500</v>
          </cell>
          <cell r="M92">
            <v>7500</v>
          </cell>
          <cell r="N92">
            <v>75000</v>
          </cell>
          <cell r="O92" t="b">
            <v>1</v>
          </cell>
          <cell r="Q92">
            <v>7500</v>
          </cell>
          <cell r="R92">
            <v>807500</v>
          </cell>
          <cell r="S92">
            <v>299100</v>
          </cell>
        </row>
        <row r="93">
          <cell r="A93" t="str">
            <v xml:space="preserve"> 판  매  촉  진  비</v>
          </cell>
          <cell r="B93">
            <v>29768161</v>
          </cell>
          <cell r="C93">
            <v>26012844</v>
          </cell>
          <cell r="E93">
            <v>0</v>
          </cell>
          <cell r="F93">
            <v>0</v>
          </cell>
          <cell r="G93">
            <v>3755317</v>
          </cell>
          <cell r="H93">
            <v>0</v>
          </cell>
          <cell r="K93">
            <v>4335474</v>
          </cell>
          <cell r="L93">
            <v>2167737</v>
          </cell>
          <cell r="M93">
            <v>2167737</v>
          </cell>
          <cell r="N93">
            <v>21677370</v>
          </cell>
          <cell r="O93" t="b">
            <v>1</v>
          </cell>
          <cell r="Q93">
            <v>2167737</v>
          </cell>
          <cell r="R93">
            <v>2167737</v>
          </cell>
          <cell r="S93">
            <v>25432687</v>
          </cell>
        </row>
        <row r="94">
          <cell r="A94" t="str">
            <v xml:space="preserve">  판촉비(사업)</v>
          </cell>
          <cell r="B94">
            <v>29368161</v>
          </cell>
          <cell r="C94">
            <v>26012844</v>
          </cell>
          <cell r="E94">
            <v>0</v>
          </cell>
          <cell r="F94">
            <v>0</v>
          </cell>
          <cell r="G94">
            <v>3355317</v>
          </cell>
          <cell r="H94">
            <v>0</v>
          </cell>
          <cell r="K94">
            <v>4335474</v>
          </cell>
          <cell r="L94">
            <v>2167737</v>
          </cell>
          <cell r="M94">
            <v>2167737</v>
          </cell>
          <cell r="N94">
            <v>21677370</v>
          </cell>
          <cell r="O94" t="b">
            <v>1</v>
          </cell>
          <cell r="Q94">
            <v>2167737</v>
          </cell>
          <cell r="R94">
            <v>2167737</v>
          </cell>
          <cell r="S94">
            <v>25032687</v>
          </cell>
        </row>
        <row r="95">
          <cell r="A95" t="str">
            <v xml:space="preserve">  판촉비(마케팅)</v>
          </cell>
          <cell r="B95">
            <v>400000</v>
          </cell>
          <cell r="C95">
            <v>0</v>
          </cell>
          <cell r="E95">
            <v>0</v>
          </cell>
          <cell r="F95">
            <v>0</v>
          </cell>
          <cell r="G95">
            <v>400000</v>
          </cell>
          <cell r="H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 t="b">
            <v>1</v>
          </cell>
          <cell r="Q95">
            <v>0</v>
          </cell>
          <cell r="R95">
            <v>0</v>
          </cell>
          <cell r="S95">
            <v>400000</v>
          </cell>
        </row>
        <row r="96">
          <cell r="A96" t="str">
            <v>영   업  이   익</v>
          </cell>
          <cell r="B96">
            <v>-31686035</v>
          </cell>
          <cell r="C96">
            <v>-650992078</v>
          </cell>
          <cell r="E96">
            <v>99730369</v>
          </cell>
          <cell r="F96">
            <v>323792089</v>
          </cell>
          <cell r="G96">
            <v>195783585</v>
          </cell>
          <cell r="H96">
            <v>423522458</v>
          </cell>
          <cell r="K96">
            <v>-108498679.66666667</v>
          </cell>
          <cell r="L96">
            <v>-54249339.833333336</v>
          </cell>
          <cell r="M96">
            <v>-54249339.833333336</v>
          </cell>
          <cell r="N96">
            <v>-542493398.33333337</v>
          </cell>
          <cell r="O96" t="b">
            <v>1</v>
          </cell>
          <cell r="Q96">
            <v>45481029.166666664</v>
          </cell>
          <cell r="R96">
            <v>269542749.16666669</v>
          </cell>
          <cell r="S96">
            <v>-346709813.33333337</v>
          </cell>
        </row>
        <row r="97">
          <cell r="A97" t="str">
            <v>영  업 외 수  익</v>
          </cell>
          <cell r="B97">
            <v>0</v>
          </cell>
          <cell r="C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 t="b">
            <v>1</v>
          </cell>
          <cell r="Q97">
            <v>0</v>
          </cell>
          <cell r="R97">
            <v>0</v>
          </cell>
          <cell r="S97">
            <v>0</v>
          </cell>
        </row>
        <row r="98">
          <cell r="A98" t="str">
            <v>영  업 외 비  용</v>
          </cell>
          <cell r="B98">
            <v>0</v>
          </cell>
          <cell r="C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 t="b">
            <v>1</v>
          </cell>
          <cell r="Q98">
            <v>0</v>
          </cell>
          <cell r="R98">
            <v>0</v>
          </cell>
          <cell r="S98">
            <v>0</v>
          </cell>
        </row>
        <row r="99">
          <cell r="A99" t="str">
            <v>법인세비용차감전순이익</v>
          </cell>
          <cell r="B99">
            <v>-31686035</v>
          </cell>
          <cell r="C99">
            <v>-650992078</v>
          </cell>
          <cell r="E99">
            <v>99730369</v>
          </cell>
          <cell r="F99">
            <v>323792089</v>
          </cell>
          <cell r="G99">
            <v>195783585</v>
          </cell>
          <cell r="H99">
            <v>423522458</v>
          </cell>
          <cell r="K99">
            <v>-108498679.66666667</v>
          </cell>
          <cell r="L99">
            <v>-54249339.833333336</v>
          </cell>
          <cell r="M99">
            <v>-54249339.833333336</v>
          </cell>
          <cell r="N99">
            <v>-542493398.33333337</v>
          </cell>
          <cell r="O99" t="b">
            <v>1</v>
          </cell>
          <cell r="Q99">
            <v>45481029.166666664</v>
          </cell>
          <cell r="R99">
            <v>269542749.16666669</v>
          </cell>
          <cell r="S99">
            <v>-346709813.33333337</v>
          </cell>
        </row>
        <row r="100">
          <cell r="A100" t="str">
            <v>법인세비용차감전계속사업순이익</v>
          </cell>
          <cell r="B100">
            <v>-31686035</v>
          </cell>
          <cell r="C100">
            <v>-650992078</v>
          </cell>
          <cell r="E100">
            <v>99730369</v>
          </cell>
          <cell r="F100">
            <v>323792089</v>
          </cell>
          <cell r="G100">
            <v>195783585</v>
          </cell>
          <cell r="K100">
            <v>-108498679.66666667</v>
          </cell>
          <cell r="L100">
            <v>-54249339.833333336</v>
          </cell>
          <cell r="M100">
            <v>-54249339.833333336</v>
          </cell>
          <cell r="N100">
            <v>-542493398.33333337</v>
          </cell>
          <cell r="O100" t="b">
            <v>1</v>
          </cell>
          <cell r="Q100">
            <v>45481029.166666664</v>
          </cell>
          <cell r="R100">
            <v>269542749.16666669</v>
          </cell>
          <cell r="S100">
            <v>-346709813.33333337</v>
          </cell>
        </row>
        <row r="101">
          <cell r="A101" t="str">
            <v>법  인 세 비  용</v>
          </cell>
          <cell r="B101">
            <v>0</v>
          </cell>
          <cell r="C101">
            <v>0</v>
          </cell>
          <cell r="E101">
            <v>0</v>
          </cell>
          <cell r="F101">
            <v>0</v>
          </cell>
          <cell r="G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 t="b">
            <v>1</v>
          </cell>
          <cell r="Q101">
            <v>0</v>
          </cell>
          <cell r="R101">
            <v>0</v>
          </cell>
          <cell r="S101">
            <v>0</v>
          </cell>
        </row>
        <row r="102">
          <cell r="A102" t="str">
            <v>계속사업이익</v>
          </cell>
          <cell r="B102">
            <v>-31686035</v>
          </cell>
          <cell r="C102">
            <v>-650992078</v>
          </cell>
          <cell r="E102">
            <v>99730369</v>
          </cell>
          <cell r="F102">
            <v>323792089</v>
          </cell>
          <cell r="G102">
            <v>195783585</v>
          </cell>
          <cell r="K102">
            <v>-108498679.66666667</v>
          </cell>
          <cell r="L102">
            <v>-54249339.833333336</v>
          </cell>
          <cell r="M102">
            <v>-54249339.833333336</v>
          </cell>
          <cell r="N102">
            <v>-542493398.33333337</v>
          </cell>
          <cell r="O102" t="b">
            <v>1</v>
          </cell>
          <cell r="Q102">
            <v>45481029.166666664</v>
          </cell>
          <cell r="R102">
            <v>269542749.16666669</v>
          </cell>
          <cell r="S102">
            <v>-346709813.33333337</v>
          </cell>
        </row>
        <row r="103">
          <cell r="A103" t="str">
            <v>중단 사  업 손익</v>
          </cell>
          <cell r="B103">
            <v>0</v>
          </cell>
          <cell r="C103">
            <v>0</v>
          </cell>
          <cell r="E103">
            <v>0</v>
          </cell>
          <cell r="F103">
            <v>0</v>
          </cell>
          <cell r="G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 t="b">
            <v>1</v>
          </cell>
          <cell r="Q103">
            <v>0</v>
          </cell>
          <cell r="R103">
            <v>0</v>
          </cell>
          <cell r="S103">
            <v>0</v>
          </cell>
        </row>
        <row r="104">
          <cell r="A104" t="str">
            <v>당  기 순 이  익</v>
          </cell>
          <cell r="B104">
            <v>-31686035</v>
          </cell>
          <cell r="C104">
            <v>-650992078</v>
          </cell>
          <cell r="E104">
            <v>99730369</v>
          </cell>
          <cell r="F104">
            <v>323792089</v>
          </cell>
          <cell r="G104">
            <v>195783585</v>
          </cell>
          <cell r="K104">
            <v>-108498679.66666667</v>
          </cell>
          <cell r="L104">
            <v>-54249339.833333336</v>
          </cell>
          <cell r="M104">
            <v>-54249339.833333336</v>
          </cell>
          <cell r="N104">
            <v>-542493398.33333337</v>
          </cell>
          <cell r="O104" t="b">
            <v>1</v>
          </cell>
          <cell r="Q104">
            <v>45481029.166666664</v>
          </cell>
          <cell r="R104">
            <v>269542749.16666669</v>
          </cell>
          <cell r="S104">
            <v>-346709813.33333337</v>
          </cell>
        </row>
        <row r="105">
          <cell r="A105" t="str">
            <v>주당이익</v>
          </cell>
          <cell r="B105">
            <v>0</v>
          </cell>
          <cell r="C105">
            <v>0</v>
          </cell>
          <cell r="E105">
            <v>0</v>
          </cell>
          <cell r="F105">
            <v>0</v>
          </cell>
          <cell r="G105">
            <v>0</v>
          </cell>
        </row>
        <row r="106">
          <cell r="A106" t="str">
            <v>기본주당계속사업이익</v>
          </cell>
          <cell r="B106">
            <v>0</v>
          </cell>
          <cell r="C106">
            <v>0</v>
          </cell>
          <cell r="E106">
            <v>0</v>
          </cell>
          <cell r="F106">
            <v>0</v>
          </cell>
          <cell r="G106">
            <v>0</v>
          </cell>
        </row>
        <row r="107">
          <cell r="A107" t="str">
            <v>기본주당순이익</v>
          </cell>
          <cell r="B107">
            <v>0</v>
          </cell>
          <cell r="C107">
            <v>0</v>
          </cell>
          <cell r="E107">
            <v>0</v>
          </cell>
          <cell r="F107">
            <v>0</v>
          </cell>
          <cell r="G107">
            <v>0</v>
          </cell>
        </row>
        <row r="108">
          <cell r="A108" t="str">
            <v>희석주당계속사업이익</v>
          </cell>
          <cell r="B108">
            <v>0</v>
          </cell>
          <cell r="C108">
            <v>0</v>
          </cell>
          <cell r="E108">
            <v>0</v>
          </cell>
          <cell r="F108">
            <v>0</v>
          </cell>
          <cell r="G108">
            <v>0</v>
          </cell>
        </row>
        <row r="109">
          <cell r="A109" t="str">
            <v>희석주당순이익</v>
          </cell>
          <cell r="B109">
            <v>0</v>
          </cell>
          <cell r="C109">
            <v>0</v>
          </cell>
          <cell r="E109">
            <v>0</v>
          </cell>
          <cell r="F109">
            <v>0</v>
          </cell>
          <cell r="G109">
            <v>0</v>
          </cell>
        </row>
      </sheetData>
      <sheetData sheetId="17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6ABB9-2BEB-4D74-9492-F4B1B4963128}">
  <sheetPr>
    <tabColor theme="1"/>
    <pageSetUpPr fitToPage="1"/>
  </sheetPr>
  <dimension ref="A1:AB284"/>
  <sheetViews>
    <sheetView showGridLines="0" zoomScale="85" zoomScaleNormal="85" zoomScaleSheetLayoutView="85" workbookViewId="0">
      <pane xSplit="2" ySplit="2" topLeftCell="C3" activePane="bottomRight" state="frozen"/>
      <selection activeCell="J2" sqref="J2:J253"/>
      <selection pane="topRight" activeCell="J2" sqref="J2:J253"/>
      <selection pane="bottomLeft" activeCell="J2" sqref="J2:J253"/>
      <selection pane="bottomRight" sqref="A1:A2"/>
    </sheetView>
  </sheetViews>
  <sheetFormatPr defaultColWidth="9.08984375" defaultRowHeight="16" outlineLevelRow="1" x14ac:dyDescent="0.45"/>
  <cols>
    <col min="1" max="1" width="36.36328125" style="2" customWidth="1"/>
    <col min="2" max="2" width="19.08984375" style="2" customWidth="1"/>
    <col min="3" max="7" width="19.08984375" style="3" customWidth="1"/>
    <col min="8" max="11" width="19.08984375" style="2" customWidth="1"/>
    <col min="12" max="12" width="19.08984375" style="3" customWidth="1"/>
    <col min="13" max="13" width="19.08984375" style="2" customWidth="1"/>
    <col min="14" max="14" width="9.08984375" style="2"/>
    <col min="15" max="19" width="18.6328125" style="2" hidden="1" customWidth="1"/>
    <col min="20" max="20" width="22.6328125" style="2" hidden="1" customWidth="1"/>
    <col min="21" max="21" width="7.54296875" style="2" customWidth="1"/>
    <col min="22" max="22" width="19.36328125" style="2" hidden="1" customWidth="1"/>
    <col min="23" max="27" width="18.6328125" style="2" hidden="1" customWidth="1"/>
    <col min="28" max="16384" width="9.08984375" style="2"/>
  </cols>
  <sheetData>
    <row r="1" spans="1:28" s="1" customFormat="1" ht="15.65" customHeight="1" x14ac:dyDescent="0.45">
      <c r="A1" s="208" t="s">
        <v>300</v>
      </c>
      <c r="B1" s="210" t="s">
        <v>233</v>
      </c>
      <c r="C1" s="210" t="s">
        <v>250</v>
      </c>
      <c r="D1" s="210" t="s">
        <v>288</v>
      </c>
      <c r="E1" s="212" t="s">
        <v>167</v>
      </c>
      <c r="F1" s="204" t="s">
        <v>289</v>
      </c>
      <c r="G1" s="205"/>
      <c r="H1" s="205"/>
      <c r="I1" s="202" t="s">
        <v>290</v>
      </c>
      <c r="J1" s="206"/>
      <c r="K1" s="206"/>
      <c r="L1" s="207"/>
      <c r="M1" s="202" t="s">
        <v>291</v>
      </c>
      <c r="O1" s="209" t="s">
        <v>366</v>
      </c>
      <c r="P1" s="209"/>
      <c r="Q1" s="209"/>
      <c r="R1" s="209"/>
      <c r="S1" s="209"/>
      <c r="T1" s="209"/>
      <c r="U1" s="83"/>
      <c r="V1" s="208" t="s">
        <v>300</v>
      </c>
      <c r="W1" s="201" t="s">
        <v>366</v>
      </c>
      <c r="X1" s="201"/>
      <c r="Y1" s="201"/>
      <c r="Z1" s="201"/>
      <c r="AA1" s="201"/>
    </row>
    <row r="2" spans="1:28" s="1" customFormat="1" ht="15.65" customHeight="1" x14ac:dyDescent="0.45">
      <c r="A2" s="208"/>
      <c r="B2" s="211"/>
      <c r="C2" s="211"/>
      <c r="D2" s="211"/>
      <c r="E2" s="212"/>
      <c r="F2" s="25" t="s">
        <v>248</v>
      </c>
      <c r="G2" s="25" t="s">
        <v>242</v>
      </c>
      <c r="H2" s="26" t="s">
        <v>365</v>
      </c>
      <c r="I2" s="26" t="s">
        <v>168</v>
      </c>
      <c r="J2" s="26" t="s">
        <v>169</v>
      </c>
      <c r="K2" s="26" t="s">
        <v>294</v>
      </c>
      <c r="L2" s="26" t="s">
        <v>295</v>
      </c>
      <c r="M2" s="203"/>
      <c r="O2" s="195" t="s">
        <v>367</v>
      </c>
      <c r="P2" s="195" t="s">
        <v>368</v>
      </c>
      <c r="Q2" s="195" t="s">
        <v>369</v>
      </c>
      <c r="R2" s="195" t="s">
        <v>433</v>
      </c>
      <c r="S2" s="195" t="s">
        <v>434</v>
      </c>
      <c r="T2" s="195" t="s">
        <v>435</v>
      </c>
      <c r="U2" s="83"/>
      <c r="V2" s="208"/>
      <c r="W2" s="26" t="s">
        <v>367</v>
      </c>
      <c r="X2" s="26" t="s">
        <v>368</v>
      </c>
      <c r="Y2" s="26" t="s">
        <v>369</v>
      </c>
      <c r="Z2" s="26" t="s">
        <v>380</v>
      </c>
      <c r="AA2" s="26" t="s">
        <v>406</v>
      </c>
    </row>
    <row r="3" spans="1:28" s="1" customFormat="1" x14ac:dyDescent="0.45">
      <c r="A3" s="27" t="s">
        <v>0</v>
      </c>
      <c r="B3" s="42">
        <f>'1월'!B3+'2월'!B3+'3월'!B3+'4월'!B3+'5월'!B3+'6월'!B3+'7월'!B3+'8월'!B3+'9월'!B3+'10월'!B3+'11월'!B3+'12월'!B3</f>
        <v>753458029468</v>
      </c>
      <c r="C3" s="42">
        <f>'1월'!C3+'2월'!C3+'3월'!C3+'4월'!C3+'5월'!C3+'6월'!C3+'7월'!C3+'8월'!C3+'9월'!C3+'10월'!C3+'11월'!C3+'12월'!C3</f>
        <v>-20632121414</v>
      </c>
      <c r="D3" s="42">
        <f>'1월'!D3+'2월'!D3+'3월'!D3+'4월'!D3+'5월'!D3+'6월'!D3+'7월'!D3+'8월'!D3+'9월'!D3+'10월'!D3+'11월'!D3+'12월'!D3</f>
        <v>2370259975</v>
      </c>
      <c r="E3" s="42">
        <f>'1월'!E3+'2월'!E3+'3월'!E3+'4월'!E3+'5월'!E3+'6월'!E3+'7월'!E3+'8월'!E3+'9월'!E3+'10월'!E3+'11월'!E3+'12월'!E3</f>
        <v>771719890907</v>
      </c>
      <c r="F3" s="42">
        <f>'1월'!F3+'2월'!F3+'3월'!F3+'4월'!F3+'5월'!F3+'6월'!F3+'7월'!F3+'8월'!F3+'9월'!F3+'10월'!F3+'11월'!F3+'12월'!F3</f>
        <v>334948188069.25433</v>
      </c>
      <c r="G3" s="42">
        <f>'1월'!H3+'2월'!G3+'3월'!G3+'4월'!G3+'5월'!G3+'6월'!G3+'7월'!G3+'8월'!G3+'9월'!G3+'10월'!G3+'11월'!G3+'12월'!G3</f>
        <v>46718302112.745651</v>
      </c>
      <c r="H3" s="42">
        <f>'1월'!J3+'2월'!H3+'3월'!H3+'4월'!H3+'5월'!H3+'6월'!H3+'7월'!H3+'8월'!H3+'9월'!H3+'10월'!H3+'11월'!H3+'12월'!H3</f>
        <v>197616419350</v>
      </c>
      <c r="I3" s="42">
        <f>'1월'!K3+'2월'!I3+'3월'!I3+'4월'!I3+'5월'!I3+'6월'!I3+'7월'!I3+'8월'!I3+'9월'!I3+'10월'!I3+'11월'!I3+'12월'!I3</f>
        <v>13381087574</v>
      </c>
      <c r="J3" s="42">
        <f>'1월'!L3+'2월'!J3+'3월'!J3+'4월'!J3+'5월'!J3+'6월'!J3+'7월'!J3+'8월'!J3+'9월'!J3+'10월'!J3+'11월'!J3+'12월'!J3</f>
        <v>9138411901</v>
      </c>
      <c r="K3" s="42">
        <f>'1월'!M3+'2월'!K3+'3월'!K3+'4월'!K3+'5월'!K3+'6월'!K3+'7월'!K3+'8월'!K3+'9월'!K3+'10월'!K3+'11월'!K3+'12월'!K3</f>
        <v>97967838290</v>
      </c>
      <c r="L3" s="42">
        <f>'1월'!N3+'2월'!L3+'3월'!L3+'4월'!L3+'5월'!L3+'6월'!L3+'7월'!L3+'8월'!L3+'9월'!L3+'10월'!L3+'11월'!L3+'12월'!L3</f>
        <v>16291219584</v>
      </c>
      <c r="M3" s="42">
        <f>'1월'!O3+'2월'!M3+'3월'!M3+'4월'!M3+'5월'!M3+'6월'!M3+'7월'!M3+'8월'!M3+'9월'!M3+'10월'!M3+'11월'!M3+'12월'!M3</f>
        <v>55658424026</v>
      </c>
      <c r="O3" s="42">
        <f>IFERROR(VLOOKUP($A3,[1]플랫폼1!$A:$B,2,FALSE),0)</f>
        <v>6682762318</v>
      </c>
      <c r="P3" s="42">
        <f>IFERROR(VLOOKUP($A3,[1]플랫폼2!$A:$M,12,FALSE),0)+IFERROR(VLOOKUP($A3,[1]플랫폼2!$A:$M,13,FALSE),0)</f>
        <v>10165249491</v>
      </c>
      <c r="Q3" s="42">
        <f>IFERROR(VLOOKUP($A3,[1]플랫폼2!$A:$M,7,FALSE),0)+IFERROR(VLOOKUP($A3,[1]플랫폼2!$A:$M,12,FALSE),0)</f>
        <v>37119426563</v>
      </c>
      <c r="R3" s="42">
        <f>IFERROR(VLOOKUP($A3,[1]모바일!$A:$S,17,FALSE),0)</f>
        <v>357710000</v>
      </c>
      <c r="S3" s="42">
        <f>IFERROR(VLOOKUP($A3,[1]모바일!$A:$S,18,FALSE),0)</f>
        <v>441954966</v>
      </c>
      <c r="T3" s="42">
        <f>IFERROR(VLOOKUP(A3,[1]플랫폼2!$A:$O,15,0),0)</f>
        <v>891320688</v>
      </c>
      <c r="U3" s="83"/>
      <c r="V3" s="27" t="s">
        <v>0</v>
      </c>
      <c r="W3" s="42">
        <f>VLOOKUP(V3,$A:$S,15,0)</f>
        <v>6682762318</v>
      </c>
      <c r="X3" s="42">
        <f>VLOOKUP(V3,$A:$S,16,0)</f>
        <v>10165249491</v>
      </c>
      <c r="Y3" s="42">
        <f>VLOOKUP(V3,$A:$S,17,0)</f>
        <v>37119426563</v>
      </c>
      <c r="Z3" s="42">
        <f>VLOOKUP(V3,$A:$S,18,0)</f>
        <v>357710000</v>
      </c>
      <c r="AA3" s="42">
        <f>VLOOKUP(V3,$A:$S,19,0)</f>
        <v>441954966</v>
      </c>
      <c r="AB3" s="83"/>
    </row>
    <row r="4" spans="1:28" s="1" customFormat="1" x14ac:dyDescent="0.45">
      <c r="A4" s="28" t="s">
        <v>1</v>
      </c>
      <c r="B4" s="43">
        <f>'1월'!B4+'2월'!B4+'3월'!B4+'4월'!B4+'5월'!B4+'6월'!B4+'7월'!B4+'8월'!B4+'9월'!B4+'10월'!B4+'11월'!B4+'12월'!B4</f>
        <v>467696067414</v>
      </c>
      <c r="C4" s="43">
        <f>'1월'!C4+'2월'!C4+'3월'!C4+'4월'!C4+'5월'!C4+'6월'!C4+'7월'!C4+'8월'!C4+'9월'!C4+'10월'!C4+'11월'!C4+'12월'!C4</f>
        <v>1582917344</v>
      </c>
      <c r="D4" s="43">
        <f>'1월'!D4+'2월'!D4+'3월'!D4+'4월'!D4+'5월'!D4+'6월'!D4+'7월'!D4+'8월'!D4+'9월'!D4+'10월'!D4+'11월'!D4+'12월'!D4</f>
        <v>794310339</v>
      </c>
      <c r="E4" s="43">
        <f>'1월'!E4+'2월'!E4+'3월'!E4+'4월'!E4+'5월'!E4+'6월'!E4+'7월'!E4+'8월'!E4+'9월'!E4+'10월'!E4+'11월'!E4+'12월'!E4</f>
        <v>465318839731</v>
      </c>
      <c r="F4" s="43">
        <f>'1월'!F4+'2월'!F4+'3월'!F4+'4월'!F4+'5월'!F4+'6월'!F4+'7월'!F4+'8월'!F4+'9월'!F4+'10월'!F4+'11월'!F4+'12월'!F4</f>
        <v>177125950486</v>
      </c>
      <c r="G4" s="43">
        <f>'1월'!H4+'2월'!G4+'3월'!G4+'4월'!G4+'5월'!G4+'6월'!G4+'7월'!G4+'8월'!G4+'9월'!G4+'10월'!G4+'11월'!G4+'12월'!G4</f>
        <v>3752066349</v>
      </c>
      <c r="H4" s="43">
        <f>'1월'!J4+'2월'!H4+'3월'!H4+'4월'!H4+'5월'!H4+'6월'!H4+'7월'!H4+'8월'!H4+'9월'!H4+'10월'!H4+'11월'!H4+'12월'!H4</f>
        <v>144601540733</v>
      </c>
      <c r="I4" s="43">
        <f>'1월'!K4+'2월'!I4+'3월'!I4+'4월'!I4+'5월'!I4+'6월'!I4+'7월'!I4+'8월'!I4+'9월'!I4+'10월'!I4+'11월'!I4+'12월'!I4</f>
        <v>4342427594</v>
      </c>
      <c r="J4" s="43">
        <f>'1월'!L4+'2월'!J4+'3월'!J4+'4월'!J4+'5월'!J4+'6월'!J4+'7월'!J4+'8월'!J4+'9월'!J4+'10월'!J4+'11월'!J4+'12월'!J4</f>
        <v>168737180</v>
      </c>
      <c r="K4" s="43">
        <f>'1월'!M4+'2월'!K4+'3월'!K4+'4월'!K4+'5월'!K4+'6월'!K4+'7월'!K4+'8월'!K4+'9월'!K4+'10월'!K4+'11월'!K4+'12월'!K4</f>
        <v>83027784583</v>
      </c>
      <c r="L4" s="43">
        <f>'1월'!N4+'2월'!L4+'3월'!L4+'4월'!L4+'5월'!L4+'6월'!L4+'7월'!L4+'8월'!L4+'9월'!L4+'10월'!L4+'11월'!L4+'12월'!L4</f>
        <v>1284494654</v>
      </c>
      <c r="M4" s="43">
        <f>'1월'!O4+'2월'!M4+'3월'!M4+'4월'!M4+'5월'!M4+'6월'!M4+'7월'!M4+'8월'!M4+'9월'!M4+'10월'!M4+'11월'!M4+'12월'!M4</f>
        <v>51015838152</v>
      </c>
      <c r="O4" s="196">
        <f>IFERROR(VLOOKUP($A4,[1]플랫폼1!$A:$B,2,FALSE),0)</f>
        <v>4557133512</v>
      </c>
      <c r="P4" s="196">
        <f>IFERROR(VLOOKUP($A4,[1]플랫폼2!$A:$M,12,FALSE),0)+IFERROR(VLOOKUP($A4,[1]플랫폼2!$A:$M,13,FALSE),0)</f>
        <v>9035257470</v>
      </c>
      <c r="Q4" s="196">
        <f>IFERROR(VLOOKUP($A4,[1]플랫폼2!$A:$M,7,FALSE),0)+IFERROR(VLOOKUP($A4,[1]플랫폼2!$A:$M,12,FALSE),0)</f>
        <v>36850308300</v>
      </c>
      <c r="R4" s="196">
        <f>IFERROR(VLOOKUP($A4,[1]모바일!$A:$S,17,FALSE),0)</f>
        <v>0</v>
      </c>
      <c r="S4" s="196">
        <f>IFERROR(VLOOKUP($A4,[1]모바일!$A:$S,18,FALSE),0)</f>
        <v>0</v>
      </c>
      <c r="T4" s="196">
        <f>IFERROR(VLOOKUP(A4,[1]플랫폼2!$A:$O,15,0),0)</f>
        <v>573138870</v>
      </c>
      <c r="U4" s="83"/>
      <c r="V4" s="28" t="s">
        <v>1</v>
      </c>
      <c r="W4" s="43">
        <f t="shared" ref="W4:W17" si="0">VLOOKUP(V4,$A:$S,15,0)</f>
        <v>4557133512</v>
      </c>
      <c r="X4" s="43">
        <f t="shared" ref="X4:X17" si="1">VLOOKUP(V4,$A:$S,16,0)</f>
        <v>9035257470</v>
      </c>
      <c r="Y4" s="43">
        <f t="shared" ref="Y4:Y17" si="2">VLOOKUP(V4,$A:$S,17,0)</f>
        <v>36850308300</v>
      </c>
      <c r="Z4" s="43">
        <f t="shared" ref="Z4:Z17" si="3">VLOOKUP(V4,$A:$S,18,0)</f>
        <v>0</v>
      </c>
      <c r="AA4" s="43">
        <f t="shared" ref="AA4:AA17" si="4">VLOOKUP(V4,$A:$S,19,0)</f>
        <v>0</v>
      </c>
      <c r="AB4" s="83"/>
    </row>
    <row r="5" spans="1:28" ht="16" hidden="1" customHeight="1" outlineLevel="1" x14ac:dyDescent="0.45">
      <c r="A5" s="29" t="s">
        <v>2</v>
      </c>
      <c r="B5" s="44">
        <f>'1월'!B5+'2월'!B5+'3월'!B5+'4월'!B5+'5월'!B5+'6월'!B5+'7월'!B5+'8월'!B5+'9월'!B5+'10월'!B5+'11월'!B5+'12월'!B5</f>
        <v>154445609578</v>
      </c>
      <c r="C5" s="44">
        <f>'1월'!C5+'2월'!C5+'3월'!C5+'4월'!C5+'5월'!C5+'6월'!C5+'7월'!C5+'8월'!C5+'9월'!C5+'10월'!C5+'11월'!C5+'12월'!C5</f>
        <v>978744394</v>
      </c>
      <c r="D5" s="44">
        <f>'1월'!D5+'2월'!D5+'3월'!D5+'4월'!D5+'5월'!D5+'6월'!D5+'7월'!D5+'8월'!D5+'9월'!D5+'10월'!D5+'11월'!D5+'12월'!D5</f>
        <v>776398697</v>
      </c>
      <c r="E5" s="44">
        <f>'1월'!E5+'2월'!E5+'3월'!E5+'4월'!E5+'5월'!E5+'6월'!E5+'7월'!E5+'8월'!E5+'9월'!E5+'10월'!E5+'11월'!E5+'12월'!E5</f>
        <v>152690466487</v>
      </c>
      <c r="F5" s="44">
        <f>'1월'!F5+'2월'!F5+'3월'!F5+'4월'!F5+'5월'!F5+'6월'!F5+'7월'!F5+'8월'!F5+'9월'!F5+'10월'!F5+'11월'!F5+'12월'!F5</f>
        <v>692356879</v>
      </c>
      <c r="G5" s="44">
        <f>'1월'!H5+'2월'!G5+'3월'!G5+'4월'!G5+'5월'!G5+'6월'!G5+'7월'!G5+'8월'!G5+'9월'!G5+'10월'!G5+'11월'!G5+'12월'!G5</f>
        <v>3450105232</v>
      </c>
      <c r="H5" s="44">
        <f>'1월'!J5+'2월'!H5+'3월'!H5+'4월'!H5+'5월'!H5+'6월'!H5+'7월'!H5+'8월'!H5+'9월'!H5+'10월'!H5+'11월'!H5+'12월'!H5</f>
        <v>27510540057</v>
      </c>
      <c r="I5" s="44">
        <f>'1월'!K5+'2월'!I5+'3월'!I5+'4월'!I5+'5월'!I5+'6월'!I5+'7월'!I5+'8월'!I5+'9월'!I5+'10월'!I5+'11월'!I5+'12월'!I5</f>
        <v>759926064</v>
      </c>
      <c r="J5" s="44">
        <f>'1월'!L5+'2월'!J5+'3월'!J5+'4월'!J5+'5월'!J5+'6월'!J5+'7월'!J5+'8월'!J5+'9월'!J5+'10월'!J5+'11월'!J5+'12월'!J5</f>
        <v>110690400</v>
      </c>
      <c r="K5" s="44">
        <f>'1월'!M5+'2월'!K5+'3월'!K5+'4월'!K5+'5월'!K5+'6월'!K5+'7월'!K5+'8월'!K5+'9월'!K5+'10월'!K5+'11월'!K5+'12월'!K5</f>
        <v>74124783411</v>
      </c>
      <c r="L5" s="44">
        <f>'1월'!N5+'2월'!L5+'3월'!L5+'4월'!L5+'5월'!L5+'6월'!L5+'7월'!L5+'8월'!L5+'9월'!L5+'10월'!L5+'11월'!L5+'12월'!L5</f>
        <v>510364</v>
      </c>
      <c r="M5" s="44">
        <f>'1월'!O5+'2월'!M5+'3월'!M5+'4월'!M5+'5월'!M5+'6월'!M5+'7월'!M5+'8월'!M5+'9월'!M5+'10월'!M5+'11월'!M5+'12월'!M5</f>
        <v>46041554080</v>
      </c>
      <c r="O5" s="197">
        <f>IFERROR(VLOOKUP($A5,[1]플랫폼1!$A:$B,2,FALSE),0)</f>
        <v>0</v>
      </c>
      <c r="P5" s="197">
        <f>IFERROR(VLOOKUP($A5,[1]플랫폼2!$A:$M,12,FALSE),0)+IFERROR(VLOOKUP($A5,[1]플랫폼2!$A:$M,13,FALSE),0)</f>
        <v>9035257470</v>
      </c>
      <c r="Q5" s="197">
        <f>IFERROR(VLOOKUP($A5,[1]플랫폼2!$A:$M,7,FALSE),0)+IFERROR(VLOOKUP($A5,[1]플랫폼2!$A:$M,12,FALSE),0)</f>
        <v>36840381032</v>
      </c>
      <c r="R5" s="197">
        <f>IFERROR(VLOOKUP($A5,[1]모바일!$A:$S,17,FALSE),0)</f>
        <v>0</v>
      </c>
      <c r="S5" s="197">
        <f>IFERROR(VLOOKUP($A5,[1]모바일!$A:$S,18,FALSE),0)</f>
        <v>0</v>
      </c>
      <c r="T5" s="197">
        <f>IFERROR(VLOOKUP(A5,[1]플랫폼2!$A:$O,15,0),0)</f>
        <v>165915578</v>
      </c>
      <c r="U5" s="83"/>
      <c r="V5" s="28" t="s">
        <v>7</v>
      </c>
      <c r="W5" s="43">
        <f t="shared" si="0"/>
        <v>2125628806</v>
      </c>
      <c r="X5" s="43">
        <f t="shared" si="1"/>
        <v>1129992021</v>
      </c>
      <c r="Y5" s="43">
        <f t="shared" si="2"/>
        <v>269118263</v>
      </c>
      <c r="Z5" s="43">
        <f t="shared" si="3"/>
        <v>357710000</v>
      </c>
      <c r="AA5" s="43">
        <f t="shared" si="4"/>
        <v>441954966</v>
      </c>
      <c r="AB5" s="83"/>
    </row>
    <row r="6" spans="1:28" ht="16" hidden="1" customHeight="1" outlineLevel="1" x14ac:dyDescent="0.45">
      <c r="A6" s="29" t="s">
        <v>3</v>
      </c>
      <c r="B6" s="44">
        <f>'1월'!B6+'2월'!B6+'3월'!B6+'4월'!B6+'5월'!B6+'6월'!B6+'7월'!B6+'8월'!B6+'9월'!B6+'10월'!B6+'11월'!B6+'12월'!B6</f>
        <v>4935000</v>
      </c>
      <c r="C6" s="44">
        <f>'1월'!C6+'2월'!C6+'3월'!C6+'4월'!C6+'5월'!C6+'6월'!C6+'7월'!C6+'8월'!C6+'9월'!C6+'10월'!C6+'11월'!C6+'12월'!C6</f>
        <v>0</v>
      </c>
      <c r="D6" s="44">
        <f>'1월'!D6+'2월'!D6+'3월'!D6+'4월'!D6+'5월'!D6+'6월'!D6+'7월'!D6+'8월'!D6+'9월'!D6+'10월'!D6+'11월'!D6+'12월'!D6</f>
        <v>0</v>
      </c>
      <c r="E6" s="44">
        <f>'1월'!E6+'2월'!E6+'3월'!E6+'4월'!E6+'5월'!E6+'6월'!E6+'7월'!E6+'8월'!E6+'9월'!E6+'10월'!E6+'11월'!E6+'12월'!E6</f>
        <v>4935000</v>
      </c>
      <c r="F6" s="44">
        <f>'1월'!F6+'2월'!F6+'3월'!F6+'4월'!F6+'5월'!F6+'6월'!F6+'7월'!F6+'8월'!F6+'9월'!F6+'10월'!F6+'11월'!F6+'12월'!F6</f>
        <v>0</v>
      </c>
      <c r="G6" s="44">
        <f>'1월'!H6+'2월'!G6+'3월'!G6+'4월'!G6+'5월'!G6+'6월'!G6+'7월'!G6+'8월'!G6+'9월'!G6+'10월'!G6+'11월'!G6+'12월'!G6</f>
        <v>4935000</v>
      </c>
      <c r="H6" s="44">
        <f>'1월'!J6+'2월'!H6+'3월'!H6+'4월'!H6+'5월'!H6+'6월'!H6+'7월'!H6+'8월'!H6+'9월'!H6+'10월'!H6+'11월'!H6+'12월'!H6</f>
        <v>0</v>
      </c>
      <c r="I6" s="44">
        <f>'1월'!K6+'2월'!I6+'3월'!I6+'4월'!I6+'5월'!I6+'6월'!I6+'7월'!I6+'8월'!I6+'9월'!I6+'10월'!I6+'11월'!I6+'12월'!I6</f>
        <v>0</v>
      </c>
      <c r="J6" s="44">
        <f>'1월'!L6+'2월'!J6+'3월'!J6+'4월'!J6+'5월'!J6+'6월'!J6+'7월'!J6+'8월'!J6+'9월'!J6+'10월'!J6+'11월'!J6+'12월'!J6</f>
        <v>0</v>
      </c>
      <c r="K6" s="44">
        <f>'1월'!M6+'2월'!K6+'3월'!K6+'4월'!K6+'5월'!K6+'6월'!K6+'7월'!K6+'8월'!K6+'9월'!K6+'10월'!K6+'11월'!K6+'12월'!K6</f>
        <v>0</v>
      </c>
      <c r="L6" s="44">
        <f>'1월'!N6+'2월'!L6+'3월'!L6+'4월'!L6+'5월'!L6+'6월'!L6+'7월'!L6+'8월'!L6+'9월'!L6+'10월'!L6+'11월'!L6+'12월'!L6</f>
        <v>0</v>
      </c>
      <c r="M6" s="44">
        <f>'1월'!O6+'2월'!M6+'3월'!M6+'4월'!M6+'5월'!M6+'6월'!M6+'7월'!M6+'8월'!M6+'9월'!M6+'10월'!M6+'11월'!M6+'12월'!M6</f>
        <v>0</v>
      </c>
      <c r="O6" s="197">
        <f>IFERROR(VLOOKUP($A6,[1]플랫폼1!$A:$B,2,FALSE),0)</f>
        <v>0</v>
      </c>
      <c r="P6" s="197">
        <f>IFERROR(VLOOKUP($A6,[1]플랫폼2!$A:$M,12,FALSE),0)+IFERROR(VLOOKUP($A6,[1]플랫폼2!$A:$M,13,FALSE),0)</f>
        <v>0</v>
      </c>
      <c r="Q6" s="197">
        <f>IFERROR(VLOOKUP($A6,[1]플랫폼2!$A:$M,7,FALSE),0)+IFERROR(VLOOKUP($A6,[1]플랫폼2!$A:$M,12,FALSE),0)</f>
        <v>0</v>
      </c>
      <c r="R6" s="197">
        <f>IFERROR(VLOOKUP($A6,[1]모바일!$A:$S,17,FALSE),0)</f>
        <v>0</v>
      </c>
      <c r="S6" s="197">
        <f>IFERROR(VLOOKUP($A6,[1]모바일!$A:$S,18,FALSE),0)</f>
        <v>0</v>
      </c>
      <c r="T6" s="197">
        <f>IFERROR(VLOOKUP(A6,[1]플랫폼2!$A:$O,15,0),0)</f>
        <v>0</v>
      </c>
      <c r="U6" s="83"/>
      <c r="V6" s="28" t="s">
        <v>407</v>
      </c>
      <c r="W6" s="43">
        <f>O14</f>
        <v>1870069164</v>
      </c>
      <c r="X6" s="43">
        <f t="shared" ref="X6:AA6" si="5">P14</f>
        <v>905442987</v>
      </c>
      <c r="Y6" s="43">
        <f t="shared" si="5"/>
        <v>220883899</v>
      </c>
      <c r="Z6" s="43">
        <f t="shared" si="5"/>
        <v>0</v>
      </c>
      <c r="AA6" s="43">
        <f t="shared" si="5"/>
        <v>0</v>
      </c>
      <c r="AB6" s="83"/>
    </row>
    <row r="7" spans="1:28" ht="16" hidden="1" customHeight="1" outlineLevel="1" x14ac:dyDescent="0.45">
      <c r="A7" s="29" t="s">
        <v>170</v>
      </c>
      <c r="B7" s="44">
        <f>'1월'!B7+'2월'!B7+'3월'!B7+'4월'!B7+'5월'!B7+'6월'!B7+'7월'!B7+'8월'!B7+'9월'!B7+'10월'!B7+'11월'!B7+'12월'!B7</f>
        <v>0</v>
      </c>
      <c r="C7" s="44">
        <f>'1월'!C7+'2월'!C7+'3월'!C7+'4월'!C7+'5월'!C7+'6월'!C7+'7월'!C7+'8월'!C7+'9월'!C7+'10월'!C7+'11월'!C7+'12월'!C7</f>
        <v>0</v>
      </c>
      <c r="D7" s="44">
        <f>'1월'!D7+'2월'!D7+'3월'!D7+'4월'!D7+'5월'!D7+'6월'!D7+'7월'!D7+'8월'!D7+'9월'!D7+'10월'!D7+'11월'!D7+'12월'!D7</f>
        <v>0</v>
      </c>
      <c r="E7" s="44">
        <f>'1월'!E7+'2월'!E7+'3월'!E7+'4월'!E7+'5월'!E7+'6월'!E7+'7월'!E7+'8월'!E7+'9월'!E7+'10월'!E7+'11월'!E7+'12월'!E7</f>
        <v>0</v>
      </c>
      <c r="F7" s="44">
        <f>'1월'!F7+'2월'!F7+'3월'!F7+'4월'!F7+'5월'!F7+'6월'!F7+'7월'!F7+'8월'!F7+'9월'!F7+'10월'!F7+'11월'!F7+'12월'!F7</f>
        <v>0</v>
      </c>
      <c r="G7" s="44">
        <f>'1월'!H7+'2월'!G7+'3월'!G7+'4월'!G7+'5월'!G7+'6월'!G7+'7월'!G7+'8월'!G7+'9월'!G7+'10월'!G7+'11월'!G7+'12월'!G7</f>
        <v>0</v>
      </c>
      <c r="H7" s="44">
        <f>'1월'!J7+'2월'!H7+'3월'!H7+'4월'!H7+'5월'!H7+'6월'!H7+'7월'!H7+'8월'!H7+'9월'!H7+'10월'!H7+'11월'!H7+'12월'!H7</f>
        <v>0</v>
      </c>
      <c r="I7" s="44">
        <f>'1월'!K7+'2월'!I7+'3월'!I7+'4월'!I7+'5월'!I7+'6월'!I7+'7월'!I7+'8월'!I7+'9월'!I7+'10월'!I7+'11월'!I7+'12월'!I7</f>
        <v>0</v>
      </c>
      <c r="J7" s="44">
        <f>'1월'!L7+'2월'!J7+'3월'!J7+'4월'!J7+'5월'!J7+'6월'!J7+'7월'!J7+'8월'!J7+'9월'!J7+'10월'!J7+'11월'!J7+'12월'!J7</f>
        <v>0</v>
      </c>
      <c r="K7" s="44">
        <f>'1월'!M7+'2월'!K7+'3월'!K7+'4월'!K7+'5월'!K7+'6월'!K7+'7월'!K7+'8월'!K7+'9월'!K7+'10월'!K7+'11월'!K7+'12월'!K7</f>
        <v>0</v>
      </c>
      <c r="L7" s="44">
        <f>'1월'!N7+'2월'!L7+'3월'!L7+'4월'!L7+'5월'!L7+'6월'!L7+'7월'!L7+'8월'!L7+'9월'!L7+'10월'!L7+'11월'!L7+'12월'!L7</f>
        <v>0</v>
      </c>
      <c r="M7" s="44">
        <f>'1월'!O7+'2월'!M7+'3월'!M7+'4월'!M7+'5월'!M7+'6월'!M7+'7월'!M7+'8월'!M7+'9월'!M7+'10월'!M7+'11월'!M7+'12월'!M7</f>
        <v>0</v>
      </c>
      <c r="O7" s="197">
        <f>IFERROR(VLOOKUP($A7,[1]플랫폼1!$A:$B,2,FALSE),0)</f>
        <v>0</v>
      </c>
      <c r="P7" s="197">
        <f>IFERROR(VLOOKUP($A7,[1]플랫폼2!$A:$M,12,FALSE),0)+IFERROR(VLOOKUP($A7,[1]플랫폼2!$A:$M,13,FALSE),0)</f>
        <v>0</v>
      </c>
      <c r="Q7" s="197">
        <f>IFERROR(VLOOKUP($A7,[1]플랫폼2!$A:$M,7,FALSE),0)+IFERROR(VLOOKUP($A7,[1]플랫폼2!$A:$M,12,FALSE),0)</f>
        <v>0</v>
      </c>
      <c r="R7" s="197">
        <f>IFERROR(VLOOKUP($A7,[1]모바일!$A:$S,17,FALSE),0)</f>
        <v>0</v>
      </c>
      <c r="S7" s="197">
        <f>IFERROR(VLOOKUP($A7,[1]모바일!$A:$S,18,FALSE),0)</f>
        <v>0</v>
      </c>
      <c r="T7" s="197">
        <f>IFERROR(VLOOKUP(A7,[1]플랫폼2!$A:$O,15,0),0)</f>
        <v>0</v>
      </c>
      <c r="U7" s="83"/>
      <c r="V7" s="28" t="s">
        <v>408</v>
      </c>
      <c r="W7" s="43">
        <f>O16</f>
        <v>0</v>
      </c>
      <c r="X7" s="43">
        <f t="shared" ref="X7:AA7" si="6">P16</f>
        <v>0</v>
      </c>
      <c r="Y7" s="43">
        <f t="shared" si="6"/>
        <v>0</v>
      </c>
      <c r="Z7" s="43">
        <f t="shared" si="6"/>
        <v>0</v>
      </c>
      <c r="AA7" s="43">
        <f t="shared" si="6"/>
        <v>0</v>
      </c>
      <c r="AB7" s="83"/>
    </row>
    <row r="8" spans="1:28" ht="16" hidden="1" customHeight="1" outlineLevel="1" x14ac:dyDescent="0.45">
      <c r="A8" s="29" t="s">
        <v>4</v>
      </c>
      <c r="B8" s="44">
        <f>'1월'!B8+'2월'!B8+'3월'!B8+'4월'!B8+'5월'!B8+'6월'!B8+'7월'!B8+'8월'!B8+'9월'!B8+'10월'!B8+'11월'!B8+'12월'!B8</f>
        <v>298850591023</v>
      </c>
      <c r="C8" s="44">
        <f>'1월'!C8+'2월'!C8+'3월'!C8+'4월'!C8+'5월'!C8+'6월'!C8+'7월'!C8+'8월'!C8+'9월'!C8+'10월'!C8+'11월'!C8+'12월'!C8</f>
        <v>605789315</v>
      </c>
      <c r="D8" s="44">
        <f>'1월'!D8+'2월'!D8+'3월'!D8+'4월'!D8+'5월'!D8+'6월'!D8+'7월'!D8+'8월'!D8+'9월'!D8+'10월'!D8+'11월'!D8+'12월'!D8</f>
        <v>0</v>
      </c>
      <c r="E8" s="44">
        <f>'1월'!E8+'2월'!E8+'3월'!E8+'4월'!E8+'5월'!E8+'6월'!E8+'7월'!E8+'8월'!E8+'9월'!E8+'10월'!E8+'11월'!E8+'12월'!E8</f>
        <v>298244801708</v>
      </c>
      <c r="F8" s="44">
        <f>'1월'!F8+'2월'!F8+'3월'!F8+'4월'!F8+'5월'!F8+'6월'!F8+'7월'!F8+'8월'!F8+'9월'!F8+'10월'!F8+'11월'!F8+'12월'!F8</f>
        <v>169990202006</v>
      </c>
      <c r="G8" s="44">
        <f>'1월'!H8+'2월'!G8+'3월'!G8+'4월'!G8+'5월'!G8+'6월'!G8+'7월'!G8+'8월'!G8+'9월'!G8+'10월'!G8+'11월'!G8+'12월'!G8</f>
        <v>294294662</v>
      </c>
      <c r="H8" s="44">
        <f>'1월'!J8+'2월'!H8+'3월'!H8+'4월'!H8+'5월'!H8+'6월'!H8+'7월'!H8+'8월'!H8+'9월'!H8+'10월'!H8+'11월'!H8+'12월'!H8</f>
        <v>114400243123</v>
      </c>
      <c r="I8" s="44">
        <f>'1월'!K8+'2월'!I8+'3월'!I8+'4월'!I8+'5월'!I8+'6월'!I8+'7월'!I8+'8월'!I8+'9월'!I8+'10월'!I8+'11월'!I8+'12월'!I8</f>
        <v>3568957613</v>
      </c>
      <c r="J8" s="44">
        <f>'1월'!L8+'2월'!J8+'3월'!J8+'4월'!J8+'5월'!J8+'6월'!J8+'7월'!J8+'8월'!J8+'9월'!J8+'10월'!J8+'11월'!J8+'12월'!J8</f>
        <v>13329998</v>
      </c>
      <c r="K8" s="44">
        <f>'1월'!M8+'2월'!K8+'3월'!K8+'4월'!K8+'5월'!K8+'6월'!K8+'7월'!K8+'8월'!K8+'9월'!K8+'10월'!K8+'11월'!K8+'12월'!K8</f>
        <v>8706214016</v>
      </c>
      <c r="L8" s="44">
        <f>'1월'!N8+'2월'!L8+'3월'!L8+'4월'!L8+'5월'!L8+'6월'!L8+'7월'!L8+'8월'!L8+'9월'!L8+'10월'!L8+'11월'!L8+'12월'!L8</f>
        <v>1271560290</v>
      </c>
      <c r="M8" s="44">
        <f>'1월'!O8+'2월'!M8+'3월'!M8+'4월'!M8+'5월'!M8+'6월'!M8+'7월'!M8+'8월'!M8+'9월'!M8+'10월'!M8+'11월'!M8+'12월'!M8</f>
        <v>0</v>
      </c>
      <c r="O8" s="197">
        <f>IFERROR(VLOOKUP($A8,[1]플랫폼1!$A:$B,2,FALSE),0)</f>
        <v>0</v>
      </c>
      <c r="P8" s="197">
        <f>IFERROR(VLOOKUP($A8,[1]플랫폼2!$A:$M,12,FALSE),0)+IFERROR(VLOOKUP($A8,[1]플랫폼2!$A:$M,13,FALSE),0)</f>
        <v>0</v>
      </c>
      <c r="Q8" s="197">
        <f>IFERROR(VLOOKUP($A8,[1]플랫폼2!$A:$M,7,FALSE),0)+IFERROR(VLOOKUP($A8,[1]플랫폼2!$A:$M,12,FALSE),0)</f>
        <v>0</v>
      </c>
      <c r="R8" s="197">
        <f>IFERROR(VLOOKUP($A8,[1]모바일!$A:$S,17,FALSE),0)</f>
        <v>0</v>
      </c>
      <c r="S8" s="197">
        <f>IFERROR(VLOOKUP($A8,[1]모바일!$A:$S,18,FALSE),0)</f>
        <v>0</v>
      </c>
      <c r="T8" s="197">
        <f>IFERROR(VLOOKUP(A8,[1]플랫폼2!$A:$O,15,0),0)</f>
        <v>0</v>
      </c>
      <c r="U8" s="83"/>
      <c r="V8" s="28" t="s">
        <v>409</v>
      </c>
      <c r="W8" s="43">
        <f>O15</f>
        <v>255559642</v>
      </c>
      <c r="X8" s="43">
        <f>P15+P22</f>
        <v>224549034</v>
      </c>
      <c r="Y8" s="43">
        <f t="shared" ref="Y8:Z8" si="7">Q15</f>
        <v>48234364</v>
      </c>
      <c r="Z8" s="43">
        <f t="shared" si="7"/>
        <v>0</v>
      </c>
      <c r="AA8" s="43">
        <f>S22</f>
        <v>441954966</v>
      </c>
      <c r="AB8" s="83"/>
    </row>
    <row r="9" spans="1:28" ht="16" hidden="1" customHeight="1" outlineLevel="1" x14ac:dyDescent="0.45">
      <c r="A9" s="29" t="s">
        <v>5</v>
      </c>
      <c r="B9" s="44">
        <f>'1월'!B9+'2월'!B9+'3월'!B9+'4월'!B9+'5월'!B9+'6월'!B9+'7월'!B9+'8월'!B9+'9월'!B9+'10월'!B9+'11월'!B9+'12월'!B9</f>
        <v>3607447906</v>
      </c>
      <c r="C9" s="44">
        <f>'1월'!C9+'2월'!C9+'3월'!C9+'4월'!C9+'5월'!C9+'6월'!C9+'7월'!C9+'8월'!C9+'9월'!C9+'10월'!C9+'11월'!C9+'12월'!C9</f>
        <v>-7737093</v>
      </c>
      <c r="D9" s="44">
        <f>'1월'!D9+'2월'!D9+'3월'!D9+'4월'!D9+'5월'!D9+'6월'!D9+'7월'!D9+'8월'!D9+'9월'!D9+'10월'!D9+'11월'!D9+'12월'!D9</f>
        <v>17911642</v>
      </c>
      <c r="E9" s="44">
        <f>'1월'!E9+'2월'!E9+'3월'!E9+'4월'!E9+'5월'!E9+'6월'!E9+'7월'!E9+'8월'!E9+'9월'!E9+'10월'!E9+'11월'!E9+'12월'!E9</f>
        <v>3597273357</v>
      </c>
      <c r="F9" s="44">
        <f>'1월'!F9+'2월'!F9+'3월'!F9+'4월'!F9+'5월'!F9+'6월'!F9+'7월'!F9+'8월'!F9+'9월'!F9+'10월'!F9+'11월'!F9+'12월'!F9</f>
        <v>3011229218</v>
      </c>
      <c r="G9" s="44">
        <f>'1월'!H9+'2월'!G9+'3월'!G9+'4월'!G9+'5월'!G9+'6월'!G9+'7월'!G9+'8월'!G9+'9월'!G9+'10월'!G9+'11월'!G9+'12월'!G9</f>
        <v>2731455</v>
      </c>
      <c r="H9" s="44">
        <f>'1월'!J9+'2월'!H9+'3월'!H9+'4월'!H9+'5월'!H9+'6월'!H9+'7월'!H9+'8월'!H9+'9월'!H9+'10월'!H9+'11월'!H9+'12월'!H9</f>
        <v>141399046</v>
      </c>
      <c r="I9" s="44">
        <f>'1월'!K9+'2월'!I9+'3월'!I9+'4월'!I9+'5월'!I9+'6월'!I9+'7월'!I9+'8월'!I9+'9월'!I9+'10월'!I9+'11월'!I9+'12월'!I9</f>
        <v>11694091</v>
      </c>
      <c r="J9" s="44">
        <f>'1월'!L9+'2월'!J9+'3월'!J9+'4월'!J9+'5월'!J9+'6월'!J9+'7월'!J9+'8월'!J9+'9월'!J9+'10월'!J9+'11월'!J9+'12월'!J9</f>
        <v>0</v>
      </c>
      <c r="K9" s="44">
        <f>'1월'!M9+'2월'!K9+'3월'!K9+'4월'!K9+'5월'!K9+'6월'!K9+'7월'!K9+'8월'!K9+'9월'!K9+'10월'!K9+'11월'!K9+'12월'!K9</f>
        <v>10572255</v>
      </c>
      <c r="L9" s="44">
        <f>'1월'!N9+'2월'!L9+'3월'!L9+'4월'!L9+'5월'!L9+'6월'!L9+'7월'!L9+'8월'!L9+'9월'!L9+'10월'!L9+'11월'!L9+'12월'!L9</f>
        <v>12424000</v>
      </c>
      <c r="M9" s="44">
        <f>'1월'!O9+'2월'!M9+'3월'!M9+'4월'!M9+'5월'!M9+'6월'!M9+'7월'!M9+'8월'!M9+'9월'!M9+'10월'!M9+'11월'!M9+'12월'!M9</f>
        <v>407223292</v>
      </c>
      <c r="O9" s="197">
        <f>IFERROR(VLOOKUP($A9,[1]플랫폼1!$A:$B,2,FALSE),0)</f>
        <v>0</v>
      </c>
      <c r="P9" s="197">
        <f>IFERROR(VLOOKUP($A9,[1]플랫폼2!$A:$M,12,FALSE),0)+IFERROR(VLOOKUP($A9,[1]플랫폼2!$A:$M,13,FALSE),0)</f>
        <v>0</v>
      </c>
      <c r="Q9" s="197">
        <f>IFERROR(VLOOKUP($A9,[1]플랫폼2!$A:$M,7,FALSE),0)+IFERROR(VLOOKUP($A9,[1]플랫폼2!$A:$M,12,FALSE),0)</f>
        <v>0</v>
      </c>
      <c r="R9" s="197">
        <f>IFERROR(VLOOKUP($A9,[1]모바일!$A:$S,17,FALSE),0)</f>
        <v>0</v>
      </c>
      <c r="S9" s="197">
        <f>IFERROR(VLOOKUP($A9,[1]모바일!$A:$S,18,FALSE),0)</f>
        <v>0</v>
      </c>
      <c r="T9" s="197">
        <v>407223292</v>
      </c>
      <c r="U9" s="83"/>
      <c r="V9" s="27" t="s">
        <v>14</v>
      </c>
      <c r="W9" s="42">
        <f t="shared" si="0"/>
        <v>4110141099</v>
      </c>
      <c r="X9" s="42">
        <f t="shared" si="1"/>
        <v>7894223749</v>
      </c>
      <c r="Y9" s="42">
        <f t="shared" si="2"/>
        <v>29895506448</v>
      </c>
      <c r="Z9" s="42">
        <f t="shared" si="3"/>
        <v>728333.33333333337</v>
      </c>
      <c r="AA9" s="42">
        <f t="shared" si="4"/>
        <v>728333.33333333337</v>
      </c>
      <c r="AB9" s="83"/>
    </row>
    <row r="10" spans="1:28" ht="16" hidden="1" customHeight="1" outlineLevel="1" x14ac:dyDescent="0.45">
      <c r="A10" s="29" t="s">
        <v>118</v>
      </c>
      <c r="B10" s="44">
        <f>'1월'!B10+'2월'!B10+'3월'!B10+'4월'!B10+'5월'!B10+'6월'!B10+'7월'!B10+'8월'!B10+'9월'!B10+'10월'!B10+'11월'!B10+'12월'!B10</f>
        <v>2073581510</v>
      </c>
      <c r="C10" s="44">
        <f>'1월'!C10+'2월'!C10+'3월'!C10+'4월'!C10+'5월'!C10+'6월'!C10+'7월'!C10+'8월'!C10+'9월'!C10+'10월'!C10+'11월'!C10+'12월'!C10</f>
        <v>0</v>
      </c>
      <c r="D10" s="44">
        <f>'1월'!D10+'2월'!D10+'3월'!D10+'4월'!D10+'5월'!D10+'6월'!D10+'7월'!D10+'8월'!D10+'9월'!D10+'10월'!D10+'11월'!D10+'12월'!D10</f>
        <v>0</v>
      </c>
      <c r="E10" s="44">
        <f>'1월'!E10+'2월'!E10+'3월'!E10+'4월'!E10+'5월'!E10+'6월'!E10+'7월'!E10+'8월'!E10+'9월'!E10+'10월'!E10+'11월'!E10+'12월'!E10</f>
        <v>2073581510</v>
      </c>
      <c r="F10" s="44">
        <f>'1월'!F10+'2월'!F10+'3월'!F10+'4월'!F10+'5월'!F10+'6월'!F10+'7월'!F10+'8월'!F10+'9월'!F10+'10월'!F10+'11월'!F10+'12월'!F10</f>
        <v>0</v>
      </c>
      <c r="G10" s="44">
        <f>'1월'!H10+'2월'!G10+'3월'!G10+'4월'!G10+'5월'!G10+'6월'!G10+'7월'!G10+'8월'!G10+'9월'!G10+'10월'!G10+'11월'!G10+'12월'!G10</f>
        <v>0</v>
      </c>
      <c r="H10" s="44">
        <f>'1월'!J10+'2월'!H10+'3월'!H10+'4월'!H10+'5월'!H10+'6월'!H10+'7월'!H10+'8월'!H10+'9월'!H10+'10월'!H10+'11월'!H10+'12월'!H10</f>
        <v>1840800001</v>
      </c>
      <c r="I10" s="44">
        <f>'1월'!K10+'2월'!I10+'3월'!I10+'4월'!I10+'5월'!I10+'6월'!I10+'7월'!I10+'8월'!I10+'9월'!I10+'10월'!I10+'11월'!I10+'12월'!I10</f>
        <v>1849826</v>
      </c>
      <c r="J10" s="44">
        <f>'1월'!L10+'2월'!J10+'3월'!J10+'4월'!J10+'5월'!J10+'6월'!J10+'7월'!J10+'8월'!J10+'9월'!J10+'10월'!J10+'11월'!J10+'12월'!J10</f>
        <v>44716782</v>
      </c>
      <c r="K10" s="44">
        <f>'1월'!M10+'2월'!K10+'3월'!K10+'4월'!K10+'5월'!K10+'6월'!K10+'7월'!K10+'8월'!K10+'9월'!K10+'10월'!K10+'11월'!K10+'12월'!K10</f>
        <v>186214901</v>
      </c>
      <c r="L10" s="44">
        <f>'1월'!N10+'2월'!L10+'3월'!L10+'4월'!L10+'5월'!L10+'6월'!L10+'7월'!L10+'8월'!L10+'9월'!L10+'10월'!L10+'11월'!L10+'12월'!L10</f>
        <v>0</v>
      </c>
      <c r="M10" s="44">
        <f>'1월'!O10+'2월'!M10+'3월'!M10+'4월'!M10+'5월'!M10+'6월'!M10+'7월'!M10+'8월'!M10+'9월'!M10+'10월'!M10+'11월'!M10+'12월'!M10</f>
        <v>0</v>
      </c>
      <c r="O10" s="197">
        <f>IFERROR(VLOOKUP($A10,[1]플랫폼1!$A:$B,2,FALSE),0)</f>
        <v>0</v>
      </c>
      <c r="P10" s="197">
        <f>IFERROR(VLOOKUP($A10,[1]플랫폼2!$A:$M,12,FALSE),0)+IFERROR(VLOOKUP($A10,[1]플랫폼2!$A:$M,13,FALSE),0)</f>
        <v>0</v>
      </c>
      <c r="Q10" s="197">
        <f>IFERROR(VLOOKUP($A10,[1]플랫폼2!$A:$M,7,FALSE),0)+IFERROR(VLOOKUP($A10,[1]플랫폼2!$A:$M,12,FALSE),0)</f>
        <v>0</v>
      </c>
      <c r="R10" s="197">
        <f>IFERROR(VLOOKUP($A10,[1]모바일!$A:$S,17,FALSE),0)</f>
        <v>0</v>
      </c>
      <c r="S10" s="197">
        <f>IFERROR(VLOOKUP($A10,[1]모바일!$A:$S,18,FALSE),0)</f>
        <v>0</v>
      </c>
      <c r="T10" s="197">
        <f>IFERROR(VLOOKUP(A10,[1]플랫폼2!$A:$O,15,0),0)</f>
        <v>0</v>
      </c>
      <c r="U10" s="83"/>
      <c r="V10" s="27" t="s">
        <v>16</v>
      </c>
      <c r="W10" s="42">
        <f t="shared" si="0"/>
        <v>2572621219</v>
      </c>
      <c r="X10" s="42">
        <f t="shared" si="1"/>
        <v>2271025742</v>
      </c>
      <c r="Y10" s="42">
        <f t="shared" si="2"/>
        <v>7223920115</v>
      </c>
      <c r="Z10" s="42">
        <f t="shared" si="3"/>
        <v>356981666.66666669</v>
      </c>
      <c r="AA10" s="42">
        <f t="shared" si="4"/>
        <v>441226632.66666669</v>
      </c>
      <c r="AB10" s="83"/>
    </row>
    <row r="11" spans="1:28" ht="16" hidden="1" customHeight="1" outlineLevel="1" x14ac:dyDescent="0.45">
      <c r="A11" s="29" t="s">
        <v>6</v>
      </c>
      <c r="B11" s="44">
        <f>'1월'!B11+'2월'!B11+'3월'!B11+'4월'!B11+'5월'!B11+'6월'!B11+'7월'!B11+'8월'!B11+'9월'!B11+'10월'!B11+'11월'!B11+'12월'!B11</f>
        <v>4144008217</v>
      </c>
      <c r="C11" s="44">
        <f>'1월'!C11+'2월'!C11+'3월'!C11+'4월'!C11+'5월'!C11+'6월'!C11+'7월'!C11+'8월'!C11+'9월'!C11+'10월'!C11+'11월'!C11+'12월'!C11</f>
        <v>2850728</v>
      </c>
      <c r="D11" s="44">
        <f>'1월'!D11+'2월'!D11+'3월'!D11+'4월'!D11+'5월'!D11+'6월'!D11+'7월'!D11+'8월'!D11+'9월'!D11+'10월'!D11+'11월'!D11+'12월'!D11</f>
        <v>0</v>
      </c>
      <c r="E11" s="44">
        <f>'1월'!E11+'2월'!E11+'3월'!E11+'4월'!E11+'5월'!E11+'6월'!E11+'7월'!E11+'8월'!E11+'9월'!E11+'10월'!E11+'11월'!E11+'12월'!E11</f>
        <v>4141157489</v>
      </c>
      <c r="F11" s="44">
        <f>'1월'!F11+'2월'!F11+'3월'!F11+'4월'!F11+'5월'!F11+'6월'!F11+'7월'!F11+'8월'!F11+'9월'!F11+'10월'!F11+'11월'!F11+'12월'!F11</f>
        <v>3432162383</v>
      </c>
      <c r="G11" s="44">
        <f>'1월'!H11+'2월'!G11+'3월'!G11+'4월'!G11+'5월'!G11+'6월'!G11+'7월'!G11+'8월'!G11+'9월'!G11+'10월'!G11+'11월'!G11+'12월'!G11</f>
        <v>0</v>
      </c>
      <c r="H11" s="44">
        <f>'1월'!J11+'2월'!H11+'3월'!H11+'4월'!H11+'5월'!H11+'6월'!H11+'7월'!H11+'8월'!H11+'9월'!H11+'10월'!H11+'11월'!H11+'12월'!H11</f>
        <v>708995106</v>
      </c>
      <c r="I11" s="44">
        <f>'1월'!K11+'2월'!I11+'3월'!I11+'4월'!I11+'5월'!I11+'6월'!I11+'7월'!I11+'8월'!I11+'9월'!I11+'10월'!I11+'11월'!I11+'12월'!I11</f>
        <v>0</v>
      </c>
      <c r="J11" s="44">
        <f>'1월'!L11+'2월'!J11+'3월'!J11+'4월'!J11+'5월'!J11+'6월'!J11+'7월'!J11+'8월'!J11+'9월'!J11+'10월'!J11+'11월'!J11+'12월'!J11</f>
        <v>0</v>
      </c>
      <c r="K11" s="44">
        <f>'1월'!M11+'2월'!K11+'3월'!K11+'4월'!K11+'5월'!K11+'6월'!K11+'7월'!K11+'8월'!K11+'9월'!K11+'10월'!K11+'11월'!K11+'12월'!K11</f>
        <v>0</v>
      </c>
      <c r="L11" s="44">
        <f>'1월'!N11+'2월'!L11+'3월'!L11+'4월'!L11+'5월'!L11+'6월'!L11+'7월'!L11+'8월'!L11+'9월'!L11+'10월'!L11+'11월'!L11+'12월'!L11</f>
        <v>0</v>
      </c>
      <c r="M11" s="44">
        <f>'1월'!O11+'2월'!M11+'3월'!M11+'4월'!M11+'5월'!M11+'6월'!M11+'7월'!M11+'8월'!M11+'9월'!M11+'10월'!M11+'11월'!M11+'12월'!M11</f>
        <v>0</v>
      </c>
      <c r="O11" s="197">
        <f>IFERROR(VLOOKUP($A11,[1]플랫폼1!$A:$B,2,FALSE),0)</f>
        <v>0</v>
      </c>
      <c r="P11" s="197">
        <f>IFERROR(VLOOKUP($A11,[1]플랫폼2!$A:$M,12,FALSE),0)+IFERROR(VLOOKUP($A11,[1]플랫폼2!$A:$M,13,FALSE),0)</f>
        <v>0</v>
      </c>
      <c r="Q11" s="197">
        <f>IFERROR(VLOOKUP($A11,[1]플랫폼2!$A:$M,7,FALSE),0)+IFERROR(VLOOKUP($A11,[1]플랫폼2!$A:$M,12,FALSE),0)</f>
        <v>0</v>
      </c>
      <c r="R11" s="197">
        <f>IFERROR(VLOOKUP($A11,[1]모바일!$A:$S,17,FALSE),0)</f>
        <v>0</v>
      </c>
      <c r="S11" s="197">
        <f>IFERROR(VLOOKUP($A11,[1]모바일!$A:$S,18,FALSE),0)</f>
        <v>0</v>
      </c>
      <c r="T11" s="197">
        <f>IFERROR(VLOOKUP(A11,[1]플랫폼2!$A:$O,15,0),0)</f>
        <v>0</v>
      </c>
      <c r="U11" s="83"/>
      <c r="V11" s="27" t="s">
        <v>17</v>
      </c>
      <c r="W11" s="42">
        <f t="shared" si="0"/>
        <v>2870898509</v>
      </c>
      <c r="X11" s="42">
        <f t="shared" si="1"/>
        <v>1864003365</v>
      </c>
      <c r="Y11" s="42">
        <f t="shared" si="2"/>
        <v>1362120999</v>
      </c>
      <c r="Z11" s="42">
        <f t="shared" si="3"/>
        <v>311500637.5</v>
      </c>
      <c r="AA11" s="42">
        <f t="shared" si="4"/>
        <v>171683883.5</v>
      </c>
      <c r="AB11" s="83"/>
    </row>
    <row r="12" spans="1:28" ht="16" hidden="1" customHeight="1" outlineLevel="1" x14ac:dyDescent="0.45">
      <c r="A12" s="24" t="s">
        <v>299</v>
      </c>
      <c r="B12" s="45">
        <f>'1월'!B12+'2월'!B12+'3월'!B12+'4월'!B12+'5월'!B12+'6월'!B12+'7월'!B12+'8월'!B12+'9월'!B12+'10월'!B12+'11월'!B12+'12월'!B12</f>
        <v>4569894180</v>
      </c>
      <c r="C12" s="45">
        <f>'1월'!C12+'2월'!C12+'3월'!C12+'4월'!C12+'5월'!C12+'6월'!C12+'7월'!C12+'8월'!C12+'9월'!C12+'10월'!C12+'11월'!C12+'12월'!C12</f>
        <v>2833400</v>
      </c>
      <c r="D12" s="45">
        <f>'1월'!D12+'2월'!D12+'3월'!D12+'4월'!D12+'5월'!D12+'6월'!D12+'7월'!D12+'8월'!D12+'9월'!D12+'10월'!D12+'11월'!D12+'12월'!D12</f>
        <v>0</v>
      </c>
      <c r="E12" s="45">
        <f>'1월'!E12+'2월'!E12+'3월'!E12+'4월'!E12+'5월'!E12+'6월'!E12+'7월'!E12+'8월'!E12+'9월'!E12+'10월'!E12+'11월'!E12+'12월'!E12</f>
        <v>4567060780</v>
      </c>
      <c r="F12" s="45">
        <f>'1월'!F12+'2월'!F12+'3월'!F12+'4월'!F12+'5월'!F12+'6월'!F12+'7월'!F12+'8월'!F12+'9월'!F12+'10월'!F12+'11월'!F12+'12월'!F12</f>
        <v>0</v>
      </c>
      <c r="G12" s="45">
        <f>'1월'!H12+'2월'!G12+'3월'!G12+'4월'!G12+'5월'!G12+'6월'!G12+'7월'!G12+'8월'!G12+'9월'!G12+'10월'!G12+'11월'!G12+'12월'!G12</f>
        <v>0</v>
      </c>
      <c r="H12" s="45">
        <f>'1월'!J12+'2월'!H12+'3월'!H12+'4월'!H12+'5월'!H12+'6월'!H12+'7월'!H12+'8월'!H12+'9월'!H12+'10월'!H12+'11월'!H12+'12월'!H12</f>
        <v>0</v>
      </c>
      <c r="I12" s="45">
        <f>'1월'!K12+'2월'!I12+'3월'!I12+'4월'!I12+'5월'!I12+'6월'!I12+'7월'!I12+'8월'!I12+'9월'!I12+'10월'!I12+'11월'!I12+'12월'!I12</f>
        <v>0</v>
      </c>
      <c r="J12" s="45">
        <f>'1월'!L12+'2월'!J12+'3월'!J12+'4월'!J12+'5월'!J12+'6월'!J12+'7월'!J12+'8월'!J12+'9월'!J12+'10월'!J12+'11월'!J12+'12월'!J12</f>
        <v>0</v>
      </c>
      <c r="K12" s="45">
        <f>'1월'!M12+'2월'!K12+'3월'!K12+'4월'!K12+'5월'!K12+'6월'!K12+'7월'!K12+'8월'!K12+'9월'!K12+'10월'!K12+'11월'!K12+'12월'!K12</f>
        <v>0</v>
      </c>
      <c r="L12" s="45">
        <f>'1월'!N12+'2월'!L12+'3월'!L12+'4월'!L12+'5월'!L12+'6월'!L12+'7월'!L12+'8월'!L12+'9월'!L12+'10월'!L12+'11월'!L12+'12월'!L12</f>
        <v>0</v>
      </c>
      <c r="M12" s="45">
        <f>'1월'!O12+'2월'!M12+'3월'!M12+'4월'!M12+'5월'!M12+'6월'!M12+'7월'!M12+'8월'!M12+'9월'!M12+'10월'!M12+'11월'!M12+'12월'!M12</f>
        <v>4567060780</v>
      </c>
      <c r="O12" s="197">
        <f>IFERROR(VLOOKUP($A12,[1]플랫폼1!$A:$B,2,FALSE),0)</f>
        <v>4557133512</v>
      </c>
      <c r="P12" s="197">
        <f>IFERROR(VLOOKUP($A12,[1]플랫폼2!$A:$M,12,FALSE),0)+IFERROR(VLOOKUP($A12,[1]플랫폼2!$A:$M,13,FALSE),0)</f>
        <v>0</v>
      </c>
      <c r="Q12" s="197">
        <f>IFERROR(VLOOKUP($A12,[1]플랫폼2!$A:$M,7,FALSE),0)+IFERROR(VLOOKUP($A12,[1]플랫폼2!$A:$M,12,FALSE),0)</f>
        <v>9927268</v>
      </c>
      <c r="R12" s="197">
        <f>IFERROR(VLOOKUP($A12,[1]모바일!$A:$S,17,FALSE),0)</f>
        <v>0</v>
      </c>
      <c r="S12" s="197">
        <f>IFERROR(VLOOKUP($A12,[1]모바일!$A:$S,18,FALSE),0)</f>
        <v>0</v>
      </c>
      <c r="T12" s="197">
        <f>IFERROR(VLOOKUP(A12,[1]플랫폼2!$A:$O,15,0),0)</f>
        <v>0</v>
      </c>
      <c r="U12" s="83"/>
      <c r="V12" s="28" t="s">
        <v>410</v>
      </c>
      <c r="W12" s="43">
        <f>O29+O30+O63+O70+O71+O73+O74</f>
        <v>362867576</v>
      </c>
      <c r="X12" s="43">
        <f t="shared" ref="X12:AA12" si="8">P29+P30+P63+P70+P71+P73+P74</f>
        <v>261406347.5</v>
      </c>
      <c r="Y12" s="43">
        <f t="shared" si="8"/>
        <v>261406347.5</v>
      </c>
      <c r="Z12" s="43">
        <f t="shared" si="8"/>
        <v>37300457.916666664</v>
      </c>
      <c r="AA12" s="43">
        <f t="shared" si="8"/>
        <v>37300457.916666664</v>
      </c>
      <c r="AB12" s="83"/>
    </row>
    <row r="13" spans="1:28" s="1" customFormat="1" collapsed="1" x14ac:dyDescent="0.45">
      <c r="A13" s="28" t="s">
        <v>7</v>
      </c>
      <c r="B13" s="43">
        <f>'1월'!B13+'2월'!B13+'3월'!B13+'4월'!B13+'5월'!B13+'6월'!B13+'7월'!B13+'8월'!B13+'9월'!B13+'10월'!B13+'11월'!B13+'12월'!B13</f>
        <v>285761962054</v>
      </c>
      <c r="C13" s="43">
        <f>'1월'!C13+'2월'!C13+'3월'!C13+'4월'!C13+'5월'!C13+'6월'!C13+'7월'!C13+'8월'!C13+'9월'!C13+'10월'!C13+'11월'!C13+'12월'!C13</f>
        <v>-22215038758</v>
      </c>
      <c r="D13" s="43">
        <f>'1월'!D13+'2월'!D13+'3월'!D13+'4월'!D13+'5월'!D13+'6월'!D13+'7월'!D13+'8월'!D13+'9월'!D13+'10월'!D13+'11월'!D13+'12월'!D13</f>
        <v>1575949636</v>
      </c>
      <c r="E13" s="43">
        <f>'1월'!E13+'2월'!E13+'3월'!E13+'4월'!E13+'5월'!E13+'6월'!E13+'7월'!E13+'8월'!E13+'9월'!E13+'10월'!E13+'11월'!E13+'12월'!E13</f>
        <v>306401051176</v>
      </c>
      <c r="F13" s="43">
        <f>'1월'!F13+'2월'!F13+'3월'!F13+'4월'!F13+'5월'!F13+'6월'!F13+'7월'!F13+'8월'!F13+'9월'!F13+'10월'!F13+'11월'!F13+'12월'!F13</f>
        <v>157822237583.25433</v>
      </c>
      <c r="G13" s="43">
        <f>'1월'!H13+'2월'!G13+'3월'!G13+'4월'!G13+'5월'!G13+'6월'!G13+'7월'!G13+'8월'!G13+'9월'!G13+'10월'!G13+'11월'!G13+'12월'!G13</f>
        <v>42966235763.745651</v>
      </c>
      <c r="H13" s="43">
        <f>'1월'!J13+'2월'!H13+'3월'!H13+'4월'!H13+'5월'!H13+'6월'!H13+'7월'!H13+'8월'!H13+'9월'!H13+'10월'!H13+'11월'!H13+'12월'!H13</f>
        <v>53014878617</v>
      </c>
      <c r="I13" s="43">
        <f>'1월'!K13+'2월'!I13+'3월'!I13+'4월'!I13+'5월'!I13+'6월'!I13+'7월'!I13+'8월'!I13+'9월'!I13+'10월'!I13+'11월'!I13+'12월'!I13</f>
        <v>9038659980</v>
      </c>
      <c r="J13" s="43">
        <f>'1월'!L13+'2월'!J13+'3월'!J13+'4월'!J13+'5월'!J13+'6월'!J13+'7월'!J13+'8월'!J13+'9월'!J13+'10월'!J13+'11월'!J13+'12월'!J13</f>
        <v>8969674721</v>
      </c>
      <c r="K13" s="43">
        <f>'1월'!M13+'2월'!K13+'3월'!K13+'4월'!K13+'5월'!K13+'6월'!K13+'7월'!K13+'8월'!K13+'9월'!K13+'10월'!K13+'11월'!K13+'12월'!K13</f>
        <v>14940053707</v>
      </c>
      <c r="L13" s="43">
        <f>'1월'!N13+'2월'!L13+'3월'!L13+'4월'!L13+'5월'!L13+'6월'!L13+'7월'!L13+'8월'!L13+'9월'!L13+'10월'!L13+'11월'!L13+'12월'!L13</f>
        <v>15006724930</v>
      </c>
      <c r="M13" s="43">
        <f>'1월'!O13+'2월'!M13+'3월'!M13+'4월'!M13+'5월'!M13+'6월'!M13+'7월'!M13+'8월'!M13+'9월'!M13+'10월'!M13+'11월'!M13+'12월'!M13</f>
        <v>4642585874</v>
      </c>
      <c r="O13" s="196">
        <f>IFERROR(VLOOKUP($A13,[1]플랫폼1!$A:$B,2,FALSE),0)</f>
        <v>2125628806</v>
      </c>
      <c r="P13" s="196">
        <f>IFERROR(VLOOKUP($A13,[1]플랫폼2!$A:$M,12,FALSE),0)+IFERROR(VLOOKUP($A13,[1]플랫폼2!$A:$M,13,FALSE),0)</f>
        <v>1129992021</v>
      </c>
      <c r="Q13" s="196">
        <f>IFERROR(VLOOKUP($A13,[1]플랫폼2!$A:$M,7,FALSE),0)+IFERROR(VLOOKUP($A13,[1]플랫폼2!$A:$M,12,FALSE),0)</f>
        <v>269118263</v>
      </c>
      <c r="R13" s="196">
        <f>IFERROR(VLOOKUP($A13,[1]모바일!$A:$S,17,FALSE),0)</f>
        <v>357710000</v>
      </c>
      <c r="S13" s="196">
        <f>IFERROR(VLOOKUP($A13,[1]모바일!$A:$S,18,FALSE),0)</f>
        <v>441954966</v>
      </c>
      <c r="T13" s="196">
        <f>IFERROR(VLOOKUP(A13,[1]플랫폼2!$A:$O,15,0),0)</f>
        <v>318181818</v>
      </c>
      <c r="U13" s="83"/>
      <c r="V13" s="28" t="s">
        <v>411</v>
      </c>
      <c r="W13" s="43">
        <f>O217+O215+O229</f>
        <v>142022820</v>
      </c>
      <c r="X13" s="43">
        <f>P217+P215+P229</f>
        <v>138023550.5</v>
      </c>
      <c r="Y13" s="43">
        <f t="shared" ref="Y13:AA13" si="9">Q217+Q215+Q229</f>
        <v>141179930.5</v>
      </c>
      <c r="Z13" s="43">
        <f>R217+R215+R229</f>
        <v>2167737</v>
      </c>
      <c r="AA13" s="43">
        <f t="shared" si="9"/>
        <v>2167737</v>
      </c>
      <c r="AB13" s="83"/>
    </row>
    <row r="14" spans="1:28" ht="16" hidden="1" customHeight="1" outlineLevel="1" x14ac:dyDescent="0.45">
      <c r="A14" s="24" t="s">
        <v>8</v>
      </c>
      <c r="B14" s="45">
        <f>'1월'!B14+'2월'!B14+'3월'!B14+'4월'!B14+'5월'!B14+'6월'!B14+'7월'!B14+'8월'!B14+'9월'!B14+'10월'!B14+'11월'!B14+'12월'!B14</f>
        <v>159859732685</v>
      </c>
      <c r="C14" s="45">
        <f>'1월'!C14+'2월'!C14+'3월'!C14+'4월'!C14+'5월'!C14+'6월'!C14+'7월'!C14+'8월'!C14+'9월'!C14+'10월'!C14+'11월'!C14+'12월'!C14</f>
        <v>217903319</v>
      </c>
      <c r="D14" s="45">
        <f>'1월'!D14+'2월'!D14+'3월'!D14+'4월'!D14+'5월'!D14+'6월'!D14+'7월'!D14+'8월'!D14+'9월'!D14+'10월'!D14+'11월'!D14+'12월'!D14</f>
        <v>16381820</v>
      </c>
      <c r="E14" s="45">
        <f>'1월'!E14+'2월'!E14+'3월'!E14+'4월'!E14+'5월'!E14+'6월'!E14+'7월'!E14+'8월'!E14+'9월'!E14+'10월'!E14+'11월'!E14+'12월'!E14</f>
        <v>159625447546</v>
      </c>
      <c r="F14" s="45">
        <f>'1월'!F14+'2월'!F14+'3월'!F14+'4월'!F14+'5월'!F14+'6월'!F14+'7월'!F14+'8월'!F14+'9월'!F14+'10월'!F14+'11월'!F14+'12월'!F14</f>
        <v>97276204773.935608</v>
      </c>
      <c r="G14" s="45">
        <f>'1월'!H14+'2월'!G14+'3월'!G14+'4월'!G14+'5월'!G14+'6월'!G14+'7월'!G14+'8월'!G14+'9월'!G14+'10월'!G14+'11월'!G14+'12월'!G14</f>
        <v>1448664089.0643845</v>
      </c>
      <c r="H14" s="45">
        <f>'1월'!J14+'2월'!H14+'3월'!H14+'4월'!H14+'5월'!H14+'6월'!H14+'7월'!H14+'8월'!H14+'9월'!H14+'10월'!H14+'11월'!H14+'12월'!H14</f>
        <v>32359921971</v>
      </c>
      <c r="I14" s="45">
        <f>'1월'!K14+'2월'!I14+'3월'!I14+'4월'!I14+'5월'!I14+'6월'!I14+'7월'!I14+'8월'!I14+'9월'!I14+'10월'!I14+'11월'!I14+'12월'!I14</f>
        <v>6296962972</v>
      </c>
      <c r="J14" s="45">
        <f>'1월'!L14+'2월'!J14+'3월'!J14+'4월'!J14+'5월'!J14+'6월'!J14+'7월'!J14+'8월'!J14+'9월'!J14+'10월'!J14+'11월'!J14+'12월'!J14</f>
        <v>7108576733</v>
      </c>
      <c r="K14" s="45">
        <f>'1월'!M14+'2월'!K14+'3월'!K14+'4월'!K14+'5월'!K14+'6월'!K14+'7월'!K14+'8월'!K14+'9월'!K14+'10월'!K14+'11월'!K14+'12월'!K14</f>
        <v>10924392547</v>
      </c>
      <c r="L14" s="45">
        <f>'1월'!N14+'2월'!L14+'3월'!L14+'4월'!L14+'5월'!L14+'6월'!L14+'7월'!L14+'8월'!L14+'9월'!L14+'10월'!L14+'11월'!L14+'12월'!L14</f>
        <v>896146592</v>
      </c>
      <c r="M14" s="45">
        <f>'1월'!O14+'2월'!M14+'3월'!M14+'4월'!M14+'5월'!M14+'6월'!M14+'7월'!M14+'8월'!M14+'9월'!M14+'10월'!M14+'11월'!M14+'12월'!M14</f>
        <v>3314577868</v>
      </c>
      <c r="O14" s="44">
        <f>IFERROR(VLOOKUP($A14,[1]플랫폼1!$A:$B,2,FALSE),0)</f>
        <v>1870069164</v>
      </c>
      <c r="P14" s="44">
        <f>IFERROR(VLOOKUP($A14,[1]플랫폼2!$A:$M,12,FALSE),0)+IFERROR(VLOOKUP($A14,[1]플랫폼2!$A:$M,13,FALSE),0)</f>
        <v>905442987</v>
      </c>
      <c r="Q14" s="44">
        <f>IFERROR(VLOOKUP($A14,[1]플랫폼2!$A:$M,7,FALSE),0)+IFERROR(VLOOKUP($A14,[1]플랫폼2!$A:$M,12,FALSE),0)</f>
        <v>220883899</v>
      </c>
      <c r="R14" s="44">
        <f>IFERROR(VLOOKUP($A14,[1]모바일!$A:$S,17,FALSE),0)</f>
        <v>0</v>
      </c>
      <c r="S14" s="44">
        <f>IFERROR(VLOOKUP($A14,[1]모바일!$A:$S,18,FALSE),0)</f>
        <v>0</v>
      </c>
      <c r="T14" s="44">
        <f>IFERROR(VLOOKUP(A14,[1]플랫폼2!$A:$O,15,0),0)</f>
        <v>318181818</v>
      </c>
      <c r="U14" s="83"/>
      <c r="V14" s="28" t="s">
        <v>412</v>
      </c>
      <c r="W14" s="43">
        <f>O142+O133</f>
        <v>0</v>
      </c>
      <c r="X14" s="43">
        <f t="shared" ref="X14:AA14" si="10">P142+P133</f>
        <v>17929443</v>
      </c>
      <c r="Y14" s="43">
        <f t="shared" si="10"/>
        <v>32369094</v>
      </c>
      <c r="Z14" s="43">
        <f t="shared" si="10"/>
        <v>18795740</v>
      </c>
      <c r="AA14" s="43">
        <f t="shared" si="10"/>
        <v>26627313</v>
      </c>
      <c r="AB14" s="83"/>
    </row>
    <row r="15" spans="1:28" ht="16" hidden="1" customHeight="1" outlineLevel="1" x14ac:dyDescent="0.45">
      <c r="A15" s="29" t="s">
        <v>9</v>
      </c>
      <c r="B15" s="44">
        <f>'1월'!B15+'2월'!B15+'3월'!B15+'4월'!B15+'5월'!B15+'6월'!B15+'7월'!B15+'8월'!B15+'9월'!B15+'10월'!B15+'11월'!B15+'12월'!B15</f>
        <v>2592202339</v>
      </c>
      <c r="C15" s="44">
        <f>'1월'!C15+'2월'!C15+'3월'!C15+'4월'!C15+'5월'!C15+'6월'!C15+'7월'!C15+'8월'!C15+'9월'!C15+'10월'!C15+'11월'!C15+'12월'!C15</f>
        <v>1030531090</v>
      </c>
      <c r="D15" s="44">
        <f>'1월'!D15+'2월'!D15+'3월'!D15+'4월'!D15+'5월'!D15+'6월'!D15+'7월'!D15+'8월'!D15+'9월'!D15+'10월'!D15+'11월'!D15+'12월'!D15</f>
        <v>-15158638</v>
      </c>
      <c r="E15" s="44">
        <f>'1월'!E15+'2월'!E15+'3월'!E15+'4월'!E15+'5월'!E15+'6월'!E15+'7월'!E15+'8월'!E15+'9월'!E15+'10월'!E15+'11월'!E15+'12월'!E15</f>
        <v>1576829887</v>
      </c>
      <c r="F15" s="44">
        <f>'1월'!F15+'2월'!F15+'3월'!F15+'4월'!F15+'5월'!F15+'6월'!F15+'7월'!F15+'8월'!F15+'9월'!F15+'10월'!F15+'11월'!F15+'12월'!F15</f>
        <v>218321943</v>
      </c>
      <c r="G15" s="44">
        <f>'1월'!H15+'2월'!G15+'3월'!G15+'4월'!G15+'5월'!G15+'6월'!G15+'7월'!G15+'8월'!G15+'9월'!G15+'10월'!G15+'11월'!G15+'12월'!G15</f>
        <v>6272727</v>
      </c>
      <c r="H15" s="44">
        <f>'1월'!J15+'2월'!H15+'3월'!H15+'4월'!H15+'5월'!H15+'6월'!H15+'7월'!H15+'8월'!H15+'9월'!H15+'10월'!H15+'11월'!H15+'12월'!H15</f>
        <v>157286169</v>
      </c>
      <c r="I15" s="44">
        <f>'1월'!K15+'2월'!I15+'3월'!I15+'4월'!I15+'5월'!I15+'6월'!I15+'7월'!I15+'8월'!I15+'9월'!I15+'10월'!I15+'11월'!I15+'12월'!I15</f>
        <v>0</v>
      </c>
      <c r="J15" s="44">
        <f>'1월'!L15+'2월'!J15+'3월'!J15+'4월'!J15+'5월'!J15+'6월'!J15+'7월'!J15+'8월'!J15+'9월'!J15+'10월'!J15+'11월'!J15+'12월'!J15</f>
        <v>27989232</v>
      </c>
      <c r="K15" s="44">
        <f>'1월'!M15+'2월'!K15+'3월'!K15+'4월'!K15+'5월'!K15+'6월'!K15+'7월'!K15+'8월'!K15+'9월'!K15+'10월'!K15+'11월'!K15+'12월'!K15</f>
        <v>0</v>
      </c>
      <c r="L15" s="44">
        <f>'1월'!N15+'2월'!L15+'3월'!L15+'4월'!L15+'5월'!L15+'6월'!L15+'7월'!L15+'8월'!L15+'9월'!L15+'10월'!L15+'11월'!L15+'12월'!L15</f>
        <v>861071810</v>
      </c>
      <c r="M15" s="44">
        <f>'1월'!O15+'2월'!M15+'3월'!M15+'4월'!M15+'5월'!M15+'6월'!M15+'7월'!M15+'8월'!M15+'9월'!M15+'10월'!M15+'11월'!M15+'12월'!M15</f>
        <v>305888006</v>
      </c>
      <c r="O15" s="44">
        <f>IFERROR(VLOOKUP($A15,[1]플랫폼1!$A:$B,2,FALSE),0)</f>
        <v>255559642</v>
      </c>
      <c r="P15" s="44">
        <f>IFERROR(VLOOKUP($A15,[1]플랫폼2!$A:$M,12,FALSE),0)+IFERROR(VLOOKUP($A15,[1]플랫폼2!$A:$M,13,FALSE),0)</f>
        <v>2094000</v>
      </c>
      <c r="Q15" s="44">
        <f>IFERROR(VLOOKUP($A15,[1]플랫폼2!$A:$M,7,FALSE),0)+IFERROR(VLOOKUP($A15,[1]플랫폼2!$A:$M,12,FALSE),0)</f>
        <v>48234364</v>
      </c>
      <c r="R15" s="44">
        <f>IFERROR(VLOOKUP($A15,[1]모바일!$A:$S,17,FALSE),0)</f>
        <v>0</v>
      </c>
      <c r="S15" s="44">
        <f>IFERROR(VLOOKUP($A15,[1]모바일!$A:$S,18,FALSE),0)</f>
        <v>0</v>
      </c>
      <c r="T15" s="44">
        <f>IFERROR(VLOOKUP(A15,[1]플랫폼2!$A:$O,15,0),0)</f>
        <v>0</v>
      </c>
      <c r="U15" s="83"/>
      <c r="V15" s="28" t="s">
        <v>413</v>
      </c>
      <c r="W15" s="43">
        <f>O141+O238</f>
        <v>30000000</v>
      </c>
      <c r="X15" s="43">
        <f t="shared" ref="X15:AA15" si="11">P141+P238</f>
        <v>319799989</v>
      </c>
      <c r="Y15" s="43">
        <f t="shared" si="11"/>
        <v>0</v>
      </c>
      <c r="Z15" s="43">
        <f t="shared" si="11"/>
        <v>0</v>
      </c>
      <c r="AA15" s="43">
        <f t="shared" si="11"/>
        <v>0</v>
      </c>
      <c r="AB15" s="83"/>
    </row>
    <row r="16" spans="1:28" ht="16" hidden="1" customHeight="1" outlineLevel="1" x14ac:dyDescent="0.45">
      <c r="A16" s="29" t="s">
        <v>10</v>
      </c>
      <c r="B16" s="44">
        <f>'1월'!B16+'2월'!B16+'3월'!B16+'4월'!B16+'5월'!B16+'6월'!B16+'7월'!B16+'8월'!B16+'9월'!B16+'10월'!B16+'11월'!B16+'12월'!B16</f>
        <v>52505720873</v>
      </c>
      <c r="C16" s="44">
        <f>'1월'!C16+'2월'!C16+'3월'!C16+'4월'!C16+'5월'!C16+'6월'!C16+'7월'!C16+'8월'!C16+'9월'!C16+'10월'!C16+'11월'!C16+'12월'!C16</f>
        <v>-135643018</v>
      </c>
      <c r="D16" s="44">
        <f>'1월'!D16+'2월'!D16+'3월'!D16+'4월'!D16+'5월'!D16+'6월'!D16+'7월'!D16+'8월'!D16+'9월'!D16+'10월'!D16+'11월'!D16+'12월'!D16</f>
        <v>0</v>
      </c>
      <c r="E16" s="44">
        <f>'1월'!E16+'2월'!E16+'3월'!E16+'4월'!E16+'5월'!E16+'6월'!E16+'7월'!E16+'8월'!E16+'9월'!E16+'10월'!E16+'11월'!E16+'12월'!E16</f>
        <v>52641363891</v>
      </c>
      <c r="F16" s="44">
        <f>'1월'!F16+'2월'!F16+'3월'!F16+'4월'!F16+'5월'!F16+'6월'!F16+'7월'!F16+'8월'!F16+'9월'!F16+'10월'!F16+'11월'!F16+'12월'!F16</f>
        <v>29908803005.483204</v>
      </c>
      <c r="G16" s="44">
        <f>'1월'!H16+'2월'!G16+'3월'!G16+'4월'!G16+'5월'!G16+'6월'!G16+'7월'!G16+'8월'!G16+'9월'!G16+'10월'!G16+'11월'!G16+'12월'!G16</f>
        <v>9873170493.5167961</v>
      </c>
      <c r="H16" s="44">
        <f>'1월'!J16+'2월'!H16+'3월'!H16+'4월'!H16+'5월'!H16+'6월'!H16+'7월'!H16+'8월'!H16+'9월'!H16+'10월'!H16+'11월'!H16+'12월'!H16</f>
        <v>5984211784</v>
      </c>
      <c r="I16" s="44">
        <f>'1월'!K16+'2월'!I16+'3월'!I16+'4월'!I16+'5월'!I16+'6월'!I16+'7월'!I16+'8월'!I16+'9월'!I16+'10월'!I16+'11월'!I16+'12월'!I16</f>
        <v>936586111</v>
      </c>
      <c r="J16" s="44">
        <f>'1월'!L16+'2월'!J16+'3월'!J16+'4월'!J16+'5월'!J16+'6월'!J16+'7월'!J16+'8월'!J16+'9월'!J16+'10월'!J16+'11월'!J16+'12월'!J16</f>
        <v>1558828667</v>
      </c>
      <c r="K16" s="44">
        <f>'1월'!M16+'2월'!K16+'3월'!K16+'4월'!K16+'5월'!K16+'6월'!K16+'7월'!K16+'8월'!K16+'9월'!K16+'10월'!K16+'11월'!K16+'12월'!K16</f>
        <v>2917135810</v>
      </c>
      <c r="L16" s="44">
        <f>'1월'!N16+'2월'!L16+'3월'!L16+'4월'!L16+'5월'!L16+'6월'!L16+'7월'!L16+'8월'!L16+'9월'!L16+'10월'!L16+'11월'!L16+'12월'!L16</f>
        <v>1462628020</v>
      </c>
      <c r="M16" s="44">
        <f>'1월'!O16+'2월'!M16+'3월'!M16+'4월'!M16+'5월'!M16+'6월'!M16+'7월'!M16+'8월'!M16+'9월'!M16+'10월'!M16+'11월'!M16+'12월'!M16</f>
        <v>0</v>
      </c>
      <c r="O16" s="44">
        <f>IFERROR(VLOOKUP($A16,[1]플랫폼1!$A:$B,2,FALSE),0)</f>
        <v>0</v>
      </c>
      <c r="P16" s="44">
        <f>IFERROR(VLOOKUP($A16,[1]플랫폼2!$A:$M,12,FALSE),0)+IFERROR(VLOOKUP($A16,[1]플랫폼2!$A:$M,13,FALSE),0)</f>
        <v>0</v>
      </c>
      <c r="Q16" s="44">
        <f>IFERROR(VLOOKUP($A16,[1]플랫폼2!$A:$M,7,FALSE),0)+IFERROR(VLOOKUP($A16,[1]플랫폼2!$A:$M,12,FALSE),0)</f>
        <v>0</v>
      </c>
      <c r="R16" s="44">
        <f>IFERROR(VLOOKUP($A16,[1]모바일!$A:$S,17,FALSE),0)</f>
        <v>0</v>
      </c>
      <c r="S16" s="44">
        <f>IFERROR(VLOOKUP($A16,[1]모바일!$A:$S,18,FALSE),0)</f>
        <v>0</v>
      </c>
      <c r="T16" s="44">
        <f>IFERROR(VLOOKUP(A16,[1]플랫폼2!$A:$O,15,0),0)</f>
        <v>0</v>
      </c>
      <c r="U16" s="83"/>
      <c r="V16" s="28" t="s">
        <v>414</v>
      </c>
      <c r="W16" s="43">
        <f>O115+O122+O126+O136+O151+O156+O164+O171+O178+O181+O193+O199</f>
        <v>2336008113</v>
      </c>
      <c r="X16" s="43">
        <f t="shared" ref="X16:AA16" si="12">P115+P122+P126+P136+P151+P156+P164+P171+P178+P181+P193+P199</f>
        <v>1126844035</v>
      </c>
      <c r="Y16" s="43">
        <f t="shared" si="12"/>
        <v>927165627</v>
      </c>
      <c r="Z16" s="43">
        <f t="shared" si="12"/>
        <v>253236702.58333334</v>
      </c>
      <c r="AA16" s="43">
        <f t="shared" si="12"/>
        <v>105588375.58333333</v>
      </c>
      <c r="AB16" s="83"/>
    </row>
    <row r="17" spans="1:28" ht="16" hidden="1" customHeight="1" outlineLevel="1" x14ac:dyDescent="0.45">
      <c r="A17" s="29" t="s">
        <v>11</v>
      </c>
      <c r="B17" s="44">
        <f>'1월'!B17+'2월'!B17+'3월'!B17+'4월'!B17+'5월'!B17+'6월'!B17+'7월'!B17+'8월'!B17+'9월'!B17+'10월'!B17+'11월'!B17+'12월'!B17</f>
        <v>918177211</v>
      </c>
      <c r="C17" s="44">
        <f>'1월'!C17+'2월'!C17+'3월'!C17+'4월'!C17+'5월'!C17+'6월'!C17+'7월'!C17+'8월'!C17+'9월'!C17+'10월'!C17+'11월'!C17+'12월'!C17</f>
        <v>79291398</v>
      </c>
      <c r="D17" s="44">
        <f>'1월'!D17+'2월'!D17+'3월'!D17+'4월'!D17+'5월'!D17+'6월'!D17+'7월'!D17+'8월'!D17+'9월'!D17+'10월'!D17+'11월'!D17+'12월'!D17</f>
        <v>0</v>
      </c>
      <c r="E17" s="44">
        <f>'1월'!E17+'2월'!E17+'3월'!E17+'4월'!E17+'5월'!E17+'6월'!E17+'7월'!E17+'8월'!E17+'9월'!E17+'10월'!E17+'11월'!E17+'12월'!E17</f>
        <v>838885813</v>
      </c>
      <c r="F17" s="44">
        <f>'1월'!F17+'2월'!F17+'3월'!F17+'4월'!F17+'5월'!F17+'6월'!F17+'7월'!F17+'8월'!F17+'9월'!F17+'10월'!F17+'11월'!F17+'12월'!F17</f>
        <v>777172701</v>
      </c>
      <c r="G17" s="44">
        <f>'1월'!H17+'2월'!G17+'3월'!G17+'4월'!G17+'5월'!G17+'6월'!G17+'7월'!G17+'8월'!G17+'9월'!G17+'10월'!G17+'11월'!G17+'12월'!G17</f>
        <v>15747028</v>
      </c>
      <c r="H17" s="44">
        <f>'1월'!J17+'2월'!H17+'3월'!H17+'4월'!H17+'5월'!H17+'6월'!H17+'7월'!H17+'8월'!H17+'9월'!H17+'10월'!H17+'11월'!H17+'12월'!H17</f>
        <v>28386448</v>
      </c>
      <c r="I17" s="44">
        <f>'1월'!K17+'2월'!I17+'3월'!I17+'4월'!I17+'5월'!I17+'6월'!I17+'7월'!I17+'8월'!I17+'9월'!I17+'10월'!I17+'11월'!I17+'12월'!I17</f>
        <v>790000</v>
      </c>
      <c r="J17" s="44">
        <f>'1월'!L17+'2월'!J17+'3월'!J17+'4월'!J17+'5월'!J17+'6월'!J17+'7월'!J17+'8월'!J17+'9월'!J17+'10월'!J17+'11월'!J17+'12월'!J17</f>
        <v>14287909</v>
      </c>
      <c r="K17" s="44">
        <f>'1월'!M17+'2월'!K17+'3월'!K17+'4월'!K17+'5월'!K17+'6월'!K17+'7월'!K17+'8월'!K17+'9월'!K17+'10월'!K17+'11월'!K17+'12월'!K17</f>
        <v>2501727</v>
      </c>
      <c r="L17" s="44">
        <f>'1월'!N17+'2월'!L17+'3월'!L17+'4월'!L17+'5월'!L17+'6월'!L17+'7월'!L17+'8월'!L17+'9월'!L17+'10월'!L17+'11월'!L17+'12월'!L17</f>
        <v>0</v>
      </c>
      <c r="M17" s="44">
        <f>'1월'!O17+'2월'!M17+'3월'!M17+'4월'!M17+'5월'!M17+'6월'!M17+'7월'!M17+'8월'!M17+'9월'!M17+'10월'!M17+'11월'!M17+'12월'!M17</f>
        <v>0</v>
      </c>
      <c r="O17" s="44">
        <f>IFERROR(VLOOKUP($A17,[1]플랫폼1!$A:$B,2,FALSE),0)</f>
        <v>0</v>
      </c>
      <c r="P17" s="44">
        <f>IFERROR(VLOOKUP($A17,[1]플랫폼2!$A:$M,12,FALSE),0)+IFERROR(VLOOKUP($A17,[1]플랫폼2!$A:$M,13,FALSE),0)</f>
        <v>0</v>
      </c>
      <c r="Q17" s="44">
        <f>IFERROR(VLOOKUP($A17,[1]플랫폼2!$A:$M,7,FALSE),0)+IFERROR(VLOOKUP($A17,[1]플랫폼2!$A:$M,12,FALSE),0)</f>
        <v>0</v>
      </c>
      <c r="R17" s="44">
        <f>IFERROR(VLOOKUP($A17,[1]모바일!$A:$S,17,FALSE),0)</f>
        <v>0</v>
      </c>
      <c r="S17" s="44">
        <f>IFERROR(VLOOKUP($A17,[1]모바일!$A:$S,18,FALSE),0)</f>
        <v>0</v>
      </c>
      <c r="T17" s="44">
        <f>IFERROR(VLOOKUP(A17,[1]플랫폼2!$A:$O,15,0),0)</f>
        <v>0</v>
      </c>
      <c r="U17" s="83"/>
      <c r="V17" s="27" t="s">
        <v>231</v>
      </c>
      <c r="W17" s="42">
        <f t="shared" si="0"/>
        <v>-298277290</v>
      </c>
      <c r="X17" s="42">
        <f t="shared" si="1"/>
        <v>407022377</v>
      </c>
      <c r="Y17" s="42">
        <f t="shared" si="2"/>
        <v>5861799116</v>
      </c>
      <c r="Z17" s="42">
        <f t="shared" si="3"/>
        <v>45481029.166666664</v>
      </c>
      <c r="AA17" s="42">
        <f t="shared" si="4"/>
        <v>269542749.16666669</v>
      </c>
      <c r="AB17" s="83"/>
    </row>
    <row r="18" spans="1:28" ht="16" hidden="1" customHeight="1" outlineLevel="1" x14ac:dyDescent="0.45">
      <c r="A18" s="30" t="s">
        <v>12</v>
      </c>
      <c r="B18" s="46">
        <f>'1월'!B18+'2월'!B18+'3월'!B18+'4월'!B18+'5월'!B18+'6월'!B18+'7월'!B18+'8월'!B18+'9월'!B18+'10월'!B18+'11월'!B18+'12월'!B18</f>
        <v>31133304661</v>
      </c>
      <c r="C18" s="46">
        <f>'1월'!C18+'2월'!C18+'3월'!C18+'4월'!C18+'5월'!C18+'6월'!C18+'7월'!C18+'8월'!C18+'9월'!C18+'10월'!C18+'11월'!C18+'12월'!C18</f>
        <v>-1293610322</v>
      </c>
      <c r="D18" s="46">
        <f>'1월'!D18+'2월'!D18+'3월'!D18+'4월'!D18+'5월'!D18+'6월'!D18+'7월'!D18+'8월'!D18+'9월'!D18+'10월'!D18+'11월'!D18+'12월'!D18</f>
        <v>14545454</v>
      </c>
      <c r="E18" s="46">
        <f>'1월'!E18+'2월'!E18+'3월'!E18+'4월'!E18+'5월'!E18+'6월'!E18+'7월'!E18+'8월'!E18+'9월'!E18+'10월'!E18+'11월'!E18+'12월'!E18</f>
        <v>32412369529</v>
      </c>
      <c r="F18" s="46">
        <f>'1월'!F18+'2월'!F18+'3월'!F18+'4월'!F18+'5월'!F18+'6월'!F18+'7월'!F18+'8월'!F18+'9월'!F18+'10월'!F18+'11월'!F18+'12월'!F18</f>
        <v>19968207645.457165</v>
      </c>
      <c r="G18" s="46">
        <f>'1월'!H18+'2월'!G18+'3월'!G18+'4월'!G18+'5월'!G18+'6월'!G18+'7월'!G18+'8월'!G18+'9월'!G18+'10월'!G18+'11월'!G18+'12월'!G18</f>
        <v>2913760.5428331234</v>
      </c>
      <c r="H18" s="46">
        <f>'1월'!J18+'2월'!H18+'3월'!H18+'4월'!H18+'5월'!H18+'6월'!H18+'7월'!H18+'8월'!H18+'9월'!H18+'10월'!H18+'11월'!H18+'12월'!H18</f>
        <v>479447248</v>
      </c>
      <c r="I18" s="46">
        <f>'1월'!K18+'2월'!I18+'3월'!I18+'4월'!I18+'5월'!I18+'6월'!I18+'7월'!I18+'8월'!I18+'9월'!I18+'10월'!I18+'11월'!I18+'12월'!I18</f>
        <v>18745461</v>
      </c>
      <c r="J18" s="46">
        <f>'1월'!L18+'2월'!J18+'3월'!J18+'4월'!J18+'5월'!J18+'6월'!J18+'7월'!J18+'8월'!J18+'9월'!J18+'10월'!J18+'11월'!J18+'12월'!J18</f>
        <v>0</v>
      </c>
      <c r="K18" s="46">
        <f>'1월'!M18+'2월'!K18+'3월'!K18+'4월'!K18+'5월'!K18+'6월'!K18+'7월'!K18+'8월'!K18+'9월'!K18+'10월'!K18+'11월'!K18+'12월'!K18</f>
        <v>156176906</v>
      </c>
      <c r="L18" s="46">
        <f>'1월'!N18+'2월'!L18+'3월'!L18+'4월'!L18+'5월'!L18+'6월'!L18+'7월'!L18+'8월'!L18+'9월'!L18+'10월'!L18+'11월'!L18+'12월'!L18</f>
        <v>11786878508</v>
      </c>
      <c r="M18" s="46">
        <f>'1월'!O18+'2월'!M18+'3월'!M18+'4월'!M18+'5월'!M18+'6월'!M18+'7월'!M18+'8월'!M18+'9월'!M18+'10월'!M18+'11월'!M18+'12월'!M18</f>
        <v>0</v>
      </c>
      <c r="O18" s="44">
        <f>IFERROR(VLOOKUP($A18,[1]플랫폼1!$A:$B,2,FALSE),0)</f>
        <v>0</v>
      </c>
      <c r="P18" s="44">
        <f>IFERROR(VLOOKUP($A18,[1]플랫폼2!$A:$M,12,FALSE),0)+IFERROR(VLOOKUP($A18,[1]플랫폼2!$A:$M,13,FALSE),0)</f>
        <v>0</v>
      </c>
      <c r="Q18" s="44">
        <f>IFERROR(VLOOKUP($A18,[1]플랫폼2!$A:$M,7,FALSE),0)+IFERROR(VLOOKUP($A18,[1]플랫폼2!$A:$M,12,FALSE),0)</f>
        <v>0</v>
      </c>
      <c r="R18" s="44">
        <f>IFERROR(VLOOKUP($A18,[1]모바일!$A:$S,17,FALSE),0)</f>
        <v>0</v>
      </c>
      <c r="S18" s="44">
        <f>IFERROR(VLOOKUP($A18,[1]모바일!$A:$S,18,FALSE),0)</f>
        <v>0</v>
      </c>
      <c r="T18" s="44">
        <f>IFERROR(VLOOKUP(A18,[1]플랫폼2!$A:$O,15,0),0)</f>
        <v>0</v>
      </c>
      <c r="U18" s="83"/>
    </row>
    <row r="19" spans="1:28" ht="16" hidden="1" customHeight="1" outlineLevel="1" x14ac:dyDescent="0.45">
      <c r="A19" s="29" t="s">
        <v>119</v>
      </c>
      <c r="B19" s="44">
        <f>'1월'!B19+'2월'!B19+'3월'!B19+'4월'!B19+'5월'!B19+'6월'!B19+'7월'!B19+'8월'!B19+'9월'!B19+'10월'!B19+'11월'!B19+'12월'!B19</f>
        <v>-20803985180</v>
      </c>
      <c r="C19" s="44">
        <f>'1월'!C19+'2월'!C19+'3월'!C19+'4월'!C19+'5월'!C19+'6월'!C19+'7월'!C19+'8월'!C19+'9월'!C19+'10월'!C19+'11월'!C19+'12월'!C19</f>
        <v>-20803985180</v>
      </c>
      <c r="D19" s="44">
        <f>'1월'!D19+'2월'!D19+'3월'!D19+'4월'!D19+'5월'!D19+'6월'!D19+'7월'!D19+'8월'!D19+'9월'!D19+'10월'!D19+'11월'!D19+'12월'!D19</f>
        <v>0</v>
      </c>
      <c r="E19" s="44">
        <f>'1월'!E19+'2월'!E19+'3월'!E19+'4월'!E19+'5월'!E19+'6월'!E19+'7월'!E19+'8월'!E19+'9월'!E19+'10월'!E19+'11월'!E19+'12월'!E19</f>
        <v>0</v>
      </c>
      <c r="F19" s="44">
        <f>'1월'!F19+'2월'!F19+'3월'!F19+'4월'!F19+'5월'!F19+'6월'!F19+'7월'!F19+'8월'!F19+'9월'!F19+'10월'!F19+'11월'!F19+'12월'!F19</f>
        <v>0</v>
      </c>
      <c r="G19" s="44">
        <f>'1월'!H19+'2월'!G19+'3월'!G19+'4월'!G19+'5월'!G19+'6월'!G19+'7월'!G19+'8월'!G19+'9월'!G19+'10월'!G19+'11월'!G19+'12월'!G19</f>
        <v>0</v>
      </c>
      <c r="H19" s="44">
        <f>'1월'!J19+'2월'!H19+'3월'!H19+'4월'!H19+'5월'!H19+'6월'!H19+'7월'!H19+'8월'!H19+'9월'!H19+'10월'!H19+'11월'!H19+'12월'!H19</f>
        <v>0</v>
      </c>
      <c r="I19" s="44">
        <f>'1월'!K19+'2월'!I19+'3월'!I19+'4월'!I19+'5월'!I19+'6월'!I19+'7월'!I19+'8월'!I19+'9월'!I19+'10월'!I19+'11월'!I19+'12월'!I19</f>
        <v>0</v>
      </c>
      <c r="J19" s="44">
        <f>'1월'!L19+'2월'!J19+'3월'!J19+'4월'!J19+'5월'!J19+'6월'!J19+'7월'!J19+'8월'!J19+'9월'!J19+'10월'!J19+'11월'!J19+'12월'!J19</f>
        <v>0</v>
      </c>
      <c r="K19" s="44">
        <f>'1월'!M19+'2월'!K19+'3월'!K19+'4월'!K19+'5월'!K19+'6월'!K19+'7월'!K19+'8월'!K19+'9월'!K19+'10월'!K19+'11월'!K19+'12월'!K19</f>
        <v>0</v>
      </c>
      <c r="L19" s="44">
        <f>'1월'!N19+'2월'!L19+'3월'!L19+'4월'!L19+'5월'!L19+'6월'!L19+'7월'!L19+'8월'!L19+'9월'!L19+'10월'!L19+'11월'!L19+'12월'!L19</f>
        <v>0</v>
      </c>
      <c r="M19" s="44">
        <f>'1월'!O19+'2월'!M19+'3월'!M19+'4월'!M19+'5월'!M19+'6월'!M19+'7월'!M19+'8월'!M19+'9월'!M19+'10월'!M19+'11월'!M19+'12월'!M19</f>
        <v>0</v>
      </c>
      <c r="O19" s="44">
        <f>IFERROR(VLOOKUP($A19,[1]플랫폼1!$A:$B,2,FALSE),0)</f>
        <v>0</v>
      </c>
      <c r="P19" s="44">
        <f>IFERROR(VLOOKUP($A19,[1]플랫폼2!$A:$M,12,FALSE),0)+IFERROR(VLOOKUP($A19,[1]플랫폼2!$A:$M,13,FALSE),0)</f>
        <v>0</v>
      </c>
      <c r="Q19" s="44">
        <f>IFERROR(VLOOKUP($A19,[1]플랫폼2!$A:$M,7,FALSE),0)+IFERROR(VLOOKUP($A19,[1]플랫폼2!$A:$M,12,FALSE),0)</f>
        <v>0</v>
      </c>
      <c r="R19" s="44">
        <f>IFERROR(VLOOKUP($A19,[1]모바일!$A:$S,17,FALSE),0)</f>
        <v>0</v>
      </c>
      <c r="S19" s="44">
        <f>IFERROR(VLOOKUP($A19,[1]모바일!$A:$S,18,FALSE),0)</f>
        <v>0</v>
      </c>
      <c r="T19" s="44">
        <f>IFERROR(VLOOKUP(A19,[1]플랫폼2!$A:$O,15,0),0)</f>
        <v>0</v>
      </c>
      <c r="U19" s="83"/>
    </row>
    <row r="20" spans="1:28" ht="16" hidden="1" customHeight="1" outlineLevel="1" x14ac:dyDescent="0.45">
      <c r="A20" s="29" t="s">
        <v>120</v>
      </c>
      <c r="B20" s="44">
        <f>'1월'!B20+'2월'!B20+'3월'!B20+'4월'!B20+'5월'!B20+'6월'!B20+'7월'!B20+'8월'!B20+'9월'!B20+'10월'!B20+'11월'!B20+'12월'!B20</f>
        <v>0</v>
      </c>
      <c r="C20" s="44">
        <f>'1월'!C20+'2월'!C20+'3월'!C20+'4월'!C20+'5월'!C20+'6월'!C20+'7월'!C20+'8월'!C20+'9월'!C20+'10월'!C20+'11월'!C20+'12월'!C20</f>
        <v>0</v>
      </c>
      <c r="D20" s="44">
        <f>'1월'!D20+'2월'!D20+'3월'!D20+'4월'!D20+'5월'!D20+'6월'!D20+'7월'!D20+'8월'!D20+'9월'!D20+'10월'!D20+'11월'!D20+'12월'!D20</f>
        <v>0</v>
      </c>
      <c r="E20" s="44">
        <f>'1월'!E20+'2월'!E20+'3월'!E20+'4월'!E20+'5월'!E20+'6월'!E20+'7월'!E20+'8월'!E20+'9월'!E20+'10월'!E20+'11월'!E20+'12월'!E20</f>
        <v>0</v>
      </c>
      <c r="F20" s="44">
        <f>'1월'!F20+'2월'!F20+'3월'!F20+'4월'!F20+'5월'!F20+'6월'!F20+'7월'!F20+'8월'!F20+'9월'!F20+'10월'!F20+'11월'!F20+'12월'!F20</f>
        <v>0</v>
      </c>
      <c r="G20" s="44">
        <f>'1월'!H20+'2월'!G20+'3월'!G20+'4월'!G20+'5월'!G20+'6월'!G20+'7월'!G20+'8월'!G20+'9월'!G20+'10월'!G20+'11월'!G20+'12월'!G20</f>
        <v>0</v>
      </c>
      <c r="H20" s="44">
        <f>'1월'!J20+'2월'!H20+'3월'!H20+'4월'!H20+'5월'!H20+'6월'!H20+'7월'!H20+'8월'!H20+'9월'!H20+'10월'!H20+'11월'!H20+'12월'!H20</f>
        <v>0</v>
      </c>
      <c r="I20" s="44">
        <f>'1월'!K20+'2월'!I20+'3월'!I20+'4월'!I20+'5월'!I20+'6월'!I20+'7월'!I20+'8월'!I20+'9월'!I20+'10월'!I20+'11월'!I20+'12월'!I20</f>
        <v>0</v>
      </c>
      <c r="J20" s="44">
        <f>'1월'!L20+'2월'!J20+'3월'!J20+'4월'!J20+'5월'!J20+'6월'!J20+'7월'!J20+'8월'!J20+'9월'!J20+'10월'!J20+'11월'!J20+'12월'!J20</f>
        <v>0</v>
      </c>
      <c r="K20" s="44">
        <f>'1월'!M20+'2월'!K20+'3월'!K20+'4월'!K20+'5월'!K20+'6월'!K20+'7월'!K20+'8월'!K20+'9월'!K20+'10월'!K20+'11월'!K20+'12월'!K20</f>
        <v>0</v>
      </c>
      <c r="L20" s="44">
        <f>'1월'!N20+'2월'!L20+'3월'!L20+'4월'!L20+'5월'!L20+'6월'!L20+'7월'!L20+'8월'!L20+'9월'!L20+'10월'!L20+'11월'!L20+'12월'!L20</f>
        <v>0</v>
      </c>
      <c r="M20" s="44">
        <f>'1월'!O20+'2월'!M20+'3월'!M20+'4월'!M20+'5월'!M20+'6월'!M20+'7월'!M20+'8월'!M20+'9월'!M20+'10월'!M20+'11월'!M20+'12월'!M20</f>
        <v>0</v>
      </c>
      <c r="O20" s="44">
        <f>IFERROR(VLOOKUP($A20,[1]플랫폼1!$A:$B,2,FALSE),0)</f>
        <v>0</v>
      </c>
      <c r="P20" s="44">
        <f>IFERROR(VLOOKUP($A20,[1]플랫폼2!$A:$M,12,FALSE),0)+IFERROR(VLOOKUP($A20,[1]플랫폼2!$A:$M,13,FALSE),0)</f>
        <v>0</v>
      </c>
      <c r="Q20" s="44">
        <f>IFERROR(VLOOKUP($A20,[1]플랫폼2!$A:$M,7,FALSE),0)+IFERROR(VLOOKUP($A20,[1]플랫폼2!$A:$M,12,FALSE),0)</f>
        <v>0</v>
      </c>
      <c r="R20" s="44">
        <f>IFERROR(VLOOKUP($A20,[1]모바일!$A:$S,17,FALSE),0)</f>
        <v>0</v>
      </c>
      <c r="S20" s="44">
        <f>IFERROR(VLOOKUP($A20,[1]모바일!$A:$S,18,FALSE),0)</f>
        <v>0</v>
      </c>
      <c r="T20" s="44">
        <f>IFERROR(VLOOKUP(A20,[1]플랫폼2!$A:$O,15,0),0)</f>
        <v>0</v>
      </c>
      <c r="U20" s="83"/>
      <c r="V20" s="1"/>
      <c r="W20" s="1"/>
      <c r="X20" s="1"/>
      <c r="Y20" s="1"/>
      <c r="Z20" s="1"/>
      <c r="AA20" s="1"/>
    </row>
    <row r="21" spans="1:28" s="1" customFormat="1" ht="16" hidden="1" customHeight="1" outlineLevel="1" x14ac:dyDescent="0.45">
      <c r="A21" s="24" t="s">
        <v>13</v>
      </c>
      <c r="B21" s="45">
        <f>'1월'!B21+'2월'!B21+'3월'!B21+'4월'!B21+'5월'!B21+'6월'!B21+'7월'!B21+'8월'!B21+'9월'!B21+'10월'!B21+'11월'!B21+'12월'!B21</f>
        <v>6028736368</v>
      </c>
      <c r="C21" s="45">
        <f>'1월'!C21+'2월'!C21+'3월'!C21+'4월'!C21+'5월'!C21+'6월'!C21+'7월'!C21+'8월'!C21+'9월'!C21+'10월'!C21+'11월'!C21+'12월'!C21</f>
        <v>45818182</v>
      </c>
      <c r="D21" s="45">
        <f>'1월'!D21+'2월'!D21+'3월'!D21+'4월'!D21+'5월'!D21+'6월'!D21+'7월'!D21+'8월'!D21+'9월'!D21+'10월'!D21+'11월'!D21+'12월'!D21</f>
        <v>0</v>
      </c>
      <c r="E21" s="45">
        <f>'1월'!E21+'2월'!E21+'3월'!E21+'4월'!E21+'5월'!E21+'6월'!E21+'7월'!E21+'8월'!E21+'9월'!E21+'10월'!E21+'11월'!E21+'12월'!E21</f>
        <v>5982918186</v>
      </c>
      <c r="F21" s="45">
        <f>'1월'!F21+'2월'!F21+'3월'!F21+'4월'!F21+'5월'!F21+'6월'!F21+'7월'!F21+'8월'!F21+'9월'!F21+'10월'!F21+'11월'!F21+'12월'!F21</f>
        <v>177826617.37837201</v>
      </c>
      <c r="G21" s="45">
        <f>'1월'!H21+'2월'!G21+'3월'!G21+'4월'!G21+'5월'!G21+'6월'!G21+'7월'!G21+'8월'!G21+'9월'!G21+'10월'!G21+'11월'!G21+'12월'!G21</f>
        <v>4706119.6216279948</v>
      </c>
      <c r="H21" s="45">
        <f>'1월'!J21+'2월'!H21+'3월'!H21+'4월'!H21+'5월'!H21+'6월'!H21+'7월'!H21+'8월'!H21+'9월'!H21+'10월'!H21+'11월'!H21+'12월'!H21</f>
        <v>3566370717</v>
      </c>
      <c r="I21" s="45">
        <f>'1월'!K21+'2월'!I21+'3월'!I21+'4월'!I21+'5월'!I21+'6월'!I21+'7월'!I21+'8월'!I21+'9월'!I21+'10월'!I21+'11월'!I21+'12월'!I21</f>
        <v>1769020436</v>
      </c>
      <c r="J21" s="45">
        <f>'1월'!L21+'2월'!J21+'3월'!J21+'4월'!J21+'5월'!J21+'6월'!J21+'7월'!J21+'8월'!J21+'9월'!J21+'10월'!J21+'11월'!J21+'12월'!J21</f>
        <v>8890909</v>
      </c>
      <c r="K21" s="45">
        <f>'1월'!M21+'2월'!K21+'3월'!K21+'4월'!K21+'5월'!K21+'6월'!K21+'7월'!K21+'8월'!K21+'9월'!K21+'10월'!K21+'11월'!K21+'12월'!K21</f>
        <v>456103387</v>
      </c>
      <c r="L21" s="45">
        <f>'1월'!N21+'2월'!L21+'3월'!L21+'4월'!L21+'5월'!L21+'6월'!L21+'7월'!L21+'8월'!L21+'9월'!L21+'10월'!L21+'11월'!L21+'12월'!L21</f>
        <v>0</v>
      </c>
      <c r="M21" s="45">
        <f>'1월'!O21+'2월'!M21+'3월'!M21+'4월'!M21+'5월'!M21+'6월'!M21+'7월'!M21+'8월'!M21+'9월'!M21+'10월'!M21+'11월'!M21+'12월'!M21</f>
        <v>0</v>
      </c>
      <c r="O21" s="44">
        <f>IFERROR(VLOOKUP($A21,[1]플랫폼1!$A:$B,2,FALSE),0)</f>
        <v>0</v>
      </c>
      <c r="P21" s="44">
        <f>IFERROR(VLOOKUP($A21,[1]플랫폼2!$A:$M,12,FALSE),0)+IFERROR(VLOOKUP($A21,[1]플랫폼2!$A:$M,13,FALSE),0)</f>
        <v>0</v>
      </c>
      <c r="Q21" s="44">
        <f>IFERROR(VLOOKUP($A21,[1]플랫폼2!$A:$M,7,FALSE),0)+IFERROR(VLOOKUP($A21,[1]플랫폼2!$A:$M,12,FALSE),0)</f>
        <v>0</v>
      </c>
      <c r="R21" s="44">
        <f>IFERROR(VLOOKUP($A21,[1]모바일!$A:$S,17,FALSE),0)</f>
        <v>0</v>
      </c>
      <c r="S21" s="44">
        <f>IFERROR(VLOOKUP($A21,[1]모바일!$A:$S,18,FALSE),0)</f>
        <v>0</v>
      </c>
      <c r="T21" s="44">
        <f>IFERROR(VLOOKUP(A21,[1]플랫폼2!$A:$O,15,0),0)</f>
        <v>0</v>
      </c>
      <c r="U21" s="83"/>
    </row>
    <row r="22" spans="1:28" ht="16" hidden="1" customHeight="1" outlineLevel="1" x14ac:dyDescent="0.45">
      <c r="A22" s="29" t="s">
        <v>121</v>
      </c>
      <c r="B22" s="44">
        <f>'1월'!B22+'2월'!B22+'3월'!B22+'4월'!B22+'5월'!B22+'6월'!B22+'7월'!B22+'8월'!B22+'9월'!B22+'10월'!B22+'11월'!B22+'12월'!B22</f>
        <v>45387716427</v>
      </c>
      <c r="C22" s="44">
        <f>'1월'!C22+'2월'!C22+'3월'!C22+'4월'!C22+'5월'!C22+'6월'!C22+'7월'!C22+'8월'!C22+'9월'!C22+'10월'!C22+'11월'!C22+'12월'!C22</f>
        <v>-720606000</v>
      </c>
      <c r="D22" s="44">
        <f>'1월'!D22+'2월'!D22+'3월'!D22+'4월'!D22+'5월'!D22+'6월'!D22+'7월'!D22+'8월'!D22+'9월'!D22+'10월'!D22+'11월'!D22+'12월'!D22</f>
        <v>1560181000</v>
      </c>
      <c r="E22" s="44">
        <f>'1월'!E22+'2월'!E22+'3월'!E22+'4월'!E22+'5월'!E22+'6월'!E22+'7월'!E22+'8월'!E22+'9월'!E22+'10월'!E22+'11월'!E22+'12월'!E22</f>
        <v>44548141427</v>
      </c>
      <c r="F22" s="44">
        <f>'1월'!F22+'2월'!F22+'3월'!F22+'4월'!F22+'5월'!F22+'6월'!F22+'7월'!F22+'8월'!F22+'9월'!F22+'10월'!F22+'11월'!F22+'12월'!F22</f>
        <v>720606000</v>
      </c>
      <c r="G22" s="44">
        <f>'1월'!H22+'2월'!G22+'3월'!G22+'4월'!G22+'5월'!G22+'6월'!G22+'7월'!G22+'8월'!G22+'9월'!G22+'10월'!G22+'11월'!G22+'12월'!G22</f>
        <v>31614761546</v>
      </c>
      <c r="H22" s="44">
        <f>'1월'!J22+'2월'!H22+'3월'!H22+'4월'!H22+'5월'!H22+'6월'!H22+'7월'!H22+'8월'!H22+'9월'!H22+'10월'!H22+'11월'!H22+'12월'!H22</f>
        <v>10439254280</v>
      </c>
      <c r="I22" s="44">
        <f>'1월'!K22+'2월'!I22+'3월'!I22+'4월'!I22+'5월'!I22+'6월'!I22+'7월'!I22+'8월'!I22+'9월'!I22+'10월'!I22+'11월'!I22+'12월'!I22</f>
        <v>16555000</v>
      </c>
      <c r="J22" s="44">
        <f>'1월'!L22+'2월'!J22+'3월'!J22+'4월'!J22+'5월'!J22+'6월'!J22+'7월'!J22+'8월'!J22+'9월'!J22+'10월'!J22+'11월'!J22+'12월'!J22</f>
        <v>251101271</v>
      </c>
      <c r="K22" s="44">
        <f>'1월'!M22+'2월'!K22+'3월'!K22+'4월'!K22+'5월'!K22+'6월'!K22+'7월'!K22+'8월'!K22+'9월'!K22+'10월'!K22+'11월'!K22+'12월'!K22</f>
        <v>483743330</v>
      </c>
      <c r="L22" s="44">
        <f>'1월'!N22+'2월'!L22+'3월'!L22+'4월'!L22+'5월'!L22+'6월'!L22+'7월'!L22+'8월'!L22+'9월'!L22+'10월'!L22+'11월'!L22+'12월'!L22</f>
        <v>0</v>
      </c>
      <c r="M22" s="44">
        <f>'1월'!O22+'2월'!M22+'3월'!M22+'4월'!M22+'5월'!M22+'6월'!M22+'7월'!M22+'8월'!M22+'9월'!M22+'10월'!M22+'11월'!M22+'12월'!M22</f>
        <v>1022120000</v>
      </c>
      <c r="O22" s="44">
        <f>IFERROR(VLOOKUP($A22,[1]플랫폼1!$A:$B,2,FALSE),0)</f>
        <v>0</v>
      </c>
      <c r="P22" s="44">
        <f>IFERROR(VLOOKUP($A22,[1]플랫폼2!$A:$M,12,FALSE),0)+IFERROR(VLOOKUP($A22,[1]플랫폼2!$A:$M,13,FALSE),0)</f>
        <v>222455034</v>
      </c>
      <c r="Q22" s="44">
        <f>IFERROR(VLOOKUP($A22,[1]플랫폼2!$A:$M,7,FALSE),0)+IFERROR(VLOOKUP($A22,[1]플랫폼2!$A:$M,12,FALSE),0)</f>
        <v>0</v>
      </c>
      <c r="R22" s="44">
        <f>IFERROR(VLOOKUP($A22,[1]모바일!$A:$S,17,FALSE),0)</f>
        <v>357710000</v>
      </c>
      <c r="S22" s="44">
        <f>IFERROR(VLOOKUP($A22,[1]모바일!$A:$S,18,FALSE),0)</f>
        <v>441954966</v>
      </c>
      <c r="T22" s="44">
        <f>IFERROR(VLOOKUP(A22,[1]플랫폼2!$A:$O,15,0),0)</f>
        <v>0</v>
      </c>
      <c r="U22" s="83"/>
    </row>
    <row r="23" spans="1:28" ht="16" hidden="1" customHeight="1" outlineLevel="1" x14ac:dyDescent="0.45">
      <c r="A23" s="29" t="s">
        <v>249</v>
      </c>
      <c r="B23" s="44">
        <f>'1월'!B23+'2월'!B23+'3월'!B23+'4월'!B23+'5월'!B23+'6월'!B23+'7월'!B23+'8월'!B23+'9월'!B23+'10월'!B23+'11월'!B23+'12월'!B23</f>
        <v>8140356670</v>
      </c>
      <c r="C23" s="44">
        <f>'1월'!C23+'2월'!C23+'3월'!C23+'4월'!C23+'5월'!C23+'6월'!C23+'7월'!C23+'8월'!C23+'9월'!C23+'10월'!C23+'11월'!C23+'12월'!C23</f>
        <v>-634738227</v>
      </c>
      <c r="D23" s="44">
        <f>'1월'!D23+'2월'!D23+'3월'!D23+'4월'!D23+'5월'!D23+'6월'!D23+'7월'!D23+'8월'!D23+'9월'!D23+'10월'!D23+'11월'!D23+'12월'!D23</f>
        <v>0</v>
      </c>
      <c r="E23" s="44">
        <f>'1월'!E23+'2월'!E23+'3월'!E23+'4월'!E23+'5월'!E23+'6월'!E23+'7월'!E23+'8월'!E23+'9월'!E23+'10월'!E23+'11월'!E23+'12월'!E23</f>
        <v>8775094897</v>
      </c>
      <c r="F23" s="44">
        <f>'1월'!F23+'2월'!F23+'3월'!F23+'4월'!F23+'5월'!F23+'6월'!F23+'7월'!F23+'8월'!F23+'9월'!F23+'10월'!F23+'11월'!F23+'12월'!F23</f>
        <v>8775094897</v>
      </c>
      <c r="G23" s="44">
        <f>'1월'!H23+'2월'!G23+'3월'!G23+'4월'!G23+'5월'!G23+'6월'!G23+'7월'!G23+'8월'!G23+'9월'!G23+'10월'!G23+'11월'!G23+'12월'!G23</f>
        <v>0</v>
      </c>
      <c r="H23" s="44">
        <f>'1월'!J23+'2월'!H23+'3월'!H23+'4월'!H23+'5월'!H23+'6월'!H23+'7월'!H23+'8월'!H23+'9월'!H23+'10월'!H23+'11월'!H23+'12월'!H23</f>
        <v>0</v>
      </c>
      <c r="I23" s="44">
        <f>'1월'!K23+'2월'!I23+'3월'!I23+'4월'!I23+'5월'!I23+'6월'!I23+'7월'!I23+'8월'!I23+'9월'!I23+'10월'!I23+'11월'!I23+'12월'!I23</f>
        <v>0</v>
      </c>
      <c r="J23" s="44">
        <f>'1월'!L23+'2월'!J23+'3월'!J23+'4월'!J23+'5월'!J23+'6월'!J23+'7월'!J23+'8월'!J23+'9월'!J23+'10월'!J23+'11월'!J23+'12월'!J23</f>
        <v>0</v>
      </c>
      <c r="K23" s="44">
        <f>'1월'!M23+'2월'!K23+'3월'!K23+'4월'!K23+'5월'!K23+'6월'!K23+'7월'!K23+'8월'!K23+'9월'!K23+'10월'!K23+'11월'!K23+'12월'!K23</f>
        <v>0</v>
      </c>
      <c r="L23" s="44">
        <f>'1월'!N23+'2월'!L23+'3월'!L23+'4월'!L23+'5월'!L23+'6월'!L23+'7월'!L23+'8월'!L23+'9월'!L23+'10월'!L23+'11월'!L23+'12월'!L23</f>
        <v>0</v>
      </c>
      <c r="M23" s="44">
        <f>'1월'!O23+'2월'!M23+'3월'!M23+'4월'!M23+'5월'!M23+'6월'!M23+'7월'!M23+'8월'!M23+'9월'!M23+'10월'!M23+'11월'!M23+'12월'!M23</f>
        <v>0</v>
      </c>
      <c r="O23" s="44">
        <f>IFERROR(VLOOKUP($A23,[1]플랫폼1!$A:$B,2,FALSE),0)</f>
        <v>0</v>
      </c>
      <c r="P23" s="44">
        <f>IFERROR(VLOOKUP($A23,[1]플랫폼2!$A:$M,12,FALSE),0)+IFERROR(VLOOKUP($A23,[1]플랫폼2!$A:$M,13,FALSE),0)</f>
        <v>0</v>
      </c>
      <c r="Q23" s="44">
        <f>IFERROR(VLOOKUP($A23,[1]플랫폼2!$A:$M,7,FALSE),0)+IFERROR(VLOOKUP($A23,[1]플랫폼2!$A:$M,12,FALSE),0)</f>
        <v>0</v>
      </c>
      <c r="R23" s="44">
        <f>IFERROR(VLOOKUP($A23,[1]모바일!$A:$S,17,FALSE),0)</f>
        <v>0</v>
      </c>
      <c r="S23" s="44">
        <f>IFERROR(VLOOKUP($A23,[1]모바일!$A:$S,18,FALSE),0)</f>
        <v>0</v>
      </c>
      <c r="T23" s="44">
        <f>IFERROR(VLOOKUP(A23,[1]플랫폼2!$A:$O,15,0),0)</f>
        <v>0</v>
      </c>
      <c r="U23" s="83"/>
    </row>
    <row r="24" spans="1:28" ht="16" hidden="1" customHeight="1" outlineLevel="1" x14ac:dyDescent="0.45">
      <c r="A24" s="24" t="s">
        <v>287</v>
      </c>
      <c r="B24" s="45">
        <f>'1월'!B24+'2월'!B24+'3월'!B24+'4월'!B24+'5월'!B24+'6월'!B24+'7월'!B24+'8월'!B24+'9월'!B24+'10월'!B24+'11월'!B24+'12월'!B24</f>
        <v>0</v>
      </c>
      <c r="C24" s="45">
        <f>'1월'!C24+'2월'!C24+'3월'!C24+'4월'!C24+'5월'!C24+'6월'!C24+'7월'!C24+'8월'!C24+'9월'!C24+'10월'!C24+'11월'!C24+'12월'!C24</f>
        <v>0</v>
      </c>
      <c r="D24" s="45">
        <f>'1월'!D24+'2월'!D24+'3월'!D24+'4월'!D24+'5월'!D24+'6월'!D24+'7월'!D24+'8월'!D24+'9월'!D24+'10월'!D24+'11월'!D24+'12월'!D24</f>
        <v>0</v>
      </c>
      <c r="E24" s="45">
        <f>'1월'!E24+'2월'!E24+'3월'!E24+'4월'!E24+'5월'!E24+'6월'!E24+'7월'!E24+'8월'!E24+'9월'!E24+'10월'!E24+'11월'!E24+'12월'!E24</f>
        <v>0</v>
      </c>
      <c r="F24" s="45">
        <f>'1월'!F24+'2월'!F24+'3월'!F24+'4월'!F24+'5월'!F24+'6월'!F24+'7월'!F24+'8월'!F24+'9월'!F24+'10월'!F24+'11월'!F24+'12월'!F24</f>
        <v>0</v>
      </c>
      <c r="G24" s="45">
        <f>'1월'!H24+'2월'!G24+'3월'!G24+'4월'!G24+'5월'!G24+'6월'!G24+'7월'!G24+'8월'!G24+'9월'!G24+'10월'!G24+'11월'!G24+'12월'!G24</f>
        <v>0</v>
      </c>
      <c r="H24" s="45">
        <f>'1월'!J24+'2월'!H24+'3월'!H24+'4월'!H24+'5월'!H24+'6월'!H24+'7월'!H24+'8월'!H24+'9월'!H24+'10월'!H24+'11월'!H24+'12월'!H24</f>
        <v>0</v>
      </c>
      <c r="I24" s="45">
        <f>'1월'!K24+'2월'!I24+'3월'!I24+'4월'!I24+'5월'!I24+'6월'!I24+'7월'!I24+'8월'!I24+'9월'!I24+'10월'!I24+'11월'!I24+'12월'!I24</f>
        <v>0</v>
      </c>
      <c r="J24" s="45">
        <f>'1월'!L24+'2월'!J24+'3월'!J24+'4월'!J24+'5월'!J24+'6월'!J24+'7월'!J24+'8월'!J24+'9월'!J24+'10월'!J24+'11월'!J24+'12월'!J24</f>
        <v>0</v>
      </c>
      <c r="K24" s="45">
        <f>'1월'!M24+'2월'!K24+'3월'!K24+'4월'!K24+'5월'!K24+'6월'!K24+'7월'!K24+'8월'!K24+'9월'!K24+'10월'!K24+'11월'!K24+'12월'!K24</f>
        <v>0</v>
      </c>
      <c r="L24" s="45">
        <f>'1월'!N24+'2월'!L24+'3월'!L24+'4월'!L24+'5월'!L24+'6월'!L24+'7월'!L24+'8월'!L24+'9월'!L24+'10월'!L24+'11월'!L24+'12월'!L24</f>
        <v>0</v>
      </c>
      <c r="M24" s="45">
        <f>'1월'!O24+'2월'!M24+'3월'!M24+'4월'!M24+'5월'!M24+'6월'!M24+'7월'!M24+'8월'!M24+'9월'!M24+'10월'!M24+'11월'!M24+'12월'!M24</f>
        <v>0</v>
      </c>
      <c r="O24" s="44">
        <f>IFERROR(VLOOKUP($A24,[1]플랫폼1!$A:$B,2,FALSE),0)</f>
        <v>0</v>
      </c>
      <c r="P24" s="44">
        <f>IFERROR(VLOOKUP($A24,[1]플랫폼2!$A:$M,12,FALSE),0)+IFERROR(VLOOKUP($A24,[1]플랫폼2!$A:$M,13,FALSE),0)</f>
        <v>0</v>
      </c>
      <c r="Q24" s="44">
        <f>IFERROR(VLOOKUP($A24,[1]플랫폼2!$A:$M,7,FALSE),0)+IFERROR(VLOOKUP($A24,[1]플랫폼2!$A:$M,12,FALSE),0)</f>
        <v>0</v>
      </c>
      <c r="R24" s="44">
        <f>IFERROR(VLOOKUP($A24,[1]모바일!$A:$S,17,FALSE),0)</f>
        <v>0</v>
      </c>
      <c r="S24" s="44">
        <f>IFERROR(VLOOKUP($A24,[1]모바일!$A:$S,18,FALSE),0)</f>
        <v>0</v>
      </c>
      <c r="T24" s="44">
        <f>IFERROR(VLOOKUP(A24,[1]플랫폼2!$A:$O,15,0),0)</f>
        <v>0</v>
      </c>
      <c r="U24" s="83"/>
    </row>
    <row r="25" spans="1:28" s="1" customFormat="1" collapsed="1" x14ac:dyDescent="0.45">
      <c r="A25" s="27" t="s">
        <v>14</v>
      </c>
      <c r="B25" s="42">
        <f>'1월'!B25+'2월'!B25+'3월'!B25+'4월'!B25+'5월'!B25+'6월'!B25+'7월'!B25+'8월'!B25+'9월'!B25+'10월'!B25+'11월'!B25+'12월'!B25</f>
        <v>501271152573</v>
      </c>
      <c r="C25" s="42">
        <f>'1월'!C25+'2월'!C25+'3월'!C25+'4월'!C25+'5월'!C25+'6월'!C25+'7월'!C25+'8월'!C25+'9월'!C25+'10월'!C25+'11월'!C25+'12월'!C25</f>
        <v>1534112483</v>
      </c>
      <c r="D25" s="42">
        <f>'1월'!D25+'2월'!D25+'3월'!D25+'4월'!D25+'5월'!D25+'6월'!D25+'7월'!D25+'8월'!D25+'9월'!D25+'10월'!D25+'11월'!D25+'12월'!D25</f>
        <v>0</v>
      </c>
      <c r="E25" s="42">
        <f>'1월'!E25+'2월'!E25+'3월'!E25+'4월'!E25+'5월'!E25+'6월'!E25+'7월'!E25+'8월'!E25+'9월'!E25+'10월'!E25+'11월'!E25+'12월'!E25</f>
        <v>499737040090</v>
      </c>
      <c r="F25" s="42">
        <f>'1월'!F25+'2월'!F25+'3월'!F25+'4월'!F25+'5월'!F25+'6월'!F25+'7월'!F25+'8월'!F25+'9월'!F25+'10월'!F25+'11월'!F25+'12월'!F25</f>
        <v>202129592685</v>
      </c>
      <c r="G25" s="42">
        <f>'1월'!H25+'2월'!G25+'3월'!G25+'4월'!G25+'5월'!G25+'6월'!G25+'7월'!G25+'8월'!G25+'9월'!G25+'10월'!G25+'11월'!G25+'12월'!G25</f>
        <v>1993607273</v>
      </c>
      <c r="H25" s="42">
        <f>'1월'!J25+'2월'!H25+'3월'!H25+'4월'!H25+'5월'!H25+'6월'!H25+'7월'!H25+'8월'!H25+'9월'!H25+'10월'!H25+'11월'!H25+'12월'!H25</f>
        <v>156462654054</v>
      </c>
      <c r="I25" s="42">
        <f>'1월'!K25+'2월'!I25+'3월'!I25+'4월'!I25+'5월'!I25+'6월'!I25+'7월'!I25+'8월'!I25+'9월'!I25+'10월'!I25+'11월'!I25+'12월'!I25</f>
        <v>7909686446</v>
      </c>
      <c r="J25" s="42">
        <f>'1월'!L25+'2월'!J25+'3월'!J25+'4월'!J25+'5월'!J25+'6월'!J25+'7월'!J25+'8월'!J25+'9월'!J25+'10월'!J25+'11월'!J25+'12월'!J25</f>
        <v>-2042112539</v>
      </c>
      <c r="K25" s="42">
        <f>'1월'!M25+'2월'!K25+'3월'!K25+'4월'!K25+'5월'!K25+'6월'!K25+'7월'!K25+'8월'!K25+'9월'!K25+'10월'!K25+'11월'!K25+'12월'!K25</f>
        <v>89200802536</v>
      </c>
      <c r="L25" s="42">
        <f>'1월'!N25+'2월'!L25+'3월'!L25+'4월'!L25+'5월'!L25+'6월'!L25+'7월'!L25+'8월'!L25+'9월'!L25+'10월'!L25+'11월'!L25+'12월'!L25</f>
        <v>1734628341</v>
      </c>
      <c r="M25" s="42">
        <f>'1월'!O25+'2월'!M25+'3월'!M25+'4월'!M25+'5월'!M25+'6월'!M25+'7월'!M25+'8월'!M25+'9월'!M25+'10월'!M25+'11월'!M25+'12월'!M25</f>
        <v>42348181294</v>
      </c>
      <c r="O25" s="42">
        <f>IFERROR(VLOOKUP($A25,[1]플랫폼1!$A:$B,2,FALSE),0)</f>
        <v>4110141099</v>
      </c>
      <c r="P25" s="42">
        <f>IFERROR(VLOOKUP($A25,[1]플랫폼2!$A:$M,12,FALSE),0)+IFERROR(VLOOKUP($A25,[1]플랫폼2!$A:$M,13,FALSE),0)</f>
        <v>7894223749</v>
      </c>
      <c r="Q25" s="42">
        <f>IFERROR(VLOOKUP($A25,[1]플랫폼2!$A:$M,7,FALSE),0)+IFERROR(VLOOKUP($A25,[1]플랫폼2!$A:$M,12,FALSE),0)</f>
        <v>29895506448</v>
      </c>
      <c r="R25" s="42">
        <f>IFERROR(VLOOKUP($A25,[1]모바일!$A:$S,17,FALSE),0)</f>
        <v>728333.33333333337</v>
      </c>
      <c r="S25" s="42">
        <f>IFERROR(VLOOKUP($A25,[1]모바일!$A:$S,18,FALSE),0)</f>
        <v>728333.33333333337</v>
      </c>
      <c r="T25" s="42">
        <f>IFERROR(VLOOKUP(A25,[1]플랫폼2!$A:$O,15,0),0)</f>
        <v>446853331.33333331</v>
      </c>
      <c r="U25" s="83"/>
    </row>
    <row r="26" spans="1:28" s="1" customFormat="1" hidden="1" outlineLevel="1" x14ac:dyDescent="0.45">
      <c r="A26" s="28" t="s">
        <v>15</v>
      </c>
      <c r="B26" s="43">
        <f>'1월'!B26+'2월'!B26+'3월'!B26+'4월'!B26+'5월'!B26+'6월'!B26+'7월'!B26+'8월'!B26+'9월'!B26+'10월'!B26+'11월'!B26+'12월'!B26</f>
        <v>501271152573</v>
      </c>
      <c r="C26" s="43">
        <f>'1월'!C26+'2월'!C26+'3월'!C26+'4월'!C26+'5월'!C26+'6월'!C26+'7월'!C26+'8월'!C26+'9월'!C26+'10월'!C26+'11월'!C26+'12월'!C26</f>
        <v>1534112483</v>
      </c>
      <c r="D26" s="43">
        <f>'1월'!D26+'2월'!D26+'3월'!D26+'4월'!D26+'5월'!D26+'6월'!D26+'7월'!D26+'8월'!D26+'9월'!D26+'10월'!D26+'11월'!D26+'12월'!D26</f>
        <v>0</v>
      </c>
      <c r="E26" s="43">
        <f>'1월'!E26+'2월'!E26+'3월'!E26+'4월'!E26+'5월'!E26+'6월'!E26+'7월'!E26+'8월'!E26+'9월'!E26+'10월'!E26+'11월'!E26+'12월'!E26</f>
        <v>499737040090</v>
      </c>
      <c r="F26" s="43">
        <f>'1월'!F26+'2월'!F26+'3월'!F26+'4월'!F26+'5월'!F26+'6월'!F26+'7월'!F26+'8월'!F26+'9월'!F26+'10월'!F26+'11월'!F26+'12월'!F26</f>
        <v>202129592685</v>
      </c>
      <c r="G26" s="43">
        <f>'1월'!H26+'2월'!G26+'3월'!G26+'4월'!G26+'5월'!G26+'6월'!G26+'7월'!G26+'8월'!G26+'9월'!G26+'10월'!G26+'11월'!G26+'12월'!G26</f>
        <v>1993607273</v>
      </c>
      <c r="H26" s="43">
        <f>'1월'!J26+'2월'!H26+'3월'!H26+'4월'!H26+'5월'!H26+'6월'!H26+'7월'!H26+'8월'!H26+'9월'!H26+'10월'!H26+'11월'!H26+'12월'!H26</f>
        <v>156462654054</v>
      </c>
      <c r="I26" s="43">
        <f>'1월'!K26+'2월'!I26+'3월'!I26+'4월'!I26+'5월'!I26+'6월'!I26+'7월'!I26+'8월'!I26+'9월'!I26+'10월'!I26+'11월'!I26+'12월'!I26</f>
        <v>7909686446</v>
      </c>
      <c r="J26" s="43">
        <f>'1월'!L26+'2월'!J26+'3월'!J26+'4월'!J26+'5월'!J26+'6월'!J26+'7월'!J26+'8월'!J26+'9월'!J26+'10월'!J26+'11월'!J26+'12월'!J26</f>
        <v>-2042112539</v>
      </c>
      <c r="K26" s="43">
        <f>'1월'!M26+'2월'!K26+'3월'!K26+'4월'!K26+'5월'!K26+'6월'!K26+'7월'!K26+'8월'!K26+'9월'!K26+'10월'!K26+'11월'!K26+'12월'!K26</f>
        <v>89200802536</v>
      </c>
      <c r="L26" s="43">
        <f>'1월'!N26+'2월'!L26+'3월'!L26+'4월'!L26+'5월'!L26+'6월'!L26+'7월'!L26+'8월'!L26+'9월'!L26+'10월'!L26+'11월'!L26+'12월'!L26</f>
        <v>1734628341</v>
      </c>
      <c r="M26" s="43">
        <f>'1월'!O26+'2월'!M26+'3월'!M26+'4월'!M26+'5월'!M26+'6월'!M26+'7월'!M26+'8월'!M26+'9월'!M26+'10월'!M26+'11월'!M26+'12월'!M26</f>
        <v>42348181294</v>
      </c>
      <c r="O26" s="43">
        <f>IFERROR(VLOOKUP($A26,[1]플랫폼1!$A:$B,2,FALSE),0)</f>
        <v>4110141099</v>
      </c>
      <c r="P26" s="43">
        <f>IFERROR(VLOOKUP($A26,[1]플랫폼2!$A:$M,12,FALSE),0)+IFERROR(VLOOKUP($A26,[1]플랫폼2!$A:$M,13,FALSE),0)</f>
        <v>7894223749</v>
      </c>
      <c r="Q26" s="43">
        <f>IFERROR(VLOOKUP($A26,[1]플랫폼2!$A:$M,7,FALSE),0)+IFERROR(VLOOKUP($A26,[1]플랫폼2!$A:$M,12,FALSE),0)</f>
        <v>29895506448</v>
      </c>
      <c r="R26" s="43">
        <f>IFERROR(VLOOKUP($A26,[1]모바일!$A:$S,17,FALSE),0)</f>
        <v>728333.33333333337</v>
      </c>
      <c r="S26" s="43">
        <f>IFERROR(VLOOKUP($A26,[1]모바일!$A:$S,18,FALSE),0)</f>
        <v>728333.33333333337</v>
      </c>
      <c r="T26" s="43">
        <f>IFERROR(VLOOKUP(A26,[1]플랫폼2!$A:$O,15,0),0)</f>
        <v>446853331.33333331</v>
      </c>
      <c r="U26" s="83"/>
    </row>
    <row r="27" spans="1:28" s="1" customFormat="1" collapsed="1" x14ac:dyDescent="0.45">
      <c r="A27" s="27" t="s">
        <v>16</v>
      </c>
      <c r="B27" s="42">
        <f>'1월'!B27+'2월'!B27+'3월'!B27+'4월'!B27+'5월'!B27+'6월'!B27+'7월'!B27+'8월'!B27+'9월'!B27+'10월'!B27+'11월'!B27+'12월'!B27</f>
        <v>252186876895</v>
      </c>
      <c r="C27" s="42">
        <f>'1월'!C27+'2월'!C27+'3월'!C27+'4월'!C27+'5월'!C27+'6월'!C27+'7월'!C27+'8월'!C27+'9월'!C27+'10월'!C27+'11월'!C27+'12월'!C27</f>
        <v>-22166233897</v>
      </c>
      <c r="D27" s="42">
        <f>'1월'!D27+'2월'!D27+'3월'!D27+'4월'!D27+'5월'!D27+'6월'!D27+'7월'!D27+'8월'!D27+'9월'!D27+'10월'!D27+'11월'!D27+'12월'!D27</f>
        <v>2370259975</v>
      </c>
      <c r="E27" s="42">
        <f>'1월'!E27+'2월'!E27+'3월'!E27+'4월'!E27+'5월'!E27+'6월'!E27+'7월'!E27+'8월'!E27+'9월'!E27+'10월'!E27+'11월'!E27+'12월'!E27</f>
        <v>271982850817</v>
      </c>
      <c r="F27" s="42">
        <f>'1월'!F27+'2월'!F27+'3월'!F27+'4월'!F27+'5월'!F27+'6월'!F27+'7월'!F27+'8월'!F27+'9월'!F27+'10월'!F27+'11월'!F27+'12월'!F27</f>
        <v>132818595384.25436</v>
      </c>
      <c r="G27" s="42">
        <f>'1월'!H27+'2월'!G27+'3월'!G27+'4월'!G27+'5월'!G27+'6월'!G27+'7월'!G27+'8월'!G27+'9월'!G27+'10월'!G27+'11월'!G27+'12월'!G27</f>
        <v>44724694839.745651</v>
      </c>
      <c r="H27" s="42">
        <f>'1월'!J27+'2월'!H27+'3월'!H27+'4월'!H27+'5월'!H27+'6월'!H27+'7월'!H27+'8월'!H27+'9월'!H27+'10월'!H27+'11월'!H27+'12월'!H27</f>
        <v>41153765296</v>
      </c>
      <c r="I27" s="42">
        <f>'1월'!K27+'2월'!I27+'3월'!I27+'4월'!I27+'5월'!I27+'6월'!I27+'7월'!I27+'8월'!I27+'9월'!I27+'10월'!I27+'11월'!I27+'12월'!I27</f>
        <v>5471401128</v>
      </c>
      <c r="J27" s="42">
        <f>'1월'!L27+'2월'!J27+'3월'!J27+'4월'!J27+'5월'!J27+'6월'!J27+'7월'!J27+'8월'!J27+'9월'!J27+'10월'!J27+'11월'!J27+'12월'!J27</f>
        <v>11180524440</v>
      </c>
      <c r="K27" s="42">
        <f>'1월'!M27+'2월'!K27+'3월'!K27+'4월'!K27+'5월'!K27+'6월'!K27+'7월'!K27+'8월'!K27+'9월'!K27+'10월'!K27+'11월'!K27+'12월'!K27</f>
        <v>8767035754</v>
      </c>
      <c r="L27" s="42">
        <f>'1월'!N27+'2월'!L27+'3월'!L27+'4월'!L27+'5월'!L27+'6월'!L27+'7월'!L27+'8월'!L27+'9월'!L27+'10월'!L27+'11월'!L27+'12월'!L27</f>
        <v>14556591243</v>
      </c>
      <c r="M27" s="42">
        <f>'1월'!O27+'2월'!M27+'3월'!M27+'4월'!M27+'5월'!M27+'6월'!M27+'7월'!M27+'8월'!M27+'9월'!M27+'10월'!M27+'11월'!M27+'12월'!M27</f>
        <v>13310242732</v>
      </c>
      <c r="O27" s="42">
        <f>IFERROR(VLOOKUP($A27,[1]플랫폼1!$A:$B,2,FALSE),0)</f>
        <v>2572621219</v>
      </c>
      <c r="P27" s="42">
        <f>IFERROR(VLOOKUP($A27,[1]플랫폼2!$A:$M,12,FALSE),0)+IFERROR(VLOOKUP($A27,[1]플랫폼2!$A:$M,13,FALSE),0)</f>
        <v>2271025742</v>
      </c>
      <c r="Q27" s="42">
        <f>IFERROR(VLOOKUP($A27,[1]플랫폼2!$A:$M,7,FALSE),0)+IFERROR(VLOOKUP($A27,[1]플랫폼2!$A:$M,12,FALSE),0)</f>
        <v>7223920115</v>
      </c>
      <c r="R27" s="42">
        <f>IFERROR(VLOOKUP($A27,[1]모바일!$A:$S,17,FALSE),0)</f>
        <v>356981666.66666669</v>
      </c>
      <c r="S27" s="42">
        <f>IFERROR(VLOOKUP($A27,[1]모바일!$A:$S,18,FALSE),0)</f>
        <v>441226632.66666669</v>
      </c>
      <c r="T27" s="42">
        <f>IFERROR(VLOOKUP(A27,[1]플랫폼2!$A:$O,15,0),0)</f>
        <v>444467356.66666669</v>
      </c>
      <c r="U27" s="83"/>
    </row>
    <row r="28" spans="1:28" s="1" customFormat="1" x14ac:dyDescent="0.45">
      <c r="A28" s="27" t="s">
        <v>17</v>
      </c>
      <c r="B28" s="42">
        <f>'1월'!B28+'2월'!B28+'3월'!B28+'4월'!B28+'5월'!B28+'6월'!B28+'7월'!B28+'8월'!B28+'9월'!B28+'10월'!B28+'11월'!B28+'12월'!B28</f>
        <v>235845461647</v>
      </c>
      <c r="C28" s="42">
        <f>'1월'!C28+'2월'!C28+'3월'!C28+'4월'!C28+'5월'!C28+'6월'!C28+'7월'!C28+'8월'!C28+'9월'!C28+'10월'!C28+'11월'!C28+'12월'!C28</f>
        <v>-316155566.52744865</v>
      </c>
      <c r="D28" s="42">
        <f>'1월'!D28+'2월'!D28+'3월'!D28+'4월'!D28+'5월'!D28+'6월'!D28+'7월'!D28+'8월'!D28+'9월'!D28+'10월'!D28+'11월'!D28+'12월'!D28</f>
        <v>7754690736</v>
      </c>
      <c r="E28" s="42">
        <f>'1월'!E28+'2월'!E28+'3월'!E28+'4월'!E28+'5월'!E28+'6월'!E28+'7월'!E28+'8월'!E28+'9월'!E28+'10월'!E28+'11월'!E28+'12월'!E28</f>
        <v>228406926477.52747</v>
      </c>
      <c r="F28" s="42">
        <f>'1월'!F28+'2월'!F28+'3월'!F28+'4월'!F28+'5월'!F28+'6월'!F28+'7월'!F28+'8월'!F28+'9월'!F28+'10월'!F28+'11월'!F28+'12월'!F28</f>
        <v>114176340528.46571</v>
      </c>
      <c r="G28" s="42">
        <f>'1월'!H28+'2월'!G28+'3월'!G28+'4월'!G28+'5월'!G28+'6월'!G28+'7월'!G28+'8월'!G28+'9월'!G28+'10월'!G28+'11월'!G28+'12월'!G28</f>
        <v>31804172397.126175</v>
      </c>
      <c r="H28" s="42">
        <f>'1월'!J28+'2월'!H28+'3월'!H28+'4월'!H28+'5월'!H28+'6월'!H28+'7월'!H28+'8월'!H28+'9월'!H28+'10월'!H28+'11월'!H28+'12월'!H28</f>
        <v>33039299626.990822</v>
      </c>
      <c r="I28" s="42">
        <f>'1월'!K28+'2월'!I28+'3월'!I28+'4월'!I28+'5월'!I28+'6월'!I28+'7월'!I28+'8월'!I28+'9월'!I28+'10월'!I28+'11월'!I28+'12월'!I28</f>
        <v>4929077333.5736408</v>
      </c>
      <c r="J28" s="42">
        <f>'1월'!L28+'2월'!J28+'3월'!J28+'4월'!J28+'5월'!J28+'6월'!J28+'7월'!J28+'8월'!J28+'9월'!J28+'10월'!J28+'11월'!J28+'12월'!J28</f>
        <v>10183082153.405472</v>
      </c>
      <c r="K28" s="42">
        <f>'1월'!M28+'2월'!K28+'3월'!K28+'4월'!K28+'5월'!K28+'6월'!K28+'7월'!K28+'8월'!K28+'9월'!K28+'10월'!K28+'11월'!K28+'12월'!K28</f>
        <v>7738158009.4774733</v>
      </c>
      <c r="L28" s="42">
        <f>'1월'!N28+'2월'!L28+'3월'!L28+'4월'!L28+'5월'!L28+'6월'!L28+'7월'!L28+'8월'!L28+'9월'!L28+'10월'!L28+'11월'!L28+'12월'!L28</f>
        <v>18821415835.488144</v>
      </c>
      <c r="M28" s="42">
        <f>'1월'!O28+'2월'!M28+'3월'!M28+'4월'!M28+'5월'!M28+'6월'!M28+'7월'!M28+'8월'!M28+'9월'!M28+'10월'!M28+'11월'!M28+'12월'!M28</f>
        <v>7715380593</v>
      </c>
      <c r="O28" s="42">
        <f>IFERROR(VLOOKUP($A28,[1]플랫폼1!$A:$B,2,FALSE),0)</f>
        <v>2870898509</v>
      </c>
      <c r="P28" s="42">
        <f>IFERROR(VLOOKUP($A28,[1]플랫폼2!$A:$M,12,FALSE),0)+IFERROR(VLOOKUP($A28,[1]플랫폼2!$A:$M,13,FALSE),0)</f>
        <v>1864003365</v>
      </c>
      <c r="Q28" s="42">
        <f>IFERROR(VLOOKUP($A28,[1]플랫폼2!$A:$M,7,FALSE),0)+IFERROR(VLOOKUP($A28,[1]플랫폼2!$A:$M,12,FALSE),0)</f>
        <v>1362120999</v>
      </c>
      <c r="R28" s="42">
        <f>IFERROR(VLOOKUP($A28,[1]모바일!$A:$S,17,FALSE),0)</f>
        <v>311500637.5</v>
      </c>
      <c r="S28" s="42">
        <f>IFERROR(VLOOKUP($A28,[1]모바일!$A:$S,18,FALSE),0)</f>
        <v>171683883.5</v>
      </c>
      <c r="T28" s="42">
        <f>IFERROR(VLOOKUP(A28,[1]플랫폼2!$A:$O,15,0),0)</f>
        <v>1135188061</v>
      </c>
      <c r="U28" s="83"/>
    </row>
    <row r="29" spans="1:28" s="1" customFormat="1" x14ac:dyDescent="0.45">
      <c r="A29" s="28" t="s">
        <v>18</v>
      </c>
      <c r="B29" s="43">
        <f>'1월'!B29+'2월'!B29+'3월'!B29+'4월'!B29+'5월'!B29+'6월'!B29+'7월'!B29+'8월'!B29+'9월'!B29+'10월'!B29+'11월'!B29+'12월'!B29</f>
        <v>1305190900</v>
      </c>
      <c r="C29" s="43">
        <f>'1월'!C29+'2월'!C29+'3월'!C29+'4월'!C29+'5월'!C29+'6월'!C29+'7월'!C29+'8월'!C29+'9월'!C29+'10월'!C29+'11월'!C29+'12월'!C29</f>
        <v>419462609.0952431</v>
      </c>
      <c r="D29" s="43">
        <f>'1월'!D29+'2월'!D29+'3월'!D29+'4월'!D29+'5월'!D29+'6월'!D29+'7월'!D29+'8월'!D29+'9월'!D29+'10월'!D29+'11월'!D29+'12월'!D29</f>
        <v>194526450</v>
      </c>
      <c r="E29" s="43">
        <f>'1월'!E29+'2월'!E29+'3월'!E29+'4월'!E29+'5월'!E29+'6월'!E29+'7월'!E29+'8월'!E29+'9월'!E29+'10월'!E29+'11월'!E29+'12월'!E29</f>
        <v>691201840.90475702</v>
      </c>
      <c r="F29" s="43">
        <f>'1월'!F29+'2월'!F29+'3월'!F29+'4월'!F29+'5월'!F29+'6월'!F29+'7월'!F29+'8월'!F29+'9월'!F29+'10월'!F29+'11월'!F29+'12월'!F29</f>
        <v>566779101.66619372</v>
      </c>
      <c r="G29" s="43">
        <f>'1월'!H29+'2월'!G29+'3월'!G29+'4월'!G29+'5월'!G29+'6월'!G29+'7월'!G29+'8월'!G29+'9월'!G29+'10월'!G29+'11월'!G29+'12월'!G29</f>
        <v>67539468.333806306</v>
      </c>
      <c r="H29" s="43">
        <f>'1월'!J29+'2월'!H29+'3월'!H29+'4월'!H29+'5월'!H29+'6월'!H29+'7월'!H29+'8월'!H29+'9월'!H29+'10월'!H29+'11월'!H29+'12월'!H29</f>
        <v>0</v>
      </c>
      <c r="I29" s="43">
        <f>'1월'!K29+'2월'!I29+'3월'!I29+'4월'!I29+'5월'!I29+'6월'!I29+'7월'!I29+'8월'!I29+'9월'!I29+'10월'!I29+'11월'!I29+'12월'!I29</f>
        <v>6804987.5511883311</v>
      </c>
      <c r="J29" s="43">
        <f>'1월'!L29+'2월'!J29+'3월'!J29+'4월'!J29+'5월'!J29+'6월'!J29+'7월'!J29+'8월'!J29+'9월'!J29+'10월'!J29+'11월'!J29+'12월'!J29</f>
        <v>8031578.8086714614</v>
      </c>
      <c r="K29" s="43">
        <f>'1월'!M29+'2월'!K29+'3월'!K29+'4월'!K29+'5월'!K29+'6월'!K29+'7월'!K29+'8월'!K29+'9월'!K29+'10월'!K29+'11월'!K29+'12월'!K29</f>
        <v>34524521.038420558</v>
      </c>
      <c r="L29" s="43">
        <f>'1월'!N29+'2월'!L29+'3월'!L29+'4월'!L29+'5월'!L29+'6월'!L29+'7월'!L29+'8월'!L29+'9월'!L29+'10월'!L29+'11월'!L29+'12월'!L29</f>
        <v>7522183.5064766025</v>
      </c>
      <c r="M29" s="43">
        <f>'1월'!O29+'2월'!M29+'3월'!M29+'4월'!M29+'5월'!M29+'6월'!M29+'7월'!M29+'8월'!M29+'9월'!M29+'10월'!M29+'11월'!M29+'12월'!M29</f>
        <v>0</v>
      </c>
      <c r="O29" s="43">
        <f>IFERROR(VLOOKUP($A29,[1]플랫폼1!$A:$B,2,FALSE),0)</f>
        <v>0</v>
      </c>
      <c r="P29" s="43">
        <f>IFERROR(VLOOKUP($A29,[1]플랫폼2!$A:$M,12,FALSE),0)+IFERROR(VLOOKUP($A29,[1]플랫폼2!$A:$M,13,FALSE),0)</f>
        <v>0</v>
      </c>
      <c r="Q29" s="43">
        <f>IFERROR(VLOOKUP($A29,[1]플랫폼2!$A:$M,7,FALSE),0)+IFERROR(VLOOKUP($A29,[1]플랫폼2!$A:$M,12,FALSE),0)</f>
        <v>0</v>
      </c>
      <c r="R29" s="43">
        <f>IFERROR(VLOOKUP($A29,[1]모바일!$A:$S,17,FALSE),0)</f>
        <v>0</v>
      </c>
      <c r="S29" s="43">
        <f>IFERROR(VLOOKUP($A29,[1]모바일!$A:$S,18,FALSE),0)</f>
        <v>0</v>
      </c>
      <c r="T29" s="43">
        <f>IFERROR(VLOOKUP(A29,[1]플랫폼2!$A:$O,15,0),0)</f>
        <v>0</v>
      </c>
      <c r="U29" s="83"/>
    </row>
    <row r="30" spans="1:28" s="1" customFormat="1" x14ac:dyDescent="0.45">
      <c r="A30" s="28" t="s">
        <v>19</v>
      </c>
      <c r="B30" s="43">
        <f>'1월'!B30+'2월'!B30+'3월'!B30+'4월'!B30+'5월'!B30+'6월'!B30+'7월'!B30+'8월'!B30+'9월'!B30+'10월'!B30+'11월'!B30+'12월'!B30</f>
        <v>82321315163</v>
      </c>
      <c r="C30" s="43">
        <f>'1월'!C30+'2월'!C30+'3월'!C30+'4월'!C30+'5월'!C30+'6월'!C30+'7월'!C30+'8월'!C30+'9월'!C30+'10월'!C30+'11월'!C30+'12월'!C30</f>
        <v>5027081288.0617771</v>
      </c>
      <c r="D30" s="43">
        <f>'1월'!D30+'2월'!D30+'3월'!D30+'4월'!D30+'5월'!D30+'6월'!D30+'7월'!D30+'8월'!D30+'9월'!D30+'10월'!D30+'11월'!D30+'12월'!D30</f>
        <v>2146809100</v>
      </c>
      <c r="E30" s="43">
        <f>'1월'!E30+'2월'!E30+'3월'!E30+'4월'!E30+'5월'!E30+'6월'!E30+'7월'!E30+'8월'!E30+'9월'!E30+'10월'!E30+'11월'!E30+'12월'!E30</f>
        <v>75147424774.938217</v>
      </c>
      <c r="F30" s="43">
        <f>'1월'!F30+'2월'!F30+'3월'!F30+'4월'!F30+'5월'!F30+'6월'!F30+'7월'!F30+'8월'!F30+'9월'!F30+'10월'!F30+'11월'!F30+'12월'!F30</f>
        <v>45185202512.316559</v>
      </c>
      <c r="G30" s="43">
        <f>'1월'!H30+'2월'!G30+'3월'!G30+'4월'!G30+'5월'!G30+'6월'!G30+'7월'!G30+'8월'!G30+'9월'!G30+'10월'!G30+'11월'!G30+'12월'!G30</f>
        <v>14927956447.960827</v>
      </c>
      <c r="H30" s="43">
        <f>'1월'!J30+'2월'!H30+'3월'!H30+'4월'!H30+'5월'!H30+'6월'!H30+'7월'!H30+'8월'!H30+'9월'!H30+'10월'!H30+'11월'!H30+'12월'!H30</f>
        <v>5051191507.7226133</v>
      </c>
      <c r="I30" s="43">
        <f>'1월'!K30+'2월'!I30+'3월'!I30+'4월'!I30+'5월'!I30+'6월'!I30+'7월'!I30+'8월'!I30+'9월'!I30+'10월'!I30+'11월'!I30+'12월'!I30</f>
        <v>549928982.0053786</v>
      </c>
      <c r="J30" s="43">
        <f>'1월'!L30+'2월'!J30+'3월'!J30+'4월'!J30+'5월'!J30+'6월'!J30+'7월'!J30+'8월'!J30+'9월'!J30+'10월'!J30+'11월'!J30+'12월'!J30</f>
        <v>581506496.63393736</v>
      </c>
      <c r="K30" s="43">
        <f>'1월'!M30+'2월'!K30+'3월'!K30+'4월'!K30+'5월'!K30+'6월'!K30+'7월'!K30+'8월'!K30+'9월'!K30+'10월'!K30+'11월'!K30+'12월'!K30</f>
        <v>2429594492.7067156</v>
      </c>
      <c r="L30" s="43">
        <f>'1월'!N30+'2월'!L30+'3월'!L30+'4월'!L30+'5월'!L30+'6월'!L30+'7월'!L30+'8월'!L30+'9월'!L30+'10월'!L30+'11월'!L30+'12월'!L30</f>
        <v>5419840045.5921917</v>
      </c>
      <c r="M30" s="43">
        <f>'1월'!O30+'2월'!M30+'3월'!M30+'4월'!M30+'5월'!M30+'6월'!M30+'7월'!M30+'8월'!M30+'9월'!M30+'10월'!M30+'11월'!M30+'12월'!M30</f>
        <v>1002204290</v>
      </c>
      <c r="O30" s="43">
        <f>IFERROR(VLOOKUP($A30,[1]플랫폼1!$A:$B,2,FALSE),0)</f>
        <v>252158180</v>
      </c>
      <c r="P30" s="43">
        <f>IFERROR(VLOOKUP($A30,[1]플랫폼2!$A:$M,12,FALSE),0)+IFERROR(VLOOKUP($A30,[1]플랫폼2!$A:$M,13,FALSE),0)</f>
        <v>166543775</v>
      </c>
      <c r="Q30" s="43">
        <f>IFERROR(VLOOKUP($A30,[1]플랫폼2!$A:$M,7,FALSE),0)+IFERROR(VLOOKUP($A30,[1]플랫폼2!$A:$M,12,FALSE),0)</f>
        <v>166543775</v>
      </c>
      <c r="R30" s="43">
        <f>IFERROR(VLOOKUP($A30,[1]모바일!$A:$S,17,FALSE),0)</f>
        <v>25014107.5</v>
      </c>
      <c r="S30" s="43">
        <f>IFERROR(VLOOKUP($A30,[1]모바일!$A:$S,18,FALSE),0)</f>
        <v>25014107.5</v>
      </c>
      <c r="T30" s="43">
        <f>IFERROR(VLOOKUP(A30,[1]플랫폼2!$A:$O,15,0),0)</f>
        <v>366930345</v>
      </c>
      <c r="U30" s="83"/>
    </row>
    <row r="31" spans="1:28" ht="16" hidden="1" customHeight="1" outlineLevel="1" x14ac:dyDescent="0.45">
      <c r="A31" s="29" t="s">
        <v>20</v>
      </c>
      <c r="B31" s="44">
        <f>'1월'!B31+'2월'!B31+'3월'!B31+'4월'!B31+'5월'!B31+'6월'!B31+'7월'!B31+'8월'!B31+'9월'!B31+'10월'!B31+'11월'!B31+'12월'!B31</f>
        <v>8697762090</v>
      </c>
      <c r="C31" s="44">
        <f>'1월'!C31+'2월'!C31+'3월'!C31+'4월'!C31+'5월'!C31+'6월'!C31+'7월'!C31+'8월'!C31+'9월'!C31+'10월'!C31+'11월'!C31+'12월'!C31</f>
        <v>2133904782.3082132</v>
      </c>
      <c r="D31" s="44">
        <f>'1월'!D31+'2월'!D31+'3월'!D31+'4월'!D31+'5월'!D31+'6월'!D31+'7월'!D31+'8월'!D31+'9월'!D31+'10월'!D31+'11월'!D31+'12월'!D31</f>
        <v>821581160</v>
      </c>
      <c r="E31" s="44">
        <f>'1월'!E31+'2월'!E31+'3월'!E31+'4월'!E31+'5월'!E31+'6월'!E31+'7월'!E31+'8월'!E31+'9월'!E31+'10월'!E31+'11월'!E31+'12월'!E31</f>
        <v>5742276147.6917868</v>
      </c>
      <c r="F31" s="44">
        <f>'1월'!F31+'2월'!F31+'3월'!F31+'4월'!F31+'5월'!F31+'6월'!F31+'7월'!F31+'8월'!F31+'9월'!F31+'10월'!F31+'11월'!F31+'12월'!F31</f>
        <v>2722995970.1084514</v>
      </c>
      <c r="G31" s="44">
        <f>'1월'!H31+'2월'!G31+'3월'!G31+'4월'!G31+'5월'!G31+'6월'!G31+'7월'!G31+'8월'!G31+'9월'!G31+'10월'!G31+'11월'!G31+'12월'!G31</f>
        <v>1192174207.1490717</v>
      </c>
      <c r="H31" s="44">
        <f>'1월'!J31+'2월'!H31+'3월'!H31+'4월'!H31+'5월'!H31+'6월'!H31+'7월'!H31+'8월'!H31+'9월'!H31+'10월'!H31+'11월'!H31+'12월'!H31</f>
        <v>315672372.74247676</v>
      </c>
      <c r="I31" s="44">
        <f>'1월'!K31+'2월'!I31+'3월'!I31+'4월'!I31+'5월'!I31+'6월'!I31+'7월'!I31+'8월'!I31+'9월'!I31+'10월'!I31+'11월'!I31+'12월'!I31</f>
        <v>88422310.163012177</v>
      </c>
      <c r="J31" s="44">
        <f>'1월'!L31+'2월'!J31+'3월'!J31+'4월'!J31+'5월'!J31+'6월'!J31+'7월'!J31+'8월'!J31+'9월'!J31+'10월'!J31+'11월'!J31+'12월'!J31</f>
        <v>94674685.585143864</v>
      </c>
      <c r="K31" s="44">
        <f>'1월'!M31+'2월'!K31+'3월'!K31+'4월'!K31+'5월'!K31+'6월'!K31+'7월'!K31+'8월'!K31+'9월'!K31+'10월'!K31+'11월'!K31+'12월'!K31</f>
        <v>200287024.51289845</v>
      </c>
      <c r="L31" s="44">
        <f>'1월'!N31+'2월'!L31+'3월'!L31+'4월'!L31+'5월'!L31+'6월'!L31+'7월'!L31+'8월'!L31+'9월'!L31+'10월'!L31+'11월'!L31+'12월'!L31</f>
        <v>596092817.43073273</v>
      </c>
      <c r="M31" s="44">
        <f>'1월'!O31+'2월'!M31+'3월'!M31+'4월'!M31+'5월'!M31+'6월'!M31+'7월'!M31+'8월'!M31+'9월'!M31+'10월'!M31+'11월'!M31+'12월'!M31</f>
        <v>531956760</v>
      </c>
      <c r="O31" s="44">
        <f>IFERROR(VLOOKUP($A31,[1]플랫폼1!$A:$B,2,FALSE),0)</f>
        <v>151580040</v>
      </c>
      <c r="P31" s="44">
        <f>IFERROR(VLOOKUP($A31,[1]플랫폼2!$A:$M,12,FALSE),0)+IFERROR(VLOOKUP($A31,[1]플랫폼2!$A:$M,13,FALSE),0)</f>
        <v>106407785</v>
      </c>
      <c r="Q31" s="44">
        <f>IFERROR(VLOOKUP($A31,[1]플랫폼2!$A:$M,7,FALSE),0)+IFERROR(VLOOKUP($A31,[1]플랫폼2!$A:$M,12,FALSE),0)</f>
        <v>106407785</v>
      </c>
      <c r="R31" s="44">
        <f>IFERROR(VLOOKUP($A31,[1]모바일!$A:$S,17,FALSE),0)</f>
        <v>13963429.166666666</v>
      </c>
      <c r="S31" s="44">
        <f>IFERROR(VLOOKUP($A31,[1]모바일!$A:$S,18,FALSE),0)</f>
        <v>13963429.166666666</v>
      </c>
      <c r="T31" s="43">
        <f>IFERROR(VLOOKUP(A31,[1]플랫폼2!$A:$O,15,0),0)</f>
        <v>139634291.66666666</v>
      </c>
      <c r="U31" s="83"/>
    </row>
    <row r="32" spans="1:28" ht="16" hidden="1" customHeight="1" outlineLevel="1" x14ac:dyDescent="0.45">
      <c r="A32" s="29" t="s">
        <v>21</v>
      </c>
      <c r="B32" s="44">
        <f>'1월'!B32+'2월'!B32+'3월'!B32+'4월'!B32+'5월'!B32+'6월'!B32+'7월'!B32+'8월'!B32+'9월'!B32+'10월'!B32+'11월'!B32+'12월'!B32</f>
        <v>1598664780</v>
      </c>
      <c r="C32" s="44">
        <f>'1월'!C32+'2월'!C32+'3월'!C32+'4월'!C32+'5월'!C32+'6월'!C32+'7월'!C32+'8월'!C32+'9월'!C32+'10월'!C32+'11월'!C32+'12월'!C32</f>
        <v>392851961.36521006</v>
      </c>
      <c r="D32" s="44">
        <f>'1월'!D32+'2월'!D32+'3월'!D32+'4월'!D32+'5월'!D32+'6월'!D32+'7월'!D32+'8월'!D32+'9월'!D32+'10월'!D32+'11월'!D32+'12월'!D32</f>
        <v>150904420</v>
      </c>
      <c r="E32" s="44">
        <f>'1월'!E32+'2월'!E32+'3월'!E32+'4월'!E32+'5월'!E32+'6월'!E32+'7월'!E32+'8월'!E32+'9월'!E32+'10월'!E32+'11월'!E32+'12월'!E32</f>
        <v>1054908398.6347901</v>
      </c>
      <c r="F32" s="44">
        <f>'1월'!F32+'2월'!F32+'3월'!F32+'4월'!F32+'5월'!F32+'6월'!F32+'7월'!F32+'8월'!F32+'9월'!F32+'10월'!F32+'11월'!F32+'12월'!F32</f>
        <v>502029877.01818645</v>
      </c>
      <c r="G32" s="44">
        <f>'1월'!H32+'2월'!G32+'3월'!G32+'4월'!G32+'5월'!G32+'6월'!G32+'7월'!G32+'8월'!G32+'9월'!G32+'10월'!G32+'11월'!G32+'12월'!G32</f>
        <v>213474412.30661398</v>
      </c>
      <c r="H32" s="44">
        <f>'1월'!J32+'2월'!H32+'3월'!H32+'4월'!H32+'5월'!H32+'6월'!H32+'7월'!H32+'8월'!H32+'9월'!H32+'10월'!H32+'11월'!H32+'12월'!H32</f>
        <v>58177720.675199538</v>
      </c>
      <c r="I32" s="44">
        <f>'1월'!K32+'2월'!I32+'3월'!I32+'4월'!I32+'5월'!I32+'6월'!I32+'7월'!I32+'8월'!I32+'9월'!I32+'10월'!I32+'11월'!I32+'12월'!I32</f>
        <v>16436067.249278719</v>
      </c>
      <c r="J32" s="44">
        <f>'1월'!L32+'2월'!J32+'3월'!J32+'4월'!J32+'5월'!J32+'6월'!J32+'7월'!J32+'8월'!J32+'9월'!J32+'10월'!J32+'11월'!J32+'12월'!J32</f>
        <v>17568424.592916142</v>
      </c>
      <c r="K32" s="44">
        <f>'1월'!M32+'2월'!K32+'3월'!K32+'4월'!K32+'5월'!K32+'6월'!K32+'7월'!K32+'8월'!K32+'9월'!K32+'10월'!K32+'11월'!K32+'12월'!K32</f>
        <v>37510529.63945327</v>
      </c>
      <c r="L32" s="44">
        <f>'1월'!N32+'2월'!L32+'3월'!L32+'4월'!L32+'5월'!L32+'6월'!L32+'7월'!L32+'8월'!L32+'9월'!L32+'10월'!L32+'11월'!L32+'12월'!L32</f>
        <v>112486857.15314187</v>
      </c>
      <c r="M32" s="44">
        <f>'1월'!O32+'2월'!M32+'3월'!M32+'4월'!M32+'5월'!M32+'6월'!M32+'7월'!M32+'8월'!M32+'9월'!M32+'10월'!M32+'11월'!M32+'12월'!M32</f>
        <v>97224510</v>
      </c>
      <c r="O32" s="44">
        <f>IFERROR(VLOOKUP($A32,[1]플랫폼1!$A:$B,2,FALSE),0)</f>
        <v>28356020</v>
      </c>
      <c r="P32" s="44">
        <f>IFERROR(VLOOKUP($A32,[1]플랫폼2!$A:$M,12,FALSE),0)+IFERROR(VLOOKUP($A32,[1]플랫폼2!$A:$M,13,FALSE),0)</f>
        <v>19452010</v>
      </c>
      <c r="Q32" s="44">
        <f>IFERROR(VLOOKUP($A32,[1]플랫폼2!$A:$M,7,FALSE),0)+IFERROR(VLOOKUP($A32,[1]플랫폼2!$A:$M,12,FALSE),0)</f>
        <v>19452010</v>
      </c>
      <c r="R32" s="44">
        <f>IFERROR(VLOOKUP($A32,[1]모바일!$A:$S,17,FALSE),0)</f>
        <v>2497039.1666666665</v>
      </c>
      <c r="S32" s="44">
        <f>IFERROR(VLOOKUP($A32,[1]모바일!$A:$S,18,FALSE),0)</f>
        <v>2497039.1666666665</v>
      </c>
      <c r="T32" s="43">
        <f>IFERROR(VLOOKUP(A32,[1]플랫폼2!$A:$O,15,0),0)</f>
        <v>24970391.666666664</v>
      </c>
      <c r="U32" s="83"/>
    </row>
    <row r="33" spans="1:21" ht="16" hidden="1" customHeight="1" outlineLevel="1" x14ac:dyDescent="0.45">
      <c r="A33" s="29" t="s">
        <v>22</v>
      </c>
      <c r="B33" s="44">
        <f>'1월'!B33+'2월'!B33+'3월'!B33+'4월'!B33+'5월'!B33+'6월'!B33+'7월'!B33+'8월'!B33+'9월'!B33+'10월'!B33+'11월'!B33+'12월'!B33</f>
        <v>388263730</v>
      </c>
      <c r="C33" s="44">
        <f>'1월'!C33+'2월'!C33+'3월'!C33+'4월'!C33+'5월'!C33+'6월'!C33+'7월'!C33+'8월'!C33+'9월'!C33+'10월'!C33+'11월'!C33+'12월'!C33</f>
        <v>94355085.863011822</v>
      </c>
      <c r="D33" s="44">
        <f>'1월'!D33+'2월'!D33+'3월'!D33+'4월'!D33+'5월'!D33+'6월'!D33+'7월'!D33+'8월'!D33+'9월'!D33+'10월'!D33+'11월'!D33+'12월'!D33</f>
        <v>33600000</v>
      </c>
      <c r="E33" s="44">
        <f>'1월'!E33+'2월'!E33+'3월'!E33+'4월'!E33+'5월'!E33+'6월'!E33+'7월'!E33+'8월'!E33+'9월'!E33+'10월'!E33+'11월'!E33+'12월'!E33</f>
        <v>260308644.13698816</v>
      </c>
      <c r="F33" s="44">
        <f>'1월'!F33+'2월'!F33+'3월'!F33+'4월'!F33+'5월'!F33+'6월'!F33+'7월'!F33+'8월'!F33+'9월'!F33+'10월'!F33+'11월'!F33+'12월'!F33</f>
        <v>115172437.25871316</v>
      </c>
      <c r="G33" s="44">
        <f>'1월'!H33+'2월'!G33+'3월'!G33+'4월'!G33+'5월'!G33+'6월'!G33+'7월'!G33+'8월'!G33+'9월'!G33+'10월'!G33+'11월'!G33+'12월'!G33</f>
        <v>41008022.799282111</v>
      </c>
      <c r="H33" s="44">
        <f>'1월'!J33+'2월'!H33+'3월'!H33+'4월'!H33+'5월'!H33+'6월'!H33+'7월'!H33+'8월'!H33+'9월'!H33+'10월'!H33+'11월'!H33+'12월'!H33</f>
        <v>13094549.942004729</v>
      </c>
      <c r="I33" s="44">
        <f>'1월'!K33+'2월'!I33+'3월'!I33+'4월'!I33+'5월'!I33+'6월'!I33+'7월'!I33+'8월'!I33+'9월'!I33+'10월'!I33+'11월'!I33+'12월'!I33</f>
        <v>5560779.9818578148</v>
      </c>
      <c r="J33" s="44">
        <f>'1월'!L33+'2월'!J33+'3월'!J33+'4월'!J33+'5월'!J33+'6월'!J33+'7월'!J33+'8월'!J33+'9월'!J33+'10월'!J33+'11월'!J33+'12월'!J33</f>
        <v>5822684.1405587951</v>
      </c>
      <c r="K33" s="44">
        <f>'1월'!M33+'2월'!K33+'3월'!K33+'4월'!K33+'5월'!K33+'6월'!K33+'7월'!K33+'8월'!K33+'9월'!K33+'10월'!K33+'11월'!K33+'12월'!K33</f>
        <v>14393875.505900031</v>
      </c>
      <c r="L33" s="44">
        <f>'1월'!N33+'2월'!L33+'3월'!L33+'4월'!L33+'5월'!L33+'6월'!L33+'7월'!L33+'8월'!L33+'9월'!L33+'10월'!L33+'11월'!L33+'12월'!L33</f>
        <v>44856294.508671537</v>
      </c>
      <c r="M33" s="44">
        <f>'1월'!O33+'2월'!M33+'3월'!M33+'4월'!M33+'5월'!M33+'6월'!M33+'7월'!M33+'8월'!M33+'9월'!M33+'10월'!M33+'11월'!M33+'12월'!M33</f>
        <v>20400000</v>
      </c>
      <c r="O33" s="44">
        <f>IFERROR(VLOOKUP($A33,[1]플랫폼1!$A:$B,2,FALSE),0)</f>
        <v>8400000</v>
      </c>
      <c r="P33" s="44">
        <f>IFERROR(VLOOKUP($A33,[1]플랫폼2!$A:$M,12,FALSE),0)+IFERROR(VLOOKUP($A33,[1]플랫폼2!$A:$M,13,FALSE),0)</f>
        <v>4200000</v>
      </c>
      <c r="Q33" s="44">
        <f>IFERROR(VLOOKUP($A33,[1]플랫폼2!$A:$M,7,FALSE),0)+IFERROR(VLOOKUP($A33,[1]플랫폼2!$A:$M,12,FALSE),0)</f>
        <v>4200000</v>
      </c>
      <c r="R33" s="44">
        <f>IFERROR(VLOOKUP($A33,[1]모바일!$A:$S,17,FALSE),0)</f>
        <v>300000</v>
      </c>
      <c r="S33" s="44">
        <f>IFERROR(VLOOKUP($A33,[1]모바일!$A:$S,18,FALSE),0)</f>
        <v>300000</v>
      </c>
      <c r="T33" s="43">
        <f>IFERROR(VLOOKUP(A33,[1]플랫폼2!$A:$O,15,0),0)</f>
        <v>3000000</v>
      </c>
      <c r="U33" s="83"/>
    </row>
    <row r="34" spans="1:21" ht="16" hidden="1" customHeight="1" outlineLevel="1" x14ac:dyDescent="0.45">
      <c r="A34" s="29" t="s">
        <v>171</v>
      </c>
      <c r="B34" s="44">
        <f>'1월'!B34+'2월'!B34+'3월'!B34+'4월'!B34+'5월'!B34+'6월'!B34+'7월'!B34+'8월'!B34+'9월'!B34+'10월'!B34+'11월'!B34+'12월'!B34</f>
        <v>271782250</v>
      </c>
      <c r="C34" s="44">
        <f>'1월'!C34+'2월'!C34+'3월'!C34+'4월'!C34+'5월'!C34+'6월'!C34+'7월'!C34+'8월'!C34+'9월'!C34+'10월'!C34+'11월'!C34+'12월'!C34</f>
        <v>268404810</v>
      </c>
      <c r="D34" s="44">
        <f>'1월'!D34+'2월'!D34+'3월'!D34+'4월'!D34+'5월'!D34+'6월'!D34+'7월'!D34+'8월'!D34+'9월'!D34+'10월'!D34+'11월'!D34+'12월'!D34</f>
        <v>0</v>
      </c>
      <c r="E34" s="44">
        <f>'1월'!E34+'2월'!E34+'3월'!E34+'4월'!E34+'5월'!E34+'6월'!E34+'7월'!E34+'8월'!E34+'9월'!E34+'10월'!E34+'11월'!E34+'12월'!E34</f>
        <v>3377440</v>
      </c>
      <c r="F34" s="44">
        <f>'1월'!F34+'2월'!F34+'3월'!F34+'4월'!F34+'5월'!F34+'6월'!F34+'7월'!F34+'8월'!F34+'9월'!F34+'10월'!F34+'11월'!F34+'12월'!F34</f>
        <v>2671927.2265024814</v>
      </c>
      <c r="G34" s="44">
        <f>'1월'!H34+'2월'!G34+'3월'!G34+'4월'!G34+'5월'!G34+'6월'!G34+'7월'!G34+'8월'!G34+'9월'!G34+'10월'!G34+'11월'!G34+'12월'!G34</f>
        <v>49222.773497518603</v>
      </c>
      <c r="H34" s="44">
        <f>'1월'!J34+'2월'!H34+'3월'!H34+'4월'!H34+'5월'!H34+'6월'!H34+'7월'!H34+'8월'!H34+'9월'!H34+'10월'!H34+'11월'!H34+'12월'!H34</f>
        <v>656290</v>
      </c>
      <c r="I34" s="44">
        <f>'1월'!K34+'2월'!I34+'3월'!I34+'4월'!I34+'5월'!I34+'6월'!I34+'7월'!I34+'8월'!I34+'9월'!I34+'10월'!I34+'11월'!I34+'12월'!I34</f>
        <v>0</v>
      </c>
      <c r="J34" s="44">
        <f>'1월'!L34+'2월'!J34+'3월'!J34+'4월'!J34+'5월'!J34+'6월'!J34+'7월'!J34+'8월'!J34+'9월'!J34+'10월'!J34+'11월'!J34+'12월'!J34</f>
        <v>0</v>
      </c>
      <c r="K34" s="44">
        <f>'1월'!M34+'2월'!K34+'3월'!K34+'4월'!K34+'5월'!K34+'6월'!K34+'7월'!K34+'8월'!K34+'9월'!K34+'10월'!K34+'11월'!K34+'12월'!K34</f>
        <v>0</v>
      </c>
      <c r="L34" s="44">
        <f>'1월'!N34+'2월'!L34+'3월'!L34+'4월'!L34+'5월'!L34+'6월'!L34+'7월'!L34+'8월'!L34+'9월'!L34+'10월'!L34+'11월'!L34+'12월'!L34</f>
        <v>0</v>
      </c>
      <c r="M34" s="44">
        <f>'1월'!O34+'2월'!M34+'3월'!M34+'4월'!M34+'5월'!M34+'6월'!M34+'7월'!M34+'8월'!M34+'9월'!M34+'10월'!M34+'11월'!M34+'12월'!M34</f>
        <v>0</v>
      </c>
      <c r="O34" s="44">
        <f>IFERROR(VLOOKUP($A34,[1]플랫폼1!$A:$B,2,FALSE),0)</f>
        <v>0</v>
      </c>
      <c r="P34" s="44">
        <f>IFERROR(VLOOKUP($A34,[1]플랫폼2!$A:$M,12,FALSE),0)+IFERROR(VLOOKUP($A34,[1]플랫폼2!$A:$M,13,FALSE),0)</f>
        <v>0</v>
      </c>
      <c r="Q34" s="44">
        <f>IFERROR(VLOOKUP($A34,[1]플랫폼2!$A:$M,7,FALSE),0)+IFERROR(VLOOKUP($A34,[1]플랫폼2!$A:$M,12,FALSE),0)</f>
        <v>0</v>
      </c>
      <c r="R34" s="44">
        <f>IFERROR(VLOOKUP($A34,[1]모바일!$A:$S,17,FALSE),0)</f>
        <v>0</v>
      </c>
      <c r="S34" s="44">
        <f>IFERROR(VLOOKUP($A34,[1]모바일!$A:$S,18,FALSE),0)</f>
        <v>0</v>
      </c>
      <c r="T34" s="43">
        <f>IFERROR(VLOOKUP(A34,[1]플랫폼2!$A:$O,15,0),0)</f>
        <v>0</v>
      </c>
      <c r="U34" s="83"/>
    </row>
    <row r="35" spans="1:21" ht="16" hidden="1" customHeight="1" outlineLevel="1" x14ac:dyDescent="0.45">
      <c r="A35" s="29" t="s">
        <v>23</v>
      </c>
      <c r="B35" s="44">
        <f>'1월'!B35+'2월'!B35+'3월'!B35+'4월'!B35+'5월'!B35+'6월'!B35+'7월'!B35+'8월'!B35+'9월'!B35+'10월'!B35+'11월'!B35+'12월'!B35</f>
        <v>177176890</v>
      </c>
      <c r="C35" s="44">
        <f>'1월'!C35+'2월'!C35+'3월'!C35+'4월'!C35+'5월'!C35+'6월'!C35+'7월'!C35+'8월'!C35+'9월'!C35+'10월'!C35+'11월'!C35+'12월'!C35</f>
        <v>23114132.456761699</v>
      </c>
      <c r="D35" s="44">
        <f>'1월'!D35+'2월'!D35+'3월'!D35+'4월'!D35+'5월'!D35+'6월'!D35+'7월'!D35+'8월'!D35+'9월'!D35+'10월'!D35+'11월'!D35+'12월'!D35</f>
        <v>8713910</v>
      </c>
      <c r="E35" s="44">
        <f>'1월'!E35+'2월'!E35+'3월'!E35+'4월'!E35+'5월'!E35+'6월'!E35+'7월'!E35+'8월'!E35+'9월'!E35+'10월'!E35+'11월'!E35+'12월'!E35</f>
        <v>145348847.54323828</v>
      </c>
      <c r="F35" s="44">
        <f>'1월'!F35+'2월'!F35+'3월'!F35+'4월'!F35+'5월'!F35+'6월'!F35+'7월'!F35+'8월'!F35+'9월'!F35+'10월'!F35+'11월'!F35+'12월'!F35</f>
        <v>83138842.706227764</v>
      </c>
      <c r="G35" s="44">
        <f>'1월'!H35+'2월'!G35+'3월'!G35+'4월'!G35+'5월'!G35+'6월'!G35+'7월'!G35+'8월'!G35+'9월'!G35+'10월'!G35+'11월'!G35+'12월'!G35</f>
        <v>43941107.293772258</v>
      </c>
      <c r="H35" s="44">
        <f>'1월'!J35+'2월'!H35+'3월'!H35+'4월'!H35+'5월'!H35+'6월'!H35+'7월'!H35+'8월'!H35+'9월'!H35+'10월'!H35+'11월'!H35+'12월'!H35</f>
        <v>2461910</v>
      </c>
      <c r="I35" s="44">
        <f>'1월'!K35+'2월'!I35+'3월'!I35+'4월'!I35+'5월'!I35+'6월'!I35+'7월'!I35+'8월'!I35+'9월'!I35+'10월'!I35+'11월'!I35+'12월'!I35</f>
        <v>55921.878417912638</v>
      </c>
      <c r="J35" s="44">
        <f>'1월'!L35+'2월'!J35+'3월'!J35+'4월'!J35+'5월'!J35+'6월'!J35+'7월'!J35+'8월'!J35+'9월'!J35+'10월'!J35+'11월'!J35+'12월'!J35</f>
        <v>61192.071583228797</v>
      </c>
      <c r="K35" s="44">
        <f>'1월'!M35+'2월'!K35+'3월'!K35+'4월'!K35+'5월'!K35+'6월'!K35+'7월'!K35+'8월'!K35+'9월'!K35+'10월'!K35+'11월'!K35+'12월'!K35</f>
        <v>1094694.8365207796</v>
      </c>
      <c r="L35" s="44">
        <f>'1월'!N35+'2월'!L35+'3월'!L35+'4월'!L35+'5월'!L35+'6월'!L35+'7월'!L35+'8월'!L35+'9월'!L35+'10월'!L35+'11월'!L35+'12월'!L35</f>
        <v>6567268.756716378</v>
      </c>
      <c r="M35" s="44">
        <f>'1월'!O35+'2월'!M35+'3월'!M35+'4월'!M35+'5월'!M35+'6월'!M35+'7월'!M35+'8월'!M35+'9월'!M35+'10월'!M35+'11월'!M35+'12월'!M35</f>
        <v>8027910</v>
      </c>
      <c r="O35" s="44">
        <f>IFERROR(VLOOKUP($A35,[1]플랫폼1!$A:$B,2,FALSE),0)</f>
        <v>684440</v>
      </c>
      <c r="P35" s="44">
        <f>IFERROR(VLOOKUP($A35,[1]플랫폼2!$A:$M,12,FALSE),0)+IFERROR(VLOOKUP($A35,[1]플랫폼2!$A:$M,13,FALSE),0)</f>
        <v>3016390</v>
      </c>
      <c r="Q35" s="44">
        <f>IFERROR(VLOOKUP($A35,[1]플랫폼2!$A:$M,7,FALSE),0)+IFERROR(VLOOKUP($A35,[1]플랫폼2!$A:$M,12,FALSE),0)</f>
        <v>3016390</v>
      </c>
      <c r="R35" s="44">
        <f>IFERROR(VLOOKUP($A35,[1]모바일!$A:$S,17,FALSE),0)</f>
        <v>109224.16666666667</v>
      </c>
      <c r="S35" s="44">
        <f>IFERROR(VLOOKUP($A35,[1]모바일!$A:$S,18,FALSE),0)</f>
        <v>109224.16666666667</v>
      </c>
      <c r="T35" s="43">
        <f>IFERROR(VLOOKUP(A35,[1]플랫폼2!$A:$O,15,0),0)</f>
        <v>1092241.6666666667</v>
      </c>
      <c r="U35" s="83"/>
    </row>
    <row r="36" spans="1:21" ht="16" hidden="1" customHeight="1" outlineLevel="1" x14ac:dyDescent="0.45">
      <c r="A36" s="29" t="s">
        <v>24</v>
      </c>
      <c r="B36" s="44">
        <f>'1월'!B36+'2월'!B36+'3월'!B36+'4월'!B36+'5월'!B36+'6월'!B36+'7월'!B36+'8월'!B36+'9월'!B36+'10월'!B36+'11월'!B36+'12월'!B36</f>
        <v>234520730</v>
      </c>
      <c r="C36" s="44">
        <f>'1월'!C36+'2월'!C36+'3월'!C36+'4월'!C36+'5월'!C36+'6월'!C36+'7월'!C36+'8월'!C36+'9월'!C36+'10월'!C36+'11월'!C36+'12월'!C36</f>
        <v>65492670.929262094</v>
      </c>
      <c r="D36" s="44">
        <f>'1월'!D36+'2월'!D36+'3월'!D36+'4월'!D36+'5월'!D36+'6월'!D36+'7월'!D36+'8월'!D36+'9월'!D36+'10월'!D36+'11월'!D36+'12월'!D36</f>
        <v>20099780</v>
      </c>
      <c r="E36" s="44">
        <f>'1월'!E36+'2월'!E36+'3월'!E36+'4월'!E36+'5월'!E36+'6월'!E36+'7월'!E36+'8월'!E36+'9월'!E36+'10월'!E36+'11월'!E36+'12월'!E36</f>
        <v>148928279.0707379</v>
      </c>
      <c r="F36" s="44">
        <f>'1월'!F36+'2월'!F36+'3월'!F36+'4월'!F36+'5월'!F36+'6월'!F36+'7월'!F36+'8월'!F36+'9월'!F36+'10월'!F36+'11월'!F36+'12월'!F36</f>
        <v>63456459.107692406</v>
      </c>
      <c r="G36" s="44">
        <f>'1월'!H36+'2월'!G36+'3월'!G36+'4월'!G36+'5월'!G36+'6월'!G36+'7월'!G36+'8월'!G36+'9월'!G36+'10월'!G36+'11월'!G36+'12월'!G36</f>
        <v>32361244.772370789</v>
      </c>
      <c r="H36" s="44">
        <f>'1월'!J36+'2월'!H36+'3월'!H36+'4월'!H36+'5월'!H36+'6월'!H36+'7월'!H36+'8월'!H36+'9월'!H36+'10월'!H36+'11월'!H36+'12월'!H36</f>
        <v>7214386.1199368024</v>
      </c>
      <c r="I36" s="44">
        <f>'1월'!K36+'2월'!I36+'3월'!I36+'4월'!I36+'5월'!I36+'6월'!I36+'7월'!I36+'8월'!I36+'9월'!I36+'10월'!I36+'11월'!I36+'12월'!I36</f>
        <v>2431520.5016120668</v>
      </c>
      <c r="J36" s="44">
        <f>'1월'!L36+'2월'!J36+'3월'!J36+'4월'!J36+'5월'!J36+'6월'!J36+'7월'!J36+'8월'!J36+'9월'!J36+'10월'!J36+'11월'!J36+'12월'!J36</f>
        <v>2504392.853553277</v>
      </c>
      <c r="K36" s="44">
        <f>'1월'!M36+'2월'!K36+'3월'!K36+'4월'!K36+'5월'!K36+'6월'!K36+'7월'!K36+'8월'!K36+'9월'!K36+'10월'!K36+'11월'!K36+'12월'!K36</f>
        <v>16241911.046268718</v>
      </c>
      <c r="L36" s="44">
        <f>'1월'!N36+'2월'!L36+'3월'!L36+'4월'!L36+'5월'!L36+'6월'!L36+'7월'!L36+'8월'!L36+'9월'!L36+'10월'!L36+'11월'!L36+'12월'!L36</f>
        <v>5347064.6693038521</v>
      </c>
      <c r="M36" s="44">
        <f>'1월'!O36+'2월'!M36+'3월'!M36+'4월'!M36+'5월'!M36+'6월'!M36+'7월'!M36+'8월'!M36+'9월'!M36+'10월'!M36+'11월'!M36+'12월'!M36</f>
        <v>19371300</v>
      </c>
      <c r="O36" s="44">
        <f>IFERROR(VLOOKUP($A36,[1]플랫폼1!$A:$B,2,FALSE),0)</f>
        <v>10535000</v>
      </c>
      <c r="P36" s="44">
        <f>IFERROR(VLOOKUP($A36,[1]플랫폼2!$A:$M,12,FALSE),0)+IFERROR(VLOOKUP($A36,[1]플랫폼2!$A:$M,13,FALSE),0)</f>
        <v>866895</v>
      </c>
      <c r="Q36" s="44">
        <f>IFERROR(VLOOKUP($A36,[1]플랫폼2!$A:$M,7,FALSE),0)+IFERROR(VLOOKUP($A36,[1]플랫폼2!$A:$M,12,FALSE),0)</f>
        <v>866895</v>
      </c>
      <c r="R36" s="44">
        <f>IFERROR(VLOOKUP($A36,[1]모바일!$A:$S,17,FALSE),0)</f>
        <v>591875.83333333337</v>
      </c>
      <c r="S36" s="44">
        <f>IFERROR(VLOOKUP($A36,[1]모바일!$A:$S,18,FALSE),0)</f>
        <v>591875.83333333337</v>
      </c>
      <c r="T36" s="43">
        <f>IFERROR(VLOOKUP(A36,[1]플랫폼2!$A:$O,15,0),0)</f>
        <v>5918758.333333334</v>
      </c>
      <c r="U36" s="83"/>
    </row>
    <row r="37" spans="1:21" ht="16" hidden="1" customHeight="1" outlineLevel="1" x14ac:dyDescent="0.45">
      <c r="A37" s="29" t="s">
        <v>122</v>
      </c>
      <c r="B37" s="44">
        <f>'1월'!B37+'2월'!B37+'3월'!B37+'4월'!B37+'5월'!B37+'6월'!B37+'7월'!B37+'8월'!B37+'9월'!B37+'10월'!B37+'11월'!B37+'12월'!B37</f>
        <v>3873710760</v>
      </c>
      <c r="C37" s="44">
        <f>'1월'!C37+'2월'!C37+'3월'!C37+'4월'!C37+'5월'!C37+'6월'!C37+'7월'!C37+'8월'!C37+'9월'!C37+'10월'!C37+'11월'!C37+'12월'!C37</f>
        <v>215148400</v>
      </c>
      <c r="D37" s="44">
        <f>'1월'!D37+'2월'!D37+'3월'!D37+'4월'!D37+'5월'!D37+'6월'!D37+'7월'!D37+'8월'!D37+'9월'!D37+'10월'!D37+'11월'!D37+'12월'!D37</f>
        <v>0</v>
      </c>
      <c r="E37" s="44">
        <f>'1월'!E37+'2월'!E37+'3월'!E37+'4월'!E37+'5월'!E37+'6월'!E37+'7월'!E37+'8월'!E37+'9월'!E37+'10월'!E37+'11월'!E37+'12월'!E37</f>
        <v>3658562360</v>
      </c>
      <c r="F37" s="44">
        <f>'1월'!F37+'2월'!F37+'3월'!F37+'4월'!F37+'5월'!F37+'6월'!F37+'7월'!F37+'8월'!F37+'9월'!F37+'10월'!F37+'11월'!F37+'12월'!F37</f>
        <v>277448610</v>
      </c>
      <c r="G37" s="44">
        <f>'1월'!H37+'2월'!G37+'3월'!G37+'4월'!G37+'5월'!G37+'6월'!G37+'7월'!G37+'8월'!G37+'9월'!G37+'10월'!G37+'11월'!G37+'12월'!G37</f>
        <v>0</v>
      </c>
      <c r="H37" s="44">
        <f>'1월'!J37+'2월'!H37+'3월'!H37+'4월'!H37+'5월'!H37+'6월'!H37+'7월'!H37+'8월'!H37+'9월'!H37+'10월'!H37+'11월'!H37+'12월'!H37</f>
        <v>3266841330</v>
      </c>
      <c r="I37" s="44">
        <f>'1월'!K37+'2월'!I37+'3월'!I37+'4월'!I37+'5월'!I37+'6월'!I37+'7월'!I37+'8월'!I37+'9월'!I37+'10월'!I37+'11월'!I37+'12월'!I37</f>
        <v>4243845</v>
      </c>
      <c r="J37" s="44">
        <f>'1월'!L37+'2월'!J37+'3월'!J37+'4월'!J37+'5월'!J37+'6월'!J37+'7월'!J37+'8월'!J37+'9월'!J37+'10월'!J37+'11월'!J37+'12월'!J37</f>
        <v>4243845</v>
      </c>
      <c r="K37" s="44">
        <f>'1월'!M37+'2월'!K37+'3월'!K37+'4월'!K37+'5월'!K37+'6월'!K37+'7월'!K37+'8월'!K37+'9월'!K37+'10월'!K37+'11월'!K37+'12월'!K37</f>
        <v>105784730</v>
      </c>
      <c r="L37" s="44">
        <f>'1월'!N37+'2월'!L37+'3월'!L37+'4월'!L37+'5월'!L37+'6월'!L37+'7월'!L37+'8월'!L37+'9월'!L37+'10월'!L37+'11월'!L37+'12월'!L37</f>
        <v>0</v>
      </c>
      <c r="M37" s="44">
        <f>'1월'!O37+'2월'!M37+'3월'!M37+'4월'!M37+'5월'!M37+'6월'!M37+'7월'!M37+'8월'!M37+'9월'!M37+'10월'!M37+'11월'!M37+'12월'!M37</f>
        <v>0</v>
      </c>
      <c r="O37" s="44">
        <f>IFERROR(VLOOKUP($A37,[1]플랫폼1!$A:$B,2,FALSE),0)</f>
        <v>0</v>
      </c>
      <c r="P37" s="44">
        <f>IFERROR(VLOOKUP($A37,[1]플랫폼2!$A:$M,12,FALSE),0)+IFERROR(VLOOKUP($A37,[1]플랫폼2!$A:$M,13,FALSE),0)</f>
        <v>0</v>
      </c>
      <c r="Q37" s="44">
        <f>IFERROR(VLOOKUP($A37,[1]플랫폼2!$A:$M,7,FALSE),0)+IFERROR(VLOOKUP($A37,[1]플랫폼2!$A:$M,12,FALSE),0)</f>
        <v>0</v>
      </c>
      <c r="R37" s="44">
        <f>IFERROR(VLOOKUP($A37,[1]모바일!$A:$S,17,FALSE),0)</f>
        <v>0</v>
      </c>
      <c r="S37" s="44">
        <f>IFERROR(VLOOKUP($A37,[1]모바일!$A:$S,18,FALSE),0)</f>
        <v>0</v>
      </c>
      <c r="T37" s="43">
        <f>IFERROR(VLOOKUP(A37,[1]플랫폼2!$A:$O,15,0),0)</f>
        <v>0</v>
      </c>
      <c r="U37" s="83"/>
    </row>
    <row r="38" spans="1:21" ht="16" hidden="1" customHeight="1" outlineLevel="1" x14ac:dyDescent="0.45">
      <c r="A38" s="29" t="s">
        <v>123</v>
      </c>
      <c r="B38" s="44">
        <f>'1월'!B38+'2월'!B38+'3월'!B38+'4월'!B38+'5월'!B38+'6월'!B38+'7월'!B38+'8월'!B38+'9월'!B38+'10월'!B38+'11월'!B38+'12월'!B38</f>
        <v>651545670</v>
      </c>
      <c r="C38" s="44">
        <f>'1월'!C38+'2월'!C38+'3월'!C38+'4월'!C38+'5월'!C38+'6월'!C38+'7월'!C38+'8월'!C38+'9월'!C38+'10월'!C38+'11월'!C38+'12월'!C38</f>
        <v>34011810</v>
      </c>
      <c r="D38" s="44">
        <f>'1월'!D38+'2월'!D38+'3월'!D38+'4월'!D38+'5월'!D38+'6월'!D38+'7월'!D38+'8월'!D38+'9월'!D38+'10월'!D38+'11월'!D38+'12월'!D38</f>
        <v>0</v>
      </c>
      <c r="E38" s="44">
        <f>'1월'!E38+'2월'!E38+'3월'!E38+'4월'!E38+'5월'!E38+'6월'!E38+'7월'!E38+'8월'!E38+'9월'!E38+'10월'!E38+'11월'!E38+'12월'!E38</f>
        <v>617533860</v>
      </c>
      <c r="F38" s="44">
        <f>'1월'!F38+'2월'!F38+'3월'!F38+'4월'!F38+'5월'!F38+'6월'!F38+'7월'!F38+'8월'!F38+'9월'!F38+'10월'!F38+'11월'!F38+'12월'!F38</f>
        <v>47749230</v>
      </c>
      <c r="G38" s="44">
        <f>'1월'!H38+'2월'!G38+'3월'!G38+'4월'!G38+'5월'!G38+'6월'!G38+'7월'!G38+'8월'!G38+'9월'!G38+'10월'!G38+'11월'!G38+'12월'!G38</f>
        <v>0</v>
      </c>
      <c r="H38" s="44">
        <f>'1월'!J38+'2월'!H38+'3월'!H38+'4월'!H38+'5월'!H38+'6월'!H38+'7월'!H38+'8월'!H38+'9월'!H38+'10월'!H38+'11월'!H38+'12월'!H38</f>
        <v>550472560</v>
      </c>
      <c r="I38" s="44">
        <f>'1월'!K38+'2월'!I38+'3월'!I38+'4월'!I38+'5월'!I38+'6월'!I38+'7월'!I38+'8월'!I38+'9월'!I38+'10월'!I38+'11월'!I38+'12월'!I38</f>
        <v>719035</v>
      </c>
      <c r="J38" s="44">
        <f>'1월'!L38+'2월'!J38+'3월'!J38+'4월'!J38+'5월'!J38+'6월'!J38+'7월'!J38+'8월'!J38+'9월'!J38+'10월'!J38+'11월'!J38+'12월'!J38</f>
        <v>719035</v>
      </c>
      <c r="K38" s="44">
        <f>'1월'!M38+'2월'!K38+'3월'!K38+'4월'!K38+'5월'!K38+'6월'!K38+'7월'!K38+'8월'!K38+'9월'!K38+'10월'!K38+'11월'!K38+'12월'!K38</f>
        <v>17874000</v>
      </c>
      <c r="L38" s="44">
        <f>'1월'!N38+'2월'!L38+'3월'!L38+'4월'!L38+'5월'!L38+'6월'!L38+'7월'!L38+'8월'!L38+'9월'!L38+'10월'!L38+'11월'!L38+'12월'!L38</f>
        <v>0</v>
      </c>
      <c r="M38" s="44">
        <f>'1월'!O38+'2월'!M38+'3월'!M38+'4월'!M38+'5월'!M38+'6월'!M38+'7월'!M38+'8월'!M38+'9월'!M38+'10월'!M38+'11월'!M38+'12월'!M38</f>
        <v>0</v>
      </c>
      <c r="O38" s="44">
        <f>IFERROR(VLOOKUP($A38,[1]플랫폼1!$A:$B,2,FALSE),0)</f>
        <v>0</v>
      </c>
      <c r="P38" s="44">
        <f>IFERROR(VLOOKUP($A38,[1]플랫폼2!$A:$M,12,FALSE),0)+IFERROR(VLOOKUP($A38,[1]플랫폼2!$A:$M,13,FALSE),0)</f>
        <v>0</v>
      </c>
      <c r="Q38" s="44">
        <f>IFERROR(VLOOKUP($A38,[1]플랫폼2!$A:$M,7,FALSE),0)+IFERROR(VLOOKUP($A38,[1]플랫폼2!$A:$M,12,FALSE),0)</f>
        <v>0</v>
      </c>
      <c r="R38" s="44">
        <f>IFERROR(VLOOKUP($A38,[1]모바일!$A:$S,17,FALSE),0)</f>
        <v>0</v>
      </c>
      <c r="S38" s="44">
        <f>IFERROR(VLOOKUP($A38,[1]모바일!$A:$S,18,FALSE),0)</f>
        <v>0</v>
      </c>
      <c r="T38" s="43">
        <f>IFERROR(VLOOKUP(A38,[1]플랫폼2!$A:$O,15,0),0)</f>
        <v>0</v>
      </c>
      <c r="U38" s="83"/>
    </row>
    <row r="39" spans="1:21" ht="16" hidden="1" customHeight="1" outlineLevel="1" x14ac:dyDescent="0.45">
      <c r="A39" s="29" t="s">
        <v>124</v>
      </c>
      <c r="B39" s="44">
        <f>'1월'!B39+'2월'!B39+'3월'!B39+'4월'!B39+'5월'!B39+'6월'!B39+'7월'!B39+'8월'!B39+'9월'!B39+'10월'!B39+'11월'!B39+'12월'!B39</f>
        <v>11899440</v>
      </c>
      <c r="C39" s="44">
        <f>'1월'!C39+'2월'!C39+'3월'!C39+'4월'!C39+'5월'!C39+'6월'!C39+'7월'!C39+'8월'!C39+'9월'!C39+'10월'!C39+'11월'!C39+'12월'!C39</f>
        <v>150000</v>
      </c>
      <c r="D39" s="44">
        <f>'1월'!D39+'2월'!D39+'3월'!D39+'4월'!D39+'5월'!D39+'6월'!D39+'7월'!D39+'8월'!D39+'9월'!D39+'10월'!D39+'11월'!D39+'12월'!D39</f>
        <v>0</v>
      </c>
      <c r="E39" s="44">
        <f>'1월'!E39+'2월'!E39+'3월'!E39+'4월'!E39+'5월'!E39+'6월'!E39+'7월'!E39+'8월'!E39+'9월'!E39+'10월'!E39+'11월'!E39+'12월'!E39</f>
        <v>11749440</v>
      </c>
      <c r="F39" s="44">
        <f>'1월'!F39+'2월'!F39+'3월'!F39+'4월'!F39+'5월'!F39+'6월'!F39+'7월'!F39+'8월'!F39+'9월'!F39+'10월'!F39+'11월'!F39+'12월'!F39</f>
        <v>0</v>
      </c>
      <c r="G39" s="44">
        <f>'1월'!H39+'2월'!G39+'3월'!G39+'4월'!G39+'5월'!G39+'6월'!G39+'7월'!G39+'8월'!G39+'9월'!G39+'10월'!G39+'11월'!G39+'12월'!G39</f>
        <v>0</v>
      </c>
      <c r="H39" s="44">
        <f>'1월'!J39+'2월'!H39+'3월'!H39+'4월'!H39+'5월'!H39+'6월'!H39+'7월'!H39+'8월'!H39+'9월'!H39+'10월'!H39+'11월'!H39+'12월'!H39</f>
        <v>11749440</v>
      </c>
      <c r="I39" s="44">
        <f>'1월'!K39+'2월'!I39+'3월'!I39+'4월'!I39+'5월'!I39+'6월'!I39+'7월'!I39+'8월'!I39+'9월'!I39+'10월'!I39+'11월'!I39+'12월'!I39</f>
        <v>0</v>
      </c>
      <c r="J39" s="44">
        <f>'1월'!L39+'2월'!J39+'3월'!J39+'4월'!J39+'5월'!J39+'6월'!J39+'7월'!J39+'8월'!J39+'9월'!J39+'10월'!J39+'11월'!J39+'12월'!J39</f>
        <v>0</v>
      </c>
      <c r="K39" s="44">
        <f>'1월'!M39+'2월'!K39+'3월'!K39+'4월'!K39+'5월'!K39+'6월'!K39+'7월'!K39+'8월'!K39+'9월'!K39+'10월'!K39+'11월'!K39+'12월'!K39</f>
        <v>0</v>
      </c>
      <c r="L39" s="44">
        <f>'1월'!N39+'2월'!L39+'3월'!L39+'4월'!L39+'5월'!L39+'6월'!L39+'7월'!L39+'8월'!L39+'9월'!L39+'10월'!L39+'11월'!L39+'12월'!L39</f>
        <v>0</v>
      </c>
      <c r="M39" s="44">
        <f>'1월'!O39+'2월'!M39+'3월'!M39+'4월'!M39+'5월'!M39+'6월'!M39+'7월'!M39+'8월'!M39+'9월'!M39+'10월'!M39+'11월'!M39+'12월'!M39</f>
        <v>0</v>
      </c>
      <c r="O39" s="44">
        <f>IFERROR(VLOOKUP($A39,[1]플랫폼1!$A:$B,2,FALSE),0)</f>
        <v>0</v>
      </c>
      <c r="P39" s="44">
        <f>IFERROR(VLOOKUP($A39,[1]플랫폼2!$A:$M,12,FALSE),0)+IFERROR(VLOOKUP($A39,[1]플랫폼2!$A:$M,13,FALSE),0)</f>
        <v>0</v>
      </c>
      <c r="Q39" s="44">
        <f>IFERROR(VLOOKUP($A39,[1]플랫폼2!$A:$M,7,FALSE),0)+IFERROR(VLOOKUP($A39,[1]플랫폼2!$A:$M,12,FALSE),0)</f>
        <v>0</v>
      </c>
      <c r="R39" s="44">
        <f>IFERROR(VLOOKUP($A39,[1]모바일!$A:$S,17,FALSE),0)</f>
        <v>0</v>
      </c>
      <c r="S39" s="44">
        <f>IFERROR(VLOOKUP($A39,[1]모바일!$A:$S,18,FALSE),0)</f>
        <v>0</v>
      </c>
      <c r="T39" s="43">
        <f>IFERROR(VLOOKUP(A39,[1]플랫폼2!$A:$O,15,0),0)</f>
        <v>0</v>
      </c>
      <c r="U39" s="83"/>
    </row>
    <row r="40" spans="1:21" ht="16" hidden="1" customHeight="1" outlineLevel="1" x14ac:dyDescent="0.45">
      <c r="A40" s="29" t="s">
        <v>125</v>
      </c>
      <c r="B40" s="44">
        <f>'1월'!B40+'2월'!B40+'3월'!B40+'4월'!B40+'5월'!B40+'6월'!B40+'7월'!B40+'8월'!B40+'9월'!B40+'10월'!B40+'11월'!B40+'12월'!B40</f>
        <v>0</v>
      </c>
      <c r="C40" s="44">
        <f>'1월'!C40+'2월'!C40+'3월'!C40+'4월'!C40+'5월'!C40+'6월'!C40+'7월'!C40+'8월'!C40+'9월'!C40+'10월'!C40+'11월'!C40+'12월'!C40</f>
        <v>0</v>
      </c>
      <c r="D40" s="44">
        <f>'1월'!D40+'2월'!D40+'3월'!D40+'4월'!D40+'5월'!D40+'6월'!D40+'7월'!D40+'8월'!D40+'9월'!D40+'10월'!D40+'11월'!D40+'12월'!D40</f>
        <v>0</v>
      </c>
      <c r="E40" s="44">
        <f>'1월'!E40+'2월'!E40+'3월'!E40+'4월'!E40+'5월'!E40+'6월'!E40+'7월'!E40+'8월'!E40+'9월'!E40+'10월'!E40+'11월'!E40+'12월'!E40</f>
        <v>0</v>
      </c>
      <c r="F40" s="44">
        <f>'1월'!F40+'2월'!F40+'3월'!F40+'4월'!F40+'5월'!F40+'6월'!F40+'7월'!F40+'8월'!F40+'9월'!F40+'10월'!F40+'11월'!F40+'12월'!F40</f>
        <v>0</v>
      </c>
      <c r="G40" s="44">
        <f>'1월'!H40+'2월'!G40+'3월'!G40+'4월'!G40+'5월'!G40+'6월'!G40+'7월'!G40+'8월'!G40+'9월'!G40+'10월'!G40+'11월'!G40+'12월'!G40</f>
        <v>0</v>
      </c>
      <c r="H40" s="44">
        <f>'1월'!J40+'2월'!H40+'3월'!H40+'4월'!H40+'5월'!H40+'6월'!H40+'7월'!H40+'8월'!H40+'9월'!H40+'10월'!H40+'11월'!H40+'12월'!H40</f>
        <v>0</v>
      </c>
      <c r="I40" s="44">
        <f>'1월'!K40+'2월'!I40+'3월'!I40+'4월'!I40+'5월'!I40+'6월'!I40+'7월'!I40+'8월'!I40+'9월'!I40+'10월'!I40+'11월'!I40+'12월'!I40</f>
        <v>0</v>
      </c>
      <c r="J40" s="44">
        <f>'1월'!L40+'2월'!J40+'3월'!J40+'4월'!J40+'5월'!J40+'6월'!J40+'7월'!J40+'8월'!J40+'9월'!J40+'10월'!J40+'11월'!J40+'12월'!J40</f>
        <v>0</v>
      </c>
      <c r="K40" s="44">
        <f>'1월'!M40+'2월'!K40+'3월'!K40+'4월'!K40+'5월'!K40+'6월'!K40+'7월'!K40+'8월'!K40+'9월'!K40+'10월'!K40+'11월'!K40+'12월'!K40</f>
        <v>0</v>
      </c>
      <c r="L40" s="44">
        <f>'1월'!N40+'2월'!L40+'3월'!L40+'4월'!L40+'5월'!L40+'6월'!L40+'7월'!L40+'8월'!L40+'9월'!L40+'10월'!L40+'11월'!L40+'12월'!L40</f>
        <v>0</v>
      </c>
      <c r="M40" s="44">
        <f>'1월'!O40+'2월'!M40+'3월'!M40+'4월'!M40+'5월'!M40+'6월'!M40+'7월'!M40+'8월'!M40+'9월'!M40+'10월'!M40+'11월'!M40+'12월'!M40</f>
        <v>0</v>
      </c>
      <c r="O40" s="44">
        <f>IFERROR(VLOOKUP($A40,[1]플랫폼1!$A:$B,2,FALSE),0)</f>
        <v>0</v>
      </c>
      <c r="P40" s="44">
        <f>IFERROR(VLOOKUP($A40,[1]플랫폼2!$A:$M,12,FALSE),0)+IFERROR(VLOOKUP($A40,[1]플랫폼2!$A:$M,13,FALSE),0)</f>
        <v>0</v>
      </c>
      <c r="Q40" s="44">
        <f>IFERROR(VLOOKUP($A40,[1]플랫폼2!$A:$M,7,FALSE),0)+IFERROR(VLOOKUP($A40,[1]플랫폼2!$A:$M,12,FALSE),0)</f>
        <v>0</v>
      </c>
      <c r="R40" s="44">
        <f>IFERROR(VLOOKUP($A40,[1]모바일!$A:$S,17,FALSE),0)</f>
        <v>0</v>
      </c>
      <c r="S40" s="44">
        <f>IFERROR(VLOOKUP($A40,[1]모바일!$A:$S,18,FALSE),0)</f>
        <v>0</v>
      </c>
      <c r="T40" s="43">
        <f>IFERROR(VLOOKUP(A40,[1]플랫폼2!$A:$O,15,0),0)</f>
        <v>0</v>
      </c>
      <c r="U40" s="83"/>
    </row>
    <row r="41" spans="1:21" ht="16" hidden="1" customHeight="1" outlineLevel="1" x14ac:dyDescent="0.45">
      <c r="A41" s="29" t="s">
        <v>172</v>
      </c>
      <c r="B41" s="44">
        <f>'1월'!B41+'2월'!B41+'3월'!B41+'4월'!B41+'5월'!B41+'6월'!B41+'7월'!B41+'8월'!B41+'9월'!B41+'10월'!B41+'11월'!B41+'12월'!B41</f>
        <v>3885640</v>
      </c>
      <c r="C41" s="44">
        <f>'1월'!C41+'2월'!C41+'3월'!C41+'4월'!C41+'5월'!C41+'6월'!C41+'7월'!C41+'8월'!C41+'9월'!C41+'10월'!C41+'11월'!C41+'12월'!C41</f>
        <v>1350280</v>
      </c>
      <c r="D41" s="44">
        <f>'1월'!D41+'2월'!D41+'3월'!D41+'4월'!D41+'5월'!D41+'6월'!D41+'7월'!D41+'8월'!D41+'9월'!D41+'10월'!D41+'11월'!D41+'12월'!D41</f>
        <v>0</v>
      </c>
      <c r="E41" s="44">
        <f>'1월'!E41+'2월'!E41+'3월'!E41+'4월'!E41+'5월'!E41+'6월'!E41+'7월'!E41+'8월'!E41+'9월'!E41+'10월'!E41+'11월'!E41+'12월'!E41</f>
        <v>2535360</v>
      </c>
      <c r="F41" s="44">
        <f>'1월'!F41+'2월'!F41+'3월'!F41+'4월'!F41+'5월'!F41+'6월'!F41+'7월'!F41+'8월'!F41+'9월'!F41+'10월'!F41+'11월'!F41+'12월'!F41</f>
        <v>171280</v>
      </c>
      <c r="G41" s="44">
        <f>'1월'!H41+'2월'!G41+'3월'!G41+'4월'!G41+'5월'!G41+'6월'!G41+'7월'!G41+'8월'!G41+'9월'!G41+'10월'!G41+'11월'!G41+'12월'!G41</f>
        <v>0</v>
      </c>
      <c r="H41" s="44">
        <f>'1월'!J41+'2월'!H41+'3월'!H41+'4월'!H41+'5월'!H41+'6월'!H41+'7월'!H41+'8월'!H41+'9월'!H41+'10월'!H41+'11월'!H41+'12월'!H41</f>
        <v>2364080</v>
      </c>
      <c r="I41" s="44">
        <f>'1월'!K41+'2월'!I41+'3월'!I41+'4월'!I41+'5월'!I41+'6월'!I41+'7월'!I41+'8월'!I41+'9월'!I41+'10월'!I41+'11월'!I41+'12월'!I41</f>
        <v>0</v>
      </c>
      <c r="J41" s="44">
        <f>'1월'!L41+'2월'!J41+'3월'!J41+'4월'!J41+'5월'!J41+'6월'!J41+'7월'!J41+'8월'!J41+'9월'!J41+'10월'!J41+'11월'!J41+'12월'!J41</f>
        <v>0</v>
      </c>
      <c r="K41" s="44">
        <f>'1월'!M41+'2월'!K41+'3월'!K41+'4월'!K41+'5월'!K41+'6월'!K41+'7월'!K41+'8월'!K41+'9월'!K41+'10월'!K41+'11월'!K41+'12월'!K41</f>
        <v>0</v>
      </c>
      <c r="L41" s="44">
        <f>'1월'!N41+'2월'!L41+'3월'!L41+'4월'!L41+'5월'!L41+'6월'!L41+'7월'!L41+'8월'!L41+'9월'!L41+'10월'!L41+'11월'!L41+'12월'!L41</f>
        <v>0</v>
      </c>
      <c r="M41" s="44">
        <f>'1월'!O41+'2월'!M41+'3월'!M41+'4월'!M41+'5월'!M41+'6월'!M41+'7월'!M41+'8월'!M41+'9월'!M41+'10월'!M41+'11월'!M41+'12월'!M41</f>
        <v>0</v>
      </c>
      <c r="O41" s="44">
        <f>IFERROR(VLOOKUP($A41,[1]플랫폼1!$A:$B,2,FALSE),0)</f>
        <v>0</v>
      </c>
      <c r="P41" s="44">
        <f>IFERROR(VLOOKUP($A41,[1]플랫폼2!$A:$M,12,FALSE),0)+IFERROR(VLOOKUP($A41,[1]플랫폼2!$A:$M,13,FALSE),0)</f>
        <v>0</v>
      </c>
      <c r="Q41" s="44">
        <f>IFERROR(VLOOKUP($A41,[1]플랫폼2!$A:$M,7,FALSE),0)+IFERROR(VLOOKUP($A41,[1]플랫폼2!$A:$M,12,FALSE),0)</f>
        <v>0</v>
      </c>
      <c r="R41" s="44">
        <f>IFERROR(VLOOKUP($A41,[1]모바일!$A:$S,17,FALSE),0)</f>
        <v>0</v>
      </c>
      <c r="S41" s="44">
        <f>IFERROR(VLOOKUP($A41,[1]모바일!$A:$S,18,FALSE),0)</f>
        <v>0</v>
      </c>
      <c r="T41" s="43">
        <f>IFERROR(VLOOKUP(A41,[1]플랫폼2!$A:$O,15,0),0)</f>
        <v>0</v>
      </c>
      <c r="U41" s="83"/>
    </row>
    <row r="42" spans="1:21" ht="16" hidden="1" customHeight="1" outlineLevel="1" x14ac:dyDescent="0.45">
      <c r="A42" s="29" t="s">
        <v>173</v>
      </c>
      <c r="B42" s="44">
        <f>'1월'!B42+'2월'!B42+'3월'!B42+'4월'!B42+'5월'!B42+'6월'!B42+'7월'!B42+'8월'!B42+'9월'!B42+'10월'!B42+'11월'!B42+'12월'!B42</f>
        <v>0</v>
      </c>
      <c r="C42" s="44">
        <f>'1월'!C42+'2월'!C42+'3월'!C42+'4월'!C42+'5월'!C42+'6월'!C42+'7월'!C42+'8월'!C42+'9월'!C42+'10월'!C42+'11월'!C42+'12월'!C42</f>
        <v>0</v>
      </c>
      <c r="D42" s="44">
        <f>'1월'!D42+'2월'!D42+'3월'!D42+'4월'!D42+'5월'!D42+'6월'!D42+'7월'!D42+'8월'!D42+'9월'!D42+'10월'!D42+'11월'!D42+'12월'!D42</f>
        <v>0</v>
      </c>
      <c r="E42" s="44">
        <f>'1월'!E42+'2월'!E42+'3월'!E42+'4월'!E42+'5월'!E42+'6월'!E42+'7월'!E42+'8월'!E42+'9월'!E42+'10월'!E42+'11월'!E42+'12월'!E42</f>
        <v>0</v>
      </c>
      <c r="F42" s="44">
        <f>'1월'!F42+'2월'!F42+'3월'!F42+'4월'!F42+'5월'!F42+'6월'!F42+'7월'!F42+'8월'!F42+'9월'!F42+'10월'!F42+'11월'!F42+'12월'!F42</f>
        <v>0</v>
      </c>
      <c r="G42" s="44">
        <f>'1월'!H42+'2월'!G42+'3월'!G42+'4월'!G42+'5월'!G42+'6월'!G42+'7월'!G42+'8월'!G42+'9월'!G42+'10월'!G42+'11월'!G42+'12월'!G42</f>
        <v>0</v>
      </c>
      <c r="H42" s="44">
        <f>'1월'!J42+'2월'!H42+'3월'!H42+'4월'!H42+'5월'!H42+'6월'!H42+'7월'!H42+'8월'!H42+'9월'!H42+'10월'!H42+'11월'!H42+'12월'!H42</f>
        <v>0</v>
      </c>
      <c r="I42" s="44">
        <f>'1월'!K42+'2월'!I42+'3월'!I42+'4월'!I42+'5월'!I42+'6월'!I42+'7월'!I42+'8월'!I42+'9월'!I42+'10월'!I42+'11월'!I42+'12월'!I42</f>
        <v>0</v>
      </c>
      <c r="J42" s="44">
        <f>'1월'!L42+'2월'!J42+'3월'!J42+'4월'!J42+'5월'!J42+'6월'!J42+'7월'!J42+'8월'!J42+'9월'!J42+'10월'!J42+'11월'!J42+'12월'!J42</f>
        <v>0</v>
      </c>
      <c r="K42" s="44">
        <f>'1월'!M42+'2월'!K42+'3월'!K42+'4월'!K42+'5월'!K42+'6월'!K42+'7월'!K42+'8월'!K42+'9월'!K42+'10월'!K42+'11월'!K42+'12월'!K42</f>
        <v>0</v>
      </c>
      <c r="L42" s="44">
        <f>'1월'!N42+'2월'!L42+'3월'!L42+'4월'!L42+'5월'!L42+'6월'!L42+'7월'!L42+'8월'!L42+'9월'!L42+'10월'!L42+'11월'!L42+'12월'!L42</f>
        <v>0</v>
      </c>
      <c r="M42" s="44">
        <f>'1월'!O42+'2월'!M42+'3월'!M42+'4월'!M42+'5월'!M42+'6월'!M42+'7월'!M42+'8월'!M42+'9월'!M42+'10월'!M42+'11월'!M42+'12월'!M42</f>
        <v>0</v>
      </c>
      <c r="O42" s="44">
        <f>IFERROR(VLOOKUP($A42,[1]플랫폼1!$A:$B,2,FALSE),0)</f>
        <v>0</v>
      </c>
      <c r="P42" s="44">
        <f>IFERROR(VLOOKUP($A42,[1]플랫폼2!$A:$M,12,FALSE),0)+IFERROR(VLOOKUP($A42,[1]플랫폼2!$A:$M,13,FALSE),0)</f>
        <v>0</v>
      </c>
      <c r="Q42" s="44">
        <f>IFERROR(VLOOKUP($A42,[1]플랫폼2!$A:$M,7,FALSE),0)+IFERROR(VLOOKUP($A42,[1]플랫폼2!$A:$M,12,FALSE),0)</f>
        <v>0</v>
      </c>
      <c r="R42" s="44">
        <f>IFERROR(VLOOKUP($A42,[1]모바일!$A:$S,17,FALSE),0)</f>
        <v>0</v>
      </c>
      <c r="S42" s="44">
        <f>IFERROR(VLOOKUP($A42,[1]모바일!$A:$S,18,FALSE),0)</f>
        <v>0</v>
      </c>
      <c r="T42" s="43">
        <f>IFERROR(VLOOKUP(A42,[1]플랫폼2!$A:$O,15,0),0)</f>
        <v>0</v>
      </c>
      <c r="U42" s="83"/>
    </row>
    <row r="43" spans="1:21" ht="16" hidden="1" customHeight="1" outlineLevel="1" x14ac:dyDescent="0.45">
      <c r="A43" s="29" t="s">
        <v>25</v>
      </c>
      <c r="B43" s="44">
        <f>'1월'!B43+'2월'!B43+'3월'!B43+'4월'!B43+'5월'!B43+'6월'!B43+'7월'!B43+'8월'!B43+'9월'!B43+'10월'!B43+'11월'!B43+'12월'!B43</f>
        <v>337495130</v>
      </c>
      <c r="C43" s="44">
        <f>'1월'!C43+'2월'!C43+'3월'!C43+'4월'!C43+'5월'!C43+'6월'!C43+'7월'!C43+'8월'!C43+'9월'!C43+'10월'!C43+'11월'!C43+'12월'!C43</f>
        <v>87047905.139319718</v>
      </c>
      <c r="D43" s="44">
        <f>'1월'!D43+'2월'!D43+'3월'!D43+'4월'!D43+'5월'!D43+'6월'!D43+'7월'!D43+'8월'!D43+'9월'!D43+'10월'!D43+'11월'!D43+'12월'!D43</f>
        <v>32075000</v>
      </c>
      <c r="E43" s="44">
        <f>'1월'!E43+'2월'!E43+'3월'!E43+'4월'!E43+'5월'!E43+'6월'!E43+'7월'!E43+'8월'!E43+'9월'!E43+'10월'!E43+'11월'!E43+'12월'!E43</f>
        <v>218372224.86068028</v>
      </c>
      <c r="F43" s="44">
        <f>'1월'!F43+'2월'!F43+'3월'!F43+'4월'!F43+'5월'!F43+'6월'!F43+'7월'!F43+'8월'!F43+'9월'!F43+'10월'!F43+'11월'!F43+'12월'!F43</f>
        <v>104586364.38637733</v>
      </c>
      <c r="G43" s="44">
        <f>'1월'!H43+'2월'!G43+'3월'!G43+'4월'!G43+'5월'!G43+'6월'!G43+'7월'!G43+'8월'!G43+'9월'!G43+'10월'!G43+'11월'!G43+'12월'!G43</f>
        <v>48332821.410620727</v>
      </c>
      <c r="H43" s="44">
        <f>'1월'!J43+'2월'!H43+'3월'!H43+'4월'!H43+'5월'!H43+'6월'!H43+'7월'!H43+'8월'!H43+'9월'!H43+'10월'!H43+'11월'!H43+'12월'!H43</f>
        <v>13382994.203001963</v>
      </c>
      <c r="I43" s="44">
        <f>'1월'!K43+'2월'!I43+'3월'!I43+'4월'!I43+'5월'!I43+'6월'!I43+'7월'!I43+'8월'!I43+'9월'!I43+'10월'!I43+'11월'!I43+'12월'!I43</f>
        <v>2834614.0307468502</v>
      </c>
      <c r="J43" s="44">
        <f>'1월'!L43+'2월'!J43+'3월'!J43+'4월'!J43+'5월'!J43+'6월'!J43+'7월'!J43+'8월'!J43+'9월'!J43+'10월'!J43+'11월'!J43+'12월'!J43</f>
        <v>2987579.5708366567</v>
      </c>
      <c r="K43" s="44">
        <f>'1월'!M43+'2월'!K43+'3월'!K43+'4월'!K43+'5월'!K43+'6월'!K43+'7월'!K43+'8월'!K43+'9월'!K43+'10월'!K43+'11월'!K43+'12월'!K43</f>
        <v>6658704.5171868019</v>
      </c>
      <c r="L43" s="44">
        <f>'1월'!N43+'2월'!L43+'3월'!L43+'4월'!L43+'5월'!L43+'6월'!L43+'7월'!L43+'8월'!L43+'9월'!L43+'10월'!L43+'11월'!L43+'12월'!L43</f>
        <v>20524146.741909981</v>
      </c>
      <c r="M43" s="44">
        <f>'1월'!O43+'2월'!M43+'3월'!M43+'4월'!M43+'5월'!M43+'6월'!M43+'7월'!M43+'8월'!M43+'9월'!M43+'10월'!M43+'11월'!M43+'12월'!M43</f>
        <v>19065000</v>
      </c>
      <c r="O43" s="44">
        <f>IFERROR(VLOOKUP($A43,[1]플랫폼1!$A:$B,2,FALSE),0)</f>
        <v>6975000</v>
      </c>
      <c r="P43" s="44">
        <f>IFERROR(VLOOKUP($A43,[1]플랫폼2!$A:$M,12,FALSE),0)+IFERROR(VLOOKUP($A43,[1]플랫폼2!$A:$M,13,FALSE),0)</f>
        <v>3720000</v>
      </c>
      <c r="Q43" s="44">
        <f>IFERROR(VLOOKUP($A43,[1]플랫폼2!$A:$M,7,FALSE),0)+IFERROR(VLOOKUP($A43,[1]플랫폼2!$A:$M,12,FALSE),0)</f>
        <v>3720000</v>
      </c>
      <c r="R43" s="44">
        <f>IFERROR(VLOOKUP($A43,[1]모바일!$A:$S,17,FALSE),0)</f>
        <v>387500</v>
      </c>
      <c r="S43" s="44">
        <f>IFERROR(VLOOKUP($A43,[1]모바일!$A:$S,18,FALSE),0)</f>
        <v>387500</v>
      </c>
      <c r="T43" s="43">
        <f>IFERROR(VLOOKUP(A43,[1]플랫폼2!$A:$O,15,0),0)</f>
        <v>3875000</v>
      </c>
      <c r="U43" s="83"/>
    </row>
    <row r="44" spans="1:21" ht="16" hidden="1" customHeight="1" outlineLevel="1" x14ac:dyDescent="0.45">
      <c r="A44" s="29" t="s">
        <v>174</v>
      </c>
      <c r="B44" s="44">
        <f>'1월'!B44+'2월'!B44+'3월'!B44+'4월'!B44+'5월'!B44+'6월'!B44+'7월'!B44+'8월'!B44+'9월'!B44+'10월'!B44+'11월'!B44+'12월'!B44</f>
        <v>0</v>
      </c>
      <c r="C44" s="44">
        <f>'1월'!C44+'2월'!C44+'3월'!C44+'4월'!C44+'5월'!C44+'6월'!C44+'7월'!C44+'8월'!C44+'9월'!C44+'10월'!C44+'11월'!C44+'12월'!C44</f>
        <v>0</v>
      </c>
      <c r="D44" s="44">
        <f>'1월'!D44+'2월'!D44+'3월'!D44+'4월'!D44+'5월'!D44+'6월'!D44+'7월'!D44+'8월'!D44+'9월'!D44+'10월'!D44+'11월'!D44+'12월'!D44</f>
        <v>0</v>
      </c>
      <c r="E44" s="44">
        <f>'1월'!E44+'2월'!E44+'3월'!E44+'4월'!E44+'5월'!E44+'6월'!E44+'7월'!E44+'8월'!E44+'9월'!E44+'10월'!E44+'11월'!E44+'12월'!E44</f>
        <v>0</v>
      </c>
      <c r="F44" s="44">
        <f>'1월'!F44+'2월'!F44+'3월'!F44+'4월'!F44+'5월'!F44+'6월'!F44+'7월'!F44+'8월'!F44+'9월'!F44+'10월'!F44+'11월'!F44+'12월'!F44</f>
        <v>0</v>
      </c>
      <c r="G44" s="44">
        <f>'1월'!H44+'2월'!G44+'3월'!G44+'4월'!G44+'5월'!G44+'6월'!G44+'7월'!G44+'8월'!G44+'9월'!G44+'10월'!G44+'11월'!G44+'12월'!G44</f>
        <v>0</v>
      </c>
      <c r="H44" s="44">
        <f>'1월'!J44+'2월'!H44+'3월'!H44+'4월'!H44+'5월'!H44+'6월'!H44+'7월'!H44+'8월'!H44+'9월'!H44+'10월'!H44+'11월'!H44+'12월'!H44</f>
        <v>0</v>
      </c>
      <c r="I44" s="44">
        <f>'1월'!K44+'2월'!I44+'3월'!I44+'4월'!I44+'5월'!I44+'6월'!I44+'7월'!I44+'8월'!I44+'9월'!I44+'10월'!I44+'11월'!I44+'12월'!I44</f>
        <v>0</v>
      </c>
      <c r="J44" s="44">
        <f>'1월'!L44+'2월'!J44+'3월'!J44+'4월'!J44+'5월'!J44+'6월'!J44+'7월'!J44+'8월'!J44+'9월'!J44+'10월'!J44+'11월'!J44+'12월'!J44</f>
        <v>0</v>
      </c>
      <c r="K44" s="44">
        <f>'1월'!M44+'2월'!K44+'3월'!K44+'4월'!K44+'5월'!K44+'6월'!K44+'7월'!K44+'8월'!K44+'9월'!K44+'10월'!K44+'11월'!K44+'12월'!K44</f>
        <v>0</v>
      </c>
      <c r="L44" s="44">
        <f>'1월'!N44+'2월'!L44+'3월'!L44+'4월'!L44+'5월'!L44+'6월'!L44+'7월'!L44+'8월'!L44+'9월'!L44+'10월'!L44+'11월'!L44+'12월'!L44</f>
        <v>0</v>
      </c>
      <c r="M44" s="44">
        <f>'1월'!O44+'2월'!M44+'3월'!M44+'4월'!M44+'5월'!M44+'6월'!M44+'7월'!M44+'8월'!M44+'9월'!M44+'10월'!M44+'11월'!M44+'12월'!M44</f>
        <v>0</v>
      </c>
      <c r="O44" s="44">
        <f>IFERROR(VLOOKUP($A44,[1]플랫폼1!$A:$B,2,FALSE),0)</f>
        <v>0</v>
      </c>
      <c r="P44" s="44">
        <f>IFERROR(VLOOKUP($A44,[1]플랫폼2!$A:$M,12,FALSE),0)+IFERROR(VLOOKUP($A44,[1]플랫폼2!$A:$M,13,FALSE),0)</f>
        <v>0</v>
      </c>
      <c r="Q44" s="44">
        <f>IFERROR(VLOOKUP($A44,[1]플랫폼2!$A:$M,7,FALSE),0)+IFERROR(VLOOKUP($A44,[1]플랫폼2!$A:$M,12,FALSE),0)</f>
        <v>0</v>
      </c>
      <c r="R44" s="44">
        <f>IFERROR(VLOOKUP($A44,[1]모바일!$A:$S,17,FALSE),0)</f>
        <v>0</v>
      </c>
      <c r="S44" s="44">
        <f>IFERROR(VLOOKUP($A44,[1]모바일!$A:$S,18,FALSE),0)</f>
        <v>0</v>
      </c>
      <c r="T44" s="43">
        <f>IFERROR(VLOOKUP(A44,[1]플랫폼2!$A:$O,15,0),0)</f>
        <v>0</v>
      </c>
      <c r="U44" s="83"/>
    </row>
    <row r="45" spans="1:21" ht="16" hidden="1" customHeight="1" outlineLevel="1" x14ac:dyDescent="0.45">
      <c r="A45" s="29" t="s">
        <v>126</v>
      </c>
      <c r="B45" s="44">
        <f>'1월'!B45+'2월'!B45+'3월'!B45+'4월'!B45+'5월'!B45+'6월'!B45+'7월'!B45+'8월'!B45+'9월'!B45+'10월'!B45+'11월'!B45+'12월'!B45</f>
        <v>274881510</v>
      </c>
      <c r="C45" s="44">
        <f>'1월'!C45+'2월'!C45+'3월'!C45+'4월'!C45+'5월'!C45+'6월'!C45+'7월'!C45+'8월'!C45+'9월'!C45+'10월'!C45+'11월'!C45+'12월'!C45</f>
        <v>15767690</v>
      </c>
      <c r="D45" s="44">
        <f>'1월'!D45+'2월'!D45+'3월'!D45+'4월'!D45+'5월'!D45+'6월'!D45+'7월'!D45+'8월'!D45+'9월'!D45+'10월'!D45+'11월'!D45+'12월'!D45</f>
        <v>0</v>
      </c>
      <c r="E45" s="44">
        <f>'1월'!E45+'2월'!E45+'3월'!E45+'4월'!E45+'5월'!E45+'6월'!E45+'7월'!E45+'8월'!E45+'9월'!E45+'10월'!E45+'11월'!E45+'12월'!E45</f>
        <v>259113820</v>
      </c>
      <c r="F45" s="44">
        <f>'1월'!F45+'2월'!F45+'3월'!F45+'4월'!F45+'5월'!F45+'6월'!F45+'7월'!F45+'8월'!F45+'9월'!F45+'10월'!F45+'11월'!F45+'12월'!F45</f>
        <v>20030060</v>
      </c>
      <c r="G45" s="44">
        <f>'1월'!H45+'2월'!G45+'3월'!G45+'4월'!G45+'5월'!G45+'6월'!G45+'7월'!G45+'8월'!G45+'9월'!G45+'10월'!G45+'11월'!G45+'12월'!G45</f>
        <v>0</v>
      </c>
      <c r="H45" s="44">
        <f>'1월'!J45+'2월'!H45+'3월'!H45+'4월'!H45+'5월'!H45+'6월'!H45+'7월'!H45+'8월'!H45+'9월'!H45+'10월'!H45+'11월'!H45+'12월'!H45</f>
        <v>231023760</v>
      </c>
      <c r="I45" s="44">
        <f>'1월'!K45+'2월'!I45+'3월'!I45+'4월'!I45+'5월'!I45+'6월'!I45+'7월'!I45+'8월'!I45+'9월'!I45+'10월'!I45+'11월'!I45+'12월'!I45</f>
        <v>310000</v>
      </c>
      <c r="J45" s="44">
        <f>'1월'!L45+'2월'!J45+'3월'!J45+'4월'!J45+'5월'!J45+'6월'!J45+'7월'!J45+'8월'!J45+'9월'!J45+'10월'!J45+'11월'!J45+'12월'!J45</f>
        <v>310000</v>
      </c>
      <c r="K45" s="44">
        <f>'1월'!M45+'2월'!K45+'3월'!K45+'4월'!K45+'5월'!K45+'6월'!K45+'7월'!K45+'8월'!K45+'9월'!K45+'10월'!K45+'11월'!K45+'12월'!K45</f>
        <v>7440000</v>
      </c>
      <c r="L45" s="44">
        <f>'1월'!N45+'2월'!L45+'3월'!L45+'4월'!L45+'5월'!L45+'6월'!L45+'7월'!L45+'8월'!L45+'9월'!L45+'10월'!L45+'11월'!L45+'12월'!L45</f>
        <v>0</v>
      </c>
      <c r="M45" s="44">
        <f>'1월'!O45+'2월'!M45+'3월'!M45+'4월'!M45+'5월'!M45+'6월'!M45+'7월'!M45+'8월'!M45+'9월'!M45+'10월'!M45+'11월'!M45+'12월'!M45</f>
        <v>0</v>
      </c>
      <c r="O45" s="44">
        <f>IFERROR(VLOOKUP($A45,[1]플랫폼1!$A:$B,2,FALSE),0)</f>
        <v>0</v>
      </c>
      <c r="P45" s="44">
        <f>IFERROR(VLOOKUP($A45,[1]플랫폼2!$A:$M,12,FALSE),0)+IFERROR(VLOOKUP($A45,[1]플랫폼2!$A:$M,13,FALSE),0)</f>
        <v>0</v>
      </c>
      <c r="Q45" s="44">
        <f>IFERROR(VLOOKUP($A45,[1]플랫폼2!$A:$M,7,FALSE),0)+IFERROR(VLOOKUP($A45,[1]플랫폼2!$A:$M,12,FALSE),0)</f>
        <v>0</v>
      </c>
      <c r="R45" s="44">
        <f>IFERROR(VLOOKUP($A45,[1]모바일!$A:$S,17,FALSE),0)</f>
        <v>0</v>
      </c>
      <c r="S45" s="44">
        <f>IFERROR(VLOOKUP($A45,[1]모바일!$A:$S,18,FALSE),0)</f>
        <v>0</v>
      </c>
      <c r="T45" s="43">
        <f>IFERROR(VLOOKUP(A45,[1]플랫폼2!$A:$O,15,0),0)</f>
        <v>0</v>
      </c>
      <c r="U45" s="83"/>
    </row>
    <row r="46" spans="1:21" ht="16" hidden="1" customHeight="1" outlineLevel="1" x14ac:dyDescent="0.45">
      <c r="A46" s="29" t="s">
        <v>175</v>
      </c>
      <c r="B46" s="44">
        <f>'1월'!B46+'2월'!B46+'3월'!B46+'4월'!B46+'5월'!B46+'6월'!B46+'7월'!B46+'8월'!B46+'9월'!B46+'10월'!B46+'11월'!B46+'12월'!B46</f>
        <v>0</v>
      </c>
      <c r="C46" s="44">
        <f>'1월'!C46+'2월'!C46+'3월'!C46+'4월'!C46+'5월'!C46+'6월'!C46+'7월'!C46+'8월'!C46+'9월'!C46+'10월'!C46+'11월'!C46+'12월'!C46</f>
        <v>0</v>
      </c>
      <c r="D46" s="44">
        <f>'1월'!D46+'2월'!D46+'3월'!D46+'4월'!D46+'5월'!D46+'6월'!D46+'7월'!D46+'8월'!D46+'9월'!D46+'10월'!D46+'11월'!D46+'12월'!D46</f>
        <v>0</v>
      </c>
      <c r="E46" s="44">
        <f>'1월'!E46+'2월'!E46+'3월'!E46+'4월'!E46+'5월'!E46+'6월'!E46+'7월'!E46+'8월'!E46+'9월'!E46+'10월'!E46+'11월'!E46+'12월'!E46</f>
        <v>0</v>
      </c>
      <c r="F46" s="44">
        <f>'1월'!F46+'2월'!F46+'3월'!F46+'4월'!F46+'5월'!F46+'6월'!F46+'7월'!F46+'8월'!F46+'9월'!F46+'10월'!F46+'11월'!F46+'12월'!F46</f>
        <v>0</v>
      </c>
      <c r="G46" s="44">
        <f>'1월'!H46+'2월'!G46+'3월'!G46+'4월'!G46+'5월'!G46+'6월'!G46+'7월'!G46+'8월'!G46+'9월'!G46+'10월'!G46+'11월'!G46+'12월'!G46</f>
        <v>0</v>
      </c>
      <c r="H46" s="44">
        <f>'1월'!J46+'2월'!H46+'3월'!H46+'4월'!H46+'5월'!H46+'6월'!H46+'7월'!H46+'8월'!H46+'9월'!H46+'10월'!H46+'11월'!H46+'12월'!H46</f>
        <v>0</v>
      </c>
      <c r="I46" s="44">
        <f>'1월'!K46+'2월'!I46+'3월'!I46+'4월'!I46+'5월'!I46+'6월'!I46+'7월'!I46+'8월'!I46+'9월'!I46+'10월'!I46+'11월'!I46+'12월'!I46</f>
        <v>0</v>
      </c>
      <c r="J46" s="44">
        <f>'1월'!L46+'2월'!J46+'3월'!J46+'4월'!J46+'5월'!J46+'6월'!J46+'7월'!J46+'8월'!J46+'9월'!J46+'10월'!J46+'11월'!J46+'12월'!J46</f>
        <v>0</v>
      </c>
      <c r="K46" s="44">
        <f>'1월'!M46+'2월'!K46+'3월'!K46+'4월'!K46+'5월'!K46+'6월'!K46+'7월'!K46+'8월'!K46+'9월'!K46+'10월'!K46+'11월'!K46+'12월'!K46</f>
        <v>0</v>
      </c>
      <c r="L46" s="44">
        <f>'1월'!N46+'2월'!L46+'3월'!L46+'4월'!L46+'5월'!L46+'6월'!L46+'7월'!L46+'8월'!L46+'9월'!L46+'10월'!L46+'11월'!L46+'12월'!L46</f>
        <v>0</v>
      </c>
      <c r="M46" s="44">
        <f>'1월'!O46+'2월'!M46+'3월'!M46+'4월'!M46+'5월'!M46+'6월'!M46+'7월'!M46+'8월'!M46+'9월'!M46+'10월'!M46+'11월'!M46+'12월'!M46</f>
        <v>0</v>
      </c>
      <c r="O46" s="44">
        <f>IFERROR(VLOOKUP($A46,[1]플랫폼1!$A:$B,2,FALSE),0)</f>
        <v>0</v>
      </c>
      <c r="P46" s="44">
        <f>IFERROR(VLOOKUP($A46,[1]플랫폼2!$A:$M,12,FALSE),0)+IFERROR(VLOOKUP($A46,[1]플랫폼2!$A:$M,13,FALSE),0)</f>
        <v>0</v>
      </c>
      <c r="Q46" s="44">
        <f>IFERROR(VLOOKUP($A46,[1]플랫폼2!$A:$M,7,FALSE),0)+IFERROR(VLOOKUP($A46,[1]플랫폼2!$A:$M,12,FALSE),0)</f>
        <v>0</v>
      </c>
      <c r="R46" s="44">
        <f>IFERROR(VLOOKUP($A46,[1]모바일!$A:$S,17,FALSE),0)</f>
        <v>0</v>
      </c>
      <c r="S46" s="44">
        <f>IFERROR(VLOOKUP($A46,[1]모바일!$A:$S,18,FALSE),0)</f>
        <v>0</v>
      </c>
      <c r="T46" s="43">
        <f>IFERROR(VLOOKUP(A46,[1]플랫폼2!$A:$O,15,0),0)</f>
        <v>0</v>
      </c>
      <c r="U46" s="83"/>
    </row>
    <row r="47" spans="1:21" ht="16" hidden="1" customHeight="1" outlineLevel="1" x14ac:dyDescent="0.45">
      <c r="A47" s="29" t="s">
        <v>176</v>
      </c>
      <c r="B47" s="44">
        <f>'1월'!B47+'2월'!B47+'3월'!B47+'4월'!B47+'5월'!B47+'6월'!B47+'7월'!B47+'8월'!B47+'9월'!B47+'10월'!B47+'11월'!B47+'12월'!B47</f>
        <v>0</v>
      </c>
      <c r="C47" s="44">
        <f>'1월'!C47+'2월'!C47+'3월'!C47+'4월'!C47+'5월'!C47+'6월'!C47+'7월'!C47+'8월'!C47+'9월'!C47+'10월'!C47+'11월'!C47+'12월'!C47</f>
        <v>0</v>
      </c>
      <c r="D47" s="44">
        <f>'1월'!D47+'2월'!D47+'3월'!D47+'4월'!D47+'5월'!D47+'6월'!D47+'7월'!D47+'8월'!D47+'9월'!D47+'10월'!D47+'11월'!D47+'12월'!D47</f>
        <v>0</v>
      </c>
      <c r="E47" s="44">
        <f>'1월'!E47+'2월'!E47+'3월'!E47+'4월'!E47+'5월'!E47+'6월'!E47+'7월'!E47+'8월'!E47+'9월'!E47+'10월'!E47+'11월'!E47+'12월'!E47</f>
        <v>0</v>
      </c>
      <c r="F47" s="44">
        <f>'1월'!F47+'2월'!F47+'3월'!F47+'4월'!F47+'5월'!F47+'6월'!F47+'7월'!F47+'8월'!F47+'9월'!F47+'10월'!F47+'11월'!F47+'12월'!F47</f>
        <v>0</v>
      </c>
      <c r="G47" s="44">
        <f>'1월'!H47+'2월'!G47+'3월'!G47+'4월'!G47+'5월'!G47+'6월'!G47+'7월'!G47+'8월'!G47+'9월'!G47+'10월'!G47+'11월'!G47+'12월'!G47</f>
        <v>0</v>
      </c>
      <c r="H47" s="44">
        <f>'1월'!J47+'2월'!H47+'3월'!H47+'4월'!H47+'5월'!H47+'6월'!H47+'7월'!H47+'8월'!H47+'9월'!H47+'10월'!H47+'11월'!H47+'12월'!H47</f>
        <v>0</v>
      </c>
      <c r="I47" s="44">
        <f>'1월'!K47+'2월'!I47+'3월'!I47+'4월'!I47+'5월'!I47+'6월'!I47+'7월'!I47+'8월'!I47+'9월'!I47+'10월'!I47+'11월'!I47+'12월'!I47</f>
        <v>0</v>
      </c>
      <c r="J47" s="44">
        <f>'1월'!L47+'2월'!J47+'3월'!J47+'4월'!J47+'5월'!J47+'6월'!J47+'7월'!J47+'8월'!J47+'9월'!J47+'10월'!J47+'11월'!J47+'12월'!J47</f>
        <v>0</v>
      </c>
      <c r="K47" s="44">
        <f>'1월'!M47+'2월'!K47+'3월'!K47+'4월'!K47+'5월'!K47+'6월'!K47+'7월'!K47+'8월'!K47+'9월'!K47+'10월'!K47+'11월'!K47+'12월'!K47</f>
        <v>0</v>
      </c>
      <c r="L47" s="44">
        <f>'1월'!N47+'2월'!L47+'3월'!L47+'4월'!L47+'5월'!L47+'6월'!L47+'7월'!L47+'8월'!L47+'9월'!L47+'10월'!L47+'11월'!L47+'12월'!L47</f>
        <v>0</v>
      </c>
      <c r="M47" s="44">
        <f>'1월'!O47+'2월'!M47+'3월'!M47+'4월'!M47+'5월'!M47+'6월'!M47+'7월'!M47+'8월'!M47+'9월'!M47+'10월'!M47+'11월'!M47+'12월'!M47</f>
        <v>0</v>
      </c>
      <c r="O47" s="44">
        <f>IFERROR(VLOOKUP($A47,[1]플랫폼1!$A:$B,2,FALSE),0)</f>
        <v>0</v>
      </c>
      <c r="P47" s="44">
        <f>IFERROR(VLOOKUP($A47,[1]플랫폼2!$A:$M,12,FALSE),0)+IFERROR(VLOOKUP($A47,[1]플랫폼2!$A:$M,13,FALSE),0)</f>
        <v>0</v>
      </c>
      <c r="Q47" s="44">
        <f>IFERROR(VLOOKUP($A47,[1]플랫폼2!$A:$M,7,FALSE),0)+IFERROR(VLOOKUP($A47,[1]플랫폼2!$A:$M,12,FALSE),0)</f>
        <v>0</v>
      </c>
      <c r="R47" s="44">
        <f>IFERROR(VLOOKUP($A47,[1]모바일!$A:$S,17,FALSE),0)</f>
        <v>0</v>
      </c>
      <c r="S47" s="44">
        <f>IFERROR(VLOOKUP($A47,[1]모바일!$A:$S,18,FALSE),0)</f>
        <v>0</v>
      </c>
      <c r="T47" s="43">
        <f>IFERROR(VLOOKUP(A47,[1]플랫폼2!$A:$O,15,0),0)</f>
        <v>0</v>
      </c>
      <c r="U47" s="83"/>
    </row>
    <row r="48" spans="1:21" ht="16" hidden="1" customHeight="1" outlineLevel="1" x14ac:dyDescent="0.45">
      <c r="A48" s="29" t="s">
        <v>26</v>
      </c>
      <c r="B48" s="44">
        <f>'1월'!B48+'2월'!B48+'3월'!B48+'4월'!B48+'5월'!B48+'6월'!B48+'7월'!B48+'8월'!B48+'9월'!B48+'10월'!B48+'11월'!B48+'12월'!B48</f>
        <v>48536852180</v>
      </c>
      <c r="C48" s="44">
        <f>'1월'!C48+'2월'!C48+'3월'!C48+'4월'!C48+'5월'!C48+'6월'!C48+'7월'!C48+'8월'!C48+'9월'!C48+'10월'!C48+'11월'!C48+'12월'!C48</f>
        <v>1131460760</v>
      </c>
      <c r="D48" s="44">
        <f>'1월'!D48+'2월'!D48+'3월'!D48+'4월'!D48+'5월'!D48+'6월'!D48+'7월'!D48+'8월'!D48+'9월'!D48+'10월'!D48+'11월'!D48+'12월'!D48</f>
        <v>810065750</v>
      </c>
      <c r="E48" s="44">
        <f>'1월'!E48+'2월'!E48+'3월'!E48+'4월'!E48+'5월'!E48+'6월'!E48+'7월'!E48+'8월'!E48+'9월'!E48+'10월'!E48+'11월'!E48+'12월'!E48</f>
        <v>46595325670</v>
      </c>
      <c r="F48" s="44">
        <f>'1월'!F48+'2월'!F48+'3월'!F48+'4월'!F48+'5월'!F48+'6월'!F48+'7월'!F48+'8월'!F48+'9월'!F48+'10월'!F48+'11월'!F48+'12월'!F48</f>
        <v>30861515122.306423</v>
      </c>
      <c r="G48" s="44">
        <f>'1월'!H48+'2월'!G48+'3월'!G48+'4월'!G48+'5월'!G48+'6월'!G48+'7월'!G48+'8월'!G48+'9월'!G48+'10월'!G48+'11월'!G48+'12월'!G48</f>
        <v>10023193447.693577</v>
      </c>
      <c r="H48" s="44">
        <f>'1월'!J48+'2월'!H48+'3월'!H48+'4월'!H48+'5월'!H48+'6월'!H48+'7월'!H48+'8월'!H48+'9월'!H48+'10월'!H48+'11월'!H48+'12월'!H48</f>
        <v>291367760</v>
      </c>
      <c r="I48" s="44">
        <f>'1월'!K48+'2월'!I48+'3월'!I48+'4월'!I48+'5월'!I48+'6월'!I48+'7월'!I48+'8월'!I48+'9월'!I48+'10월'!I48+'11월'!I48+'12월'!I48</f>
        <v>327254533.5</v>
      </c>
      <c r="J48" s="44">
        <f>'1월'!L48+'2월'!J48+'3월'!J48+'4월'!J48+'5월'!J48+'6월'!J48+'7월'!J48+'8월'!J48+'9월'!J48+'10월'!J48+'11월'!J48+'12월'!J48</f>
        <v>350092266.5</v>
      </c>
      <c r="K48" s="44">
        <f>'1월'!M48+'2월'!K48+'3월'!K48+'4월'!K48+'5월'!K48+'6월'!K48+'7월'!K48+'8월'!K48+'9월'!K48+'10월'!K48+'11월'!K48+'12월'!K48</f>
        <v>1532530720</v>
      </c>
      <c r="L48" s="44">
        <f>'1월'!N48+'2월'!L48+'3월'!L48+'4월'!L48+'5월'!L48+'6월'!L48+'7월'!L48+'8월'!L48+'9월'!L48+'10월'!L48+'11월'!L48+'12월'!L48</f>
        <v>2992456840</v>
      </c>
      <c r="M48" s="44">
        <f>'1월'!O48+'2월'!M48+'3월'!M48+'4월'!M48+'5월'!M48+'6월'!M48+'7월'!M48+'8월'!M48+'9월'!M48+'10월'!M48+'11월'!M48+'12월'!M48</f>
        <v>216914980</v>
      </c>
      <c r="O48" s="44">
        <f>IFERROR(VLOOKUP($A48,[1]플랫폼1!$A:$B,2,FALSE),0)</f>
        <v>25889170</v>
      </c>
      <c r="P48" s="44">
        <f>IFERROR(VLOOKUP($A48,[1]플랫폼2!$A:$M,12,FALSE),0)+IFERROR(VLOOKUP($A48,[1]플랫폼2!$A:$M,13,FALSE),0)</f>
        <v>20348125</v>
      </c>
      <c r="Q48" s="44">
        <f>IFERROR(VLOOKUP($A48,[1]플랫폼2!$A:$M,7,FALSE),0)+IFERROR(VLOOKUP($A48,[1]플랫폼2!$A:$M,12,FALSE),0)</f>
        <v>20348125</v>
      </c>
      <c r="R48" s="44">
        <f>IFERROR(VLOOKUP($A48,[1]모바일!$A:$S,17,FALSE),0)</f>
        <v>4998260.833333333</v>
      </c>
      <c r="S48" s="44">
        <f>IFERROR(VLOOKUP($A48,[1]모바일!$A:$S,18,FALSE),0)</f>
        <v>4998260.833333333</v>
      </c>
      <c r="T48" s="43">
        <f>IFERROR(VLOOKUP(A48,[1]플랫폼2!$A:$O,15,0),0)</f>
        <v>140333038.33333331</v>
      </c>
      <c r="U48" s="83"/>
    </row>
    <row r="49" spans="1:21" ht="16" hidden="1" customHeight="1" outlineLevel="1" x14ac:dyDescent="0.45">
      <c r="A49" s="29" t="s">
        <v>27</v>
      </c>
      <c r="B49" s="44">
        <f>'1월'!B49+'2월'!B49+'3월'!B49+'4월'!B49+'5월'!B49+'6월'!B49+'7월'!B49+'8월'!B49+'9월'!B49+'10월'!B49+'11월'!B49+'12월'!B49</f>
        <v>8301326610</v>
      </c>
      <c r="C49" s="44">
        <f>'1월'!C49+'2월'!C49+'3월'!C49+'4월'!C49+'5월'!C49+'6월'!C49+'7월'!C49+'8월'!C49+'9월'!C49+'10월'!C49+'11월'!C49+'12월'!C49</f>
        <v>172517450</v>
      </c>
      <c r="D49" s="44">
        <f>'1월'!D49+'2월'!D49+'3월'!D49+'4월'!D49+'5월'!D49+'6월'!D49+'7월'!D49+'8월'!D49+'9월'!D49+'10월'!D49+'11월'!D49+'12월'!D49</f>
        <v>135145870</v>
      </c>
      <c r="E49" s="44">
        <f>'1월'!E49+'2월'!E49+'3월'!E49+'4월'!E49+'5월'!E49+'6월'!E49+'7월'!E49+'8월'!E49+'9월'!E49+'10월'!E49+'11월'!E49+'12월'!E49</f>
        <v>7993663290</v>
      </c>
      <c r="F49" s="44">
        <f>'1월'!F49+'2월'!F49+'3월'!F49+'4월'!F49+'5월'!F49+'6월'!F49+'7월'!F49+'8월'!F49+'9월'!F49+'10월'!F49+'11월'!F49+'12월'!F49</f>
        <v>5324438241.1949635</v>
      </c>
      <c r="G49" s="44">
        <f>'1월'!H49+'2월'!G49+'3월'!G49+'4월'!G49+'5월'!G49+'6월'!G49+'7월'!G49+'8월'!G49+'9월'!G49+'10월'!G49+'11월'!G49+'12월'!G49</f>
        <v>1706426828.8050358</v>
      </c>
      <c r="H49" s="44">
        <f>'1월'!J49+'2월'!H49+'3월'!H49+'4월'!H49+'5월'!H49+'6월'!H49+'7월'!H49+'8월'!H49+'9월'!H49+'10월'!H49+'11월'!H49+'12월'!H49</f>
        <v>51606420</v>
      </c>
      <c r="I49" s="44">
        <f>'1월'!K49+'2월'!I49+'3월'!I49+'4월'!I49+'5월'!I49+'6월'!I49+'7월'!I49+'8월'!I49+'9월'!I49+'10월'!I49+'11월'!I49+'12월'!I49</f>
        <v>52664296</v>
      </c>
      <c r="J49" s="44">
        <f>'1월'!L49+'2월'!J49+'3월'!J49+'4월'!J49+'5월'!J49+'6월'!J49+'7월'!J49+'8월'!J49+'9월'!J49+'10월'!J49+'11월'!J49+'12월'!J49</f>
        <v>55185064</v>
      </c>
      <c r="K49" s="44">
        <f>'1월'!M49+'2월'!K49+'3월'!K49+'4월'!K49+'5월'!K49+'6월'!K49+'7월'!K49+'8월'!K49+'9월'!K49+'10월'!K49+'11월'!K49+'12월'!K49</f>
        <v>259778170</v>
      </c>
      <c r="L49" s="44">
        <f>'1월'!N49+'2월'!L49+'3월'!L49+'4월'!L49+'5월'!L49+'6월'!L49+'7월'!L49+'8월'!L49+'9월'!L49+'10월'!L49+'11월'!L49+'12월'!L49</f>
        <v>507816300</v>
      </c>
      <c r="M49" s="44">
        <f>'1월'!O49+'2월'!M49+'3월'!M49+'4월'!M49+'5월'!M49+'6월'!M49+'7월'!M49+'8월'!M49+'9월'!M49+'10월'!M49+'11월'!M49+'12월'!M49</f>
        <v>35747970</v>
      </c>
      <c r="O49" s="44">
        <f>IFERROR(VLOOKUP($A49,[1]플랫폼1!$A:$B,2,FALSE),0)</f>
        <v>4378510</v>
      </c>
      <c r="P49" s="44">
        <f>IFERROR(VLOOKUP($A49,[1]플랫폼2!$A:$M,12,FALSE),0)+IFERROR(VLOOKUP($A49,[1]플랫폼2!$A:$M,13,FALSE),0)</f>
        <v>3004925</v>
      </c>
      <c r="Q49" s="44">
        <f>IFERROR(VLOOKUP($A49,[1]플랫폼2!$A:$M,7,FALSE),0)+IFERROR(VLOOKUP($A49,[1]플랫폼2!$A:$M,12,FALSE),0)</f>
        <v>3004925</v>
      </c>
      <c r="R49" s="44">
        <f>IFERROR(VLOOKUP($A49,[1]모바일!$A:$S,17,FALSE),0)</f>
        <v>837272.5</v>
      </c>
      <c r="S49" s="44">
        <f>IFERROR(VLOOKUP($A49,[1]모바일!$A:$S,18,FALSE),0)</f>
        <v>837272.5</v>
      </c>
      <c r="T49" s="43">
        <f>IFERROR(VLOOKUP(A49,[1]플랫폼2!$A:$O,15,0),0)</f>
        <v>23685065</v>
      </c>
      <c r="U49" s="83"/>
    </row>
    <row r="50" spans="1:21" ht="16" hidden="1" customHeight="1" outlineLevel="1" x14ac:dyDescent="0.45">
      <c r="A50" s="29" t="s">
        <v>28</v>
      </c>
      <c r="B50" s="44">
        <f>'1월'!B50+'2월'!B50+'3월'!B50+'4월'!B50+'5월'!B50+'6월'!B50+'7월'!B50+'8월'!B50+'9월'!B50+'10월'!B50+'11월'!B50+'12월'!B50</f>
        <v>1528441970</v>
      </c>
      <c r="C50" s="44">
        <f>'1월'!C50+'2월'!C50+'3월'!C50+'4월'!C50+'5월'!C50+'6월'!C50+'7월'!C50+'8월'!C50+'9월'!C50+'10월'!C50+'11월'!C50+'12월'!C50</f>
        <v>69536950</v>
      </c>
      <c r="D50" s="44">
        <f>'1월'!D50+'2월'!D50+'3월'!D50+'4월'!D50+'5월'!D50+'6월'!D50+'7월'!D50+'8월'!D50+'9월'!D50+'10월'!D50+'11월'!D50+'12월'!D50</f>
        <v>7200000</v>
      </c>
      <c r="E50" s="44">
        <f>'1월'!E50+'2월'!E50+'3월'!E50+'4월'!E50+'5월'!E50+'6월'!E50+'7월'!E50+'8월'!E50+'9월'!E50+'10월'!E50+'11월'!E50+'12월'!E50</f>
        <v>1451705020</v>
      </c>
      <c r="F50" s="44">
        <f>'1월'!F50+'2월'!F50+'3월'!F50+'4월'!F50+'5월'!F50+'6월'!F50+'7월'!F50+'8월'!F50+'9월'!F50+'10월'!F50+'11월'!F50+'12월'!F50</f>
        <v>1059616160</v>
      </c>
      <c r="G50" s="44">
        <f>'1월'!H50+'2월'!G50+'3월'!G50+'4월'!G50+'5월'!G50+'6월'!G50+'7월'!G50+'8월'!G50+'9월'!G50+'10월'!G50+'11월'!G50+'12월'!G50</f>
        <v>300495210</v>
      </c>
      <c r="H50" s="44">
        <f>'1월'!J50+'2월'!H50+'3월'!H50+'4월'!H50+'5월'!H50+'6월'!H50+'7월'!H50+'8월'!H50+'9월'!H50+'10월'!H50+'11월'!H50+'12월'!H50</f>
        <v>14400000</v>
      </c>
      <c r="I50" s="44">
        <f>'1월'!K50+'2월'!I50+'3월'!I50+'4월'!I50+'5월'!I50+'6월'!I50+'7월'!I50+'8월'!I50+'9월'!I50+'10월'!I50+'11월'!I50+'12월'!I50</f>
        <v>5281145</v>
      </c>
      <c r="J50" s="44">
        <f>'1월'!L50+'2월'!J50+'3월'!J50+'4월'!J50+'5월'!J50+'6월'!J50+'7월'!J50+'8월'!J50+'9월'!J50+'10월'!J50+'11월'!J50+'12월'!J50</f>
        <v>5564305</v>
      </c>
      <c r="K50" s="44">
        <f>'1월'!M50+'2월'!K50+'3월'!K50+'4월'!K50+'5월'!K50+'6월'!K50+'7월'!K50+'8월'!K50+'9월'!K50+'10월'!K50+'11월'!K50+'12월'!K50</f>
        <v>36679640</v>
      </c>
      <c r="L50" s="44">
        <f>'1월'!N50+'2월'!L50+'3월'!L50+'4월'!L50+'5월'!L50+'6월'!L50+'7월'!L50+'8월'!L50+'9월'!L50+'10월'!L50+'11월'!L50+'12월'!L50</f>
        <v>29518560</v>
      </c>
      <c r="M50" s="44">
        <f>'1월'!O50+'2월'!M50+'3월'!M50+'4월'!M50+'5월'!M50+'6월'!M50+'7월'!M50+'8월'!M50+'9월'!M50+'10월'!M50+'11월'!M50+'12월'!M50</f>
        <v>150000</v>
      </c>
      <c r="O50" s="44">
        <f>IFERROR(VLOOKUP($A50,[1]플랫폼1!$A:$B,2,FALSE),0)</f>
        <v>0</v>
      </c>
      <c r="P50" s="44">
        <f>IFERROR(VLOOKUP($A50,[1]플랫폼2!$A:$M,12,FALSE),0)+IFERROR(VLOOKUP($A50,[1]플랫폼2!$A:$M,13,FALSE),0)</f>
        <v>0</v>
      </c>
      <c r="Q50" s="44">
        <f>IFERROR(VLOOKUP($A50,[1]플랫폼2!$A:$M,7,FALSE),0)+IFERROR(VLOOKUP($A50,[1]플랫폼2!$A:$M,12,FALSE),0)</f>
        <v>0</v>
      </c>
      <c r="R50" s="44">
        <f>IFERROR(VLOOKUP($A50,[1]모바일!$A:$S,17,FALSE),0)</f>
        <v>0</v>
      </c>
      <c r="S50" s="44">
        <f>IFERROR(VLOOKUP($A50,[1]모바일!$A:$S,18,FALSE),0)</f>
        <v>0</v>
      </c>
      <c r="T50" s="43">
        <v>150000</v>
      </c>
      <c r="U50" s="83"/>
    </row>
    <row r="51" spans="1:21" ht="16" hidden="1" customHeight="1" outlineLevel="1" x14ac:dyDescent="0.45">
      <c r="A51" s="29" t="s">
        <v>29</v>
      </c>
      <c r="B51" s="44">
        <f>'1월'!B51+'2월'!B51+'3월'!B51+'4월'!B51+'5월'!B51+'6월'!B51+'7월'!B51+'8월'!B51+'9월'!B51+'10월'!B51+'11월'!B51+'12월'!B51</f>
        <v>3292607760</v>
      </c>
      <c r="C51" s="44">
        <f>'1월'!C51+'2월'!C51+'3월'!C51+'4월'!C51+'5월'!C51+'6월'!C51+'7월'!C51+'8월'!C51+'9월'!C51+'10월'!C51+'11월'!C51+'12월'!C51</f>
        <v>64866280</v>
      </c>
      <c r="D51" s="44">
        <f>'1월'!D51+'2월'!D51+'3월'!D51+'4월'!D51+'5월'!D51+'6월'!D51+'7월'!D51+'8월'!D51+'9월'!D51+'10월'!D51+'11월'!D51+'12월'!D51</f>
        <v>52628440</v>
      </c>
      <c r="E51" s="44">
        <f>'1월'!E51+'2월'!E51+'3월'!E51+'4월'!E51+'5월'!E51+'6월'!E51+'7월'!E51+'8월'!E51+'9월'!E51+'10월'!E51+'11월'!E51+'12월'!E51</f>
        <v>3175113040</v>
      </c>
      <c r="F51" s="44">
        <f>'1월'!F51+'2월'!F51+'3월'!F51+'4월'!F51+'5월'!F51+'6월'!F51+'7월'!F51+'8월'!F51+'9월'!F51+'10월'!F51+'11월'!F51+'12월'!F51</f>
        <v>2120421685.915709</v>
      </c>
      <c r="G51" s="44">
        <f>'1월'!H51+'2월'!G51+'3월'!G51+'4월'!G51+'5월'!G51+'6월'!G51+'7월'!G51+'8월'!G51+'9월'!G51+'10월'!G51+'11월'!G51+'12월'!G51</f>
        <v>675464354.08429074</v>
      </c>
      <c r="H51" s="44">
        <f>'1월'!J51+'2월'!H51+'3월'!H51+'4월'!H51+'5월'!H51+'6월'!H51+'7월'!H51+'8월'!H51+'9월'!H51+'10월'!H51+'11월'!H51+'12월'!H51</f>
        <v>18915170</v>
      </c>
      <c r="I51" s="44">
        <f>'1월'!K51+'2월'!I51+'3월'!I51+'4월'!I51+'5월'!I51+'6월'!I51+'7월'!I51+'8월'!I51+'9월'!I51+'10월'!I51+'11월'!I51+'12월'!I51</f>
        <v>22477782</v>
      </c>
      <c r="J51" s="44">
        <f>'1월'!L51+'2월'!J51+'3월'!J51+'4월'!J51+'5월'!J51+'6월'!J51+'7월'!J51+'8월'!J51+'9월'!J51+'10월'!J51+'11월'!J51+'12월'!J51</f>
        <v>23553358</v>
      </c>
      <c r="K51" s="44">
        <f>'1월'!M51+'2월'!K51+'3월'!K51+'4월'!K51+'5월'!K51+'6월'!K51+'7월'!K51+'8월'!K51+'9월'!K51+'10월'!K51+'11월'!K51+'12월'!K51</f>
        <v>100622490</v>
      </c>
      <c r="L51" s="44">
        <f>'1월'!N51+'2월'!L51+'3월'!L51+'4월'!L51+'5월'!L51+'6월'!L51+'7월'!L51+'8월'!L51+'9월'!L51+'10월'!L51+'11월'!L51+'12월'!L51</f>
        <v>198898700</v>
      </c>
      <c r="M51" s="44">
        <f>'1월'!O51+'2월'!M51+'3월'!M51+'4월'!M51+'5월'!M51+'6월'!M51+'7월'!M51+'8월'!M51+'9월'!M51+'10월'!M51+'11월'!M51+'12월'!M51</f>
        <v>14759500</v>
      </c>
      <c r="O51" s="44">
        <f>IFERROR(VLOOKUP($A51,[1]플랫폼1!$A:$B,2,FALSE),0)</f>
        <v>1860000</v>
      </c>
      <c r="P51" s="44">
        <f>IFERROR(VLOOKUP($A51,[1]플랫폼2!$A:$M,12,FALSE),0)+IFERROR(VLOOKUP($A51,[1]플랫폼2!$A:$M,13,FALSE),0)</f>
        <v>1351500</v>
      </c>
      <c r="Q51" s="44">
        <f>IFERROR(VLOOKUP($A51,[1]플랫폼2!$A:$M,7,FALSE),0)+IFERROR(VLOOKUP($A51,[1]플랫폼2!$A:$M,12,FALSE),0)</f>
        <v>1351500</v>
      </c>
      <c r="R51" s="44">
        <f>IFERROR(VLOOKUP($A51,[1]모바일!$A:$S,17,FALSE),0)</f>
        <v>310000</v>
      </c>
      <c r="S51" s="44">
        <f>IFERROR(VLOOKUP($A51,[1]모바일!$A:$S,18,FALSE),0)</f>
        <v>310000</v>
      </c>
      <c r="T51" s="43">
        <f>IFERROR(VLOOKUP(A51,[1]플랫폼2!$A:$O,15,0),0)</f>
        <v>9576500</v>
      </c>
      <c r="U51" s="83"/>
    </row>
    <row r="52" spans="1:21" ht="16" hidden="1" customHeight="1" outlineLevel="1" x14ac:dyDescent="0.45">
      <c r="A52" s="29" t="s">
        <v>127</v>
      </c>
      <c r="B52" s="44">
        <f>'1월'!B52+'2월'!B52+'3월'!B52+'4월'!B52+'5월'!B52+'6월'!B52+'7월'!B52+'8월'!B52+'9월'!B52+'10월'!B52+'11월'!B52+'12월'!B52</f>
        <v>2300000</v>
      </c>
      <c r="C52" s="44">
        <f>'1월'!C52+'2월'!C52+'3월'!C52+'4월'!C52+'5월'!C52+'6월'!C52+'7월'!C52+'8월'!C52+'9월'!C52+'10월'!C52+'11월'!C52+'12월'!C52</f>
        <v>1080000</v>
      </c>
      <c r="D52" s="44">
        <f>'1월'!D52+'2월'!D52+'3월'!D52+'4월'!D52+'5월'!D52+'6월'!D52+'7월'!D52+'8월'!D52+'9월'!D52+'10월'!D52+'11월'!D52+'12월'!D52</f>
        <v>920000</v>
      </c>
      <c r="E52" s="44">
        <f>'1월'!E52+'2월'!E52+'3월'!E52+'4월'!E52+'5월'!E52+'6월'!E52+'7월'!E52+'8월'!E52+'9월'!E52+'10월'!E52+'11월'!E52+'12월'!E52</f>
        <v>300000</v>
      </c>
      <c r="F52" s="44">
        <f>'1월'!F52+'2월'!F52+'3월'!F52+'4월'!F52+'5월'!F52+'6월'!F52+'7월'!F52+'8월'!F52+'9월'!F52+'10월'!F52+'11월'!F52+'12월'!F52</f>
        <v>220000</v>
      </c>
      <c r="G52" s="44">
        <f>'1월'!H52+'2월'!G52+'3월'!G52+'4월'!G52+'5월'!G52+'6월'!G52+'7월'!G52+'8월'!G52+'9월'!G52+'10월'!G52+'11월'!G52+'12월'!G52</f>
        <v>0</v>
      </c>
      <c r="H52" s="44">
        <f>'1월'!J52+'2월'!H52+'3월'!H52+'4월'!H52+'5월'!H52+'6월'!H52+'7월'!H52+'8월'!H52+'9월'!H52+'10월'!H52+'11월'!H52+'12월'!H52</f>
        <v>0</v>
      </c>
      <c r="I52" s="44">
        <f>'1월'!K52+'2월'!I52+'3월'!I52+'4월'!I52+'5월'!I52+'6월'!I52+'7월'!I52+'8월'!I52+'9월'!I52+'10월'!I52+'11월'!I52+'12월'!I52</f>
        <v>0</v>
      </c>
      <c r="J52" s="44">
        <f>'1월'!L52+'2월'!J52+'3월'!J52+'4월'!J52+'5월'!J52+'6월'!J52+'7월'!J52+'8월'!J52+'9월'!J52+'10월'!J52+'11월'!J52+'12월'!J52</f>
        <v>0</v>
      </c>
      <c r="K52" s="44">
        <f>'1월'!M52+'2월'!K52+'3월'!K52+'4월'!K52+'5월'!K52+'6월'!K52+'7월'!K52+'8월'!K52+'9월'!K52+'10월'!K52+'11월'!K52+'12월'!K52</f>
        <v>0</v>
      </c>
      <c r="L52" s="44">
        <f>'1월'!N52+'2월'!L52+'3월'!L52+'4월'!L52+'5월'!L52+'6월'!L52+'7월'!L52+'8월'!L52+'9월'!L52+'10월'!L52+'11월'!L52+'12월'!L52</f>
        <v>80000</v>
      </c>
      <c r="M52" s="44">
        <f>'1월'!O52+'2월'!M52+'3월'!M52+'4월'!M52+'5월'!M52+'6월'!M52+'7월'!M52+'8월'!M52+'9월'!M52+'10월'!M52+'11월'!M52+'12월'!M52</f>
        <v>0</v>
      </c>
      <c r="O52" s="44">
        <f>IFERROR(VLOOKUP($A52,[1]플랫폼1!$A:$B,2,FALSE),0)</f>
        <v>0</v>
      </c>
      <c r="P52" s="44">
        <f>IFERROR(VLOOKUP($A52,[1]플랫폼2!$A:$M,12,FALSE),0)+IFERROR(VLOOKUP($A52,[1]플랫폼2!$A:$M,13,FALSE),0)</f>
        <v>0</v>
      </c>
      <c r="Q52" s="44">
        <f>IFERROR(VLOOKUP($A52,[1]플랫폼2!$A:$M,7,FALSE),0)+IFERROR(VLOOKUP($A52,[1]플랫폼2!$A:$M,12,FALSE),0)</f>
        <v>0</v>
      </c>
      <c r="R52" s="44">
        <f>IFERROR(VLOOKUP($A52,[1]모바일!$A:$S,17,FALSE),0)</f>
        <v>0</v>
      </c>
      <c r="S52" s="44">
        <f>IFERROR(VLOOKUP($A52,[1]모바일!$A:$S,18,FALSE),0)</f>
        <v>0</v>
      </c>
      <c r="T52" s="43">
        <f>IFERROR(VLOOKUP(A52,[1]플랫폼2!$A:$O,15,0),0)</f>
        <v>0</v>
      </c>
      <c r="U52" s="83"/>
    </row>
    <row r="53" spans="1:21" ht="16" hidden="1" customHeight="1" outlineLevel="1" x14ac:dyDescent="0.45">
      <c r="A53" s="29" t="s">
        <v>177</v>
      </c>
      <c r="B53" s="44">
        <f>'1월'!B53+'2월'!B53+'3월'!B53+'4월'!B53+'5월'!B53+'6월'!B53+'7월'!B53+'8월'!B53+'9월'!B53+'10월'!B53+'11월'!B53+'12월'!B53</f>
        <v>0</v>
      </c>
      <c r="C53" s="44">
        <f>'1월'!C53+'2월'!C53+'3월'!C53+'4월'!C53+'5월'!C53+'6월'!C53+'7월'!C53+'8월'!C53+'9월'!C53+'10월'!C53+'11월'!C53+'12월'!C53</f>
        <v>0</v>
      </c>
      <c r="D53" s="44">
        <f>'1월'!D53+'2월'!D53+'3월'!D53+'4월'!D53+'5월'!D53+'6월'!D53+'7월'!D53+'8월'!D53+'9월'!D53+'10월'!D53+'11월'!D53+'12월'!D53</f>
        <v>0</v>
      </c>
      <c r="E53" s="44">
        <f>'1월'!E53+'2월'!E53+'3월'!E53+'4월'!E53+'5월'!E53+'6월'!E53+'7월'!E53+'8월'!E53+'9월'!E53+'10월'!E53+'11월'!E53+'12월'!E53</f>
        <v>0</v>
      </c>
      <c r="F53" s="44">
        <f>'1월'!F53+'2월'!F53+'3월'!F53+'4월'!F53+'5월'!F53+'6월'!F53+'7월'!F53+'8월'!F53+'9월'!F53+'10월'!F53+'11월'!F53+'12월'!F53</f>
        <v>0</v>
      </c>
      <c r="G53" s="44">
        <f>'1월'!H53+'2월'!G53+'3월'!G53+'4월'!G53+'5월'!G53+'6월'!G53+'7월'!G53+'8월'!G53+'9월'!G53+'10월'!G53+'11월'!G53+'12월'!G53</f>
        <v>0</v>
      </c>
      <c r="H53" s="44">
        <f>'1월'!J53+'2월'!H53+'3월'!H53+'4월'!H53+'5월'!H53+'6월'!H53+'7월'!H53+'8월'!H53+'9월'!H53+'10월'!H53+'11월'!H53+'12월'!H53</f>
        <v>0</v>
      </c>
      <c r="I53" s="44">
        <f>'1월'!K53+'2월'!I53+'3월'!I53+'4월'!I53+'5월'!I53+'6월'!I53+'7월'!I53+'8월'!I53+'9월'!I53+'10월'!I53+'11월'!I53+'12월'!I53</f>
        <v>0</v>
      </c>
      <c r="J53" s="44">
        <f>'1월'!L53+'2월'!J53+'3월'!J53+'4월'!J53+'5월'!J53+'6월'!J53+'7월'!J53+'8월'!J53+'9월'!J53+'10월'!J53+'11월'!J53+'12월'!J53</f>
        <v>0</v>
      </c>
      <c r="K53" s="44">
        <f>'1월'!M53+'2월'!K53+'3월'!K53+'4월'!K53+'5월'!K53+'6월'!K53+'7월'!K53+'8월'!K53+'9월'!K53+'10월'!K53+'11월'!K53+'12월'!K53</f>
        <v>0</v>
      </c>
      <c r="L53" s="44">
        <f>'1월'!N53+'2월'!L53+'3월'!L53+'4월'!L53+'5월'!L53+'6월'!L53+'7월'!L53+'8월'!L53+'9월'!L53+'10월'!L53+'11월'!L53+'12월'!L53</f>
        <v>0</v>
      </c>
      <c r="M53" s="44">
        <f>'1월'!O53+'2월'!M53+'3월'!M53+'4월'!M53+'5월'!M53+'6월'!M53+'7월'!M53+'8월'!M53+'9월'!M53+'10월'!M53+'11월'!M53+'12월'!M53</f>
        <v>0</v>
      </c>
      <c r="O53" s="44">
        <f>IFERROR(VLOOKUP($A53,[1]플랫폼1!$A:$B,2,FALSE),0)</f>
        <v>0</v>
      </c>
      <c r="P53" s="44">
        <f>IFERROR(VLOOKUP($A53,[1]플랫폼2!$A:$M,12,FALSE),0)+IFERROR(VLOOKUP($A53,[1]플랫폼2!$A:$M,13,FALSE),0)</f>
        <v>0</v>
      </c>
      <c r="Q53" s="44">
        <f>IFERROR(VLOOKUP($A53,[1]플랫폼2!$A:$M,7,FALSE),0)+IFERROR(VLOOKUP($A53,[1]플랫폼2!$A:$M,12,FALSE),0)</f>
        <v>0</v>
      </c>
      <c r="R53" s="44">
        <f>IFERROR(VLOOKUP($A53,[1]모바일!$A:$S,17,FALSE),0)</f>
        <v>0</v>
      </c>
      <c r="S53" s="44">
        <f>IFERROR(VLOOKUP($A53,[1]모바일!$A:$S,18,FALSE),0)</f>
        <v>0</v>
      </c>
      <c r="T53" s="43">
        <f>IFERROR(VLOOKUP(A53,[1]플랫폼2!$A:$O,15,0),0)</f>
        <v>0</v>
      </c>
      <c r="U53" s="83"/>
    </row>
    <row r="54" spans="1:21" ht="16" hidden="1" customHeight="1" outlineLevel="1" x14ac:dyDescent="0.45">
      <c r="A54" s="29" t="s">
        <v>30</v>
      </c>
      <c r="B54" s="44">
        <f>'1월'!B54+'2월'!B54+'3월'!B54+'4월'!B54+'5월'!B54+'6월'!B54+'7월'!B54+'8월'!B54+'9월'!B54+'10월'!B54+'11월'!B54+'12월'!B54</f>
        <v>229931350</v>
      </c>
      <c r="C54" s="44">
        <f>'1월'!C54+'2월'!C54+'3월'!C54+'4월'!C54+'5월'!C54+'6월'!C54+'7월'!C54+'8월'!C54+'9월'!C54+'10월'!C54+'11월'!C54+'12월'!C54</f>
        <v>45929410</v>
      </c>
      <c r="D54" s="44">
        <f>'1월'!D54+'2월'!D54+'3월'!D54+'4월'!D54+'5월'!D54+'6월'!D54+'7월'!D54+'8월'!D54+'9월'!D54+'10월'!D54+'11월'!D54+'12월'!D54</f>
        <v>821480</v>
      </c>
      <c r="E54" s="44">
        <f>'1월'!E54+'2월'!E54+'3월'!E54+'4월'!E54+'5월'!E54+'6월'!E54+'7월'!E54+'8월'!E54+'9월'!E54+'10월'!E54+'11월'!E54+'12월'!E54</f>
        <v>183180460</v>
      </c>
      <c r="F54" s="44">
        <f>'1월'!F54+'2월'!F54+'3월'!F54+'4월'!F54+'5월'!F54+'6월'!F54+'7월'!F54+'8월'!F54+'9월'!F54+'10월'!F54+'11월'!F54+'12월'!F54</f>
        <v>125053950</v>
      </c>
      <c r="G54" s="44">
        <f>'1월'!H54+'2월'!G54+'3월'!G54+'4월'!G54+'5월'!G54+'6월'!G54+'7월'!G54+'8월'!G54+'9월'!G54+'10월'!G54+'11월'!G54+'12월'!G54</f>
        <v>40910450</v>
      </c>
      <c r="H54" s="44">
        <f>'1월'!J54+'2월'!H54+'3월'!H54+'4월'!H54+'5월'!H54+'6월'!H54+'7월'!H54+'8월'!H54+'9월'!H54+'10월'!H54+'11월'!H54+'12월'!H54</f>
        <v>0</v>
      </c>
      <c r="I54" s="44">
        <f>'1월'!K54+'2월'!I54+'3월'!I54+'4월'!I54+'5월'!I54+'6월'!I54+'7월'!I54+'8월'!I54+'9월'!I54+'10월'!I54+'11월'!I54+'12월'!I54</f>
        <v>22000</v>
      </c>
      <c r="J54" s="44">
        <f>'1월'!L54+'2월'!J54+'3월'!J54+'4월'!J54+'5월'!J54+'6월'!J54+'7월'!J54+'8월'!J54+'9월'!J54+'10월'!J54+'11월'!J54+'12월'!J54</f>
        <v>22000</v>
      </c>
      <c r="K54" s="44">
        <f>'1월'!M54+'2월'!K54+'3월'!K54+'4월'!K54+'5월'!K54+'6월'!K54+'7월'!K54+'8월'!K54+'9월'!K54+'10월'!K54+'11월'!K54+'12월'!K54</f>
        <v>4620670</v>
      </c>
      <c r="L54" s="44">
        <f>'1월'!N54+'2월'!L54+'3월'!L54+'4월'!L54+'5월'!L54+'6월'!L54+'7월'!L54+'8월'!L54+'9월'!L54+'10월'!L54+'11월'!L54+'12월'!L54</f>
        <v>12280020</v>
      </c>
      <c r="M54" s="44">
        <f>'1월'!O54+'2월'!M54+'3월'!M54+'4월'!M54+'5월'!M54+'6월'!M54+'7월'!M54+'8월'!M54+'9월'!M54+'10월'!M54+'11월'!M54+'12월'!M54</f>
        <v>271370</v>
      </c>
      <c r="O54" s="44">
        <f>IFERROR(VLOOKUP($A54,[1]플랫폼1!$A:$B,2,FALSE),0)</f>
        <v>0</v>
      </c>
      <c r="P54" s="44">
        <f>IFERROR(VLOOKUP($A54,[1]플랫폼2!$A:$M,12,FALSE),0)+IFERROR(VLOOKUP($A54,[1]플랫폼2!$A:$M,13,FALSE),0)</f>
        <v>135685</v>
      </c>
      <c r="Q54" s="44">
        <f>IFERROR(VLOOKUP($A54,[1]플랫폼2!$A:$M,7,FALSE),0)+IFERROR(VLOOKUP($A54,[1]플랫폼2!$A:$M,12,FALSE),0)</f>
        <v>135685</v>
      </c>
      <c r="R54" s="44">
        <f>IFERROR(VLOOKUP($A54,[1]모바일!$A:$S,17,FALSE),0)</f>
        <v>0</v>
      </c>
      <c r="S54" s="44">
        <f>IFERROR(VLOOKUP($A54,[1]모바일!$A:$S,18,FALSE),0)</f>
        <v>0</v>
      </c>
      <c r="T54" s="43">
        <f>IFERROR(VLOOKUP(A54,[1]플랫폼2!$A:$O,15,0),0)</f>
        <v>0</v>
      </c>
      <c r="U54" s="83"/>
    </row>
    <row r="55" spans="1:21" ht="16" hidden="1" customHeight="1" outlineLevel="1" x14ac:dyDescent="0.45">
      <c r="A55" s="29" t="s">
        <v>128</v>
      </c>
      <c r="B55" s="44">
        <f>'1월'!B55+'2월'!B55+'3월'!B55+'4월'!B55+'5월'!B55+'6월'!B55+'7월'!B55+'8월'!B55+'9월'!B55+'10월'!B55+'11월'!B55+'12월'!B55</f>
        <v>633611580</v>
      </c>
      <c r="C55" s="44">
        <f>'1월'!C55+'2월'!C55+'3월'!C55+'4월'!C55+'5월'!C55+'6월'!C55+'7월'!C55+'8월'!C55+'9월'!C55+'10월'!C55+'11월'!C55+'12월'!C55</f>
        <v>0</v>
      </c>
      <c r="D55" s="44">
        <f>'1월'!D55+'2월'!D55+'3월'!D55+'4월'!D55+'5월'!D55+'6월'!D55+'7월'!D55+'8월'!D55+'9월'!D55+'10월'!D55+'11월'!D55+'12월'!D55</f>
        <v>0</v>
      </c>
      <c r="E55" s="44">
        <f>'1월'!E55+'2월'!E55+'3월'!E55+'4월'!E55+'5월'!E55+'6월'!E55+'7월'!E55+'8월'!E55+'9월'!E55+'10월'!E55+'11월'!E55+'12월'!E55</f>
        <v>633611580</v>
      </c>
      <c r="F55" s="44">
        <f>'1월'!F55+'2월'!F55+'3월'!F55+'4월'!F55+'5월'!F55+'6월'!F55+'7월'!F55+'8월'!F55+'9월'!F55+'10월'!F55+'11월'!F55+'12월'!F55</f>
        <v>0</v>
      </c>
      <c r="G55" s="44">
        <f>'1월'!H55+'2월'!G55+'3월'!G55+'4월'!G55+'5월'!G55+'6월'!G55+'7월'!G55+'8월'!G55+'9월'!G55+'10월'!G55+'11월'!G55+'12월'!G55</f>
        <v>0</v>
      </c>
      <c r="H55" s="44">
        <f>'1월'!J55+'2월'!H55+'3월'!H55+'4월'!H55+'5월'!H55+'6월'!H55+'7월'!H55+'8월'!H55+'9월'!H55+'10월'!H55+'11월'!H55+'12월'!H55</f>
        <v>0</v>
      </c>
      <c r="I55" s="44">
        <f>'1월'!K55+'2월'!I55+'3월'!I55+'4월'!I55+'5월'!I55+'6월'!I55+'7월'!I55+'8월'!I55+'9월'!I55+'10월'!I55+'11월'!I55+'12월'!I55</f>
        <v>0</v>
      </c>
      <c r="J55" s="44">
        <f>'1월'!L55+'2월'!J55+'3월'!J55+'4월'!J55+'5월'!J55+'6월'!J55+'7월'!J55+'8월'!J55+'9월'!J55+'10월'!J55+'11월'!J55+'12월'!J55</f>
        <v>0</v>
      </c>
      <c r="K55" s="44">
        <f>'1월'!M55+'2월'!K55+'3월'!K55+'4월'!K55+'5월'!K55+'6월'!K55+'7월'!K55+'8월'!K55+'9월'!K55+'10월'!K55+'11월'!K55+'12월'!K55</f>
        <v>0</v>
      </c>
      <c r="L55" s="44">
        <f>'1월'!N55+'2월'!L55+'3월'!L55+'4월'!L55+'5월'!L55+'6월'!L55+'7월'!L55+'8월'!L55+'9월'!L55+'10월'!L55+'11월'!L55+'12월'!L55</f>
        <v>633611580</v>
      </c>
      <c r="M55" s="44">
        <f>'1월'!O55+'2월'!M55+'3월'!M55+'4월'!M55+'5월'!M55+'6월'!M55+'7월'!M55+'8월'!M55+'9월'!M55+'10월'!M55+'11월'!M55+'12월'!M55</f>
        <v>0</v>
      </c>
      <c r="O55" s="44">
        <f>IFERROR(VLOOKUP($A55,[1]플랫폼1!$A:$B,2,FALSE),0)</f>
        <v>0</v>
      </c>
      <c r="P55" s="44">
        <f>IFERROR(VLOOKUP($A55,[1]플랫폼2!$A:$M,12,FALSE),0)+IFERROR(VLOOKUP($A55,[1]플랫폼2!$A:$M,13,FALSE),0)</f>
        <v>0</v>
      </c>
      <c r="Q55" s="44">
        <f>IFERROR(VLOOKUP($A55,[1]플랫폼2!$A:$M,7,FALSE),0)+IFERROR(VLOOKUP($A55,[1]플랫폼2!$A:$M,12,FALSE),0)</f>
        <v>0</v>
      </c>
      <c r="R55" s="44">
        <f>IFERROR(VLOOKUP($A55,[1]모바일!$A:$S,17,FALSE),0)</f>
        <v>0</v>
      </c>
      <c r="S55" s="44">
        <f>IFERROR(VLOOKUP($A55,[1]모바일!$A:$S,18,FALSE),0)</f>
        <v>0</v>
      </c>
      <c r="T55" s="43">
        <f>IFERROR(VLOOKUP(A55,[1]플랫폼2!$A:$O,15,0),0)</f>
        <v>0</v>
      </c>
      <c r="U55" s="83"/>
    </row>
    <row r="56" spans="1:21" ht="16" hidden="1" customHeight="1" outlineLevel="1" x14ac:dyDescent="0.45">
      <c r="A56" s="29" t="s">
        <v>129</v>
      </c>
      <c r="B56" s="44">
        <f>'1월'!B56+'2월'!B56+'3월'!B56+'4월'!B56+'5월'!B56+'6월'!B56+'7월'!B56+'8월'!B56+'9월'!B56+'10월'!B56+'11월'!B56+'12월'!B56</f>
        <v>4823670</v>
      </c>
      <c r="C56" s="44">
        <f>'1월'!C56+'2월'!C56+'3월'!C56+'4월'!C56+'5월'!C56+'6월'!C56+'7월'!C56+'8월'!C56+'9월'!C56+'10월'!C56+'11월'!C56+'12월'!C56</f>
        <v>0</v>
      </c>
      <c r="D56" s="44">
        <f>'1월'!D56+'2월'!D56+'3월'!D56+'4월'!D56+'5월'!D56+'6월'!D56+'7월'!D56+'8월'!D56+'9월'!D56+'10월'!D56+'11월'!D56+'12월'!D56</f>
        <v>0</v>
      </c>
      <c r="E56" s="44">
        <f>'1월'!E56+'2월'!E56+'3월'!E56+'4월'!E56+'5월'!E56+'6월'!E56+'7월'!E56+'8월'!E56+'9월'!E56+'10월'!E56+'11월'!E56+'12월'!E56</f>
        <v>4823670</v>
      </c>
      <c r="F56" s="44">
        <f>'1월'!F56+'2월'!F56+'3월'!F56+'4월'!F56+'5월'!F56+'6월'!F56+'7월'!F56+'8월'!F56+'9월'!F56+'10월'!F56+'11월'!F56+'12월'!F56</f>
        <v>0</v>
      </c>
      <c r="G56" s="44">
        <f>'1월'!H56+'2월'!G56+'3월'!G56+'4월'!G56+'5월'!G56+'6월'!G56+'7월'!G56+'8월'!G56+'9월'!G56+'10월'!G56+'11월'!G56+'12월'!G56</f>
        <v>0</v>
      </c>
      <c r="H56" s="44">
        <f>'1월'!J56+'2월'!H56+'3월'!H56+'4월'!H56+'5월'!H56+'6월'!H56+'7월'!H56+'8월'!H56+'9월'!H56+'10월'!H56+'11월'!H56+'12월'!H56</f>
        <v>0</v>
      </c>
      <c r="I56" s="44">
        <f>'1월'!K56+'2월'!I56+'3월'!I56+'4월'!I56+'5월'!I56+'6월'!I56+'7월'!I56+'8월'!I56+'9월'!I56+'10월'!I56+'11월'!I56+'12월'!I56</f>
        <v>0</v>
      </c>
      <c r="J56" s="44">
        <f>'1월'!L56+'2월'!J56+'3월'!J56+'4월'!J56+'5월'!J56+'6월'!J56+'7월'!J56+'8월'!J56+'9월'!J56+'10월'!J56+'11월'!J56+'12월'!J56</f>
        <v>0</v>
      </c>
      <c r="K56" s="44">
        <f>'1월'!M56+'2월'!K56+'3월'!K56+'4월'!K56+'5월'!K56+'6월'!K56+'7월'!K56+'8월'!K56+'9월'!K56+'10월'!K56+'11월'!K56+'12월'!K56</f>
        <v>0</v>
      </c>
      <c r="L56" s="44">
        <f>'1월'!N56+'2월'!L56+'3월'!L56+'4월'!L56+'5월'!L56+'6월'!L56+'7월'!L56+'8월'!L56+'9월'!L56+'10월'!L56+'11월'!L56+'12월'!L56</f>
        <v>4823670</v>
      </c>
      <c r="M56" s="44">
        <f>'1월'!O56+'2월'!M56+'3월'!M56+'4월'!M56+'5월'!M56+'6월'!M56+'7월'!M56+'8월'!M56+'9월'!M56+'10월'!M56+'11월'!M56+'12월'!M56</f>
        <v>0</v>
      </c>
      <c r="O56" s="44">
        <f>IFERROR(VLOOKUP($A56,[1]플랫폼1!$A:$B,2,FALSE),0)</f>
        <v>0</v>
      </c>
      <c r="P56" s="44">
        <f>IFERROR(VLOOKUP($A56,[1]플랫폼2!$A:$M,12,FALSE),0)+IFERROR(VLOOKUP($A56,[1]플랫폼2!$A:$M,13,FALSE),0)</f>
        <v>0</v>
      </c>
      <c r="Q56" s="44">
        <f>IFERROR(VLOOKUP($A56,[1]플랫폼2!$A:$M,7,FALSE),0)+IFERROR(VLOOKUP($A56,[1]플랫폼2!$A:$M,12,FALSE),0)</f>
        <v>0</v>
      </c>
      <c r="R56" s="44">
        <f>IFERROR(VLOOKUP($A56,[1]모바일!$A:$S,17,FALSE),0)</f>
        <v>0</v>
      </c>
      <c r="S56" s="44">
        <f>IFERROR(VLOOKUP($A56,[1]모바일!$A:$S,18,FALSE),0)</f>
        <v>0</v>
      </c>
      <c r="T56" s="43">
        <f>IFERROR(VLOOKUP(A56,[1]플랫폼2!$A:$O,15,0),0)</f>
        <v>0</v>
      </c>
      <c r="U56" s="83"/>
    </row>
    <row r="57" spans="1:21" ht="16" hidden="1" customHeight="1" outlineLevel="1" x14ac:dyDescent="0.45">
      <c r="A57" s="29" t="s">
        <v>178</v>
      </c>
      <c r="B57" s="44">
        <f>'1월'!B57+'2월'!B57+'3월'!B57+'4월'!B57+'5월'!B57+'6월'!B57+'7월'!B57+'8월'!B57+'9월'!B57+'10월'!B57+'11월'!B57+'12월'!B57</f>
        <v>0</v>
      </c>
      <c r="C57" s="44">
        <f>'1월'!C57+'2월'!C57+'3월'!C57+'4월'!C57+'5월'!C57+'6월'!C57+'7월'!C57+'8월'!C57+'9월'!C57+'10월'!C57+'11월'!C57+'12월'!C57</f>
        <v>0</v>
      </c>
      <c r="D57" s="44">
        <f>'1월'!D57+'2월'!D57+'3월'!D57+'4월'!D57+'5월'!D57+'6월'!D57+'7월'!D57+'8월'!D57+'9월'!D57+'10월'!D57+'11월'!D57+'12월'!D57</f>
        <v>0</v>
      </c>
      <c r="E57" s="44">
        <f>'1월'!E57+'2월'!E57+'3월'!E57+'4월'!E57+'5월'!E57+'6월'!E57+'7월'!E57+'8월'!E57+'9월'!E57+'10월'!E57+'11월'!E57+'12월'!E57</f>
        <v>0</v>
      </c>
      <c r="F57" s="44">
        <f>'1월'!F57+'2월'!F57+'3월'!F57+'4월'!F57+'5월'!F57+'6월'!F57+'7월'!F57+'8월'!F57+'9월'!F57+'10월'!F57+'11월'!F57+'12월'!F57</f>
        <v>0</v>
      </c>
      <c r="G57" s="44">
        <f>'1월'!H57+'2월'!G57+'3월'!G57+'4월'!G57+'5월'!G57+'6월'!G57+'7월'!G57+'8월'!G57+'9월'!G57+'10월'!G57+'11월'!G57+'12월'!G57</f>
        <v>0</v>
      </c>
      <c r="H57" s="44">
        <f>'1월'!J57+'2월'!H57+'3월'!H57+'4월'!H57+'5월'!H57+'6월'!H57+'7월'!H57+'8월'!H57+'9월'!H57+'10월'!H57+'11월'!H57+'12월'!H57</f>
        <v>0</v>
      </c>
      <c r="I57" s="44">
        <f>'1월'!K57+'2월'!I57+'3월'!I57+'4월'!I57+'5월'!I57+'6월'!I57+'7월'!I57+'8월'!I57+'9월'!I57+'10월'!I57+'11월'!I57+'12월'!I57</f>
        <v>0</v>
      </c>
      <c r="J57" s="44">
        <f>'1월'!L57+'2월'!J57+'3월'!J57+'4월'!J57+'5월'!J57+'6월'!J57+'7월'!J57+'8월'!J57+'9월'!J57+'10월'!J57+'11월'!J57+'12월'!J57</f>
        <v>0</v>
      </c>
      <c r="K57" s="44">
        <f>'1월'!M57+'2월'!K57+'3월'!K57+'4월'!K57+'5월'!K57+'6월'!K57+'7월'!K57+'8월'!K57+'9월'!K57+'10월'!K57+'11월'!K57+'12월'!K57</f>
        <v>0</v>
      </c>
      <c r="L57" s="44">
        <f>'1월'!N57+'2월'!L57+'3월'!L57+'4월'!L57+'5월'!L57+'6월'!L57+'7월'!L57+'8월'!L57+'9월'!L57+'10월'!L57+'11월'!L57+'12월'!L57</f>
        <v>0</v>
      </c>
      <c r="M57" s="44">
        <f>'1월'!O57+'2월'!M57+'3월'!M57+'4월'!M57+'5월'!M57+'6월'!M57+'7월'!M57+'8월'!M57+'9월'!M57+'10월'!M57+'11월'!M57+'12월'!M57</f>
        <v>0</v>
      </c>
      <c r="O57" s="44">
        <f>IFERROR(VLOOKUP($A57,[1]플랫폼1!$A:$B,2,FALSE),0)</f>
        <v>0</v>
      </c>
      <c r="P57" s="44">
        <f>IFERROR(VLOOKUP($A57,[1]플랫폼2!$A:$M,12,FALSE),0)+IFERROR(VLOOKUP($A57,[1]플랫폼2!$A:$M,13,FALSE),0)</f>
        <v>0</v>
      </c>
      <c r="Q57" s="44">
        <f>IFERROR(VLOOKUP($A57,[1]플랫폼2!$A:$M,7,FALSE),0)+IFERROR(VLOOKUP($A57,[1]플랫폼2!$A:$M,12,FALSE),0)</f>
        <v>0</v>
      </c>
      <c r="R57" s="44">
        <f>IFERROR(VLOOKUP($A57,[1]모바일!$A:$S,17,FALSE),0)</f>
        <v>0</v>
      </c>
      <c r="S57" s="44">
        <f>IFERROR(VLOOKUP($A57,[1]모바일!$A:$S,18,FALSE),0)</f>
        <v>0</v>
      </c>
      <c r="T57" s="43">
        <f>IFERROR(VLOOKUP(A57,[1]플랫폼2!$A:$O,15,0),0)</f>
        <v>0</v>
      </c>
      <c r="U57" s="83"/>
    </row>
    <row r="58" spans="1:21" ht="16" hidden="1" customHeight="1" outlineLevel="1" x14ac:dyDescent="0.45">
      <c r="A58" s="29" t="s">
        <v>31</v>
      </c>
      <c r="B58" s="44">
        <f>'1월'!B58+'2월'!B58+'3월'!B58+'4월'!B58+'5월'!B58+'6월'!B58+'7월'!B58+'8월'!B58+'9월'!B58+'10월'!B58+'11월'!B58+'12월'!B58</f>
        <v>183692050</v>
      </c>
      <c r="C58" s="44">
        <f>'1월'!C58+'2월'!C58+'3월'!C58+'4월'!C58+'5월'!C58+'6월'!C58+'7월'!C58+'8월'!C58+'9월'!C58+'10월'!C58+'11월'!C58+'12월'!C58</f>
        <v>28265910</v>
      </c>
      <c r="D58" s="44">
        <f>'1월'!D58+'2월'!D58+'3월'!D58+'4월'!D58+'5월'!D58+'6월'!D58+'7월'!D58+'8월'!D58+'9월'!D58+'10월'!D58+'11월'!D58+'12월'!D58</f>
        <v>3320210</v>
      </c>
      <c r="E58" s="44">
        <f>'1월'!E58+'2월'!E58+'3월'!E58+'4월'!E58+'5월'!E58+'6월'!E58+'7월'!E58+'8월'!E58+'9월'!E58+'10월'!E58+'11월'!E58+'12월'!E58</f>
        <v>152105930</v>
      </c>
      <c r="F58" s="44">
        <f>'1월'!F58+'2월'!F58+'3월'!F58+'4월'!F58+'5월'!F58+'6월'!F58+'7월'!F58+'8월'!F58+'9월'!F58+'10월'!F58+'11월'!F58+'12월'!F58</f>
        <v>98745558.176457554</v>
      </c>
      <c r="G58" s="44">
        <f>'1월'!H58+'2월'!G58+'3월'!G58+'4월'!G58+'5월'!G58+'6월'!G58+'7월'!G58+'8월'!G58+'9월'!G58+'10월'!G58+'11월'!G58+'12월'!G58</f>
        <v>48075641.823542446</v>
      </c>
      <c r="H58" s="44">
        <f>'1월'!J58+'2월'!H58+'3월'!H58+'4월'!H58+'5월'!H58+'6월'!H58+'7월'!H58+'8월'!H58+'9월'!H58+'10월'!H58+'11월'!H58+'12월'!H58</f>
        <v>3166530</v>
      </c>
      <c r="I58" s="44">
        <f>'1월'!K58+'2월'!I58+'3월'!I58+'4월'!I58+'5월'!I58+'6월'!I58+'7월'!I58+'8월'!I58+'9월'!I58+'10월'!I58+'11월'!I58+'12월'!I58</f>
        <v>0</v>
      </c>
      <c r="J58" s="44">
        <f>'1월'!L58+'2월'!J58+'3월'!J58+'4월'!J58+'5월'!J58+'6월'!J58+'7월'!J58+'8월'!J58+'9월'!J58+'10월'!J58+'11월'!J58+'12월'!J58</f>
        <v>0</v>
      </c>
      <c r="K58" s="44">
        <f>'1월'!M58+'2월'!K58+'3월'!K58+'4월'!K58+'5월'!K58+'6월'!K58+'7월'!K58+'8월'!K58+'9월'!K58+'10월'!K58+'11월'!K58+'12월'!K58</f>
        <v>143810</v>
      </c>
      <c r="L58" s="44">
        <f>'1월'!N58+'2월'!L58+'3월'!L58+'4월'!L58+'5월'!L58+'6월'!L58+'7월'!L58+'8월'!L58+'9월'!L58+'10월'!L58+'11월'!L58+'12월'!L58</f>
        <v>1159400</v>
      </c>
      <c r="M58" s="44">
        <f>'1월'!O58+'2월'!M58+'3월'!M58+'4월'!M58+'5월'!M58+'6월'!M58+'7월'!M58+'8월'!M58+'9월'!M58+'10월'!M58+'11월'!M58+'12월'!M58</f>
        <v>814990</v>
      </c>
      <c r="O58" s="44">
        <f>IFERROR(VLOOKUP($A58,[1]플랫폼1!$A:$B,2,FALSE),0)</f>
        <v>0</v>
      </c>
      <c r="P58" s="44">
        <f>IFERROR(VLOOKUP($A58,[1]플랫폼2!$A:$M,12,FALSE),0)+IFERROR(VLOOKUP($A58,[1]플랫폼2!$A:$M,13,FALSE),0)</f>
        <v>290460</v>
      </c>
      <c r="Q58" s="44">
        <f>IFERROR(VLOOKUP($A58,[1]플랫폼2!$A:$M,7,FALSE),0)+IFERROR(VLOOKUP($A58,[1]플랫폼2!$A:$M,12,FALSE),0)</f>
        <v>290460</v>
      </c>
      <c r="R58" s="44">
        <f>IFERROR(VLOOKUP($A58,[1]모바일!$A:$S,17,FALSE),0)</f>
        <v>19505.833333333332</v>
      </c>
      <c r="S58" s="44">
        <f>IFERROR(VLOOKUP($A58,[1]모바일!$A:$S,18,FALSE),0)</f>
        <v>19505.833333333332</v>
      </c>
      <c r="T58" s="43">
        <f>IFERROR(VLOOKUP(A58,[1]플랫폼2!$A:$O,15,0),0)</f>
        <v>195058.33333333331</v>
      </c>
      <c r="U58" s="83"/>
    </row>
    <row r="59" spans="1:21" ht="16" hidden="1" customHeight="1" outlineLevel="1" x14ac:dyDescent="0.45">
      <c r="A59" s="29" t="s">
        <v>113</v>
      </c>
      <c r="B59" s="44">
        <f>'1월'!B59+'2월'!B59+'3월'!B59+'4월'!B59+'5월'!B59+'6월'!B59+'7월'!B59+'8월'!B59+'9월'!B59+'10월'!B59+'11월'!B59+'12월'!B59</f>
        <v>0</v>
      </c>
      <c r="C59" s="44">
        <f>'1월'!C59+'2월'!C59+'3월'!C59+'4월'!C59+'5월'!C59+'6월'!C59+'7월'!C59+'8월'!C59+'9월'!C59+'10월'!C59+'11월'!C59+'12월'!C59</f>
        <v>0</v>
      </c>
      <c r="D59" s="44">
        <f>'1월'!D59+'2월'!D59+'3월'!D59+'4월'!D59+'5월'!D59+'6월'!D59+'7월'!D59+'8월'!D59+'9월'!D59+'10월'!D59+'11월'!D59+'12월'!D59</f>
        <v>0</v>
      </c>
      <c r="E59" s="44">
        <f>'1월'!E59+'2월'!E59+'3월'!E59+'4월'!E59+'5월'!E59+'6월'!E59+'7월'!E59+'8월'!E59+'9월'!E59+'10월'!E59+'11월'!E59+'12월'!E59</f>
        <v>0</v>
      </c>
      <c r="F59" s="44">
        <f>'1월'!F59+'2월'!F59+'3월'!F59+'4월'!F59+'5월'!F59+'6월'!F59+'7월'!F59+'8월'!F59+'9월'!F59+'10월'!F59+'11월'!F59+'12월'!F59</f>
        <v>0</v>
      </c>
      <c r="G59" s="44">
        <f>'1월'!H59+'2월'!G59+'3월'!G59+'4월'!G59+'5월'!G59+'6월'!G59+'7월'!G59+'8월'!G59+'9월'!G59+'10월'!G59+'11월'!G59+'12월'!G59</f>
        <v>0</v>
      </c>
      <c r="H59" s="44">
        <f>'1월'!J59+'2월'!H59+'3월'!H59+'4월'!H59+'5월'!H59+'6월'!H59+'7월'!H59+'8월'!H59+'9월'!H59+'10월'!H59+'11월'!H59+'12월'!H59</f>
        <v>0</v>
      </c>
      <c r="I59" s="44">
        <f>'1월'!K59+'2월'!I59+'3월'!I59+'4월'!I59+'5월'!I59+'6월'!I59+'7월'!I59+'8월'!I59+'9월'!I59+'10월'!I59+'11월'!I59+'12월'!I59</f>
        <v>0</v>
      </c>
      <c r="J59" s="44">
        <f>'1월'!L59+'2월'!J59+'3월'!J59+'4월'!J59+'5월'!J59+'6월'!J59+'7월'!J59+'8월'!J59+'9월'!J59+'10월'!J59+'11월'!J59+'12월'!J59</f>
        <v>0</v>
      </c>
      <c r="K59" s="44">
        <f>'1월'!M59+'2월'!K59+'3월'!K59+'4월'!K59+'5월'!K59+'6월'!K59+'7월'!K59+'8월'!K59+'9월'!K59+'10월'!K59+'11월'!K59+'12월'!K59</f>
        <v>0</v>
      </c>
      <c r="L59" s="44">
        <f>'1월'!N59+'2월'!L59+'3월'!L59+'4월'!L59+'5월'!L59+'6월'!L59+'7월'!L59+'8월'!L59+'9월'!L59+'10월'!L59+'11월'!L59+'12월'!L59</f>
        <v>0</v>
      </c>
      <c r="M59" s="44">
        <f>'1월'!O59+'2월'!M59+'3월'!M59+'4월'!M59+'5월'!M59+'6월'!M59+'7월'!M59+'8월'!M59+'9월'!M59+'10월'!M59+'11월'!M59+'12월'!M59</f>
        <v>0</v>
      </c>
      <c r="O59" s="44">
        <f>IFERROR(VLOOKUP($A59,[1]플랫폼1!$A:$B,2,FALSE),0)</f>
        <v>0</v>
      </c>
      <c r="P59" s="44">
        <f>IFERROR(VLOOKUP($A59,[1]플랫폼2!$A:$M,12,FALSE),0)+IFERROR(VLOOKUP($A59,[1]플랫폼2!$A:$M,13,FALSE),0)</f>
        <v>0</v>
      </c>
      <c r="Q59" s="44">
        <f>IFERROR(VLOOKUP($A59,[1]플랫폼2!$A:$M,7,FALSE),0)+IFERROR(VLOOKUP($A59,[1]플랫폼2!$A:$M,12,FALSE),0)</f>
        <v>0</v>
      </c>
      <c r="R59" s="44">
        <f>IFERROR(VLOOKUP($A59,[1]모바일!$A:$S,17,FALSE),0)</f>
        <v>0</v>
      </c>
      <c r="S59" s="44">
        <f>IFERROR(VLOOKUP($A59,[1]모바일!$A:$S,18,FALSE),0)</f>
        <v>0</v>
      </c>
      <c r="T59" s="43">
        <f>IFERROR(VLOOKUP(A59,[1]플랫폼2!$A:$O,15,0),0)</f>
        <v>0</v>
      </c>
      <c r="U59" s="83"/>
    </row>
    <row r="60" spans="1:21" ht="16" hidden="1" customHeight="1" outlineLevel="1" x14ac:dyDescent="0.45">
      <c r="A60" s="29" t="s">
        <v>32</v>
      </c>
      <c r="B60" s="44">
        <f>'1월'!B60+'2월'!B60+'3월'!B60+'4월'!B60+'5월'!B60+'6월'!B60+'7월'!B60+'8월'!B60+'9월'!B60+'10월'!B60+'11월'!B60+'12월'!B60</f>
        <v>179870802</v>
      </c>
      <c r="C60" s="44">
        <f>'1월'!C60+'2월'!C60+'3월'!C60+'4월'!C60+'5월'!C60+'6월'!C60+'7월'!C60+'8월'!C60+'9월'!C60+'10월'!C60+'11월'!C60+'12월'!C60</f>
        <v>18325000</v>
      </c>
      <c r="D60" s="44">
        <f>'1월'!D60+'2월'!D60+'3월'!D60+'4월'!D60+'5월'!D60+'6월'!D60+'7월'!D60+'8월'!D60+'9월'!D60+'10월'!D60+'11월'!D60+'12월'!D60</f>
        <v>6733080</v>
      </c>
      <c r="E60" s="44">
        <f>'1월'!E60+'2월'!E60+'3월'!E60+'4월'!E60+'5월'!E60+'6월'!E60+'7월'!E60+'8월'!E60+'9월'!E60+'10월'!E60+'11월'!E60+'12월'!E60</f>
        <v>154812722</v>
      </c>
      <c r="F60" s="44">
        <f>'1월'!F60+'2월'!F60+'3월'!F60+'4월'!F60+'5월'!F60+'6월'!F60+'7월'!F60+'8월'!F60+'9월'!F60+'10월'!F60+'11월'!F60+'12월'!F60</f>
        <v>35621217.826955847</v>
      </c>
      <c r="G60" s="44">
        <f>'1월'!H60+'2월'!G60+'3월'!G60+'4월'!G60+'5월'!G60+'6월'!G60+'7월'!G60+'8월'!G60+'9월'!G60+'10월'!G60+'11월'!G60+'12월'!G60</f>
        <v>47793230.173044153</v>
      </c>
      <c r="H60" s="44">
        <f>'1월'!J60+'2월'!H60+'3월'!H60+'4월'!H60+'5월'!H60+'6월'!H60+'7월'!H60+'8월'!H60+'9월'!H60+'10월'!H60+'11월'!H60+'12월'!H60</f>
        <v>2000000</v>
      </c>
      <c r="I60" s="44">
        <f>'1월'!K60+'2월'!I60+'3월'!I60+'4월'!I60+'5월'!I60+'6월'!I60+'7월'!I60+'8월'!I60+'9월'!I60+'10월'!I60+'11월'!I60+'12월'!I60</f>
        <v>0</v>
      </c>
      <c r="J60" s="44">
        <f>'1월'!L60+'2월'!J60+'3월'!J60+'4월'!J60+'5월'!J60+'6월'!J60+'7월'!J60+'8월'!J60+'9월'!J60+'10월'!J60+'11월'!J60+'12월'!J60</f>
        <v>0</v>
      </c>
      <c r="K60" s="44">
        <f>'1월'!M60+'2월'!K60+'3월'!K60+'4월'!K60+'5월'!K60+'6월'!K60+'7월'!K60+'8월'!K60+'9월'!K60+'10월'!K60+'11월'!K60+'12월'!K60</f>
        <v>0</v>
      </c>
      <c r="L60" s="44">
        <f>'1월'!N60+'2월'!L60+'3월'!L60+'4월'!L60+'5월'!L60+'6월'!L60+'7월'!L60+'8월'!L60+'9월'!L60+'10월'!L60+'11월'!L60+'12월'!L60</f>
        <v>57398274</v>
      </c>
      <c r="M60" s="44">
        <f>'1월'!O60+'2월'!M60+'3월'!M60+'4월'!M60+'5월'!M60+'6월'!M60+'7월'!M60+'8월'!M60+'9월'!M60+'10월'!M60+'11월'!M60+'12월'!M60</f>
        <v>12000000</v>
      </c>
      <c r="O60" s="44">
        <f>IFERROR(VLOOKUP($A60,[1]플랫폼1!$A:$B,2,FALSE),0)</f>
        <v>6000000</v>
      </c>
      <c r="P60" s="44">
        <f>IFERROR(VLOOKUP($A60,[1]플랫폼2!$A:$M,12,FALSE),0)+IFERROR(VLOOKUP($A60,[1]플랫폼2!$A:$M,13,FALSE),0)</f>
        <v>0</v>
      </c>
      <c r="Q60" s="44">
        <f>IFERROR(VLOOKUP($A60,[1]플랫폼2!$A:$M,7,FALSE),0)+IFERROR(VLOOKUP($A60,[1]플랫폼2!$A:$M,12,FALSE),0)</f>
        <v>0</v>
      </c>
      <c r="R60" s="44">
        <v>500000</v>
      </c>
      <c r="S60" s="44">
        <v>500000</v>
      </c>
      <c r="T60" s="43">
        <v>5000000</v>
      </c>
      <c r="U60" s="83"/>
    </row>
    <row r="61" spans="1:21" ht="16" hidden="1" customHeight="1" outlineLevel="1" x14ac:dyDescent="0.45">
      <c r="A61" s="29" t="s">
        <v>130</v>
      </c>
      <c r="B61" s="44">
        <f>'1월'!B61+'2월'!B61+'3월'!B61+'4월'!B61+'5월'!B61+'6월'!B61+'7월'!B61+'8월'!B61+'9월'!B61+'10월'!B61+'11월'!B61+'12월'!B61</f>
        <v>9768571</v>
      </c>
      <c r="C61" s="44">
        <f>'1월'!C61+'2월'!C61+'3월'!C61+'4월'!C61+'5월'!C61+'6월'!C61+'7월'!C61+'8월'!C61+'9월'!C61+'10월'!C61+'11월'!C61+'12월'!C61</f>
        <v>0</v>
      </c>
      <c r="D61" s="44">
        <f>'1월'!D61+'2월'!D61+'3월'!D61+'4월'!D61+'5월'!D61+'6월'!D61+'7월'!D61+'8월'!D61+'9월'!D61+'10월'!D61+'11월'!D61+'12월'!D61</f>
        <v>0</v>
      </c>
      <c r="E61" s="44">
        <f>'1월'!E61+'2월'!E61+'3월'!E61+'4월'!E61+'5월'!E61+'6월'!E61+'7월'!E61+'8월'!E61+'9월'!E61+'10월'!E61+'11월'!E61+'12월'!E61</f>
        <v>9768571</v>
      </c>
      <c r="F61" s="44">
        <f>'1월'!F61+'2월'!F61+'3월'!F61+'4월'!F61+'5월'!F61+'6월'!F61+'7월'!F61+'8월'!F61+'9월'!F61+'10월'!F61+'11월'!F61+'12월'!F61</f>
        <v>0</v>
      </c>
      <c r="G61" s="44">
        <f>'1월'!H61+'2월'!G61+'3월'!G61+'4월'!G61+'5월'!G61+'6월'!G61+'7월'!G61+'8월'!G61+'9월'!G61+'10월'!G61+'11월'!G61+'12월'!G61</f>
        <v>0</v>
      </c>
      <c r="H61" s="44">
        <f>'1월'!J61+'2월'!H61+'3월'!H61+'4월'!H61+'5월'!H61+'6월'!H61+'7월'!H61+'8월'!H61+'9월'!H61+'10월'!H61+'11월'!H61+'12월'!H61</f>
        <v>0</v>
      </c>
      <c r="I61" s="44">
        <f>'1월'!K61+'2월'!I61+'3월'!I61+'4월'!I61+'5월'!I61+'6월'!I61+'7월'!I61+'8월'!I61+'9월'!I61+'10월'!I61+'11월'!I61+'12월'!I61</f>
        <v>0</v>
      </c>
      <c r="J61" s="44">
        <f>'1월'!L61+'2월'!J61+'3월'!J61+'4월'!J61+'5월'!J61+'6월'!J61+'7월'!J61+'8월'!J61+'9월'!J61+'10월'!J61+'11월'!J61+'12월'!J61</f>
        <v>0</v>
      </c>
      <c r="K61" s="44">
        <f>'1월'!M61+'2월'!K61+'3월'!K61+'4월'!K61+'5월'!K61+'6월'!K61+'7월'!K61+'8월'!K61+'9월'!K61+'10월'!K61+'11월'!K61+'12월'!K61</f>
        <v>0</v>
      </c>
      <c r="L61" s="44">
        <f>'1월'!N61+'2월'!L61+'3월'!L61+'4월'!L61+'5월'!L61+'6월'!L61+'7월'!L61+'8월'!L61+'9월'!L61+'10월'!L61+'11월'!L61+'12월'!L61</f>
        <v>9768571</v>
      </c>
      <c r="M61" s="44">
        <f>'1월'!O61+'2월'!M61+'3월'!M61+'4월'!M61+'5월'!M61+'6월'!M61+'7월'!M61+'8월'!M61+'9월'!M61+'10월'!M61+'11월'!M61+'12월'!M61</f>
        <v>0</v>
      </c>
      <c r="O61" s="44">
        <f>IFERROR(VLOOKUP($A61,[1]플랫폼1!$A:$B,2,FALSE),0)</f>
        <v>0</v>
      </c>
      <c r="P61" s="44">
        <f>IFERROR(VLOOKUP($A61,[1]플랫폼2!$A:$M,12,FALSE),0)+IFERROR(VLOOKUP($A61,[1]플랫폼2!$A:$M,13,FALSE),0)</f>
        <v>0</v>
      </c>
      <c r="Q61" s="44">
        <f>IFERROR(VLOOKUP($A61,[1]플랫폼2!$A:$M,7,FALSE),0)+IFERROR(VLOOKUP($A61,[1]플랫폼2!$A:$M,12,FALSE),0)</f>
        <v>0</v>
      </c>
      <c r="R61" s="44">
        <f>IFERROR(VLOOKUP($A61,[1]모바일!$A:$S,17,FALSE),0)</f>
        <v>0</v>
      </c>
      <c r="S61" s="44">
        <f>IFERROR(VLOOKUP($A61,[1]모바일!$A:$S,18,FALSE),0)</f>
        <v>0</v>
      </c>
      <c r="T61" s="43">
        <f>IFERROR(VLOOKUP(A61,[1]플랫폼2!$A:$O,15,0),0)</f>
        <v>0</v>
      </c>
      <c r="U61" s="83"/>
    </row>
    <row r="62" spans="1:21" ht="16" hidden="1" customHeight="1" outlineLevel="1" x14ac:dyDescent="0.45">
      <c r="A62" s="31" t="s">
        <v>267</v>
      </c>
      <c r="B62" s="47">
        <f>'1월'!B62+'2월'!B62+'3월'!B62+'4월'!B62+'5월'!B62+'6월'!B62+'7월'!B62+'8월'!B62+'9월'!B62+'10월'!B62+'11월'!B62+'12월'!B62</f>
        <v>2896500000</v>
      </c>
      <c r="C62" s="47">
        <f>'1월'!C62+'2월'!C62+'3월'!C62+'4월'!C62+'5월'!C62+'6월'!C62+'7월'!C62+'8월'!C62+'9월'!C62+'10월'!C62+'11월'!C62+'12월'!C62</f>
        <v>163500000</v>
      </c>
      <c r="D62" s="47">
        <f>'1월'!D62+'2월'!D62+'3월'!D62+'4월'!D62+'5월'!D62+'6월'!D62+'7월'!D62+'8월'!D62+'9월'!D62+'10월'!D62+'11월'!D62+'12월'!D62</f>
        <v>63000000</v>
      </c>
      <c r="E62" s="47">
        <f>'1월'!E62+'2월'!E62+'3월'!E62+'4월'!E62+'5월'!E62+'6월'!E62+'7월'!E62+'8월'!E62+'9월'!E62+'10월'!E62+'11월'!E62+'12월'!E62</f>
        <v>2670000000</v>
      </c>
      <c r="F62" s="47">
        <f>'1월'!F62+'2월'!F62+'3월'!F62+'4월'!F62+'5월'!F62+'6월'!F62+'7월'!F62+'8월'!F62+'9월'!F62+'10월'!F62+'11월'!F62+'12월'!F62</f>
        <v>1620119519.0838969</v>
      </c>
      <c r="G62" s="47">
        <f>'1월'!H62+'2월'!G62+'3월'!G62+'4월'!G62+'5월'!G62+'6월'!G62+'7월'!G62+'8월'!G62+'9월'!G62+'10월'!G62+'11월'!G62+'12월'!G62</f>
        <v>514256246.87610912</v>
      </c>
      <c r="H62" s="47">
        <f>'1월'!J62+'2월'!H62+'3월'!H62+'4월'!H62+'5월'!H62+'6월'!H62+'7월'!H62+'8월'!H62+'9월'!H62+'10월'!H62+'11월'!H62+'12월'!H62</f>
        <v>196624234.03999403</v>
      </c>
      <c r="I62" s="47">
        <f>'1월'!K62+'2월'!I62+'3월'!I62+'4월'!I62+'5월'!I62+'6월'!I62+'7월'!I62+'8월'!I62+'9월'!I62+'10월'!I62+'11월'!I62+'12월'!I62</f>
        <v>21215131.700453125</v>
      </c>
      <c r="J62" s="47">
        <f>'1월'!L62+'2월'!J62+'3월'!J62+'4월'!J62+'5월'!J62+'6월'!J62+'7월'!J62+'8월'!J62+'9월'!J62+'10월'!J62+'11월'!J62+'12월'!J62</f>
        <v>18197664.319345456</v>
      </c>
      <c r="K62" s="47">
        <f>'1월'!M62+'2월'!K62+'3월'!K62+'4월'!K62+'5월'!K62+'6월'!K62+'7월'!K62+'8월'!K62+'9월'!K62+'10월'!K62+'11월'!K62+'12월'!K62</f>
        <v>87933522.648487255</v>
      </c>
      <c r="L62" s="47">
        <f>'1월'!N62+'2월'!L62+'3월'!L62+'4월'!L62+'5월'!L62+'6월'!L62+'7월'!L62+'8월'!L62+'9월'!L62+'10월'!L62+'11월'!L62+'12월'!L62</f>
        <v>186153681.33171415</v>
      </c>
      <c r="M62" s="47">
        <f>'1월'!O62+'2월'!M62+'3월'!M62+'4월'!M62+'5월'!M62+'6월'!M62+'7월'!M62+'8월'!M62+'9월'!M62+'10월'!M62+'11월'!M62+'12월'!M62</f>
        <v>25500000</v>
      </c>
      <c r="O62" s="47">
        <f>IFERROR(VLOOKUP($A62,[1]플랫폼1!$A:$B,2,FALSE),0)</f>
        <v>7500000</v>
      </c>
      <c r="P62" s="47">
        <f>IFERROR(VLOOKUP($A62,[1]플랫폼2!$A:$M,12,FALSE),0)+IFERROR(VLOOKUP($A62,[1]플랫폼2!$A:$M,13,FALSE),0)</f>
        <v>3750000</v>
      </c>
      <c r="Q62" s="47">
        <f>IFERROR(VLOOKUP($A62,[1]플랫폼2!$A:$M,7,FALSE),0)+IFERROR(VLOOKUP($A62,[1]플랫폼2!$A:$M,12,FALSE),0)</f>
        <v>3750000</v>
      </c>
      <c r="R62" s="47">
        <f>IFERROR(VLOOKUP($A62,[1]모바일!$A:$S,17,FALSE),0)</f>
        <v>500000</v>
      </c>
      <c r="S62" s="47">
        <f>IFERROR(VLOOKUP($A62,[1]모바일!$A:$S,18,FALSE),0)</f>
        <v>500000</v>
      </c>
      <c r="T62" s="198">
        <f>IFERROR(VLOOKUP(A62,[1]플랫폼2!$A:$O,15,0),0)</f>
        <v>9500000</v>
      </c>
      <c r="U62" s="83"/>
    </row>
    <row r="63" spans="1:21" s="1" customFormat="1" collapsed="1" x14ac:dyDescent="0.45">
      <c r="A63" s="28" t="s">
        <v>33</v>
      </c>
      <c r="B63" s="43">
        <f>'1월'!B63+'2월'!B63+'3월'!B63+'4월'!B63+'5월'!B63+'6월'!B63+'7월'!B63+'8월'!B63+'9월'!B63+'10월'!B63+'11월'!B63+'12월'!B63</f>
        <v>12174894660</v>
      </c>
      <c r="C63" s="43">
        <f>'1월'!C63+'2월'!C63+'3월'!C63+'4월'!C63+'5월'!C63+'6월'!C63+'7월'!C63+'8월'!C63+'9월'!C63+'10월'!C63+'11월'!C63+'12월'!C63</f>
        <v>1762077089.682524</v>
      </c>
      <c r="D63" s="43">
        <f>'1월'!D63+'2월'!D63+'3월'!D63+'4월'!D63+'5월'!D63+'6월'!D63+'7월'!D63+'8월'!D63+'9월'!D63+'10월'!D63+'11월'!D63+'12월'!D63</f>
        <v>591678160</v>
      </c>
      <c r="E63" s="43">
        <f>'1월'!E63+'2월'!E63+'3월'!E63+'4월'!E63+'5월'!E63+'6월'!E63+'7월'!E63+'8월'!E63+'9월'!E63+'10월'!E63+'11월'!E63+'12월'!E63</f>
        <v>9821139410.3174763</v>
      </c>
      <c r="F63" s="43">
        <f>'1월'!F63+'2월'!F63+'3월'!F63+'4월'!F63+'5월'!F63+'6월'!F63+'7월'!F63+'8월'!F63+'9월'!F63+'10월'!F63+'11월'!F63+'12월'!F63</f>
        <v>6122009870.4465857</v>
      </c>
      <c r="G63" s="43">
        <f>'1월'!H63+'2월'!G63+'3월'!G63+'4월'!G63+'5월'!G63+'6월'!G63+'7월'!G63+'8월'!G63+'9월'!G63+'10월'!G63+'11월'!G63+'12월'!G63</f>
        <v>1890371536.6871786</v>
      </c>
      <c r="H63" s="43">
        <f>'1월'!J63+'2월'!H63+'3월'!H63+'4월'!H63+'5월'!H63+'6월'!H63+'7월'!H63+'8월'!H63+'9월'!H63+'10월'!H63+'11월'!H63+'12월'!H63</f>
        <v>453730962.86623633</v>
      </c>
      <c r="I63" s="43">
        <f>'1월'!K63+'2월'!I63+'3월'!I63+'4월'!I63+'5월'!I63+'6월'!I63+'7월'!I63+'8월'!I63+'9월'!I63+'10월'!I63+'11월'!I63+'12월'!I63</f>
        <v>81300869.145696163</v>
      </c>
      <c r="J63" s="43">
        <f>'1월'!L63+'2월'!J63+'3월'!J63+'4월'!J63+'5월'!J63+'6월'!J63+'7월'!J63+'8월'!J63+'9월'!J63+'10월'!J63+'11월'!J63+'12월'!J63</f>
        <v>82675962.099532261</v>
      </c>
      <c r="K63" s="43">
        <f>'1월'!M63+'2월'!K63+'3월'!K63+'4월'!K63+'5월'!K63+'6월'!K63+'7월'!K63+'8월'!K63+'9월'!K63+'10월'!K63+'11월'!K63+'12월'!K63</f>
        <v>312986737.21433419</v>
      </c>
      <c r="L63" s="43">
        <f>'1월'!N63+'2월'!L63+'3월'!L63+'4월'!L63+'5월'!L63+'6월'!L63+'7월'!L63+'8월'!L63+'9월'!L63+'10월'!L63+'11월'!L63+'12월'!L63</f>
        <v>665608001.85791337</v>
      </c>
      <c r="M63" s="43">
        <f>'1월'!O63+'2월'!M63+'3월'!M63+'4월'!M63+'5월'!M63+'6월'!M63+'7월'!M63+'8월'!M63+'9월'!M63+'10월'!M63+'11월'!M63+'12월'!M63</f>
        <v>212455470</v>
      </c>
      <c r="O63" s="43">
        <f>IFERROR(VLOOKUP($A63,[1]플랫폼1!$A:$B,2,FALSE),0)</f>
        <v>52137050</v>
      </c>
      <c r="P63" s="43">
        <f>IFERROR(VLOOKUP($A63,[1]플랫폼2!$A:$M,12,FALSE),0)+IFERROR(VLOOKUP($A63,[1]플랫폼2!$A:$M,13,FALSE),0)</f>
        <v>46140320</v>
      </c>
      <c r="Q63" s="43">
        <f>IFERROR(VLOOKUP($A63,[1]플랫폼2!$A:$M,7,FALSE),0)+IFERROR(VLOOKUP($A63,[1]플랫폼2!$A:$M,12,FALSE),0)</f>
        <v>46140320</v>
      </c>
      <c r="R63" s="43">
        <f>IFERROR(VLOOKUP($A63,[1]모바일!$A:$S,17,FALSE),0)</f>
        <v>5399500</v>
      </c>
      <c r="S63" s="43">
        <f>IFERROR(VLOOKUP($A63,[1]모바일!$A:$S,18,FALSE),0)</f>
        <v>5399500</v>
      </c>
      <c r="T63" s="43">
        <f>IFERROR(VLOOKUP(A63,[1]플랫폼2!$A:$O,15,0),0)</f>
        <v>57238780</v>
      </c>
      <c r="U63" s="83"/>
    </row>
    <row r="64" spans="1:21" ht="16" hidden="1" customHeight="1" outlineLevel="1" x14ac:dyDescent="0.45">
      <c r="A64" s="29" t="s">
        <v>34</v>
      </c>
      <c r="B64" s="44">
        <f>'1월'!B64+'2월'!B64+'3월'!B64+'4월'!B64+'5월'!B64+'6월'!B64+'7월'!B64+'8월'!B64+'9월'!B64+'10월'!B64+'11월'!B64+'12월'!B64</f>
        <v>1556647500</v>
      </c>
      <c r="C64" s="44">
        <f>'1월'!C64+'2월'!C64+'3월'!C64+'4월'!C64+'5월'!C64+'6월'!C64+'7월'!C64+'8월'!C64+'9월'!C64+'10월'!C64+'11월'!C64+'12월'!C64</f>
        <v>498147125.88800621</v>
      </c>
      <c r="D64" s="44">
        <f>'1월'!D64+'2월'!D64+'3월'!D64+'4월'!D64+'5월'!D64+'6월'!D64+'7월'!D64+'8월'!D64+'9월'!D64+'10월'!D64+'11월'!D64+'12월'!D64</f>
        <v>135428910</v>
      </c>
      <c r="E64" s="44">
        <f>'1월'!E64+'2월'!E64+'3월'!E64+'4월'!E64+'5월'!E64+'6월'!E64+'7월'!E64+'8월'!E64+'9월'!E64+'10월'!E64+'11월'!E64+'12월'!E64</f>
        <v>923071464.11199379</v>
      </c>
      <c r="F64" s="44">
        <f>'1월'!F64+'2월'!F64+'3월'!F64+'4월'!F64+'5월'!F64+'6월'!F64+'7월'!F64+'8월'!F64+'9월'!F64+'10월'!F64+'11월'!F64+'12월'!F64</f>
        <v>451474541.67950225</v>
      </c>
      <c r="G64" s="44">
        <f>'1월'!H64+'2월'!G64+'3월'!G64+'4월'!G64+'5월'!G64+'6월'!G64+'7월'!G64+'8월'!G64+'9월'!G64+'10월'!G64+'11월'!G64+'12월'!G64</f>
        <v>198426505.45426139</v>
      </c>
      <c r="H64" s="44">
        <f>'1월'!J64+'2월'!H64+'3월'!H64+'4월'!H64+'5월'!H64+'6월'!H64+'7월'!H64+'8월'!H64+'9월'!H64+'10월'!H64+'11월'!H64+'12월'!H64</f>
        <v>52560602.866236344</v>
      </c>
      <c r="I64" s="44">
        <f>'1월'!K64+'2월'!I64+'3월'!I64+'4월'!I64+'5월'!I64+'6월'!I64+'7월'!I64+'8월'!I64+'9월'!I64+'10월'!I64+'11월'!I64+'12월'!I64</f>
        <v>17567498.034966428</v>
      </c>
      <c r="J64" s="44">
        <f>'1월'!L64+'2월'!J64+'3월'!J64+'4월'!J64+'5월'!J64+'6월'!J64+'7월'!J64+'8월'!J64+'9월'!J64+'10월'!J64+'11월'!J64+'12월'!J64</f>
        <v>14888429.951846853</v>
      </c>
      <c r="K64" s="44">
        <f>'1월'!M64+'2월'!K64+'3월'!K64+'4월'!K64+'5월'!K64+'6월'!K64+'7월'!K64+'8월'!K64+'9월'!K64+'10월'!K64+'11월'!K64+'12월'!K64</f>
        <v>34394373.099201292</v>
      </c>
      <c r="L64" s="44">
        <f>'1월'!N64+'2월'!L64+'3월'!L64+'4월'!L64+'5월'!L64+'6월'!L64+'7월'!L64+'8월'!L64+'9월'!L64+'10월'!L64+'11월'!L64+'12월'!L64</f>
        <v>67129903.025979146</v>
      </c>
      <c r="M64" s="44">
        <f>'1월'!O64+'2월'!M64+'3월'!M64+'4월'!M64+'5월'!M64+'6월'!M64+'7월'!M64+'8월'!M64+'9월'!M64+'10월'!M64+'11월'!M64+'12월'!M64</f>
        <v>86629610</v>
      </c>
      <c r="O64" s="44">
        <f>IFERROR(VLOOKUP($A64,[1]플랫폼1!$A:$B,2,FALSE),0)</f>
        <v>26381150</v>
      </c>
      <c r="P64" s="44">
        <f>IFERROR(VLOOKUP($A64,[1]플랫폼2!$A:$M,12,FALSE),0)+IFERROR(VLOOKUP($A64,[1]플랫폼2!$A:$M,13,FALSE),0)</f>
        <v>18333915</v>
      </c>
      <c r="Q64" s="44">
        <f>IFERROR(VLOOKUP($A64,[1]플랫폼2!$A:$M,7,FALSE),0)+IFERROR(VLOOKUP($A64,[1]플랫폼2!$A:$M,12,FALSE),0)</f>
        <v>18333915</v>
      </c>
      <c r="R64" s="44">
        <f>IFERROR(VLOOKUP($A64,[1]모바일!$A:$S,17,FALSE),0)</f>
        <v>1965052.5</v>
      </c>
      <c r="S64" s="44">
        <f>IFERROR(VLOOKUP($A64,[1]모바일!$A:$S,18,FALSE),0)</f>
        <v>1965052.5</v>
      </c>
      <c r="T64" s="43">
        <f>IFERROR(VLOOKUP(A64,[1]플랫폼2!$A:$O,15,0),0)</f>
        <v>19650525</v>
      </c>
      <c r="U64" s="83"/>
    </row>
    <row r="65" spans="1:21" ht="16" hidden="1" customHeight="1" outlineLevel="1" x14ac:dyDescent="0.45">
      <c r="A65" s="29" t="s">
        <v>179</v>
      </c>
      <c r="B65" s="44">
        <f>'1월'!B65+'2월'!B65+'3월'!B65+'4월'!B65+'5월'!B65+'6월'!B65+'7월'!B65+'8월'!B65+'9월'!B65+'10월'!B65+'11월'!B65+'12월'!B65</f>
        <v>1927637970</v>
      </c>
      <c r="C65" s="44">
        <f>'1월'!C65+'2월'!C65+'3월'!C65+'4월'!C65+'5월'!C65+'6월'!C65+'7월'!C65+'8월'!C65+'9월'!C65+'10월'!C65+'11월'!C65+'12월'!C65</f>
        <v>503722450</v>
      </c>
      <c r="D65" s="44">
        <f>'1월'!D65+'2월'!D65+'3월'!D65+'4월'!D65+'5월'!D65+'6월'!D65+'7월'!D65+'8월'!D65+'9월'!D65+'10월'!D65+'11월'!D65+'12월'!D65</f>
        <v>190069460</v>
      </c>
      <c r="E65" s="44">
        <f>'1월'!E65+'2월'!E65+'3월'!E65+'4월'!E65+'5월'!E65+'6월'!E65+'7월'!E65+'8월'!E65+'9월'!E65+'10월'!E65+'11월'!E65+'12월'!E65</f>
        <v>1233846060</v>
      </c>
      <c r="F65" s="44">
        <f>'1월'!F65+'2월'!F65+'3월'!F65+'4월'!F65+'5월'!F65+'6월'!F65+'7월'!F65+'8월'!F65+'9월'!F65+'10월'!F65+'11월'!F65+'12월'!F65</f>
        <v>569649294.29961324</v>
      </c>
      <c r="G65" s="44">
        <f>'1월'!H65+'2월'!G65+'3월'!G65+'4월'!G65+'5월'!G65+'6월'!G65+'7월'!G65+'8월'!G65+'9월'!G65+'10월'!G65+'11월'!G65+'12월'!G65</f>
        <v>253518055.70038685</v>
      </c>
      <c r="H65" s="44">
        <f>'1월'!J65+'2월'!H65+'3월'!H65+'4월'!H65+'5월'!H65+'6월'!H65+'7월'!H65+'8월'!H65+'9월'!H65+'10월'!H65+'11월'!H65+'12월'!H65</f>
        <v>46811290</v>
      </c>
      <c r="I65" s="44">
        <f>'1월'!K65+'2월'!I65+'3월'!I65+'4월'!I65+'5월'!I65+'6월'!I65+'7월'!I65+'8월'!I65+'9월'!I65+'10월'!I65+'11월'!I65+'12월'!I65</f>
        <v>23778021.852646627</v>
      </c>
      <c r="J65" s="44">
        <f>'1월'!L65+'2월'!J65+'3월'!J65+'4월'!J65+'5월'!J65+'6월'!J65+'7월'!J65+'8월'!J65+'9월'!J65+'10월'!J65+'11월'!J65+'12월'!J65</f>
        <v>23664991.075648915</v>
      </c>
      <c r="K65" s="44">
        <f>'1월'!M65+'2월'!K65+'3월'!K65+'4월'!K65+'5월'!K65+'6월'!K65+'7월'!K65+'8월'!K65+'9월'!K65+'10월'!K65+'11월'!K65+'12월'!K65</f>
        <v>49360499.793639392</v>
      </c>
      <c r="L65" s="44">
        <f>'1월'!N65+'2월'!L65+'3월'!L65+'4월'!L65+'5월'!L65+'6월'!L65+'7월'!L65+'8월'!L65+'9월'!L65+'10월'!L65+'11월'!L65+'12월'!L65</f>
        <v>157854547.27806509</v>
      </c>
      <c r="M65" s="44">
        <f>'1월'!O65+'2월'!M65+'3월'!M65+'4월'!M65+'5월'!M65+'6월'!M65+'7월'!M65+'8월'!M65+'9월'!M65+'10월'!M65+'11월'!M65+'12월'!M65</f>
        <v>109209360</v>
      </c>
      <c r="O65" s="44">
        <f>IFERROR(VLOOKUP($A65,[1]플랫폼1!$A:$B,2,FALSE),0)</f>
        <v>23955900</v>
      </c>
      <c r="P65" s="44">
        <f>IFERROR(VLOOKUP($A65,[1]플랫폼2!$A:$M,12,FALSE),0)+IFERROR(VLOOKUP($A65,[1]플랫폼2!$A:$M,13,FALSE),0)</f>
        <v>25221680</v>
      </c>
      <c r="Q65" s="44">
        <f>IFERROR(VLOOKUP($A65,[1]플랫폼2!$A:$M,7,FALSE),0)+IFERROR(VLOOKUP($A65,[1]플랫폼2!$A:$M,12,FALSE),0)</f>
        <v>25221680</v>
      </c>
      <c r="R65" s="44">
        <f>IFERROR(VLOOKUP($A65,[1]모바일!$A:$S,17,FALSE),0)</f>
        <v>2900841.6666666665</v>
      </c>
      <c r="S65" s="44">
        <f>IFERROR(VLOOKUP($A65,[1]모바일!$A:$S,18,FALSE),0)</f>
        <v>2900841.6666666665</v>
      </c>
      <c r="T65" s="43">
        <f>IFERROR(VLOOKUP(A65,[1]플랫폼2!$A:$O,15,0),0)</f>
        <v>29008416.666666664</v>
      </c>
      <c r="U65" s="83"/>
    </row>
    <row r="66" spans="1:21" hidden="1" outlineLevel="1" x14ac:dyDescent="0.45">
      <c r="A66" s="29" t="s">
        <v>180</v>
      </c>
      <c r="B66" s="44">
        <f>'1월'!B66+'2월'!B66+'3월'!B66+'4월'!B66+'5월'!B66+'6월'!B66+'7월'!B66+'8월'!B66+'9월'!B66+'10월'!B66+'11월'!B66+'12월'!B66</f>
        <v>1039653560</v>
      </c>
      <c r="C66" s="44">
        <f>'1월'!C66+'2월'!C66+'3월'!C66+'4월'!C66+'5월'!C66+'6월'!C66+'7월'!C66+'8월'!C66+'9월'!C66+'10월'!C66+'11월'!C66+'12월'!C66</f>
        <v>357496000</v>
      </c>
      <c r="D66" s="44">
        <f>'1월'!D66+'2월'!D66+'3월'!D66+'4월'!D66+'5월'!D66+'6월'!D66+'7월'!D66+'8월'!D66+'9월'!D66+'10월'!D66+'11월'!D66+'12월'!D66</f>
        <v>171853160</v>
      </c>
      <c r="E66" s="44">
        <f>'1월'!E66+'2월'!E66+'3월'!E66+'4월'!E66+'5월'!E66+'6월'!E66+'7월'!E66+'8월'!E66+'9월'!E66+'10월'!E66+'11월'!E66+'12월'!E66</f>
        <v>510304400</v>
      </c>
      <c r="F66" s="44">
        <f>'1월'!F66+'2월'!F66+'3월'!F66+'4월'!F66+'5월'!F66+'6월'!F66+'7월'!F66+'8월'!F66+'9월'!F66+'10월'!F66+'11월'!F66+'12월'!F66</f>
        <v>446091294.09426194</v>
      </c>
      <c r="G66" s="44">
        <f>'1월'!H66+'2월'!G66+'3월'!G66+'4월'!G66+'5월'!G66+'6월'!G66+'7월'!G66+'8월'!G66+'9월'!G66+'10월'!G66+'11월'!G66+'12월'!G66</f>
        <v>64213105.905738078</v>
      </c>
      <c r="H66" s="44">
        <f>'1월'!J66+'2월'!H66+'3월'!H66+'4월'!H66+'5월'!H66+'6월'!H66+'7월'!H66+'8월'!H66+'9월'!H66+'10월'!H66+'11월'!H66+'12월'!H66</f>
        <v>0</v>
      </c>
      <c r="I66" s="44">
        <f>'1월'!K66+'2월'!I66+'3월'!I66+'4월'!I66+'5월'!I66+'6월'!I66+'7월'!I66+'8월'!I66+'9월'!I66+'10월'!I66+'11월'!I66+'12월'!I66</f>
        <v>0</v>
      </c>
      <c r="J66" s="44">
        <f>'1월'!L66+'2월'!J66+'3월'!J66+'4월'!J66+'5월'!J66+'6월'!J66+'7월'!J66+'8월'!J66+'9월'!J66+'10월'!J66+'11월'!J66+'12월'!J66</f>
        <v>0</v>
      </c>
      <c r="K66" s="44">
        <f>'1월'!M66+'2월'!K66+'3월'!K66+'4월'!K66+'5월'!K66+'6월'!K66+'7월'!K66+'8월'!K66+'9월'!K66+'10월'!K66+'11월'!K66+'12월'!K66</f>
        <v>0</v>
      </c>
      <c r="L66" s="44">
        <f>'1월'!N66+'2월'!L66+'3월'!L66+'4월'!L66+'5월'!L66+'6월'!L66+'7월'!L66+'8월'!L66+'9월'!L66+'10월'!L66+'11월'!L66+'12월'!L66</f>
        <v>0</v>
      </c>
      <c r="M66" s="44">
        <f>'1월'!O66+'2월'!M66+'3월'!M66+'4월'!M66+'5월'!M66+'6월'!M66+'7월'!M66+'8월'!M66+'9월'!M66+'10월'!M66+'11월'!M66+'12월'!M66</f>
        <v>0</v>
      </c>
      <c r="O66" s="44">
        <f>IFERROR(VLOOKUP($A66,[1]플랫폼1!$A:$B,2,FALSE),0)</f>
        <v>0</v>
      </c>
      <c r="P66" s="44">
        <f>IFERROR(VLOOKUP($A66,[1]플랫폼2!$A:$M,12,FALSE),0)+IFERROR(VLOOKUP($A66,[1]플랫폼2!$A:$M,13,FALSE),0)</f>
        <v>0</v>
      </c>
      <c r="Q66" s="44">
        <f>IFERROR(VLOOKUP($A66,[1]플랫폼2!$A:$M,7,FALSE),0)+IFERROR(VLOOKUP($A66,[1]플랫폼2!$A:$M,12,FALSE),0)</f>
        <v>0</v>
      </c>
      <c r="R66" s="44">
        <f>IFERROR(VLOOKUP($A66,[1]모바일!$A:$S,17,FALSE),0)</f>
        <v>0</v>
      </c>
      <c r="S66" s="44">
        <f>IFERROR(VLOOKUP($A66,[1]모바일!$A:$S,18,FALSE),0)</f>
        <v>0</v>
      </c>
      <c r="T66" s="43">
        <f>IFERROR(VLOOKUP(A66,[1]플랫폼2!$A:$O,15,0),0)</f>
        <v>0</v>
      </c>
      <c r="U66" s="83"/>
    </row>
    <row r="67" spans="1:21" hidden="1" outlineLevel="1" x14ac:dyDescent="0.45">
      <c r="A67" s="29" t="s">
        <v>131</v>
      </c>
      <c r="B67" s="44">
        <f>'1월'!B67+'2월'!B67+'3월'!B67+'4월'!B67+'5월'!B67+'6월'!B67+'7월'!B67+'8월'!B67+'9월'!B67+'10월'!B67+'11월'!B67+'12월'!B67</f>
        <v>374436180</v>
      </c>
      <c r="C67" s="44">
        <f>'1월'!C67+'2월'!C67+'3월'!C67+'4월'!C67+'5월'!C67+'6월'!C67+'7월'!C67+'8월'!C67+'9월'!C67+'10월'!C67+'11월'!C67+'12월'!C67</f>
        <v>19830663.794517733</v>
      </c>
      <c r="D67" s="44">
        <f>'1월'!D67+'2월'!D67+'3월'!D67+'4월'!D67+'5월'!D67+'6월'!D67+'7월'!D67+'8월'!D67+'9월'!D67+'10월'!D67+'11월'!D67+'12월'!D67</f>
        <v>0</v>
      </c>
      <c r="E67" s="44">
        <f>'1월'!E67+'2월'!E67+'3월'!E67+'4월'!E67+'5월'!E67+'6월'!E67+'7월'!E67+'8월'!E67+'9월'!E67+'10월'!E67+'11월'!E67+'12월'!E67</f>
        <v>354605516.20548224</v>
      </c>
      <c r="F67" s="44">
        <f>'1월'!F67+'2월'!F67+'3월'!F67+'4월'!F67+'5월'!F67+'6월'!F67+'7월'!F67+'8월'!F67+'9월'!F67+'10월'!F67+'11월'!F67+'12월'!F67</f>
        <v>14520970</v>
      </c>
      <c r="G67" s="44">
        <f>'1월'!H67+'2월'!G67+'3월'!G67+'4월'!G67+'5월'!G67+'6월'!G67+'7월'!G67+'8월'!G67+'9월'!G67+'10월'!G67+'11월'!G67+'12월'!G67</f>
        <v>0</v>
      </c>
      <c r="H67" s="44">
        <f>'1월'!J67+'2월'!H67+'3월'!H67+'4월'!H67+'5월'!H67+'6월'!H67+'7월'!H67+'8월'!H67+'9월'!H67+'10월'!H67+'11월'!H67+'12월'!H67</f>
        <v>326757980</v>
      </c>
      <c r="I67" s="44">
        <f>'1월'!K67+'2월'!I67+'3월'!I67+'4월'!I67+'5월'!I67+'6월'!I67+'7월'!I67+'8월'!I67+'9월'!I67+'10월'!I67+'11월'!I67+'12월'!I67</f>
        <v>776997.25808310974</v>
      </c>
      <c r="J67" s="44">
        <f>'1월'!L67+'2월'!J67+'3월'!J67+'4월'!J67+'5월'!J67+'6월'!J67+'7월'!J67+'8월'!J67+'9월'!J67+'10월'!J67+'11월'!J67+'12월'!J67</f>
        <v>761123.07203648495</v>
      </c>
      <c r="K67" s="44">
        <f>'1월'!M67+'2월'!K67+'3월'!K67+'4월'!K67+'5월'!K67+'6월'!K67+'7월'!K67+'8월'!K67+'9월'!K67+'10월'!K67+'11월'!K67+'12월'!K67</f>
        <v>11547014.321493525</v>
      </c>
      <c r="L67" s="44">
        <f>'1월'!N67+'2월'!L67+'3월'!L67+'4월'!L67+'5월'!L67+'6월'!L67+'7월'!L67+'8월'!L67+'9월'!L67+'10월'!L67+'11월'!L67+'12월'!L67</f>
        <v>241431.55386914726</v>
      </c>
      <c r="M67" s="44">
        <f>'1월'!O67+'2월'!M67+'3월'!M67+'4월'!M67+'5월'!M67+'6월'!M67+'7월'!M67+'8월'!M67+'9월'!M67+'10월'!M67+'11월'!M67+'12월'!M67</f>
        <v>0</v>
      </c>
      <c r="O67" s="44">
        <f>IFERROR(VLOOKUP($A67,[1]플랫폼1!$A:$B,2,FALSE),0)</f>
        <v>0</v>
      </c>
      <c r="P67" s="44">
        <f>IFERROR(VLOOKUP($A67,[1]플랫폼2!$A:$M,12,FALSE),0)+IFERROR(VLOOKUP($A67,[1]플랫폼2!$A:$M,13,FALSE),0)</f>
        <v>0</v>
      </c>
      <c r="Q67" s="44">
        <f>IFERROR(VLOOKUP($A67,[1]플랫폼2!$A:$M,7,FALSE),0)+IFERROR(VLOOKUP($A67,[1]플랫폼2!$A:$M,12,FALSE),0)</f>
        <v>0</v>
      </c>
      <c r="R67" s="44">
        <f>IFERROR(VLOOKUP($A67,[1]모바일!$A:$S,17,FALSE),0)</f>
        <v>0</v>
      </c>
      <c r="S67" s="44">
        <f>IFERROR(VLOOKUP($A67,[1]모바일!$A:$S,18,FALSE),0)</f>
        <v>0</v>
      </c>
      <c r="T67" s="43">
        <f>IFERROR(VLOOKUP(A67,[1]플랫폼2!$A:$O,15,0),0)</f>
        <v>0</v>
      </c>
      <c r="U67" s="83"/>
    </row>
    <row r="68" spans="1:21" hidden="1" outlineLevel="1" x14ac:dyDescent="0.45">
      <c r="A68" s="29" t="s">
        <v>35</v>
      </c>
      <c r="B68" s="44">
        <f>'1월'!B68+'2월'!B68+'3월'!B68+'4월'!B68+'5월'!B68+'6월'!B68+'7월'!B68+'8월'!B68+'9월'!B68+'10월'!B68+'11월'!B68+'12월'!B68</f>
        <v>7202519430</v>
      </c>
      <c r="C68" s="44">
        <f>'1월'!C68+'2월'!C68+'3월'!C68+'4월'!C68+'5월'!C68+'6월'!C68+'7월'!C68+'8월'!C68+'9월'!C68+'10월'!C68+'11월'!C68+'12월'!C68</f>
        <v>382880850</v>
      </c>
      <c r="D68" s="44">
        <f>'1월'!D68+'2월'!D68+'3월'!D68+'4월'!D68+'5월'!D68+'6월'!D68+'7월'!D68+'8월'!D68+'9월'!D68+'10월'!D68+'11월'!D68+'12월'!D68</f>
        <v>94326630</v>
      </c>
      <c r="E68" s="44">
        <f>'1월'!E68+'2월'!E68+'3월'!E68+'4월'!E68+'5월'!E68+'6월'!E68+'7월'!E68+'8월'!E68+'9월'!E68+'10월'!E68+'11월'!E68+'12월'!E68</f>
        <v>6725311950</v>
      </c>
      <c r="F68" s="44">
        <f>'1월'!F68+'2월'!F68+'3월'!F68+'4월'!F68+'5월'!F68+'6월'!F68+'7월'!F68+'8월'!F68+'9월'!F68+'10월'!F68+'11월'!F68+'12월'!F68</f>
        <v>4640273770.373208</v>
      </c>
      <c r="G68" s="44">
        <f>'1월'!H68+'2월'!G68+'3월'!G68+'4월'!G68+'5월'!G68+'6월'!G68+'7월'!G68+'8월'!G68+'9월'!G68+'10월'!G68+'11월'!G68+'12월'!G68</f>
        <v>1374213869.6267922</v>
      </c>
      <c r="H68" s="44">
        <f>'1월'!J68+'2월'!H68+'3월'!H68+'4월'!H68+'5월'!H68+'6월'!H68+'7월'!H68+'8월'!H68+'9월'!H68+'10월'!H68+'11월'!H68+'12월'!H68</f>
        <v>27601090</v>
      </c>
      <c r="I68" s="44">
        <f>'1월'!K68+'2월'!I68+'3월'!I68+'4월'!I68+'5월'!I68+'6월'!I68+'7월'!I68+'8월'!I68+'9월'!I68+'10월'!I68+'11월'!I68+'12월'!I68</f>
        <v>39178352</v>
      </c>
      <c r="J68" s="44">
        <f>'1월'!L68+'2월'!J68+'3월'!J68+'4월'!J68+'5월'!J68+'6월'!J68+'7월'!J68+'8월'!J68+'9월'!J68+'10월'!J68+'11월'!J68+'12월'!J68</f>
        <v>43361418</v>
      </c>
      <c r="K68" s="44">
        <f>'1월'!M68+'2월'!K68+'3월'!K68+'4월'!K68+'5월'!K68+'6월'!K68+'7월'!K68+'8월'!K68+'9월'!K68+'10월'!K68+'11월'!K68+'12월'!K68</f>
        <v>217684850</v>
      </c>
      <c r="L68" s="44">
        <f>'1월'!N68+'2월'!L68+'3월'!L68+'4월'!L68+'5월'!L68+'6월'!L68+'7월'!L68+'8월'!L68+'9월'!L68+'10월'!L68+'11월'!L68+'12월'!L68</f>
        <v>366382100</v>
      </c>
      <c r="M68" s="44">
        <f>'1월'!O68+'2월'!M68+'3월'!M68+'4월'!M68+'5월'!M68+'6월'!M68+'7월'!M68+'8월'!M68+'9월'!M68+'10월'!M68+'11월'!M68+'12월'!M68</f>
        <v>16616500</v>
      </c>
      <c r="O68" s="44">
        <f>IFERROR(VLOOKUP($A68,[1]플랫폼1!$A:$B,2,FALSE),0)</f>
        <v>1800000</v>
      </c>
      <c r="P68" s="44">
        <f>IFERROR(VLOOKUP($A68,[1]플랫폼2!$A:$M,12,FALSE),0)+IFERROR(VLOOKUP($A68,[1]플랫폼2!$A:$M,13,FALSE),0)</f>
        <v>2584725</v>
      </c>
      <c r="Q68" s="44">
        <f>IFERROR(VLOOKUP($A68,[1]플랫폼2!$A:$M,7,FALSE),0)+IFERROR(VLOOKUP($A68,[1]플랫폼2!$A:$M,12,FALSE),0)</f>
        <v>2584725</v>
      </c>
      <c r="R68" s="44">
        <f>IFERROR(VLOOKUP($A68,[1]모바일!$A:$S,17,FALSE),0)</f>
        <v>533605.83333333337</v>
      </c>
      <c r="S68" s="44">
        <f>IFERROR(VLOOKUP($A68,[1]모바일!$A:$S,18,FALSE),0)</f>
        <v>533605.83333333337</v>
      </c>
      <c r="T68" s="43">
        <f>IFERROR(VLOOKUP(A68,[1]플랫폼2!$A:$O,15,0),0)</f>
        <v>8579838.333333334</v>
      </c>
      <c r="U68" s="83"/>
    </row>
    <row r="69" spans="1:21" hidden="1" outlineLevel="1" x14ac:dyDescent="0.45">
      <c r="A69" s="29" t="s">
        <v>132</v>
      </c>
      <c r="B69" s="44">
        <f>'1월'!B69+'2월'!B69+'3월'!B69+'4월'!B69+'5월'!B69+'6월'!B69+'7월'!B69+'8월'!B69+'9월'!B69+'10월'!B69+'11월'!B69+'12월'!B69</f>
        <v>74000020</v>
      </c>
      <c r="C69" s="44">
        <f>'1월'!C69+'2월'!C69+'3월'!C69+'4월'!C69+'5월'!C69+'6월'!C69+'7월'!C69+'8월'!C69+'9월'!C69+'10월'!C69+'11월'!C69+'12월'!C69</f>
        <v>0</v>
      </c>
      <c r="D69" s="44">
        <f>'1월'!D69+'2월'!D69+'3월'!D69+'4월'!D69+'5월'!D69+'6월'!D69+'7월'!D69+'8월'!D69+'9월'!D69+'10월'!D69+'11월'!D69+'12월'!D69</f>
        <v>0</v>
      </c>
      <c r="E69" s="44">
        <f>'1월'!E69+'2월'!E69+'3월'!E69+'4월'!E69+'5월'!E69+'6월'!E69+'7월'!E69+'8월'!E69+'9월'!E69+'10월'!E69+'11월'!E69+'12월'!E69</f>
        <v>74000020</v>
      </c>
      <c r="F69" s="44">
        <f>'1월'!F69+'2월'!F69+'3월'!F69+'4월'!F69+'5월'!F69+'6월'!F69+'7월'!F69+'8월'!F69+'9월'!F69+'10월'!F69+'11월'!F69+'12월'!F69</f>
        <v>0</v>
      </c>
      <c r="G69" s="44">
        <f>'1월'!H69+'2월'!G69+'3월'!G69+'4월'!G69+'5월'!G69+'6월'!G69+'7월'!G69+'8월'!G69+'9월'!G69+'10월'!G69+'11월'!G69+'12월'!G69</f>
        <v>0</v>
      </c>
      <c r="H69" s="44">
        <f>'1월'!J69+'2월'!H69+'3월'!H69+'4월'!H69+'5월'!H69+'6월'!H69+'7월'!H69+'8월'!H69+'9월'!H69+'10월'!H69+'11월'!H69+'12월'!H69</f>
        <v>0</v>
      </c>
      <c r="I69" s="44">
        <f>'1월'!K69+'2월'!I69+'3월'!I69+'4월'!I69+'5월'!I69+'6월'!I69+'7월'!I69+'8월'!I69+'9월'!I69+'10월'!I69+'11월'!I69+'12월'!I69</f>
        <v>0</v>
      </c>
      <c r="J69" s="44">
        <f>'1월'!L69+'2월'!J69+'3월'!J69+'4월'!J69+'5월'!J69+'6월'!J69+'7월'!J69+'8월'!J69+'9월'!J69+'10월'!J69+'11월'!J69+'12월'!J69</f>
        <v>0</v>
      </c>
      <c r="K69" s="44">
        <f>'1월'!M69+'2월'!K69+'3월'!K69+'4월'!K69+'5월'!K69+'6월'!K69+'7월'!K69+'8월'!K69+'9월'!K69+'10월'!K69+'11월'!K69+'12월'!K69</f>
        <v>0</v>
      </c>
      <c r="L69" s="44">
        <f>'1월'!N69+'2월'!L69+'3월'!L69+'4월'!L69+'5월'!L69+'6월'!L69+'7월'!L69+'8월'!L69+'9월'!L69+'10월'!L69+'11월'!L69+'12월'!L69</f>
        <v>74000020</v>
      </c>
      <c r="M69" s="44">
        <f>'1월'!O69+'2월'!M69+'3월'!M69+'4월'!M69+'5월'!M69+'6월'!M69+'7월'!M69+'8월'!M69+'9월'!M69+'10월'!M69+'11월'!M69+'12월'!M69</f>
        <v>0</v>
      </c>
      <c r="O69" s="44">
        <f>IFERROR(VLOOKUP($A69,[1]플랫폼1!$A:$B,2,FALSE),0)</f>
        <v>0</v>
      </c>
      <c r="P69" s="44">
        <f>IFERROR(VLOOKUP($A69,[1]플랫폼2!$A:$M,12,FALSE),0)+IFERROR(VLOOKUP($A69,[1]플랫폼2!$A:$M,13,FALSE),0)</f>
        <v>0</v>
      </c>
      <c r="Q69" s="44">
        <f>IFERROR(VLOOKUP($A69,[1]플랫폼2!$A:$M,7,FALSE),0)+IFERROR(VLOOKUP($A69,[1]플랫폼2!$A:$M,12,FALSE),0)</f>
        <v>0</v>
      </c>
      <c r="R69" s="44">
        <f>IFERROR(VLOOKUP($A69,[1]모바일!$A:$S,17,FALSE),0)</f>
        <v>0</v>
      </c>
      <c r="S69" s="44">
        <f>IFERROR(VLOOKUP($A69,[1]모바일!$A:$S,18,FALSE),0)</f>
        <v>0</v>
      </c>
      <c r="T69" s="43">
        <f>IFERROR(VLOOKUP(A69,[1]플랫폼2!$A:$O,15,0),0)</f>
        <v>0</v>
      </c>
      <c r="U69" s="83"/>
    </row>
    <row r="70" spans="1:21" s="1" customFormat="1" collapsed="1" x14ac:dyDescent="0.45">
      <c r="A70" s="28" t="s">
        <v>133</v>
      </c>
      <c r="B70" s="43">
        <f>'1월'!B70+'2월'!B70+'3월'!B70+'4월'!B70+'5월'!B70+'6월'!B70+'7월'!B70+'8월'!B70+'9월'!B70+'10월'!B70+'11월'!B70+'12월'!B70</f>
        <v>43501620</v>
      </c>
      <c r="C70" s="43">
        <f>'1월'!C70+'2월'!C70+'3월'!C70+'4월'!C70+'5월'!C70+'6월'!C70+'7월'!C70+'8월'!C70+'9월'!C70+'10월'!C70+'11월'!C70+'12월'!C70</f>
        <v>4803680</v>
      </c>
      <c r="D70" s="43">
        <f>'1월'!D70+'2월'!D70+'3월'!D70+'4월'!D70+'5월'!D70+'6월'!D70+'7월'!D70+'8월'!D70+'9월'!D70+'10월'!D70+'11월'!D70+'12월'!D70</f>
        <v>0</v>
      </c>
      <c r="E70" s="43">
        <f>'1월'!E70+'2월'!E70+'3월'!E70+'4월'!E70+'5월'!E70+'6월'!E70+'7월'!E70+'8월'!E70+'9월'!E70+'10월'!E70+'11월'!E70+'12월'!E70</f>
        <v>38697940</v>
      </c>
      <c r="F70" s="43">
        <f>'1월'!F70+'2월'!F70+'3월'!F70+'4월'!F70+'5월'!F70+'6월'!F70+'7월'!F70+'8월'!F70+'9월'!F70+'10월'!F70+'11월'!F70+'12월'!F70</f>
        <v>0</v>
      </c>
      <c r="G70" s="43">
        <f>'1월'!H70+'2월'!G70+'3월'!G70+'4월'!G70+'5월'!G70+'6월'!G70+'7월'!G70+'8월'!G70+'9월'!G70+'10월'!G70+'11월'!G70+'12월'!G70</f>
        <v>0</v>
      </c>
      <c r="H70" s="43">
        <f>'1월'!J70+'2월'!H70+'3월'!H70+'4월'!H70+'5월'!H70+'6월'!H70+'7월'!H70+'8월'!H70+'9월'!H70+'10월'!H70+'11월'!H70+'12월'!H70</f>
        <v>0</v>
      </c>
      <c r="I70" s="43">
        <f>'1월'!K70+'2월'!I70+'3월'!I70+'4월'!I70+'5월'!I70+'6월'!I70+'7월'!I70+'8월'!I70+'9월'!I70+'10월'!I70+'11월'!I70+'12월'!I70</f>
        <v>8613504</v>
      </c>
      <c r="J70" s="43">
        <f>'1월'!L70+'2월'!J70+'3월'!J70+'4월'!J70+'5월'!J70+'6월'!J70+'7월'!J70+'8월'!J70+'9월'!J70+'10월'!J70+'11월'!J70+'12월'!J70</f>
        <v>10786696</v>
      </c>
      <c r="K70" s="43">
        <f>'1월'!M70+'2월'!K70+'3월'!K70+'4월'!K70+'5월'!K70+'6월'!K70+'7월'!K70+'8월'!K70+'9월'!K70+'10월'!K70+'11월'!K70+'12월'!K70</f>
        <v>18527740</v>
      </c>
      <c r="L70" s="43">
        <f>'1월'!N70+'2월'!L70+'3월'!L70+'4월'!L70+'5월'!L70+'6월'!L70+'7월'!L70+'8월'!L70+'9월'!L70+'10월'!L70+'11월'!L70+'12월'!L70</f>
        <v>0</v>
      </c>
      <c r="M70" s="43">
        <f>'1월'!O70+'2월'!M70+'3월'!M70+'4월'!M70+'5월'!M70+'6월'!M70+'7월'!M70+'8월'!M70+'9월'!M70+'10월'!M70+'11월'!M70+'12월'!M70</f>
        <v>770000</v>
      </c>
      <c r="O70" s="43">
        <f>IFERROR(VLOOKUP($A70,[1]플랫폼1!$A:$B,2,FALSE),0)</f>
        <v>0</v>
      </c>
      <c r="P70" s="43">
        <f>IFERROR(VLOOKUP($A70,[1]플랫폼2!$A:$M,12,FALSE),0)+IFERROR(VLOOKUP($A70,[1]플랫폼2!$A:$M,13,FALSE),0)</f>
        <v>0</v>
      </c>
      <c r="Q70" s="43">
        <f>IFERROR(VLOOKUP($A70,[1]플랫폼2!$A:$M,7,FALSE),0)+IFERROR(VLOOKUP($A70,[1]플랫폼2!$A:$M,12,FALSE),0)</f>
        <v>0</v>
      </c>
      <c r="R70" s="43">
        <f>IFERROR(VLOOKUP($A70,[1]모바일!$A:$S,17,FALSE),0)</f>
        <v>0</v>
      </c>
      <c r="S70" s="43">
        <f>IFERROR(VLOOKUP($A70,[1]모바일!$A:$S,18,FALSE),0)</f>
        <v>0</v>
      </c>
      <c r="T70" s="43">
        <v>770000</v>
      </c>
      <c r="U70" s="83"/>
    </row>
    <row r="71" spans="1:21" s="1" customFormat="1" x14ac:dyDescent="0.45">
      <c r="A71" s="28" t="s">
        <v>36</v>
      </c>
      <c r="B71" s="43">
        <f>'1월'!B71+'2월'!B71+'3월'!B71+'4월'!B71+'5월'!B71+'6월'!B71+'7월'!B71+'8월'!B71+'9월'!B71+'10월'!B71+'11월'!B71+'12월'!B71</f>
        <v>10263998378</v>
      </c>
      <c r="C71" s="43">
        <f>'1월'!C71+'2월'!C71+'3월'!C71+'4월'!C71+'5월'!C71+'6월'!C71+'7월'!C71+'8월'!C71+'9월'!C71+'10월'!C71+'11월'!C71+'12월'!C71</f>
        <v>1039292637.4742413</v>
      </c>
      <c r="D71" s="43">
        <f>'1월'!D71+'2월'!D71+'3월'!D71+'4월'!D71+'5월'!D71+'6월'!D71+'7월'!D71+'8월'!D71+'9월'!D71+'10월'!D71+'11월'!D71+'12월'!D71</f>
        <v>230979789</v>
      </c>
      <c r="E71" s="43">
        <f>'1월'!E71+'2월'!E71+'3월'!E71+'4월'!E71+'5월'!E71+'6월'!E71+'7월'!E71+'8월'!E71+'9월'!E71+'10월'!E71+'11월'!E71+'12월'!E71</f>
        <v>8993725951.5257587</v>
      </c>
      <c r="F71" s="43">
        <f>'1월'!F71+'2월'!F71+'3월'!F71+'4월'!F71+'5월'!F71+'6월'!F71+'7월'!F71+'8월'!F71+'9월'!F71+'10월'!F71+'11월'!F71+'12월'!F71</f>
        <v>5645363262.5971956</v>
      </c>
      <c r="G71" s="43">
        <f>'1월'!H71+'2월'!G71+'3월'!G71+'4월'!G71+'5월'!G71+'6월'!G71+'7월'!G71+'8월'!G71+'9월'!G71+'10월'!G71+'11월'!G71+'12월'!G71</f>
        <v>1690075611.700671</v>
      </c>
      <c r="H71" s="43">
        <f>'1월'!J71+'2월'!H71+'3월'!H71+'4월'!H71+'5월'!H71+'6월'!H71+'7월'!H71+'8월'!H71+'9월'!H71+'10월'!H71+'11월'!H71+'12월'!H71</f>
        <v>464777924.70213264</v>
      </c>
      <c r="I71" s="43">
        <f>'1월'!K71+'2월'!I71+'3월'!I71+'4월'!I71+'5월'!I71+'6월'!I71+'7월'!I71+'8월'!I71+'9월'!I71+'10월'!I71+'11월'!I71+'12월'!I71</f>
        <v>69484378.494213134</v>
      </c>
      <c r="J71" s="43">
        <f>'1월'!L71+'2월'!J71+'3월'!J71+'4월'!J71+'5월'!J71+'6월'!J71+'7월'!J71+'8월'!J71+'9월'!J71+'10월'!J71+'11월'!J71+'12월'!J71</f>
        <v>69365481.55812642</v>
      </c>
      <c r="K71" s="43">
        <f>'1월'!M71+'2월'!K71+'3월'!K71+'4월'!K71+'5월'!K71+'6월'!K71+'7월'!K71+'8월'!K71+'9월'!K71+'10월'!K71+'11월'!K71+'12월'!K71</f>
        <v>308664352.39399087</v>
      </c>
      <c r="L71" s="43">
        <f>'1월'!N71+'2월'!L71+'3월'!L71+'4월'!L71+'5월'!L71+'6월'!L71+'7월'!L71+'8월'!L71+'9월'!L71+'10월'!L71+'11월'!L71+'12월'!L71</f>
        <v>649639758.07942843</v>
      </c>
      <c r="M71" s="43">
        <f>'1월'!O71+'2월'!M71+'3월'!M71+'4월'!M71+'5월'!M71+'6월'!M71+'7월'!M71+'8월'!M71+'9월'!M71+'10월'!M71+'11월'!M71+'12월'!M71</f>
        <v>96355182</v>
      </c>
      <c r="O71" s="43">
        <f>IFERROR(VLOOKUP($A71,[1]플랫폼1!$A:$B,2,FALSE),0)</f>
        <v>20989541</v>
      </c>
      <c r="P71" s="43">
        <f>IFERROR(VLOOKUP($A71,[1]플랫폼2!$A:$M,12,FALSE),0)+IFERROR(VLOOKUP($A71,[1]플랫폼2!$A:$M,13,FALSE),0)</f>
        <v>17836857</v>
      </c>
      <c r="Q71" s="43">
        <f>IFERROR(VLOOKUP($A71,[1]플랫폼2!$A:$M,7,FALSE),0)+IFERROR(VLOOKUP($A71,[1]플랫폼2!$A:$M,12,FALSE),0)</f>
        <v>17836857</v>
      </c>
      <c r="R71" s="43">
        <f>IFERROR(VLOOKUP($A71,[1]모바일!$A:$S,17,FALSE),0)</f>
        <v>2553073.0833333335</v>
      </c>
      <c r="S71" s="43">
        <f>IFERROR(VLOOKUP($A71,[1]모바일!$A:$S,18,FALSE),0)</f>
        <v>2553073.0833333335</v>
      </c>
      <c r="T71" s="43">
        <f>IFERROR(VLOOKUP(A71,[1]플랫폼2!$A:$O,15,0),0)</f>
        <v>34585780.833333336</v>
      </c>
      <c r="U71" s="83"/>
    </row>
    <row r="72" spans="1:21" hidden="1" outlineLevel="1" x14ac:dyDescent="0.45">
      <c r="A72" s="29" t="s">
        <v>37</v>
      </c>
      <c r="B72" s="44">
        <f>'1월'!B72+'2월'!B72+'3월'!B72+'4월'!B72+'5월'!B72+'6월'!B72+'7월'!B72+'8월'!B72+'9월'!B72+'10월'!B72+'11월'!B72+'12월'!B72</f>
        <v>10263998378</v>
      </c>
      <c r="C72" s="44">
        <f>'1월'!C72+'2월'!C72+'3월'!C72+'4월'!C72+'5월'!C72+'6월'!C72+'7월'!C72+'8월'!C72+'9월'!C72+'10월'!C72+'11월'!C72+'12월'!C72</f>
        <v>1039292637.4742413</v>
      </c>
      <c r="D72" s="44">
        <f>'1월'!D72+'2월'!D72+'3월'!D72+'4월'!D72+'5월'!D72+'6월'!D72+'7월'!D72+'8월'!D72+'9월'!D72+'10월'!D72+'11월'!D72+'12월'!D72</f>
        <v>230979789</v>
      </c>
      <c r="E72" s="44">
        <f>'1월'!E72+'2월'!E72+'3월'!E72+'4월'!E72+'5월'!E72+'6월'!E72+'7월'!E72+'8월'!E72+'9월'!E72+'10월'!E72+'11월'!E72+'12월'!E72</f>
        <v>8993725951.5257587</v>
      </c>
      <c r="F72" s="44">
        <f>'1월'!F72+'2월'!F72+'3월'!F72+'4월'!F72+'5월'!F72+'6월'!F72+'7월'!F72+'8월'!F72+'9월'!F72+'10월'!F72+'11월'!F72+'12월'!F72</f>
        <v>5645363262.5971956</v>
      </c>
      <c r="G72" s="44">
        <f>'1월'!H72+'2월'!G72+'3월'!G72+'4월'!G72+'5월'!G72+'6월'!G72+'7월'!G72+'8월'!G72+'9월'!G72+'10월'!G72+'11월'!G72+'12월'!G72</f>
        <v>1690075611.700671</v>
      </c>
      <c r="H72" s="44">
        <f>'1월'!J72+'2월'!H72+'3월'!H72+'4월'!H72+'5월'!H72+'6월'!H72+'7월'!H72+'8월'!H72+'9월'!H72+'10월'!H72+'11월'!H72+'12월'!H72</f>
        <v>464777924.70213264</v>
      </c>
      <c r="I72" s="44">
        <f>'1월'!K72+'2월'!I72+'3월'!I72+'4월'!I72+'5월'!I72+'6월'!I72+'7월'!I72+'8월'!I72+'9월'!I72+'10월'!I72+'11월'!I72+'12월'!I72</f>
        <v>69484378.494213134</v>
      </c>
      <c r="J72" s="44">
        <f>'1월'!L72+'2월'!J72+'3월'!J72+'4월'!J72+'5월'!J72+'6월'!J72+'7월'!J72+'8월'!J72+'9월'!J72+'10월'!J72+'11월'!J72+'12월'!J72</f>
        <v>69365481.55812642</v>
      </c>
      <c r="K72" s="44">
        <f>'1월'!M72+'2월'!K72+'3월'!K72+'4월'!K72+'5월'!K72+'6월'!K72+'7월'!K72+'8월'!K72+'9월'!K72+'10월'!K72+'11월'!K72+'12월'!K72</f>
        <v>308664352.39399087</v>
      </c>
      <c r="L72" s="44">
        <f>'1월'!N72+'2월'!L72+'3월'!L72+'4월'!L72+'5월'!L72+'6월'!L72+'7월'!L72+'8월'!L72+'9월'!L72+'10월'!L72+'11월'!L72+'12월'!L72</f>
        <v>649639758.07942843</v>
      </c>
      <c r="M72" s="44">
        <f>'1월'!O72+'2월'!M72+'3월'!M72+'4월'!M72+'5월'!M72+'6월'!M72+'7월'!M72+'8월'!M72+'9월'!M72+'10월'!M72+'11월'!M72+'12월'!M72</f>
        <v>96355182</v>
      </c>
      <c r="O72" s="44">
        <f>IFERROR(VLOOKUP($A72,[1]플랫폼1!$A:$B,2,FALSE),0)</f>
        <v>20989541</v>
      </c>
      <c r="P72" s="44">
        <f>IFERROR(VLOOKUP($A72,[1]플랫폼2!$A:$M,12,FALSE),0)+IFERROR(VLOOKUP($A72,[1]플랫폼2!$A:$M,13,FALSE),0)</f>
        <v>17836857</v>
      </c>
      <c r="Q72" s="44">
        <f>IFERROR(VLOOKUP($A72,[1]플랫폼2!$A:$M,7,FALSE),0)+IFERROR(VLOOKUP($A72,[1]플랫폼2!$A:$M,12,FALSE),0)</f>
        <v>17836857</v>
      </c>
      <c r="R72" s="44">
        <f>IFERROR(VLOOKUP($A72,[1]모바일!$A:$S,17,FALSE),0)</f>
        <v>2553073.0833333335</v>
      </c>
      <c r="S72" s="44">
        <f>IFERROR(VLOOKUP($A72,[1]모바일!$A:$S,18,FALSE),0)</f>
        <v>2553073.0833333335</v>
      </c>
      <c r="T72" s="43">
        <f>IFERROR(VLOOKUP(A72,[1]플랫폼2!$A:$O,15,0),0)</f>
        <v>34585780.833333336</v>
      </c>
      <c r="U72" s="83"/>
    </row>
    <row r="73" spans="1:21" s="1" customFormat="1" collapsed="1" x14ac:dyDescent="0.45">
      <c r="A73" s="28" t="s">
        <v>181</v>
      </c>
      <c r="B73" s="43">
        <f>'1월'!B73+'2월'!B73+'3월'!B73+'4월'!B73+'5월'!B73+'6월'!B73+'7월'!B73+'8월'!B73+'9월'!B73+'10월'!B73+'11월'!B73+'12월'!B73</f>
        <v>699441211</v>
      </c>
      <c r="C73" s="43">
        <f>'1월'!C73+'2월'!C73+'3월'!C73+'4월'!C73+'5월'!C73+'6월'!C73+'7월'!C73+'8월'!C73+'9월'!C73+'10월'!C73+'11월'!C73+'12월'!C73</f>
        <v>222981211</v>
      </c>
      <c r="D73" s="43">
        <f>'1월'!D73+'2월'!D73+'3월'!D73+'4월'!D73+'5월'!D73+'6월'!D73+'7월'!D73+'8월'!D73+'9월'!D73+'10월'!D73+'11월'!D73+'12월'!D73</f>
        <v>19500000</v>
      </c>
      <c r="E73" s="43">
        <f>'1월'!E73+'2월'!E73+'3월'!E73+'4월'!E73+'5월'!E73+'6월'!E73+'7월'!E73+'8월'!E73+'9월'!E73+'10월'!E73+'11월'!E73+'12월'!E73</f>
        <v>456960000</v>
      </c>
      <c r="F73" s="43">
        <f>'1월'!F73+'2월'!F73+'3월'!F73+'4월'!F73+'5월'!F73+'6월'!F73+'7월'!F73+'8월'!F73+'9월'!F73+'10월'!F73+'11월'!F73+'12월'!F73</f>
        <v>267838593.98654222</v>
      </c>
      <c r="G73" s="43">
        <f>'1월'!H73+'2월'!G73+'3월'!G73+'4월'!G73+'5월'!G73+'6월'!G73+'7월'!G73+'8월'!G73+'9월'!G73+'10월'!G73+'11월'!G73+'12월'!G73</f>
        <v>85771406.013457805</v>
      </c>
      <c r="H73" s="43">
        <f>'1월'!J73+'2월'!H73+'3월'!H73+'4월'!H73+'5월'!H73+'6월'!H73+'7월'!H73+'8월'!H73+'9월'!H73+'10월'!H73+'11월'!H73+'12월'!H73</f>
        <v>39500000</v>
      </c>
      <c r="I73" s="43">
        <f>'1월'!K73+'2월'!I73+'3월'!I73+'4월'!I73+'5월'!I73+'6월'!I73+'7월'!I73+'8월'!I73+'9월'!I73+'10월'!I73+'11월'!I73+'12월'!I73</f>
        <v>7900000</v>
      </c>
      <c r="J73" s="43">
        <f>'1월'!L73+'2월'!J73+'3월'!J73+'4월'!J73+'5월'!J73+'6월'!J73+'7월'!J73+'8월'!J73+'9월'!J73+'10월'!J73+'11월'!J73+'12월'!J73</f>
        <v>7000000</v>
      </c>
      <c r="K73" s="43">
        <f>'1월'!M73+'2월'!K73+'3월'!K73+'4월'!K73+'5월'!K73+'6월'!K73+'7월'!K73+'8월'!K73+'9월'!K73+'10월'!K73+'11월'!K73+'12월'!K73</f>
        <v>14000000</v>
      </c>
      <c r="L73" s="43">
        <f>'1월'!N73+'2월'!L73+'3월'!L73+'4월'!L73+'5월'!L73+'6월'!L73+'7월'!L73+'8월'!L73+'9월'!L73+'10월'!L73+'11월'!L73+'12월'!L73</f>
        <v>31950000</v>
      </c>
      <c r="M73" s="43">
        <f>'1월'!O73+'2월'!M73+'3월'!M73+'4월'!M73+'5월'!M73+'6월'!M73+'7월'!M73+'8월'!M73+'9월'!M73+'10월'!M73+'11월'!M73+'12월'!M73</f>
        <v>3000000</v>
      </c>
      <c r="O73" s="43">
        <f>IFERROR(VLOOKUP($A73,[1]플랫폼1!$A:$B,2,FALSE),0)</f>
        <v>0</v>
      </c>
      <c r="P73" s="43">
        <f>IFERROR(VLOOKUP($A73,[1]플랫폼2!$A:$M,12,FALSE),0)+IFERROR(VLOOKUP($A73,[1]플랫폼2!$A:$M,13,FALSE),0)</f>
        <v>1000000</v>
      </c>
      <c r="Q73" s="43">
        <f>IFERROR(VLOOKUP($A73,[1]플랫폼2!$A:$M,7,FALSE),0)+IFERROR(VLOOKUP($A73,[1]플랫폼2!$A:$M,12,FALSE),0)</f>
        <v>1000000</v>
      </c>
      <c r="R73" s="43">
        <f>IFERROR(VLOOKUP($A73,[1]모바일!$A:$S,17,FALSE),0)</f>
        <v>83333.333333333328</v>
      </c>
      <c r="S73" s="43">
        <f>IFERROR(VLOOKUP($A73,[1]모바일!$A:$S,18,FALSE),0)</f>
        <v>83333.333333333328</v>
      </c>
      <c r="T73" s="43">
        <f>IFERROR(VLOOKUP(A73,[1]플랫폼2!$A:$O,15,0),0)</f>
        <v>833333.33333333326</v>
      </c>
      <c r="U73" s="83"/>
    </row>
    <row r="74" spans="1:21" s="1" customFormat="1" x14ac:dyDescent="0.45">
      <c r="A74" s="28" t="s">
        <v>38</v>
      </c>
      <c r="B74" s="43">
        <f>'1월'!B74+'2월'!B74+'3월'!B74+'4월'!B74+'5월'!B74+'6월'!B74+'7월'!B74+'8월'!B74+'9월'!B74+'10월'!B74+'11월'!B74+'12월'!B74</f>
        <v>33976063200</v>
      </c>
      <c r="C74" s="43">
        <f>'1월'!C74+'2월'!C74+'3월'!C74+'4월'!C74+'5월'!C74+'6월'!C74+'7월'!C74+'8월'!C74+'9월'!C74+'10월'!C74+'11월'!C74+'12월'!C74</f>
        <v>2680028241.3449583</v>
      </c>
      <c r="D74" s="43">
        <f>'1월'!D74+'2월'!D74+'3월'!D74+'4월'!D74+'5월'!D74+'6월'!D74+'7월'!D74+'8월'!D74+'9월'!D74+'10월'!D74+'11월'!D74+'12월'!D74</f>
        <v>612141010</v>
      </c>
      <c r="E74" s="43">
        <f>'1월'!E74+'2월'!E74+'3월'!E74+'4월'!E74+'5월'!E74+'6월'!E74+'7월'!E74+'8월'!E74+'9월'!E74+'10월'!E74+'11월'!E74+'12월'!E74</f>
        <v>30683893948.655037</v>
      </c>
      <c r="F74" s="43">
        <f>'1월'!F74+'2월'!F74+'3월'!F74+'4월'!F74+'5월'!F74+'6월'!F74+'7월'!F74+'8월'!F74+'9월'!F74+'10월'!F74+'11월'!F74+'12월'!F74</f>
        <v>20245389927.476048</v>
      </c>
      <c r="G74" s="43">
        <f>'1월'!H74+'2월'!G74+'3월'!G74+'4월'!G74+'5월'!G74+'6월'!G74+'7월'!G74+'8월'!G74+'9월'!G74+'10월'!G74+'11월'!G74+'12월'!G74</f>
        <v>4795723995.6485367</v>
      </c>
      <c r="H74" s="43">
        <f>'1월'!J74+'2월'!H74+'3월'!H74+'4월'!H74+'5월'!H74+'6월'!H74+'7월'!H74+'8월'!H74+'9월'!H74+'10월'!H74+'11월'!H74+'12월'!H74</f>
        <v>1696729227.8754168</v>
      </c>
      <c r="I74" s="43">
        <f>'1월'!K74+'2월'!I74+'3월'!I74+'4월'!I74+'5월'!I74+'6월'!I74+'7월'!I74+'8월'!I74+'9월'!I74+'10월'!I74+'11월'!I74+'12월'!I74</f>
        <v>136064018.76519024</v>
      </c>
      <c r="J74" s="43">
        <f>'1월'!L74+'2월'!J74+'3월'!J74+'4월'!J74+'5월'!J74+'6월'!J74+'7월'!J74+'8월'!J74+'9월'!J74+'10월'!J74+'11월'!J74+'12월'!J74</f>
        <v>134183114.48200873</v>
      </c>
      <c r="K74" s="43">
        <f>'1월'!M74+'2월'!K74+'3월'!K74+'4월'!K74+'5월'!K74+'6월'!K74+'7월'!K74+'8월'!K74+'9월'!K74+'10월'!K74+'11월'!K74+'12월'!K74</f>
        <v>612443039.69084799</v>
      </c>
      <c r="L74" s="43">
        <f>'1월'!N74+'2월'!L74+'3월'!L74+'4월'!L74+'5월'!L74+'6월'!L74+'7월'!L74+'8월'!L74+'9월'!L74+'10월'!L74+'11월'!L74+'12월'!L74</f>
        <v>2886186743.7169943</v>
      </c>
      <c r="M74" s="43">
        <f>'1월'!O74+'2월'!M74+'3월'!M74+'4월'!M74+'5월'!M74+'6월'!M74+'7월'!M74+'8월'!M74+'9월'!M74+'10월'!M74+'11월'!M74+'12월'!M74</f>
        <v>177173881</v>
      </c>
      <c r="O74" s="43">
        <f>IFERROR(VLOOKUP($A74,[1]플랫폼1!$A:$B,2,FALSE),0)</f>
        <v>37582805</v>
      </c>
      <c r="P74" s="43">
        <f>IFERROR(VLOOKUP($A74,[1]플랫폼2!$A:$M,12,FALSE),0)+IFERROR(VLOOKUP($A74,[1]플랫폼2!$A:$M,13,FALSE),0)</f>
        <v>29885395.5</v>
      </c>
      <c r="Q74" s="43">
        <f>IFERROR(VLOOKUP($A74,[1]플랫폼2!$A:$M,7,FALSE),0)+IFERROR(VLOOKUP($A74,[1]플랫폼2!$A:$M,12,FALSE),0)</f>
        <v>29885395.5</v>
      </c>
      <c r="R74" s="43">
        <f>IFERROR(VLOOKUP($A74,[1]모바일!$A:$S,17,FALSE),0)</f>
        <v>4250444</v>
      </c>
      <c r="S74" s="43">
        <f>IFERROR(VLOOKUP($A74,[1]모바일!$A:$S,18,FALSE),0)</f>
        <v>4250444</v>
      </c>
      <c r="T74" s="43">
        <f>IFERROR(VLOOKUP(A74,[1]플랫폼2!$A:$O,15,0),0)</f>
        <v>71319397</v>
      </c>
      <c r="U74" s="83"/>
    </row>
    <row r="75" spans="1:21" hidden="1" outlineLevel="1" x14ac:dyDescent="0.45">
      <c r="A75" s="29" t="s">
        <v>39</v>
      </c>
      <c r="B75" s="44">
        <f>'1월'!B75+'2월'!B75+'3월'!B75+'4월'!B75+'5월'!B75+'6월'!B75+'7월'!B75+'8월'!B75+'9월'!B75+'10월'!B75+'11월'!B75+'12월'!B75</f>
        <v>20000000</v>
      </c>
      <c r="C75" s="44">
        <f>'1월'!C75+'2월'!C75+'3월'!C75+'4월'!C75+'5월'!C75+'6월'!C75+'7월'!C75+'8월'!C75+'9월'!C75+'10월'!C75+'11월'!C75+'12월'!C75</f>
        <v>8000000</v>
      </c>
      <c r="D75" s="44">
        <f>'1월'!D75+'2월'!D75+'3월'!D75+'4월'!D75+'5월'!D75+'6월'!D75+'7월'!D75+'8월'!D75+'9월'!D75+'10월'!D75+'11월'!D75+'12월'!D75</f>
        <v>4000000</v>
      </c>
      <c r="E75" s="44">
        <f>'1월'!E75+'2월'!E75+'3월'!E75+'4월'!E75+'5월'!E75+'6월'!E75+'7월'!E75+'8월'!E75+'9월'!E75+'10월'!E75+'11월'!E75+'12월'!E75</f>
        <v>8000000</v>
      </c>
      <c r="F75" s="44">
        <f>'1월'!F75+'2월'!F75+'3월'!F75+'4월'!F75+'5월'!F75+'6월'!F75+'7월'!F75+'8월'!F75+'9월'!F75+'10월'!F75+'11월'!F75+'12월'!F75</f>
        <v>7168772.5315117035</v>
      </c>
      <c r="G75" s="44">
        <f>'1월'!H75+'2월'!G75+'3월'!G75+'4월'!G75+'5월'!G75+'6월'!G75+'7월'!G75+'8월'!G75+'9월'!G75+'10월'!G75+'11월'!G75+'12월'!G75</f>
        <v>831227.46848829661</v>
      </c>
      <c r="H75" s="44">
        <f>'1월'!J75+'2월'!H75+'3월'!H75+'4월'!H75+'5월'!H75+'6월'!H75+'7월'!H75+'8월'!H75+'9월'!H75+'10월'!H75+'11월'!H75+'12월'!H75</f>
        <v>0</v>
      </c>
      <c r="I75" s="44">
        <f>'1월'!K75+'2월'!I75+'3월'!I75+'4월'!I75+'5월'!I75+'6월'!I75+'7월'!I75+'8월'!I75+'9월'!I75+'10월'!I75+'11월'!I75+'12월'!I75</f>
        <v>0</v>
      </c>
      <c r="J75" s="44">
        <f>'1월'!L75+'2월'!J75+'3월'!J75+'4월'!J75+'5월'!J75+'6월'!J75+'7월'!J75+'8월'!J75+'9월'!J75+'10월'!J75+'11월'!J75+'12월'!J75</f>
        <v>0</v>
      </c>
      <c r="K75" s="44">
        <f>'1월'!M75+'2월'!K75+'3월'!K75+'4월'!K75+'5월'!K75+'6월'!K75+'7월'!K75+'8월'!K75+'9월'!K75+'10월'!K75+'11월'!K75+'12월'!K75</f>
        <v>0</v>
      </c>
      <c r="L75" s="44">
        <f>'1월'!N75+'2월'!L75+'3월'!L75+'4월'!L75+'5월'!L75+'6월'!L75+'7월'!L75+'8월'!L75+'9월'!L75+'10월'!L75+'11월'!L75+'12월'!L75</f>
        <v>0</v>
      </c>
      <c r="M75" s="44">
        <f>'1월'!O75+'2월'!M75+'3월'!M75+'4월'!M75+'5월'!M75+'6월'!M75+'7월'!M75+'8월'!M75+'9월'!M75+'10월'!M75+'11월'!M75+'12월'!M75</f>
        <v>0</v>
      </c>
      <c r="O75" s="44">
        <f>IFERROR(VLOOKUP($A75,[1]플랫폼1!$A:$B,2,FALSE),0)</f>
        <v>0</v>
      </c>
      <c r="P75" s="44">
        <f>IFERROR(VLOOKUP($A75,[1]플랫폼2!$A:$M,12,FALSE),0)+IFERROR(VLOOKUP($A75,[1]플랫폼2!$A:$M,13,FALSE),0)</f>
        <v>0</v>
      </c>
      <c r="Q75" s="44">
        <f>IFERROR(VLOOKUP($A75,[1]플랫폼2!$A:$M,7,FALSE),0)+IFERROR(VLOOKUP($A75,[1]플랫폼2!$A:$M,12,FALSE),0)</f>
        <v>0</v>
      </c>
      <c r="R75" s="44">
        <f>IFERROR(VLOOKUP($A75,[1]모바일!$A:$S,17,FALSE),0)</f>
        <v>0</v>
      </c>
      <c r="S75" s="44">
        <f>IFERROR(VLOOKUP($A75,[1]모바일!$A:$S,18,FALSE),0)</f>
        <v>0</v>
      </c>
      <c r="T75" s="43">
        <f>IFERROR(VLOOKUP(A75,[1]플랫폼2!$A:$O,15,0),0)</f>
        <v>0</v>
      </c>
      <c r="U75" s="83"/>
    </row>
    <row r="76" spans="1:21" hidden="1" outlineLevel="1" x14ac:dyDescent="0.45">
      <c r="A76" s="29" t="s">
        <v>40</v>
      </c>
      <c r="B76" s="44">
        <f>'1월'!B76+'2월'!B76+'3월'!B76+'4월'!B76+'5월'!B76+'6월'!B76+'7월'!B76+'8월'!B76+'9월'!B76+'10월'!B76+'11월'!B76+'12월'!B76</f>
        <v>843867520</v>
      </c>
      <c r="C76" s="44">
        <f>'1월'!C76+'2월'!C76+'3월'!C76+'4월'!C76+'5월'!C76+'6월'!C76+'7월'!C76+'8월'!C76+'9월'!C76+'10월'!C76+'11월'!C76+'12월'!C76</f>
        <v>48466178.283989497</v>
      </c>
      <c r="D76" s="44">
        <f>'1월'!D76+'2월'!D76+'3월'!D76+'4월'!D76+'5월'!D76+'6월'!D76+'7월'!D76+'8월'!D76+'9월'!D76+'10월'!D76+'11월'!D76+'12월'!D76</f>
        <v>22631769</v>
      </c>
      <c r="E76" s="44">
        <f>'1월'!E76+'2월'!E76+'3월'!E76+'4월'!E76+'5월'!E76+'6월'!E76+'7월'!E76+'8월'!E76+'9월'!E76+'10월'!E76+'11월'!E76+'12월'!E76</f>
        <v>772769572.71601057</v>
      </c>
      <c r="F76" s="44">
        <f>'1월'!F76+'2월'!F76+'3월'!F76+'4월'!F76+'5월'!F76+'6월'!F76+'7월'!F76+'8월'!F76+'9월'!F76+'10월'!F76+'11월'!F76+'12월'!F76</f>
        <v>478632584.73593044</v>
      </c>
      <c r="G76" s="44">
        <f>'1월'!H76+'2월'!G76+'3월'!G76+'4월'!G76+'5월'!G76+'6월'!G76+'7월'!G76+'8월'!G76+'9월'!G76+'10월'!G76+'11월'!G76+'12월'!G76</f>
        <v>143734107.5016757</v>
      </c>
      <c r="H76" s="44">
        <f>'1월'!J76+'2월'!H76+'3월'!H76+'4월'!H76+'5월'!H76+'6월'!H76+'7월'!H76+'8월'!H76+'9월'!H76+'10월'!H76+'11월'!H76+'12월'!H76</f>
        <v>47675600.762393862</v>
      </c>
      <c r="I76" s="44">
        <f>'1월'!K76+'2월'!I76+'3월'!I76+'4월'!I76+'5월'!I76+'6월'!I76+'7월'!I76+'8월'!I76+'9월'!I76+'10월'!I76+'11월'!I76+'12월'!I76</f>
        <v>5158886.6920250375</v>
      </c>
      <c r="J76" s="44">
        <f>'1월'!L76+'2월'!J76+'3월'!J76+'4월'!J76+'5월'!J76+'6월'!J76+'7월'!J76+'8월'!J76+'9월'!J76+'10월'!J76+'11월'!J76+'12월'!J76</f>
        <v>5357365.326625878</v>
      </c>
      <c r="K76" s="44">
        <f>'1월'!M76+'2월'!K76+'3월'!K76+'4월'!K76+'5월'!K76+'6월'!K76+'7월'!K76+'8월'!K76+'9월'!K76+'10월'!K76+'11월'!K76+'12월'!K76</f>
        <v>22324614.492193963</v>
      </c>
      <c r="L76" s="44">
        <f>'1월'!N76+'2월'!L76+'3월'!L76+'4월'!L76+'5월'!L76+'6월'!L76+'7월'!L76+'8월'!L76+'9월'!L76+'10월'!L76+'11월'!L76+'12월'!L76</f>
        <v>60748680.205165625</v>
      </c>
      <c r="M76" s="44">
        <f>'1월'!O76+'2월'!M76+'3월'!M76+'4월'!M76+'5월'!M76+'6월'!M76+'7월'!M76+'8월'!M76+'9월'!M76+'10월'!M76+'11월'!M76+'12월'!M76</f>
        <v>9137733</v>
      </c>
      <c r="O76" s="44">
        <f>IFERROR(VLOOKUP($A76,[1]플랫폼1!$A:$B,2,FALSE),0)</f>
        <v>2231658</v>
      </c>
      <c r="P76" s="44">
        <f>IFERROR(VLOOKUP($A76,[1]플랫폼2!$A:$M,12,FALSE),0)+IFERROR(VLOOKUP($A76,[1]플랫폼2!$A:$M,13,FALSE),0)</f>
        <v>1578037</v>
      </c>
      <c r="Q76" s="44">
        <f>IFERROR(VLOOKUP($A76,[1]플랫폼2!$A:$M,7,FALSE),0)+IFERROR(VLOOKUP($A76,[1]플랫폼2!$A:$M,12,FALSE),0)</f>
        <v>1578037</v>
      </c>
      <c r="R76" s="44">
        <f>IFERROR(VLOOKUP($A76,[1]모바일!$A:$S,17,FALSE),0)</f>
        <v>230980.25</v>
      </c>
      <c r="S76" s="44">
        <f>IFERROR(VLOOKUP($A76,[1]모바일!$A:$S,18,FALSE),0)</f>
        <v>230980.25</v>
      </c>
      <c r="T76" s="43">
        <f>IFERROR(VLOOKUP(A76,[1]플랫폼2!$A:$O,15,0),0)</f>
        <v>3288040.5</v>
      </c>
      <c r="U76" s="83"/>
    </row>
    <row r="77" spans="1:21" hidden="1" outlineLevel="1" x14ac:dyDescent="0.45">
      <c r="A77" s="29" t="s">
        <v>41</v>
      </c>
      <c r="B77" s="44">
        <f>'1월'!B77+'2월'!B77+'3월'!B77+'4월'!B77+'5월'!B77+'6월'!B77+'7월'!B77+'8월'!B77+'9월'!B77+'10월'!B77+'11월'!B77+'12월'!B77</f>
        <v>4299806990</v>
      </c>
      <c r="C77" s="44">
        <f>'1월'!C77+'2월'!C77+'3월'!C77+'4월'!C77+'5월'!C77+'6월'!C77+'7월'!C77+'8월'!C77+'9월'!C77+'10월'!C77+'11월'!C77+'12월'!C77</f>
        <v>269300151.53333127</v>
      </c>
      <c r="D77" s="44">
        <f>'1월'!D77+'2월'!D77+'3월'!D77+'4월'!D77+'5월'!D77+'6월'!D77+'7월'!D77+'8월'!D77+'9월'!D77+'10월'!D77+'11월'!D77+'12월'!D77</f>
        <v>111060300</v>
      </c>
      <c r="E77" s="44">
        <f>'1월'!E77+'2월'!E77+'3월'!E77+'4월'!E77+'5월'!E77+'6월'!E77+'7월'!E77+'8월'!E77+'9월'!E77+'10월'!E77+'11월'!E77+'12월'!E77</f>
        <v>3919446538.4666691</v>
      </c>
      <c r="F77" s="44">
        <f>'1월'!F77+'2월'!F77+'3월'!F77+'4월'!F77+'5월'!F77+'6월'!F77+'7월'!F77+'8월'!F77+'9월'!F77+'10월'!F77+'11월'!F77+'12월'!F77</f>
        <v>2413119221.3629985</v>
      </c>
      <c r="G77" s="44">
        <f>'1월'!H77+'2월'!G77+'3월'!G77+'4월'!G77+'5월'!G77+'6월'!G77+'7월'!G77+'8월'!G77+'9월'!G77+'10월'!G77+'11월'!G77+'12월'!G77</f>
        <v>762592346.56637561</v>
      </c>
      <c r="H77" s="44">
        <f>'1월'!J77+'2월'!H77+'3월'!H77+'4월'!H77+'5월'!H77+'6월'!H77+'7월'!H77+'8월'!H77+'9월'!H77+'10월'!H77+'11월'!H77+'12월'!H77</f>
        <v>224028352.07062596</v>
      </c>
      <c r="I77" s="44">
        <f>'1월'!K77+'2월'!I77+'3월'!I77+'4월'!I77+'5월'!I77+'6월'!I77+'7월'!I77+'8월'!I77+'9월'!I77+'10월'!I77+'11월'!I77+'12월'!I77</f>
        <v>26719216.135856312</v>
      </c>
      <c r="J77" s="44">
        <f>'1월'!L77+'2월'!J77+'3월'!J77+'4월'!J77+'5월'!J77+'6월'!J77+'7월'!J77+'8월'!J77+'9월'!J77+'10월'!J77+'11월'!J77+'12월'!J77</f>
        <v>26640015.335411798</v>
      </c>
      <c r="K77" s="44">
        <f>'1월'!M77+'2월'!K77+'3월'!K77+'4월'!K77+'5월'!K77+'6월'!K77+'7월'!K77+'8월'!K77+'9월'!K77+'10월'!K77+'11월'!K77+'12월'!K77</f>
        <v>112274149.74759316</v>
      </c>
      <c r="L77" s="44">
        <f>'1월'!N77+'2월'!L77+'3월'!L77+'4월'!L77+'5월'!L77+'6월'!L77+'7월'!L77+'8월'!L77+'9월'!L77+'10월'!L77+'11월'!L77+'12월'!L77</f>
        <v>307729977.2478075</v>
      </c>
      <c r="M77" s="44">
        <f>'1월'!O77+'2월'!M77+'3월'!M77+'4월'!M77+'5월'!M77+'6월'!M77+'7월'!M77+'8월'!M77+'9월'!M77+'10월'!M77+'11월'!M77+'12월'!M77</f>
        <v>46343260</v>
      </c>
      <c r="O77" s="44">
        <f>IFERROR(VLOOKUP($A77,[1]플랫폼1!$A:$B,2,FALSE),0)</f>
        <v>10095650</v>
      </c>
      <c r="P77" s="44">
        <f>IFERROR(VLOOKUP($A77,[1]플랫폼2!$A:$M,12,FALSE),0)+IFERROR(VLOOKUP($A77,[1]플랫폼2!$A:$M,13,FALSE),0)</f>
        <v>8585365</v>
      </c>
      <c r="Q77" s="44">
        <f>IFERROR(VLOOKUP($A77,[1]플랫폼2!$A:$M,7,FALSE),0)+IFERROR(VLOOKUP($A77,[1]플랫폼2!$A:$M,12,FALSE),0)</f>
        <v>8585365</v>
      </c>
      <c r="R77" s="44">
        <f>IFERROR(VLOOKUP($A77,[1]모바일!$A:$S,17,FALSE),0)</f>
        <v>1228562.5</v>
      </c>
      <c r="S77" s="44">
        <f>IFERROR(VLOOKUP($A77,[1]모바일!$A:$S,18,FALSE),0)</f>
        <v>1228562.5</v>
      </c>
      <c r="T77" s="43">
        <f>IFERROR(VLOOKUP(A77,[1]플랫폼2!$A:$O,15,0),0)</f>
        <v>16619755</v>
      </c>
      <c r="U77" s="83"/>
    </row>
    <row r="78" spans="1:21" hidden="1" outlineLevel="1" x14ac:dyDescent="0.45">
      <c r="A78" s="29" t="s">
        <v>42</v>
      </c>
      <c r="B78" s="44">
        <f>'1월'!B78+'2월'!B78+'3월'!B78+'4월'!B78+'5월'!B78+'6월'!B78+'7월'!B78+'8월'!B78+'9월'!B78+'10월'!B78+'11월'!B78+'12월'!B78</f>
        <v>4138384690</v>
      </c>
      <c r="C78" s="44">
        <f>'1월'!C78+'2월'!C78+'3월'!C78+'4월'!C78+'5월'!C78+'6월'!C78+'7월'!C78+'8월'!C78+'9월'!C78+'10월'!C78+'11월'!C78+'12월'!C78</f>
        <v>220976510.39599752</v>
      </c>
      <c r="D78" s="44">
        <f>'1월'!D78+'2월'!D78+'3월'!D78+'4월'!D78+'5월'!D78+'6월'!D78+'7월'!D78+'8월'!D78+'9월'!D78+'10월'!D78+'11월'!D78+'12월'!D78</f>
        <v>97020500</v>
      </c>
      <c r="E78" s="44">
        <f>'1월'!E78+'2월'!E78+'3월'!E78+'4월'!E78+'5월'!E78+'6월'!E78+'7월'!E78+'8월'!E78+'9월'!E78+'10월'!E78+'11월'!E78+'12월'!E78</f>
        <v>3820387679.604002</v>
      </c>
      <c r="F78" s="44">
        <f>'1월'!F78+'2월'!F78+'3월'!F78+'4월'!F78+'5월'!F78+'6월'!F78+'7월'!F78+'8월'!F78+'9월'!F78+'10월'!F78+'11월'!F78+'12월'!F78</f>
        <v>2377655809.0527601</v>
      </c>
      <c r="G78" s="44">
        <f>'1월'!H78+'2월'!G78+'3월'!G78+'4월'!G78+'5월'!G78+'6월'!G78+'7월'!G78+'8월'!G78+'9월'!G78+'10월'!G78+'11월'!G78+'12월'!G78</f>
        <v>741785785.65728724</v>
      </c>
      <c r="H78" s="44">
        <f>'1월'!J78+'2월'!H78+'3월'!H78+'4월'!H78+'5월'!H78+'6월'!H78+'7월'!H78+'8월'!H78+'9월'!H78+'10월'!H78+'11월'!H78+'12월'!H78</f>
        <v>233240015.28995281</v>
      </c>
      <c r="I78" s="44">
        <f>'1월'!K78+'2월'!I78+'3월'!I78+'4월'!I78+'5월'!I78+'6월'!I78+'7월'!I78+'8월'!I78+'9월'!I78+'10월'!I78+'11월'!I78+'12월'!I78</f>
        <v>25474638.705751698</v>
      </c>
      <c r="J78" s="44">
        <f>'1월'!L78+'2월'!J78+'3월'!J78+'4월'!J78+'5월'!J78+'6월'!J78+'7월'!J78+'8월'!J78+'9월'!J78+'10월'!J78+'11월'!J78+'12월'!J78</f>
        <v>26749788.75984361</v>
      </c>
      <c r="K78" s="44">
        <f>'1월'!M78+'2월'!K78+'3월'!K78+'4월'!K78+'5월'!K78+'6월'!K78+'7월'!K78+'8월'!K78+'9월'!K78+'10월'!K78+'11월'!K78+'12월'!K78</f>
        <v>112258767.08074562</v>
      </c>
      <c r="L78" s="44">
        <f>'1월'!N78+'2월'!L78+'3월'!L78+'4월'!L78+'5월'!L78+'6월'!L78+'7월'!L78+'8월'!L78+'9월'!L78+'10월'!L78+'11월'!L78+'12월'!L78</f>
        <v>262535385.05766144</v>
      </c>
      <c r="M78" s="44">
        <f>'1월'!O78+'2월'!M78+'3월'!M78+'4월'!M78+'5월'!M78+'6월'!M78+'7월'!M78+'8월'!M78+'9월'!M78+'10월'!M78+'11월'!M78+'12월'!M78</f>
        <v>40687490</v>
      </c>
      <c r="O78" s="44">
        <f>IFERROR(VLOOKUP($A78,[1]플랫폼1!$A:$B,2,FALSE),0)</f>
        <v>10430310</v>
      </c>
      <c r="P78" s="44">
        <f>IFERROR(VLOOKUP($A78,[1]플랫폼2!$A:$M,12,FALSE),0)+IFERROR(VLOOKUP($A78,[1]플랫폼2!$A:$M,13,FALSE),0)</f>
        <v>6870155</v>
      </c>
      <c r="Q78" s="44">
        <f>IFERROR(VLOOKUP($A78,[1]플랫폼2!$A:$M,7,FALSE),0)+IFERROR(VLOOKUP($A78,[1]플랫폼2!$A:$M,12,FALSE),0)</f>
        <v>6870155</v>
      </c>
      <c r="R78" s="44">
        <f>IFERROR(VLOOKUP($A78,[1]모바일!$A:$S,17,FALSE),0)</f>
        <v>965160</v>
      </c>
      <c r="S78" s="44">
        <f>IFERROR(VLOOKUP($A78,[1]모바일!$A:$S,18,FALSE),0)</f>
        <v>965160</v>
      </c>
      <c r="T78" s="43">
        <f>IFERROR(VLOOKUP(A78,[1]플랫폼2!$A:$O,15,0),0)</f>
        <v>14586550</v>
      </c>
      <c r="U78" s="83"/>
    </row>
    <row r="79" spans="1:21" hidden="1" outlineLevel="1" x14ac:dyDescent="0.45">
      <c r="A79" s="29" t="s">
        <v>43</v>
      </c>
      <c r="B79" s="44">
        <f>'1월'!B79+'2월'!B79+'3월'!B79+'4월'!B79+'5월'!B79+'6월'!B79+'7월'!B79+'8월'!B79+'9월'!B79+'10월'!B79+'11월'!B79+'12월'!B79</f>
        <v>1886084050</v>
      </c>
      <c r="C79" s="44">
        <f>'1월'!C79+'2월'!C79+'3월'!C79+'4월'!C79+'5월'!C79+'6월'!C79+'7월'!C79+'8월'!C79+'9월'!C79+'10월'!C79+'11월'!C79+'12월'!C79</f>
        <v>102058105.30580465</v>
      </c>
      <c r="D79" s="44">
        <f>'1월'!D79+'2월'!D79+'3월'!D79+'4월'!D79+'5월'!D79+'6월'!D79+'7월'!D79+'8월'!D79+'9월'!D79+'10월'!D79+'11월'!D79+'12월'!D79</f>
        <v>49982617</v>
      </c>
      <c r="E79" s="44">
        <f>'1월'!E79+'2월'!E79+'3월'!E79+'4월'!E79+'5월'!E79+'6월'!E79+'7월'!E79+'8월'!E79+'9월'!E79+'10월'!E79+'11월'!E79+'12월'!E79</f>
        <v>1734043327.6941953</v>
      </c>
      <c r="F79" s="44">
        <f>'1월'!F79+'2월'!F79+'3월'!F79+'4월'!F79+'5월'!F79+'6월'!F79+'7월'!F79+'8월'!F79+'9월'!F79+'10월'!F79+'11월'!F79+'12월'!F79</f>
        <v>1073208890.5997077</v>
      </c>
      <c r="G79" s="44">
        <f>'1월'!H79+'2월'!G79+'3월'!G79+'4월'!G79+'5월'!G79+'6월'!G79+'7월'!G79+'8월'!G79+'9월'!G79+'10월'!G79+'11월'!G79+'12월'!G79</f>
        <v>323098102.60368776</v>
      </c>
      <c r="H79" s="44">
        <f>'1월'!J79+'2월'!H79+'3월'!H79+'4월'!H79+'5월'!H79+'6월'!H79+'7월'!H79+'8월'!H79+'9월'!H79+'10월'!H79+'11월'!H79+'12월'!H79</f>
        <v>107009065.7966045</v>
      </c>
      <c r="I79" s="44">
        <f>'1월'!K79+'2월'!I79+'3월'!I79+'4월'!I79+'5월'!I79+'6월'!I79+'7월'!I79+'8월'!I79+'9월'!I79+'10월'!I79+'11월'!I79+'12월'!I79</f>
        <v>11557281.91140179</v>
      </c>
      <c r="J79" s="44">
        <f>'1월'!L79+'2월'!J79+'3월'!J79+'4월'!J79+'5월'!J79+'6월'!J79+'7월'!J79+'8월'!J79+'9월'!J79+'10월'!J79+'11월'!J79+'12월'!J79</f>
        <v>11896772.979515163</v>
      </c>
      <c r="K79" s="44">
        <f>'1월'!M79+'2월'!K79+'3월'!K79+'4월'!K79+'5월'!K79+'6월'!K79+'7월'!K79+'8월'!K79+'9월'!K79+'10월'!K79+'11월'!K79+'12월'!K79</f>
        <v>50020677.755714364</v>
      </c>
      <c r="L79" s="44">
        <f>'1월'!N79+'2월'!L79+'3월'!L79+'4월'!L79+'5월'!L79+'6월'!L79+'7월'!L79+'8월'!L79+'9월'!L79+'10월'!L79+'11월'!L79+'12월'!L79</f>
        <v>137061172.04756406</v>
      </c>
      <c r="M79" s="44">
        <f>'1월'!O79+'2월'!M79+'3월'!M79+'4월'!M79+'5월'!M79+'6월'!M79+'7월'!M79+'8월'!M79+'9월'!M79+'10월'!M79+'11월'!M79+'12월'!M79</f>
        <v>20191364</v>
      </c>
      <c r="O79" s="44">
        <f>IFERROR(VLOOKUP($A79,[1]플랫폼1!$A:$B,2,FALSE),0)</f>
        <v>4930837</v>
      </c>
      <c r="P79" s="44">
        <f>IFERROR(VLOOKUP($A79,[1]플랫폼2!$A:$M,12,FALSE),0)+IFERROR(VLOOKUP($A79,[1]플랫폼2!$A:$M,13,FALSE),0)</f>
        <v>3470407</v>
      </c>
      <c r="Q79" s="44">
        <f>IFERROR(VLOOKUP($A79,[1]플랫폼2!$A:$M,7,FALSE),0)+IFERROR(VLOOKUP($A79,[1]플랫폼2!$A:$M,12,FALSE),0)</f>
        <v>3470407</v>
      </c>
      <c r="R79" s="44">
        <f>IFERROR(VLOOKUP($A79,[1]모바일!$A:$S,17,FALSE),0)</f>
        <v>509466.25</v>
      </c>
      <c r="S79" s="44">
        <f>IFERROR(VLOOKUP($A79,[1]모바일!$A:$S,18,FALSE),0)</f>
        <v>509466.25</v>
      </c>
      <c r="T79" s="43">
        <f>IFERROR(VLOOKUP(A79,[1]플랫폼2!$A:$O,15,0),0)</f>
        <v>7300780.5</v>
      </c>
      <c r="U79" s="83"/>
    </row>
    <row r="80" spans="1:21" hidden="1" outlineLevel="1" x14ac:dyDescent="0.45">
      <c r="A80" s="29" t="s">
        <v>134</v>
      </c>
      <c r="B80" s="44">
        <f>'1월'!B80+'2월'!B80+'3월'!B80+'4월'!B80+'5월'!B80+'6월'!B80+'7월'!B80+'8월'!B80+'9월'!B80+'10월'!B80+'11월'!B80+'12월'!B80</f>
        <v>9000000</v>
      </c>
      <c r="C80" s="44">
        <f>'1월'!C80+'2월'!C80+'3월'!C80+'4월'!C80+'5월'!C80+'6월'!C80+'7월'!C80+'8월'!C80+'9월'!C80+'10월'!C80+'11월'!C80+'12월'!C80</f>
        <v>9000000</v>
      </c>
      <c r="D80" s="44">
        <f>'1월'!D80+'2월'!D80+'3월'!D80+'4월'!D80+'5월'!D80+'6월'!D80+'7월'!D80+'8월'!D80+'9월'!D80+'10월'!D80+'11월'!D80+'12월'!D80</f>
        <v>0</v>
      </c>
      <c r="E80" s="44">
        <f>'1월'!E80+'2월'!E80+'3월'!E80+'4월'!E80+'5월'!E80+'6월'!E80+'7월'!E80+'8월'!E80+'9월'!E80+'10월'!E80+'11월'!E80+'12월'!E80</f>
        <v>0</v>
      </c>
      <c r="F80" s="44">
        <f>'1월'!F80+'2월'!F80+'3월'!F80+'4월'!F80+'5월'!F80+'6월'!F80+'7월'!F80+'8월'!F80+'9월'!F80+'10월'!F80+'11월'!F80+'12월'!F80</f>
        <v>0</v>
      </c>
      <c r="G80" s="44">
        <f>'1월'!H80+'2월'!G80+'3월'!G80+'4월'!G80+'5월'!G80+'6월'!G80+'7월'!G80+'8월'!G80+'9월'!G80+'10월'!G80+'11월'!G80+'12월'!G80</f>
        <v>0</v>
      </c>
      <c r="H80" s="44">
        <f>'1월'!J80+'2월'!H80+'3월'!H80+'4월'!H80+'5월'!H80+'6월'!H80+'7월'!H80+'8월'!H80+'9월'!H80+'10월'!H80+'11월'!H80+'12월'!H80</f>
        <v>0</v>
      </c>
      <c r="I80" s="44">
        <f>'1월'!K80+'2월'!I80+'3월'!I80+'4월'!I80+'5월'!I80+'6월'!I80+'7월'!I80+'8월'!I80+'9월'!I80+'10월'!I80+'11월'!I80+'12월'!I80</f>
        <v>0</v>
      </c>
      <c r="J80" s="44">
        <f>'1월'!L80+'2월'!J80+'3월'!J80+'4월'!J80+'5월'!J80+'6월'!J80+'7월'!J80+'8월'!J80+'9월'!J80+'10월'!J80+'11월'!J80+'12월'!J80</f>
        <v>0</v>
      </c>
      <c r="K80" s="44">
        <f>'1월'!M80+'2월'!K80+'3월'!K80+'4월'!K80+'5월'!K80+'6월'!K80+'7월'!K80+'8월'!K80+'9월'!K80+'10월'!K80+'11월'!K80+'12월'!K80</f>
        <v>0</v>
      </c>
      <c r="L80" s="44">
        <f>'1월'!N80+'2월'!L80+'3월'!L80+'4월'!L80+'5월'!L80+'6월'!L80+'7월'!L80+'8월'!L80+'9월'!L80+'10월'!L80+'11월'!L80+'12월'!L80</f>
        <v>0</v>
      </c>
      <c r="M80" s="44">
        <f>'1월'!O80+'2월'!M80+'3월'!M80+'4월'!M80+'5월'!M80+'6월'!M80+'7월'!M80+'8월'!M80+'9월'!M80+'10월'!M80+'11월'!M80+'12월'!M80</f>
        <v>0</v>
      </c>
      <c r="O80" s="44">
        <f>IFERROR(VLOOKUP($A80,[1]플랫폼1!$A:$B,2,FALSE),0)</f>
        <v>0</v>
      </c>
      <c r="P80" s="44">
        <f>IFERROR(VLOOKUP($A80,[1]플랫폼2!$A:$M,12,FALSE),0)+IFERROR(VLOOKUP($A80,[1]플랫폼2!$A:$M,13,FALSE),0)</f>
        <v>0</v>
      </c>
      <c r="Q80" s="44">
        <f>IFERROR(VLOOKUP($A80,[1]플랫폼2!$A:$M,7,FALSE),0)+IFERROR(VLOOKUP($A80,[1]플랫폼2!$A:$M,12,FALSE),0)</f>
        <v>0</v>
      </c>
      <c r="R80" s="44">
        <f>IFERROR(VLOOKUP($A80,[1]모바일!$A:$S,17,FALSE),0)</f>
        <v>0</v>
      </c>
      <c r="S80" s="44">
        <f>IFERROR(VLOOKUP($A80,[1]모바일!$A:$S,18,FALSE),0)</f>
        <v>0</v>
      </c>
      <c r="T80" s="43">
        <f>IFERROR(VLOOKUP(A80,[1]플랫폼2!$A:$O,15,0),0)</f>
        <v>0</v>
      </c>
      <c r="U80" s="83"/>
    </row>
    <row r="81" spans="1:21" hidden="1" outlineLevel="1" x14ac:dyDescent="0.45">
      <c r="A81" s="24" t="s">
        <v>44</v>
      </c>
      <c r="B81" s="45">
        <f>'1월'!B81+'2월'!B81+'3월'!B81+'4월'!B81+'5월'!B81+'6월'!B81+'7월'!B81+'8월'!B81+'9월'!B81+'10월'!B81+'11월'!B81+'12월'!B81</f>
        <v>10907424110</v>
      </c>
      <c r="C81" s="45">
        <f>'1월'!C81+'2월'!C81+'3월'!C81+'4월'!C81+'5월'!C81+'6월'!C81+'7월'!C81+'8월'!C81+'9월'!C81+'10월'!C81+'11월'!C81+'12월'!C81</f>
        <v>135338173.66672742</v>
      </c>
      <c r="D81" s="45">
        <f>'1월'!D81+'2월'!D81+'3월'!D81+'4월'!D81+'5월'!D81+'6월'!D81+'7월'!D81+'8월'!D81+'9월'!D81+'10월'!D81+'11월'!D81+'12월'!D81</f>
        <v>8260000</v>
      </c>
      <c r="E81" s="45">
        <f>'1월'!E81+'2월'!E81+'3월'!E81+'4월'!E81+'5월'!E81+'6월'!E81+'7월'!E81+'8월'!E81+'9월'!E81+'10월'!E81+'11월'!E81+'12월'!E81</f>
        <v>10763825936.333273</v>
      </c>
      <c r="F81" s="45">
        <f>'1월'!F81+'2월'!F81+'3월'!F81+'4월'!F81+'5월'!F81+'6월'!F81+'7월'!F81+'8월'!F81+'9월'!F81+'10월'!F81+'11월'!F81+'12월'!F81</f>
        <v>8290937622.7963419</v>
      </c>
      <c r="G81" s="45">
        <f>'1월'!H81+'2월'!G81+'3월'!G81+'4월'!G81+'5월'!G81+'6월'!G81+'7월'!G81+'8월'!G81+'9월'!G81+'10월'!G81+'11월'!G81+'12월'!G81</f>
        <v>1409658791.2036588</v>
      </c>
      <c r="H81" s="45">
        <f>'1월'!J81+'2월'!H81+'3월'!H81+'4월'!H81+'5월'!H81+'6월'!H81+'7월'!H81+'8월'!H81+'9월'!H81+'10월'!H81+'11월'!H81+'12월'!H81</f>
        <v>820401892</v>
      </c>
      <c r="I81" s="45">
        <f>'1월'!K81+'2월'!I81+'3월'!I81+'4월'!I81+'5월'!I81+'6월'!I81+'7월'!I81+'8월'!I81+'9월'!I81+'10월'!I81+'11월'!I81+'12월'!I81</f>
        <v>32756460.817264535</v>
      </c>
      <c r="J81" s="45">
        <f>'1월'!L81+'2월'!J81+'3월'!J81+'4월'!J81+'5월'!J81+'6월'!J81+'7월'!J81+'8월'!J81+'9월'!J81+'10월'!J81+'11월'!J81+'12월'!J81</f>
        <v>26237591.695333451</v>
      </c>
      <c r="K81" s="45">
        <f>'1월'!M81+'2월'!K81+'3월'!K81+'4월'!K81+'5월'!K81+'6월'!K81+'7월'!K81+'8월'!K81+'9월'!K81+'10월'!K81+'11월'!K81+'12월'!K81</f>
        <v>115302205.11280154</v>
      </c>
      <c r="L81" s="45">
        <f>'1월'!N81+'2월'!L81+'3월'!L81+'4월'!L81+'5월'!L81+'6월'!L81+'7월'!L81+'8월'!L81+'9월'!L81+'10월'!L81+'11월'!L81+'12월'!L81</f>
        <v>55043372.707873002</v>
      </c>
      <c r="M81" s="45">
        <f>'1월'!O81+'2월'!M81+'3월'!M81+'4월'!M81+'5월'!M81+'6월'!M81+'7월'!M81+'8월'!M81+'9월'!M81+'10월'!M81+'11월'!M81+'12월'!M81</f>
        <v>13488000</v>
      </c>
      <c r="O81" s="45">
        <f>IFERROR(VLOOKUP($A81,[1]플랫폼1!$A:$B,2,FALSE),0)</f>
        <v>200000</v>
      </c>
      <c r="P81" s="45">
        <f>IFERROR(VLOOKUP($A81,[1]플랫폼2!$A:$M,12,FALSE),0)+IFERROR(VLOOKUP($A81,[1]플랫폼2!$A:$M,13,FALSE),0)</f>
        <v>267500</v>
      </c>
      <c r="Q81" s="45">
        <f>IFERROR(VLOOKUP($A81,[1]플랫폼2!$A:$M,7,FALSE),0)+IFERROR(VLOOKUP($A81,[1]플랫폼2!$A:$M,12,FALSE),0)</f>
        <v>267500</v>
      </c>
      <c r="R81" s="45">
        <f>IFERROR(VLOOKUP($A81,[1]모바일!$A:$S,17,FALSE),0)</f>
        <v>95833.333333333328</v>
      </c>
      <c r="S81" s="45">
        <f>IFERROR(VLOOKUP($A81,[1]모바일!$A:$S,18,FALSE),0)</f>
        <v>95833.333333333328</v>
      </c>
      <c r="T81" s="54">
        <f>IFERROR(VLOOKUP(A81,[1]플랫폼2!$A:$O,15,0),0)</f>
        <v>12561333.333333334</v>
      </c>
      <c r="U81" s="83"/>
    </row>
    <row r="82" spans="1:21" hidden="1" outlineLevel="1" x14ac:dyDescent="0.45">
      <c r="A82" s="29" t="s">
        <v>45</v>
      </c>
      <c r="B82" s="44">
        <f>'1월'!B82+'2월'!B82+'3월'!B82+'4월'!B82+'5월'!B82+'6월'!B82+'7월'!B82+'8월'!B82+'9월'!B82+'10월'!B82+'11월'!B82+'12월'!B82</f>
        <v>499664110</v>
      </c>
      <c r="C82" s="44">
        <f>'1월'!C82+'2월'!C82+'3월'!C82+'4월'!C82+'5월'!C82+'6월'!C82+'7월'!C82+'8월'!C82+'9월'!C82+'10월'!C82+'11월'!C82+'12월'!C82</f>
        <v>35640000</v>
      </c>
      <c r="D82" s="44">
        <f>'1월'!D82+'2월'!D82+'3월'!D82+'4월'!D82+'5월'!D82+'6월'!D82+'7월'!D82+'8월'!D82+'9월'!D82+'10월'!D82+'11월'!D82+'12월'!D82</f>
        <v>58770000</v>
      </c>
      <c r="E82" s="44">
        <f>'1월'!E82+'2월'!E82+'3월'!E82+'4월'!E82+'5월'!E82+'6월'!E82+'7월'!E82+'8월'!E82+'9월'!E82+'10월'!E82+'11월'!E82+'12월'!E82</f>
        <v>405254110</v>
      </c>
      <c r="F82" s="44">
        <f>'1월'!F82+'2월'!F82+'3월'!F82+'4월'!F82+'5월'!F82+'6월'!F82+'7월'!F82+'8월'!F82+'9월'!F82+'10월'!F82+'11월'!F82+'12월'!F82</f>
        <v>196591719.77575001</v>
      </c>
      <c r="G82" s="44">
        <f>'1월'!H82+'2월'!G82+'3월'!G82+'4월'!G82+'5월'!G82+'6월'!G82+'7월'!G82+'8월'!G82+'9월'!G82+'10월'!G82+'11월'!G82+'12월'!G82</f>
        <v>98664680.224249974</v>
      </c>
      <c r="H82" s="44">
        <f>'1월'!J82+'2월'!H82+'3월'!H82+'4월'!H82+'5월'!H82+'6월'!H82+'7월'!H82+'8월'!H82+'9월'!H82+'10월'!H82+'11월'!H82+'12월'!H82</f>
        <v>23285000</v>
      </c>
      <c r="I82" s="44">
        <f>'1월'!K82+'2월'!I82+'3월'!I82+'4월'!I82+'5월'!I82+'6월'!I82+'7월'!I82+'8월'!I82+'9월'!I82+'10월'!I82+'11월'!I82+'12월'!I82</f>
        <v>1360000</v>
      </c>
      <c r="J82" s="44">
        <f>'1월'!L82+'2월'!J82+'3월'!J82+'4월'!J82+'5월'!J82+'6월'!J82+'7월'!J82+'8월'!J82+'9월'!J82+'10월'!J82+'11월'!J82+'12월'!J82</f>
        <v>2060000</v>
      </c>
      <c r="K82" s="44">
        <f>'1월'!M82+'2월'!K82+'3월'!K82+'4월'!K82+'5월'!K82+'6월'!K82+'7월'!K82+'8월'!K82+'9월'!K82+'10월'!K82+'11월'!K82+'12월'!K82</f>
        <v>10660000</v>
      </c>
      <c r="L82" s="44">
        <f>'1월'!N82+'2월'!L82+'3월'!L82+'4월'!L82+'5월'!L82+'6월'!L82+'7월'!L82+'8월'!L82+'9월'!L82+'10월'!L82+'11월'!L82+'12월'!L82</f>
        <v>61782710</v>
      </c>
      <c r="M82" s="44">
        <f>'1월'!O82+'2월'!M82+'3월'!M82+'4월'!M82+'5월'!M82+'6월'!M82+'7월'!M82+'8월'!M82+'9월'!M82+'10월'!M82+'11월'!M82+'12월'!M82</f>
        <v>10850000</v>
      </c>
      <c r="O82" s="44">
        <f>IFERROR(VLOOKUP($A82,[1]플랫폼1!$A:$B,2,FALSE),0)</f>
        <v>2450000</v>
      </c>
      <c r="P82" s="44">
        <f>IFERROR(VLOOKUP($A82,[1]플랫폼2!$A:$M,12,FALSE),0)+IFERROR(VLOOKUP($A82,[1]플랫폼2!$A:$M,13,FALSE),0)</f>
        <v>1750000</v>
      </c>
      <c r="Q82" s="44">
        <f>IFERROR(VLOOKUP($A82,[1]플랫폼2!$A:$M,7,FALSE),0)+IFERROR(VLOOKUP($A82,[1]플랫폼2!$A:$M,12,FALSE),0)</f>
        <v>1750000</v>
      </c>
      <c r="R82" s="44">
        <f>IFERROR(VLOOKUP($A82,[1]모바일!$A:$S,17,FALSE),0)</f>
        <v>408333.33333333331</v>
      </c>
      <c r="S82" s="44">
        <f>IFERROR(VLOOKUP($A82,[1]모바일!$A:$S,18,FALSE),0)</f>
        <v>408333.33333333331</v>
      </c>
      <c r="T82" s="43">
        <f>IFERROR(VLOOKUP(A82,[1]플랫폼2!$A:$O,15,0),0)</f>
        <v>4083333.333333333</v>
      </c>
      <c r="U82" s="83"/>
    </row>
    <row r="83" spans="1:21" hidden="1" outlineLevel="1" x14ac:dyDescent="0.45">
      <c r="A83" s="29" t="s">
        <v>46</v>
      </c>
      <c r="B83" s="44">
        <f>'1월'!B83+'2월'!B83+'3월'!B83+'4월'!B83+'5월'!B83+'6월'!B83+'7월'!B83+'8월'!B83+'9월'!B83+'10월'!B83+'11월'!B83+'12월'!B83</f>
        <v>1233048912</v>
      </c>
      <c r="C83" s="44">
        <f>'1월'!C83+'2월'!C83+'3월'!C83+'4월'!C83+'5월'!C83+'6월'!C83+'7월'!C83+'8월'!C83+'9월'!C83+'10월'!C83+'11월'!C83+'12월'!C83</f>
        <v>1206670692.3595476</v>
      </c>
      <c r="D83" s="44">
        <f>'1월'!D83+'2월'!D83+'3월'!D83+'4월'!D83+'5월'!D83+'6월'!D83+'7월'!D83+'8월'!D83+'9월'!D83+'10월'!D83+'11월'!D83+'12월'!D83</f>
        <v>4023000</v>
      </c>
      <c r="E83" s="44">
        <f>'1월'!E83+'2월'!E83+'3월'!E83+'4월'!E83+'5월'!E83+'6월'!E83+'7월'!E83+'8월'!E83+'9월'!E83+'10월'!E83+'11월'!E83+'12월'!E83</f>
        <v>22355219.640452392</v>
      </c>
      <c r="F83" s="44">
        <f>'1월'!F83+'2월'!F83+'3월'!F83+'4월'!F83+'5월'!F83+'6월'!F83+'7월'!F83+'8월'!F83+'9월'!F83+'10월'!F83+'11월'!F83+'12월'!F83</f>
        <v>13577984.253759257</v>
      </c>
      <c r="G83" s="44">
        <f>'1월'!H83+'2월'!G83+'3월'!G83+'4월'!G83+'5월'!G83+'6월'!G83+'7월'!G83+'8월'!G83+'9월'!G83+'10월'!G83+'11월'!G83+'12월'!G83</f>
        <v>1847343.2940337127</v>
      </c>
      <c r="H83" s="44">
        <f>'1월'!J83+'2월'!H83+'3월'!H83+'4월'!H83+'5월'!H83+'6월'!H83+'7월'!H83+'8월'!H83+'9월'!H83+'10월'!H83+'11월'!H83+'12월'!H83</f>
        <v>281672.45220702962</v>
      </c>
      <c r="I83" s="44">
        <f>'1월'!K83+'2월'!I83+'3월'!I83+'4월'!I83+'5월'!I83+'6월'!I83+'7월'!I83+'8월'!I83+'9월'!I83+'10월'!I83+'11월'!I83+'12월'!I83</f>
        <v>909562.00233972352</v>
      </c>
      <c r="J83" s="44">
        <f>'1월'!L83+'2월'!J83+'3월'!J83+'4월'!J83+'5월'!J83+'6월'!J83+'7월'!J83+'8월'!J83+'9월'!J83+'10월'!J83+'11월'!J83+'12월'!J83</f>
        <v>920586.88793308812</v>
      </c>
      <c r="K83" s="44">
        <f>'1월'!M83+'2월'!K83+'3월'!K83+'4월'!K83+'5월'!K83+'6월'!K83+'7월'!K83+'8월'!K83+'9월'!K83+'10월'!K83+'11월'!K83+'12월'!K83</f>
        <v>3974361.3899176139</v>
      </c>
      <c r="L83" s="44">
        <f>'1월'!N83+'2월'!L83+'3월'!L83+'4월'!L83+'5월'!L83+'6월'!L83+'7월'!L83+'8월'!L83+'9월'!L83+'10월'!L83+'11월'!L83+'12월'!L83</f>
        <v>843709.36026196345</v>
      </c>
      <c r="M83" s="44">
        <f>'1월'!O83+'2월'!M83+'3월'!M83+'4월'!M83+'5월'!M83+'6월'!M83+'7월'!M83+'8월'!M83+'9월'!M83+'10월'!M83+'11월'!M83+'12월'!M83</f>
        <v>0</v>
      </c>
      <c r="O83" s="44">
        <f>IFERROR(VLOOKUP($A83,[1]플랫폼1!$A:$B,2,FALSE),0)</f>
        <v>0</v>
      </c>
      <c r="P83" s="44">
        <f>IFERROR(VLOOKUP($A83,[1]플랫폼2!$A:$M,12,FALSE),0)+IFERROR(VLOOKUP($A83,[1]플랫폼2!$A:$M,13,FALSE),0)</f>
        <v>0</v>
      </c>
      <c r="Q83" s="44">
        <f>IFERROR(VLOOKUP($A83,[1]플랫폼2!$A:$M,7,FALSE),0)+IFERROR(VLOOKUP($A83,[1]플랫폼2!$A:$M,12,FALSE),0)</f>
        <v>0</v>
      </c>
      <c r="R83" s="44">
        <f>IFERROR(VLOOKUP($A83,[1]모바일!$A:$S,17,FALSE),0)</f>
        <v>0</v>
      </c>
      <c r="S83" s="44">
        <f>IFERROR(VLOOKUP($A83,[1]모바일!$A:$S,18,FALSE),0)</f>
        <v>0</v>
      </c>
      <c r="T83" s="43">
        <f>IFERROR(VLOOKUP(A83,[1]플랫폼2!$A:$O,15,0),0)</f>
        <v>0</v>
      </c>
      <c r="U83" s="83"/>
    </row>
    <row r="84" spans="1:21" hidden="1" outlineLevel="1" x14ac:dyDescent="0.45">
      <c r="A84" s="29" t="s">
        <v>47</v>
      </c>
      <c r="B84" s="44">
        <f>'1월'!B84+'2월'!B84+'3월'!B84+'4월'!B84+'5월'!B84+'6월'!B84+'7월'!B84+'8월'!B84+'9월'!B84+'10월'!B84+'11월'!B84+'12월'!B84</f>
        <v>108669948</v>
      </c>
      <c r="C84" s="44">
        <f>'1월'!C84+'2월'!C84+'3월'!C84+'4월'!C84+'5월'!C84+'6월'!C84+'7월'!C84+'8월'!C84+'9월'!C84+'10월'!C84+'11월'!C84+'12월'!C84</f>
        <v>8230656</v>
      </c>
      <c r="D84" s="44">
        <f>'1월'!D84+'2월'!D84+'3월'!D84+'4월'!D84+'5월'!D84+'6월'!D84+'7월'!D84+'8월'!D84+'9월'!D84+'10월'!D84+'11월'!D84+'12월'!D84</f>
        <v>184864</v>
      </c>
      <c r="E84" s="44">
        <f>'1월'!E84+'2월'!E84+'3월'!E84+'4월'!E84+'5월'!E84+'6월'!E84+'7월'!E84+'8월'!E84+'9월'!E84+'10월'!E84+'11월'!E84+'12월'!E84</f>
        <v>100254428</v>
      </c>
      <c r="F84" s="44">
        <f>'1월'!F84+'2월'!F84+'3월'!F84+'4월'!F84+'5월'!F84+'6월'!F84+'7월'!F84+'8월'!F84+'9월'!F84+'10월'!F84+'11월'!F84+'12월'!F84</f>
        <v>81181433.684994027</v>
      </c>
      <c r="G84" s="44">
        <f>'1월'!H84+'2월'!G84+'3월'!G84+'4월'!G84+'5월'!G84+'6월'!G84+'7월'!G84+'8월'!G84+'9월'!G84+'10월'!G84+'11월'!G84+'12월'!G84</f>
        <v>14954310.31500598</v>
      </c>
      <c r="H84" s="44">
        <f>'1월'!J84+'2월'!H84+'3월'!H84+'4월'!H84+'5월'!H84+'6월'!H84+'7월'!H84+'8월'!H84+'9월'!H84+'10월'!H84+'11월'!H84+'12월'!H84</f>
        <v>1414844</v>
      </c>
      <c r="I84" s="44">
        <f>'1월'!K84+'2월'!I84+'3월'!I84+'4월'!I84+'5월'!I84+'6월'!I84+'7월'!I84+'8월'!I84+'9월'!I84+'10월'!I84+'11월'!I84+'12월'!I84</f>
        <v>0</v>
      </c>
      <c r="J84" s="44">
        <f>'1월'!L84+'2월'!J84+'3월'!J84+'4월'!J84+'5월'!J84+'6월'!J84+'7월'!J84+'8월'!J84+'9월'!J84+'10월'!J84+'11월'!J84+'12월'!J84</f>
        <v>0</v>
      </c>
      <c r="K84" s="44">
        <f>'1월'!M84+'2월'!K84+'3월'!K84+'4월'!K84+'5월'!K84+'6월'!K84+'7월'!K84+'8월'!K84+'9월'!K84+'10월'!K84+'11월'!K84+'12월'!K84</f>
        <v>1264360</v>
      </c>
      <c r="L84" s="44">
        <f>'1월'!N84+'2월'!L84+'3월'!L84+'4월'!L84+'5월'!L84+'6월'!L84+'7월'!L84+'8월'!L84+'9월'!L84+'10월'!L84+'11월'!L84+'12월'!L84</f>
        <v>315016</v>
      </c>
      <c r="M84" s="44">
        <f>'1월'!O84+'2월'!M84+'3월'!M84+'4월'!M84+'5월'!M84+'6월'!M84+'7월'!M84+'8월'!M84+'9월'!M84+'10월'!M84+'11월'!M84+'12월'!M84</f>
        <v>1124464</v>
      </c>
      <c r="O84" s="44">
        <f>IFERROR(VLOOKUP($A84,[1]플랫폼1!$A:$B,2,FALSE),0)</f>
        <v>0</v>
      </c>
      <c r="P84" s="44">
        <f>IFERROR(VLOOKUP($A84,[1]플랫폼2!$A:$M,12,FALSE),0)+IFERROR(VLOOKUP($A84,[1]플랫폼2!$A:$M,13,FALSE),0)</f>
        <v>468956.5</v>
      </c>
      <c r="Q84" s="44">
        <f>IFERROR(VLOOKUP($A84,[1]플랫폼2!$A:$M,7,FALSE),0)+IFERROR(VLOOKUP($A84,[1]플랫폼2!$A:$M,12,FALSE),0)</f>
        <v>468956.5</v>
      </c>
      <c r="R84" s="44">
        <f>IFERROR(VLOOKUP($A84,[1]모바일!$A:$S,17,FALSE),0)</f>
        <v>0</v>
      </c>
      <c r="S84" s="44">
        <f>IFERROR(VLOOKUP($A84,[1]모바일!$A:$S,18,FALSE),0)</f>
        <v>0</v>
      </c>
      <c r="T84" s="43">
        <f>IFERROR(VLOOKUP(A84,[1]플랫폼2!$A:$O,15,0),0)</f>
        <v>186551</v>
      </c>
      <c r="U84" s="83"/>
    </row>
    <row r="85" spans="1:21" hidden="1" outlineLevel="1" x14ac:dyDescent="0.45">
      <c r="A85" s="29" t="s">
        <v>246</v>
      </c>
      <c r="B85" s="44">
        <f>'1월'!B85+'2월'!B85+'3월'!B85+'4월'!B85+'5월'!B85+'6월'!B85+'7월'!B85+'8월'!B85+'9월'!B85+'10월'!B85+'11월'!B85+'12월'!B85</f>
        <v>156000000</v>
      </c>
      <c r="C85" s="44">
        <f>'1월'!C85+'2월'!C85+'3월'!C85+'4월'!C85+'5월'!C85+'6월'!C85+'7월'!C85+'8월'!C85+'9월'!C85+'10월'!C85+'11월'!C85+'12월'!C85</f>
        <v>12250000</v>
      </c>
      <c r="D85" s="44">
        <f>'1월'!D85+'2월'!D85+'3월'!D85+'4월'!D85+'5월'!D85+'6월'!D85+'7월'!D85+'8월'!D85+'9월'!D85+'10월'!D85+'11월'!D85+'12월'!D85</f>
        <v>0</v>
      </c>
      <c r="E85" s="44">
        <f>'1월'!E85+'2월'!E85+'3월'!E85+'4월'!E85+'5월'!E85+'6월'!E85+'7월'!E85+'8월'!E85+'9월'!E85+'10월'!E85+'11월'!E85+'12월'!E85</f>
        <v>143750000</v>
      </c>
      <c r="F85" s="44">
        <f>'1월'!F85+'2월'!F85+'3월'!F85+'4월'!F85+'5월'!F85+'6월'!F85+'7월'!F85+'8월'!F85+'9월'!F85+'10월'!F85+'11월'!F85+'12월'!F85</f>
        <v>117550000</v>
      </c>
      <c r="G85" s="44">
        <f>'1월'!H85+'2월'!G85+'3월'!G85+'4월'!G85+'5월'!G85+'6월'!G85+'7월'!G85+'8월'!G85+'9월'!G85+'10월'!G85+'11월'!G85+'12월'!G85</f>
        <v>16200000</v>
      </c>
      <c r="H85" s="44">
        <f>'1월'!J85+'2월'!H85+'3월'!H85+'4월'!H85+'5월'!H85+'6월'!H85+'7월'!H85+'8월'!H85+'9월'!H85+'10월'!H85+'11월'!H85+'12월'!H85</f>
        <v>0</v>
      </c>
      <c r="I85" s="44">
        <f>'1월'!K85+'2월'!I85+'3월'!I85+'4월'!I85+'5월'!I85+'6월'!I85+'7월'!I85+'8월'!I85+'9월'!I85+'10월'!I85+'11월'!I85+'12월'!I85</f>
        <v>0</v>
      </c>
      <c r="J85" s="44">
        <f>'1월'!L85+'2월'!J85+'3월'!J85+'4월'!J85+'5월'!J85+'6월'!J85+'7월'!J85+'8월'!J85+'9월'!J85+'10월'!J85+'11월'!J85+'12월'!J85</f>
        <v>0</v>
      </c>
      <c r="K85" s="44">
        <f>'1월'!M85+'2월'!K85+'3월'!K85+'4월'!K85+'5월'!K85+'6월'!K85+'7월'!K85+'8월'!K85+'9월'!K85+'10월'!K85+'11월'!K85+'12월'!K85</f>
        <v>0</v>
      </c>
      <c r="L85" s="44">
        <f>'1월'!N85+'2월'!L85+'3월'!L85+'4월'!L85+'5월'!L85+'6월'!L85+'7월'!L85+'8월'!L85+'9월'!L85+'10월'!L85+'11월'!L85+'12월'!L85</f>
        <v>10000000</v>
      </c>
      <c r="M85" s="44">
        <f>'1월'!O85+'2월'!M85+'3월'!M85+'4월'!M85+'5월'!M85+'6월'!M85+'7월'!M85+'8월'!M85+'9월'!M85+'10월'!M85+'11월'!M85+'12월'!M85</f>
        <v>0</v>
      </c>
      <c r="O85" s="44">
        <f>IFERROR(VLOOKUP($A85,[1]플랫폼1!$A:$B,2,FALSE),0)</f>
        <v>0</v>
      </c>
      <c r="P85" s="44">
        <f>IFERROR(VLOOKUP($A85,[1]플랫폼2!$A:$M,12,FALSE),0)+IFERROR(VLOOKUP($A85,[1]플랫폼2!$A:$M,13,FALSE),0)</f>
        <v>0</v>
      </c>
      <c r="Q85" s="44">
        <f>IFERROR(VLOOKUP($A85,[1]플랫폼2!$A:$M,7,FALSE),0)+IFERROR(VLOOKUP($A85,[1]플랫폼2!$A:$M,12,FALSE),0)</f>
        <v>0</v>
      </c>
      <c r="R85" s="44">
        <f>IFERROR(VLOOKUP($A85,[1]모바일!$A:$S,17,FALSE),0)</f>
        <v>0</v>
      </c>
      <c r="S85" s="44">
        <f>IFERROR(VLOOKUP($A85,[1]모바일!$A:$S,18,FALSE),0)</f>
        <v>0</v>
      </c>
      <c r="T85" s="43">
        <f>IFERROR(VLOOKUP(A85,[1]플랫폼2!$A:$O,15,0),0)</f>
        <v>0</v>
      </c>
      <c r="U85" s="83"/>
    </row>
    <row r="86" spans="1:21" hidden="1" outlineLevel="1" x14ac:dyDescent="0.45">
      <c r="A86" s="29" t="s">
        <v>48</v>
      </c>
      <c r="B86" s="44">
        <f>'1월'!B86+'2월'!B86+'3월'!B86+'4월'!B86+'5월'!B86+'6월'!B86+'7월'!B86+'8월'!B86+'9월'!B86+'10월'!B86+'11월'!B86+'12월'!B86</f>
        <v>798824590</v>
      </c>
      <c r="C86" s="44">
        <f>'1월'!C86+'2월'!C86+'3월'!C86+'4월'!C86+'5월'!C86+'6월'!C86+'7월'!C86+'8월'!C86+'9월'!C86+'10월'!C86+'11월'!C86+'12월'!C86</f>
        <v>68695510.960090533</v>
      </c>
      <c r="D86" s="44">
        <f>'1월'!D86+'2월'!D86+'3월'!D86+'4월'!D86+'5월'!D86+'6월'!D86+'7월'!D86+'8월'!D86+'9월'!D86+'10월'!D86+'11월'!D86+'12월'!D86</f>
        <v>38765920</v>
      </c>
      <c r="E86" s="44">
        <f>'1월'!E86+'2월'!E86+'3월'!E86+'4월'!E86+'5월'!E86+'6월'!E86+'7월'!E86+'8월'!E86+'9월'!E86+'10월'!E86+'11월'!E86+'12월'!E86</f>
        <v>691363159.03990948</v>
      </c>
      <c r="F86" s="44">
        <f>'1월'!F86+'2월'!F86+'3월'!F86+'4월'!F86+'5월'!F86+'6월'!F86+'7월'!F86+'8월'!F86+'9월'!F86+'10월'!F86+'11월'!F86+'12월'!F86</f>
        <v>385709646.34823513</v>
      </c>
      <c r="G86" s="44">
        <f>'1월'!H86+'2월'!G86+'3월'!G86+'4월'!G86+'5월'!G86+'6월'!G86+'7월'!G86+'8월'!G86+'9월'!G86+'10월'!G86+'11월'!G86+'12월'!G86</f>
        <v>158238566.53316534</v>
      </c>
      <c r="H86" s="44">
        <f>'1월'!J86+'2월'!H86+'3월'!H86+'4월'!H86+'5월'!H86+'6월'!H86+'7월'!H86+'8월'!H86+'9월'!H86+'10월'!H86+'11월'!H86+'12월'!H86</f>
        <v>37698097.118599571</v>
      </c>
      <c r="I86" s="44">
        <f>'1월'!K86+'2월'!I86+'3월'!I86+'4월'!I86+'5월'!I86+'6월'!I86+'7월'!I86+'8월'!I86+'9월'!I86+'10월'!I86+'11월'!I86+'12월'!I86</f>
        <v>6993147.7772189258</v>
      </c>
      <c r="J86" s="44">
        <f>'1월'!L86+'2월'!J86+'3월'!J86+'4월'!J86+'5월'!J86+'6월'!J86+'7월'!J86+'8월'!J86+'9월'!J86+'10월'!J86+'11월'!J86+'12월'!J86</f>
        <v>8770081.1373328436</v>
      </c>
      <c r="K86" s="44">
        <f>'1월'!M86+'2월'!K86+'3월'!K86+'4월'!K86+'5월'!K86+'6월'!K86+'7월'!K86+'8월'!K86+'9월'!K86+'10월'!K86+'11월'!K86+'12월'!K86</f>
        <v>36108011.760747805</v>
      </c>
      <c r="L86" s="44">
        <f>'1월'!N86+'2월'!L86+'3월'!L86+'4월'!L86+'5월'!L86+'6월'!L86+'7월'!L86+'8월'!L86+'9월'!L86+'10월'!L86+'11월'!L86+'12월'!L86</f>
        <v>49557438.364609882</v>
      </c>
      <c r="M86" s="44">
        <f>'1월'!O86+'2월'!M86+'3월'!M86+'4월'!M86+'5월'!M86+'6월'!M86+'7월'!M86+'8월'!M86+'9월'!M86+'10월'!M86+'11월'!M86+'12월'!M86</f>
        <v>8288170</v>
      </c>
      <c r="O86" s="44">
        <f>IFERROR(VLOOKUP($A86,[1]플랫폼1!$A:$B,2,FALSE),0)</f>
        <v>1352050</v>
      </c>
      <c r="P86" s="44">
        <f>IFERROR(VLOOKUP($A86,[1]플랫폼2!$A:$M,12,FALSE),0)+IFERROR(VLOOKUP($A86,[1]플랫폼2!$A:$M,13,FALSE),0)</f>
        <v>1651025</v>
      </c>
      <c r="Q86" s="44">
        <f>IFERROR(VLOOKUP($A86,[1]플랫폼2!$A:$M,7,FALSE),0)+IFERROR(VLOOKUP($A86,[1]플랫폼2!$A:$M,12,FALSE),0)</f>
        <v>1651025</v>
      </c>
      <c r="R86" s="44">
        <f>IFERROR(VLOOKUP($A86,[1]모바일!$A:$S,17,FALSE),0)</f>
        <v>277675</v>
      </c>
      <c r="S86" s="44">
        <f>IFERROR(VLOOKUP($A86,[1]모바일!$A:$S,18,FALSE),0)</f>
        <v>277675</v>
      </c>
      <c r="T86" s="43">
        <f>IFERROR(VLOOKUP(A86,[1]플랫폼2!$A:$O,15,0),0)</f>
        <v>3078720</v>
      </c>
      <c r="U86" s="83"/>
    </row>
    <row r="87" spans="1:21" hidden="1" outlineLevel="1" x14ac:dyDescent="0.45">
      <c r="A87" s="29" t="s">
        <v>49</v>
      </c>
      <c r="B87" s="44">
        <f>'1월'!B87+'2월'!B87+'3월'!B87+'4월'!B87+'5월'!B87+'6월'!B87+'7월'!B87+'8월'!B87+'9월'!B87+'10월'!B87+'11월'!B87+'12월'!B87</f>
        <v>106935160</v>
      </c>
      <c r="C87" s="44">
        <f>'1월'!C87+'2월'!C87+'3월'!C87+'4월'!C87+'5월'!C87+'6월'!C87+'7월'!C87+'8월'!C87+'9월'!C87+'10월'!C87+'11월'!C87+'12월'!C87</f>
        <v>7194584.9293422326</v>
      </c>
      <c r="D87" s="44">
        <f>'1월'!D87+'2월'!D87+'3월'!D87+'4월'!D87+'5월'!D87+'6월'!D87+'7월'!D87+'8월'!D87+'9월'!D87+'10월'!D87+'11월'!D87+'12월'!D87</f>
        <v>2096600</v>
      </c>
      <c r="E87" s="44">
        <f>'1월'!E87+'2월'!E87+'3월'!E87+'4월'!E87+'5월'!E87+'6월'!E87+'7월'!E87+'8월'!E87+'9월'!E87+'10월'!E87+'11월'!E87+'12월'!E87</f>
        <v>97643975.07065776</v>
      </c>
      <c r="F87" s="44">
        <f>'1월'!F87+'2월'!F87+'3월'!F87+'4월'!F87+'5월'!F87+'6월'!F87+'7월'!F87+'8월'!F87+'9월'!F87+'10월'!F87+'11월'!F87+'12월'!F87</f>
        <v>62842700.054488793</v>
      </c>
      <c r="G87" s="44">
        <f>'1월'!H87+'2월'!G87+'3월'!G87+'4월'!G87+'5월'!G87+'6월'!G87+'7월'!G87+'8월'!G87+'9월'!G87+'10월'!G87+'11월'!G87+'12월'!G87</f>
        <v>20425082.313624673</v>
      </c>
      <c r="H87" s="44">
        <f>'1월'!J87+'2월'!H87+'3월'!H87+'4월'!H87+'5월'!H87+'6월'!H87+'7월'!H87+'8월'!H87+'9월'!H87+'10월'!H87+'11월'!H87+'12월'!H87</f>
        <v>2473077.6318865363</v>
      </c>
      <c r="I87" s="44">
        <f>'1월'!K87+'2월'!I87+'3월'!I87+'4월'!I87+'5월'!I87+'6월'!I87+'7월'!I87+'8월'!I87+'9월'!I87+'10월'!I87+'11월'!I87+'12월'!I87</f>
        <v>940843.65508845053</v>
      </c>
      <c r="J87" s="44">
        <f>'1월'!L87+'2월'!J87+'3월'!J87+'4월'!J87+'5월'!J87+'6월'!J87+'7월'!J87+'8월'!J87+'9월'!J87+'10월'!J87+'11월'!J87+'12월'!J87</f>
        <v>1181767.8874660733</v>
      </c>
      <c r="K87" s="44">
        <f>'1월'!M87+'2월'!K87+'3월'!K87+'4월'!K87+'5월'!K87+'6월'!K87+'7월'!K87+'8월'!K87+'9월'!K87+'10월'!K87+'11월'!K87+'12월'!K87</f>
        <v>3640733.7954631671</v>
      </c>
      <c r="L87" s="44">
        <f>'1월'!N87+'2월'!L87+'3월'!L87+'4월'!L87+'5월'!L87+'6월'!L87+'7월'!L87+'8월'!L87+'9월'!L87+'10월'!L87+'11월'!L87+'12월'!L87</f>
        <v>5058969.7326400774</v>
      </c>
      <c r="M87" s="44">
        <f>'1월'!O87+'2월'!M87+'3월'!M87+'4월'!M87+'5월'!M87+'6월'!M87+'7월'!M87+'8월'!M87+'9월'!M87+'10월'!M87+'11월'!M87+'12월'!M87</f>
        <v>1080800</v>
      </c>
      <c r="O87" s="44">
        <f>IFERROR(VLOOKUP($A87,[1]플랫폼1!$A:$B,2,FALSE),0)</f>
        <v>122300</v>
      </c>
      <c r="P87" s="44">
        <f>IFERROR(VLOOKUP($A87,[1]플랫폼2!$A:$M,12,FALSE),0)+IFERROR(VLOOKUP($A87,[1]플랫폼2!$A:$M,13,FALSE),0)</f>
        <v>454650</v>
      </c>
      <c r="Q87" s="44">
        <f>IFERROR(VLOOKUP($A87,[1]플랫폼2!$A:$M,7,FALSE),0)+IFERROR(VLOOKUP($A87,[1]플랫폼2!$A:$M,12,FALSE),0)</f>
        <v>454650</v>
      </c>
      <c r="R87" s="44">
        <f>IFERROR(VLOOKUP($A87,[1]모바일!$A:$S,17,FALSE),0)</f>
        <v>4100</v>
      </c>
      <c r="S87" s="44">
        <f>IFERROR(VLOOKUP($A87,[1]모바일!$A:$S,18,FALSE),0)</f>
        <v>4100</v>
      </c>
      <c r="T87" s="43">
        <f>IFERROR(VLOOKUP(A87,[1]플랫폼2!$A:$O,15,0),0)</f>
        <v>41000</v>
      </c>
      <c r="U87" s="83"/>
    </row>
    <row r="88" spans="1:21" hidden="1" outlineLevel="1" x14ac:dyDescent="0.45">
      <c r="A88" s="29" t="s">
        <v>182</v>
      </c>
      <c r="B88" s="44">
        <f>'1월'!B88+'2월'!B88+'3월'!B88+'4월'!B88+'5월'!B88+'6월'!B88+'7월'!B88+'8월'!B88+'9월'!B88+'10월'!B88+'11월'!B88+'12월'!B88</f>
        <v>800000</v>
      </c>
      <c r="C88" s="44">
        <f>'1월'!C88+'2월'!C88+'3월'!C88+'4월'!C88+'5월'!C88+'6월'!C88+'7월'!C88+'8월'!C88+'9월'!C88+'10월'!C88+'11월'!C88+'12월'!C88</f>
        <v>0</v>
      </c>
      <c r="D88" s="44">
        <f>'1월'!D88+'2월'!D88+'3월'!D88+'4월'!D88+'5월'!D88+'6월'!D88+'7월'!D88+'8월'!D88+'9월'!D88+'10월'!D88+'11월'!D88+'12월'!D88</f>
        <v>0</v>
      </c>
      <c r="E88" s="44">
        <f>'1월'!E88+'2월'!E88+'3월'!E88+'4월'!E88+'5월'!E88+'6월'!E88+'7월'!E88+'8월'!E88+'9월'!E88+'10월'!E88+'11월'!E88+'12월'!E88</f>
        <v>800000</v>
      </c>
      <c r="F88" s="44">
        <f>'1월'!F88+'2월'!F88+'3월'!F88+'4월'!F88+'5월'!F88+'6월'!F88+'7월'!F88+'8월'!F88+'9월'!F88+'10월'!F88+'11월'!F88+'12월'!F88</f>
        <v>0</v>
      </c>
      <c r="G88" s="44">
        <f>'1월'!H88+'2월'!G88+'3월'!G88+'4월'!G88+'5월'!G88+'6월'!G88+'7월'!G88+'8월'!G88+'9월'!G88+'10월'!G88+'11월'!G88+'12월'!G88</f>
        <v>0</v>
      </c>
      <c r="H88" s="44">
        <f>'1월'!J88+'2월'!H88+'3월'!H88+'4월'!H88+'5월'!H88+'6월'!H88+'7월'!H88+'8월'!H88+'9월'!H88+'10월'!H88+'11월'!H88+'12월'!H88</f>
        <v>0</v>
      </c>
      <c r="I88" s="44">
        <f>'1월'!K88+'2월'!I88+'3월'!I88+'4월'!I88+'5월'!I88+'6월'!I88+'7월'!I88+'8월'!I88+'9월'!I88+'10월'!I88+'11월'!I88+'12월'!I88</f>
        <v>114736.90690833384</v>
      </c>
      <c r="J88" s="44">
        <f>'1월'!L88+'2월'!J88+'3월'!J88+'4월'!J88+'5월'!J88+'6월'!J88+'7월'!J88+'8월'!J88+'9월'!J88+'10월'!J88+'11월'!J88+'12월'!J88</f>
        <v>105420.97031757671</v>
      </c>
      <c r="K88" s="44">
        <f>'1월'!M88+'2월'!K88+'3월'!K88+'4월'!K88+'5월'!K88+'6월'!K88+'7월'!K88+'8월'!K88+'9월'!K88+'10월'!K88+'11월'!K88+'12월'!K88</f>
        <v>497878.7458598722</v>
      </c>
      <c r="L88" s="44">
        <f>'1월'!N88+'2월'!L88+'3월'!L88+'4월'!L88+'5월'!L88+'6월'!L88+'7월'!L88+'8월'!L88+'9월'!L88+'10월'!L88+'11월'!L88+'12월'!L88</f>
        <v>81963.376914217224</v>
      </c>
      <c r="M88" s="44">
        <f>'1월'!O88+'2월'!M88+'3월'!M88+'4월'!M88+'5월'!M88+'6월'!M88+'7월'!M88+'8월'!M88+'9월'!M88+'10월'!M88+'11월'!M88+'12월'!M88</f>
        <v>0</v>
      </c>
      <c r="O88" s="44">
        <f>IFERROR(VLOOKUP($A88,[1]플랫폼1!$A:$B,2,FALSE),0)</f>
        <v>0</v>
      </c>
      <c r="P88" s="44">
        <f>IFERROR(VLOOKUP($A88,[1]플랫폼2!$A:$M,12,FALSE),0)+IFERROR(VLOOKUP($A88,[1]플랫폼2!$A:$M,13,FALSE),0)</f>
        <v>0</v>
      </c>
      <c r="Q88" s="44">
        <f>IFERROR(VLOOKUP($A88,[1]플랫폼2!$A:$M,7,FALSE),0)+IFERROR(VLOOKUP($A88,[1]플랫폼2!$A:$M,12,FALSE),0)</f>
        <v>0</v>
      </c>
      <c r="R88" s="44">
        <f>IFERROR(VLOOKUP($A88,[1]모바일!$A:$S,17,FALSE),0)</f>
        <v>0</v>
      </c>
      <c r="S88" s="44">
        <f>IFERROR(VLOOKUP($A88,[1]모바일!$A:$S,18,FALSE),0)</f>
        <v>0</v>
      </c>
      <c r="T88" s="43">
        <f>IFERROR(VLOOKUP(A88,[1]플랫폼2!$A:$O,15,0),0)</f>
        <v>0</v>
      </c>
      <c r="U88" s="83"/>
    </row>
    <row r="89" spans="1:21" hidden="1" outlineLevel="1" x14ac:dyDescent="0.45">
      <c r="A89" s="29" t="s">
        <v>50</v>
      </c>
      <c r="B89" s="44">
        <f>'1월'!B89+'2월'!B89+'3월'!B89+'4월'!B89+'5월'!B89+'6월'!B89+'7월'!B89+'8월'!B89+'9월'!B89+'10월'!B89+'11월'!B89+'12월'!B89</f>
        <v>26200000</v>
      </c>
      <c r="C89" s="44">
        <f>'1월'!C89+'2월'!C89+'3월'!C89+'4월'!C89+'5월'!C89+'6월'!C89+'7월'!C89+'8월'!C89+'9월'!C89+'10월'!C89+'11월'!C89+'12월'!C89</f>
        <v>6800000</v>
      </c>
      <c r="D89" s="44">
        <f>'1월'!D89+'2월'!D89+'3월'!D89+'4월'!D89+'5월'!D89+'6월'!D89+'7월'!D89+'8월'!D89+'9월'!D89+'10월'!D89+'11월'!D89+'12월'!D89</f>
        <v>1200000</v>
      </c>
      <c r="E89" s="44">
        <f>'1월'!E89+'2월'!E89+'3월'!E89+'4월'!E89+'5월'!E89+'6월'!E89+'7월'!E89+'8월'!E89+'9월'!E89+'10월'!E89+'11월'!E89+'12월'!E89</f>
        <v>18200000</v>
      </c>
      <c r="F89" s="44">
        <f>'1월'!F89+'2월'!F89+'3월'!F89+'4월'!F89+'5월'!F89+'6월'!F89+'7월'!F89+'8월'!F89+'9월'!F89+'10월'!F89+'11월'!F89+'12월'!F89</f>
        <v>8615728.732988175</v>
      </c>
      <c r="G89" s="44">
        <f>'1월'!H89+'2월'!G89+'3월'!G89+'4월'!G89+'5월'!G89+'6월'!G89+'7월'!G89+'8월'!G89+'9월'!G89+'10월'!G89+'11월'!G89+'12월'!G89</f>
        <v>5584271.267011825</v>
      </c>
      <c r="H89" s="44">
        <f>'1월'!J89+'2월'!H89+'3월'!H89+'4월'!H89+'5월'!H89+'6월'!H89+'7월'!H89+'8월'!H89+'9월'!H89+'10월'!H89+'11월'!H89+'12월'!H89</f>
        <v>300000</v>
      </c>
      <c r="I89" s="44">
        <f>'1월'!K89+'2월'!I89+'3월'!I89+'4월'!I89+'5월'!I89+'6월'!I89+'7월'!I89+'8월'!I89+'9월'!I89+'10월'!I89+'11월'!I89+'12월'!I89</f>
        <v>143421.1336354173</v>
      </c>
      <c r="J89" s="44">
        <f>'1월'!L89+'2월'!J89+'3월'!J89+'4월'!J89+'5월'!J89+'6월'!J89+'7월'!J89+'8월'!J89+'9월'!J89+'10월'!J89+'11월'!J89+'12월'!J89</f>
        <v>131776.21289697089</v>
      </c>
      <c r="K89" s="44">
        <f>'1월'!M89+'2월'!K89+'3월'!K89+'4월'!K89+'5월'!K89+'6월'!K89+'7월'!K89+'8월'!K89+'9월'!K89+'10월'!K89+'11월'!K89+'12월'!K89</f>
        <v>622348.43232484022</v>
      </c>
      <c r="L89" s="44">
        <f>'1월'!N89+'2월'!L89+'3월'!L89+'4월'!L89+'5월'!L89+'6월'!L89+'7월'!L89+'8월'!L89+'9월'!L89+'10월'!L89+'11월'!L89+'12월'!L89</f>
        <v>1902454.2211427714</v>
      </c>
      <c r="M89" s="44">
        <f>'1월'!O89+'2월'!M89+'3월'!M89+'4월'!M89+'5월'!M89+'6월'!M89+'7월'!M89+'8월'!M89+'9월'!M89+'10월'!M89+'11월'!M89+'12월'!M89</f>
        <v>900000</v>
      </c>
      <c r="O89" s="44">
        <f>IFERROR(VLOOKUP($A89,[1]플랫폼1!$A:$B,2,FALSE),0)</f>
        <v>300000</v>
      </c>
      <c r="P89" s="44">
        <f>IFERROR(VLOOKUP($A89,[1]플랫폼2!$A:$M,12,FALSE),0)+IFERROR(VLOOKUP($A89,[1]플랫폼2!$A:$M,13,FALSE),0)</f>
        <v>250000</v>
      </c>
      <c r="Q89" s="44">
        <f>IFERROR(VLOOKUP($A89,[1]플랫폼2!$A:$M,7,FALSE),0)+IFERROR(VLOOKUP($A89,[1]플랫폼2!$A:$M,12,FALSE),0)</f>
        <v>250000</v>
      </c>
      <c r="R89" s="44">
        <f>IFERROR(VLOOKUP($A89,[1]모바일!$A:$S,17,FALSE),0)</f>
        <v>8333.3333333333339</v>
      </c>
      <c r="S89" s="44">
        <f>IFERROR(VLOOKUP($A89,[1]모바일!$A:$S,18,FALSE),0)</f>
        <v>8333.3333333333339</v>
      </c>
      <c r="T89" s="43">
        <f>IFERROR(VLOOKUP(A89,[1]플랫폼2!$A:$O,15,0),0)</f>
        <v>83333.333333333343</v>
      </c>
      <c r="U89" s="83"/>
    </row>
    <row r="90" spans="1:21" hidden="1" outlineLevel="1" x14ac:dyDescent="0.45">
      <c r="A90" s="29" t="s">
        <v>183</v>
      </c>
      <c r="B90" s="44">
        <f>'1월'!B90+'2월'!B90+'3월'!B90+'4월'!B90+'5월'!B90+'6월'!B90+'7월'!B90+'8월'!B90+'9월'!B90+'10월'!B90+'11월'!B90+'12월'!B90</f>
        <v>10900000</v>
      </c>
      <c r="C90" s="44">
        <f>'1월'!C90+'2월'!C90+'3월'!C90+'4월'!C90+'5월'!C90+'6월'!C90+'7월'!C90+'8월'!C90+'9월'!C90+'10월'!C90+'11월'!C90+'12월'!C90</f>
        <v>500000</v>
      </c>
      <c r="D90" s="44">
        <f>'1월'!D90+'2월'!D90+'3월'!D90+'4월'!D90+'5월'!D90+'6월'!D90+'7월'!D90+'8월'!D90+'9월'!D90+'10월'!D90+'11월'!D90+'12월'!D90</f>
        <v>0</v>
      </c>
      <c r="E90" s="44">
        <f>'1월'!E90+'2월'!E90+'3월'!E90+'4월'!E90+'5월'!E90+'6월'!E90+'7월'!E90+'8월'!E90+'9월'!E90+'10월'!E90+'11월'!E90+'12월'!E90</f>
        <v>10400000</v>
      </c>
      <c r="F90" s="44">
        <f>'1월'!F90+'2월'!F90+'3월'!F90+'4월'!F90+'5월'!F90+'6월'!F90+'7월'!F90+'8월'!F90+'9월'!F90+'10월'!F90+'11월'!F90+'12월'!F90</f>
        <v>0</v>
      </c>
      <c r="G90" s="44">
        <f>'1월'!H90+'2월'!G90+'3월'!G90+'4월'!G90+'5월'!G90+'6월'!G90+'7월'!G90+'8월'!G90+'9월'!G90+'10월'!G90+'11월'!G90+'12월'!G90</f>
        <v>0</v>
      </c>
      <c r="H90" s="44">
        <f>'1월'!J90+'2월'!H90+'3월'!H90+'4월'!H90+'5월'!H90+'6월'!H90+'7월'!H90+'8월'!H90+'9월'!H90+'10월'!H90+'11월'!H90+'12월'!H90</f>
        <v>10400000</v>
      </c>
      <c r="I90" s="44">
        <f>'1월'!K90+'2월'!I90+'3월'!I90+'4월'!I90+'5월'!I90+'6월'!I90+'7월'!I90+'8월'!I90+'9월'!I90+'10월'!I90+'11월'!I90+'12월'!I90</f>
        <v>0</v>
      </c>
      <c r="J90" s="44">
        <f>'1월'!L90+'2월'!J90+'3월'!J90+'4월'!J90+'5월'!J90+'6월'!J90+'7월'!J90+'8월'!J90+'9월'!J90+'10월'!J90+'11월'!J90+'12월'!J90</f>
        <v>0</v>
      </c>
      <c r="K90" s="44">
        <f>'1월'!M90+'2월'!K90+'3월'!K90+'4월'!K90+'5월'!K90+'6월'!K90+'7월'!K90+'8월'!K90+'9월'!K90+'10월'!K90+'11월'!K90+'12월'!K90</f>
        <v>0</v>
      </c>
      <c r="L90" s="44">
        <f>'1월'!N90+'2월'!L90+'3월'!L90+'4월'!L90+'5월'!L90+'6월'!L90+'7월'!L90+'8월'!L90+'9월'!L90+'10월'!L90+'11월'!L90+'12월'!L90</f>
        <v>0</v>
      </c>
      <c r="M90" s="44">
        <f>'1월'!O90+'2월'!M90+'3월'!M90+'4월'!M90+'5월'!M90+'6월'!M90+'7월'!M90+'8월'!M90+'9월'!M90+'10월'!M90+'11월'!M90+'12월'!M90</f>
        <v>0</v>
      </c>
      <c r="O90" s="44">
        <f>IFERROR(VLOOKUP($A90,[1]플랫폼1!$A:$B,2,FALSE),0)</f>
        <v>0</v>
      </c>
      <c r="P90" s="44">
        <f>IFERROR(VLOOKUP($A90,[1]플랫폼2!$A:$M,12,FALSE),0)+IFERROR(VLOOKUP($A90,[1]플랫폼2!$A:$M,13,FALSE),0)</f>
        <v>0</v>
      </c>
      <c r="Q90" s="44">
        <f>IFERROR(VLOOKUP($A90,[1]플랫폼2!$A:$M,7,FALSE),0)+IFERROR(VLOOKUP($A90,[1]플랫폼2!$A:$M,12,FALSE),0)</f>
        <v>0</v>
      </c>
      <c r="R90" s="44">
        <f>IFERROR(VLOOKUP($A90,[1]모바일!$A:$S,17,FALSE),0)</f>
        <v>0</v>
      </c>
      <c r="S90" s="44">
        <f>IFERROR(VLOOKUP($A90,[1]모바일!$A:$S,18,FALSE),0)</f>
        <v>0</v>
      </c>
      <c r="T90" s="43">
        <f>IFERROR(VLOOKUP(A90,[1]플랫폼2!$A:$O,15,0),0)</f>
        <v>0</v>
      </c>
      <c r="U90" s="83"/>
    </row>
    <row r="91" spans="1:21" hidden="1" outlineLevel="1" x14ac:dyDescent="0.45">
      <c r="A91" s="29" t="s">
        <v>51</v>
      </c>
      <c r="B91" s="44">
        <f>'1월'!B91+'2월'!B91+'3월'!B91+'4월'!B91+'5월'!B91+'6월'!B91+'7월'!B91+'8월'!B91+'9월'!B91+'10월'!B91+'11월'!B91+'12월'!B91</f>
        <v>256200000</v>
      </c>
      <c r="C91" s="44">
        <f>'1월'!C91+'2월'!C91+'3월'!C91+'4월'!C91+'5월'!C91+'6월'!C91+'7월'!C91+'8월'!C91+'9월'!C91+'10월'!C91+'11월'!C91+'12월'!C91</f>
        <v>37300000</v>
      </c>
      <c r="D91" s="44">
        <f>'1월'!D91+'2월'!D91+'3월'!D91+'4월'!D91+'5월'!D91+'6월'!D91+'7월'!D91+'8월'!D91+'9월'!D91+'10월'!D91+'11월'!D91+'12월'!D91</f>
        <v>500000</v>
      </c>
      <c r="E91" s="44">
        <f>'1월'!E91+'2월'!E91+'3월'!E91+'4월'!E91+'5월'!E91+'6월'!E91+'7월'!E91+'8월'!E91+'9월'!E91+'10월'!E91+'11월'!E91+'12월'!E91</f>
        <v>218400000</v>
      </c>
      <c r="F91" s="44">
        <f>'1월'!F91+'2월'!F91+'3월'!F91+'4월'!F91+'5월'!F91+'6월'!F91+'7월'!F91+'8월'!F91+'9월'!F91+'10월'!F91+'11월'!F91+'12월'!F91</f>
        <v>143256355.30325478</v>
      </c>
      <c r="G91" s="44">
        <f>'1월'!H91+'2월'!G91+'3월'!G91+'4월'!G91+'5월'!G91+'6월'!G91+'7월'!G91+'8월'!G91+'9월'!G91+'10월'!G91+'11월'!G91+'12월'!G91</f>
        <v>54043644.696745202</v>
      </c>
      <c r="H91" s="44">
        <f>'1월'!J91+'2월'!H91+'3월'!H91+'4월'!H91+'5월'!H91+'6월'!H91+'7월'!H91+'8월'!H91+'9월'!H91+'10월'!H91+'11월'!H91+'12월'!H91</f>
        <v>400000</v>
      </c>
      <c r="I91" s="44">
        <f>'1월'!K91+'2월'!I91+'3월'!I91+'4월'!I91+'5월'!I91+'6월'!I91+'7월'!I91+'8월'!I91+'9월'!I91+'10월'!I91+'11월'!I91+'12월'!I91</f>
        <v>1350000</v>
      </c>
      <c r="J91" s="44">
        <f>'1월'!L91+'2월'!J91+'3월'!J91+'4월'!J91+'5월'!J91+'6월'!J91+'7월'!J91+'8월'!J91+'9월'!J91+'10월'!J91+'11월'!J91+'12월'!J91</f>
        <v>1150000</v>
      </c>
      <c r="K91" s="44">
        <f>'1월'!M91+'2월'!K91+'3월'!K91+'4월'!K91+'5월'!K91+'6월'!K91+'7월'!K91+'8월'!K91+'9월'!K91+'10월'!K91+'11월'!K91+'12월'!K91</f>
        <v>3500000</v>
      </c>
      <c r="L91" s="44">
        <f>'1월'!N91+'2월'!L91+'3월'!L91+'4월'!L91+'5월'!L91+'6월'!L91+'7월'!L91+'8월'!L91+'9월'!L91+'10월'!L91+'11월'!L91+'12월'!L91</f>
        <v>13200000</v>
      </c>
      <c r="M91" s="44">
        <f>'1월'!O91+'2월'!M91+'3월'!M91+'4월'!M91+'5월'!M91+'6월'!M91+'7월'!M91+'8월'!M91+'9월'!M91+'10월'!M91+'11월'!M91+'12월'!M91</f>
        <v>1500000</v>
      </c>
      <c r="O91" s="44">
        <f>IFERROR(VLOOKUP($A91,[1]플랫폼1!$A:$B,2,FALSE),0)</f>
        <v>0</v>
      </c>
      <c r="P91" s="44">
        <f>IFERROR(VLOOKUP($A91,[1]플랫폼2!$A:$M,12,FALSE),0)+IFERROR(VLOOKUP($A91,[1]플랫폼2!$A:$M,13,FALSE),0)</f>
        <v>650000</v>
      </c>
      <c r="Q91" s="44">
        <f>IFERROR(VLOOKUP($A91,[1]플랫폼2!$A:$M,7,FALSE),0)+IFERROR(VLOOKUP($A91,[1]플랫폼2!$A:$M,12,FALSE),0)</f>
        <v>650000</v>
      </c>
      <c r="R91" s="44">
        <f>IFERROR(VLOOKUP($A91,[1]모바일!$A:$S,17,FALSE),0)</f>
        <v>8333.3333333333339</v>
      </c>
      <c r="S91" s="44">
        <f>IFERROR(VLOOKUP($A91,[1]모바일!$A:$S,18,FALSE),0)</f>
        <v>8333.3333333333339</v>
      </c>
      <c r="T91" s="43">
        <f>IFERROR(VLOOKUP(A91,[1]플랫폼2!$A:$O,15,0),0)</f>
        <v>183333.33333333334</v>
      </c>
      <c r="U91" s="83"/>
    </row>
    <row r="92" spans="1:21" hidden="1" outlineLevel="1" x14ac:dyDescent="0.45">
      <c r="A92" s="31" t="s">
        <v>227</v>
      </c>
      <c r="B92" s="47">
        <f>'1월'!B92+'2월'!B92+'3월'!B92+'4월'!B92+'5월'!B92+'6월'!B92+'7월'!B92+'8월'!B92+'9월'!B92+'10월'!B92+'11월'!B92+'12월'!B92</f>
        <v>2800000</v>
      </c>
      <c r="C92" s="47">
        <f>'1월'!C92+'2월'!C92+'3월'!C92+'4월'!C92+'5월'!C92+'6월'!C92+'7월'!C92+'8월'!C92+'9월'!C92+'10월'!C92+'11월'!C92+'12월'!C92</f>
        <v>0</v>
      </c>
      <c r="D92" s="47">
        <f>'1월'!D92+'2월'!D92+'3월'!D92+'4월'!D92+'5월'!D92+'6월'!D92+'7월'!D92+'8월'!D92+'9월'!D92+'10월'!D92+'11월'!D92+'12월'!D92</f>
        <v>0</v>
      </c>
      <c r="E92" s="47">
        <f>'1월'!E92+'2월'!E92+'3월'!E92+'4월'!E92+'5월'!E92+'6월'!E92+'7월'!E92+'8월'!E92+'9월'!E92+'10월'!E92+'11월'!E92+'12월'!E92</f>
        <v>2800000</v>
      </c>
      <c r="F92" s="47">
        <f>'1월'!F92+'2월'!F92+'3월'!F92+'4월'!F92+'5월'!F92+'6월'!F92+'7월'!F92+'8월'!F92+'9월'!F92+'10월'!F92+'11월'!F92+'12월'!F92</f>
        <v>0</v>
      </c>
      <c r="G92" s="47">
        <f>'1월'!H92+'2월'!G92+'3월'!G92+'4월'!G92+'5월'!G92+'6월'!G92+'7월'!G92+'8월'!G92+'9월'!G92+'10월'!G92+'11월'!G92+'12월'!G92</f>
        <v>0</v>
      </c>
      <c r="H92" s="47">
        <f>'1월'!J92+'2월'!H92+'3월'!H92+'4월'!H92+'5월'!H92+'6월'!H92+'7월'!H92+'8월'!H92+'9월'!H92+'10월'!H92+'11월'!H92+'12월'!H92</f>
        <v>0</v>
      </c>
      <c r="I92" s="47">
        <f>'1월'!K92+'2월'!I92+'3월'!I92+'4월'!I92+'5월'!I92+'6월'!I92+'7월'!I92+'8월'!I92+'9월'!I92+'10월'!I92+'11월'!I92+'12월'!I92</f>
        <v>0</v>
      </c>
      <c r="J92" s="47">
        <f>'1월'!L92+'2월'!J92+'3월'!J92+'4월'!J92+'5월'!J92+'6월'!J92+'7월'!J92+'8월'!J92+'9월'!J92+'10월'!J92+'11월'!J92+'12월'!J92</f>
        <v>0</v>
      </c>
      <c r="K92" s="47">
        <f>'1월'!M92+'2월'!K92+'3월'!K92+'4월'!K92+'5월'!K92+'6월'!K92+'7월'!K92+'8월'!K92+'9월'!K92+'10월'!K92+'11월'!K92+'12월'!K92</f>
        <v>0</v>
      </c>
      <c r="L92" s="47">
        <f>'1월'!N92+'2월'!L92+'3월'!L92+'4월'!L92+'5월'!L92+'6월'!L92+'7월'!L92+'8월'!L92+'9월'!L92+'10월'!L92+'11월'!L92+'12월'!L92</f>
        <v>2800000</v>
      </c>
      <c r="M92" s="47">
        <f>'1월'!O92+'2월'!M92+'3월'!M92+'4월'!M92+'5월'!M92+'6월'!M92+'7월'!M92+'8월'!M92+'9월'!M92+'10월'!M92+'11월'!M92+'12월'!M92</f>
        <v>0</v>
      </c>
      <c r="O92" s="47">
        <f>IFERROR(VLOOKUP($A92,[1]플랫폼1!$A:$B,2,FALSE),0)</f>
        <v>0</v>
      </c>
      <c r="P92" s="47">
        <f>IFERROR(VLOOKUP($A92,[1]플랫폼2!$A:$M,12,FALSE),0)+IFERROR(VLOOKUP($A92,[1]플랫폼2!$A:$M,13,FALSE),0)</f>
        <v>0</v>
      </c>
      <c r="Q92" s="47">
        <f>IFERROR(VLOOKUP($A92,[1]플랫폼2!$A:$M,7,FALSE),0)+IFERROR(VLOOKUP($A92,[1]플랫폼2!$A:$M,12,FALSE),0)</f>
        <v>0</v>
      </c>
      <c r="R92" s="47">
        <f>IFERROR(VLOOKUP($A92,[1]모바일!$A:$S,17,FALSE),0)</f>
        <v>0</v>
      </c>
      <c r="S92" s="47">
        <f>IFERROR(VLOOKUP($A92,[1]모바일!$A:$S,18,FALSE),0)</f>
        <v>0</v>
      </c>
      <c r="T92" s="198">
        <f>IFERROR(VLOOKUP(A92,[1]플랫폼2!$A:$O,15,0),0)</f>
        <v>0</v>
      </c>
      <c r="U92" s="83"/>
    </row>
    <row r="93" spans="1:21" hidden="1" outlineLevel="1" x14ac:dyDescent="0.45">
      <c r="A93" s="29" t="s">
        <v>184</v>
      </c>
      <c r="B93" s="44">
        <f>'1월'!B93+'2월'!B93+'3월'!B93+'4월'!B93+'5월'!B93+'6월'!B93+'7월'!B93+'8월'!B93+'9월'!B93+'10월'!B93+'11월'!B93+'12월'!B93</f>
        <v>62800000</v>
      </c>
      <c r="C93" s="44">
        <f>'1월'!C93+'2월'!C93+'3월'!C93+'4월'!C93+'5월'!C93+'6월'!C93+'7월'!C93+'8월'!C93+'9월'!C93+'10월'!C93+'11월'!C93+'12월'!C93</f>
        <v>17700000</v>
      </c>
      <c r="D93" s="44">
        <f>'1월'!D93+'2월'!D93+'3월'!D93+'4월'!D93+'5월'!D93+'6월'!D93+'7월'!D93+'8월'!D93+'9월'!D93+'10월'!D93+'11월'!D93+'12월'!D93</f>
        <v>7200000</v>
      </c>
      <c r="E93" s="44">
        <f>'1월'!E93+'2월'!E93+'3월'!E93+'4월'!E93+'5월'!E93+'6월'!E93+'7월'!E93+'8월'!E93+'9월'!E93+'10월'!E93+'11월'!E93+'12월'!E93</f>
        <v>37900000</v>
      </c>
      <c r="F93" s="44">
        <f>'1월'!F93+'2월'!F93+'3월'!F93+'4월'!F93+'5월'!F93+'6월'!F93+'7월'!F93+'8월'!F93+'9월'!F93+'10월'!F93+'11월'!F93+'12월'!F93</f>
        <v>15880429.629171023</v>
      </c>
      <c r="G93" s="44">
        <f>'1월'!H93+'2월'!G93+'3월'!G93+'4월'!G93+'5월'!G93+'6월'!G93+'7월'!G93+'8월'!G93+'9월'!G93+'10월'!G93+'11월'!G93+'12월'!G93</f>
        <v>6469570.3708289769</v>
      </c>
      <c r="H93" s="44">
        <f>'1월'!J93+'2월'!H93+'3월'!H93+'4월'!H93+'5월'!H93+'6월'!H93+'7월'!H93+'8월'!H93+'9월'!H93+'10월'!H93+'11월'!H93+'12월'!H93</f>
        <v>3000000</v>
      </c>
      <c r="I93" s="44">
        <f>'1월'!K93+'2월'!I93+'3월'!I93+'4월'!I93+'5월'!I93+'6월'!I93+'7월'!I93+'8월'!I93+'9월'!I93+'10월'!I93+'11월'!I93+'12월'!I93</f>
        <v>1350000</v>
      </c>
      <c r="J93" s="44">
        <f>'1월'!L93+'2월'!J93+'3월'!J93+'4월'!J93+'5월'!J93+'6월'!J93+'7월'!J93+'8월'!J93+'9월'!J93+'10월'!J93+'11월'!J93+'12월'!J93</f>
        <v>1350000</v>
      </c>
      <c r="K93" s="44">
        <f>'1월'!M93+'2월'!K93+'3월'!K93+'4월'!K93+'5월'!K93+'6월'!K93+'7월'!K93+'8월'!K93+'9월'!K93+'10월'!K93+'11월'!K93+'12월'!K93</f>
        <v>900000</v>
      </c>
      <c r="L93" s="44">
        <f>'1월'!N93+'2월'!L93+'3월'!L93+'4월'!L93+'5월'!L93+'6월'!L93+'7월'!L93+'8월'!L93+'9월'!L93+'10월'!L93+'11월'!L93+'12월'!L93</f>
        <v>7750000</v>
      </c>
      <c r="M93" s="44">
        <f>'1월'!O93+'2월'!M93+'3월'!M93+'4월'!M93+'5월'!M93+'6월'!M93+'7월'!M93+'8월'!M93+'9월'!M93+'10월'!M93+'11월'!M93+'12월'!M93</f>
        <v>1200000</v>
      </c>
      <c r="O93" s="44">
        <f>IFERROR(VLOOKUP($A93,[1]플랫폼1!$A:$B,2,FALSE),0)</f>
        <v>0</v>
      </c>
      <c r="P93" s="44">
        <f>IFERROR(VLOOKUP($A93,[1]플랫폼2!$A:$M,12,FALSE),0)+IFERROR(VLOOKUP($A93,[1]플랫폼2!$A:$M,13,FALSE),0)</f>
        <v>525000</v>
      </c>
      <c r="Q93" s="44">
        <f>IFERROR(VLOOKUP($A93,[1]플랫폼2!$A:$M,7,FALSE),0)+IFERROR(VLOOKUP($A93,[1]플랫폼2!$A:$M,12,FALSE),0)</f>
        <v>525000</v>
      </c>
      <c r="R93" s="44">
        <f>IFERROR(VLOOKUP($A93,[1]모바일!$A:$S,17,FALSE),0)</f>
        <v>12500</v>
      </c>
      <c r="S93" s="44">
        <f>IFERROR(VLOOKUP($A93,[1]모바일!$A:$S,18,FALSE),0)</f>
        <v>12500</v>
      </c>
      <c r="T93" s="43">
        <f>IFERROR(VLOOKUP(A93,[1]플랫폼2!$A:$O,15,0),0)</f>
        <v>125000</v>
      </c>
      <c r="U93" s="83"/>
    </row>
    <row r="94" spans="1:21" hidden="1" outlineLevel="1" x14ac:dyDescent="0.45">
      <c r="A94" s="31" t="s">
        <v>185</v>
      </c>
      <c r="B94" s="47">
        <f>'1월'!B94+'2월'!B94+'3월'!B94+'4월'!B94+'5월'!B94+'6월'!B94+'7월'!B94+'8월'!B94+'9월'!B94+'10월'!B94+'11월'!B94+'12월'!B94</f>
        <v>9500000</v>
      </c>
      <c r="C94" s="47">
        <f>'1월'!C94+'2월'!C94+'3월'!C94+'4월'!C94+'5월'!C94+'6월'!C94+'7월'!C94+'8월'!C94+'9월'!C94+'10월'!C94+'11월'!C94+'12월'!C94</f>
        <v>1200000</v>
      </c>
      <c r="D94" s="47">
        <f>'1월'!D94+'2월'!D94+'3월'!D94+'4월'!D94+'5월'!D94+'6월'!D94+'7월'!D94+'8월'!D94+'9월'!D94+'10월'!D94+'11월'!D94+'12월'!D94</f>
        <v>0</v>
      </c>
      <c r="E94" s="47">
        <f>'1월'!E94+'2월'!E94+'3월'!E94+'4월'!E94+'5월'!E94+'6월'!E94+'7월'!E94+'8월'!E94+'9월'!E94+'10월'!E94+'11월'!E94+'12월'!E94</f>
        <v>8300000</v>
      </c>
      <c r="F94" s="47">
        <f>'1월'!F94+'2월'!F94+'3월'!F94+'4월'!F94+'5월'!F94+'6월'!F94+'7월'!F94+'8월'!F94+'9월'!F94+'10월'!F94+'11월'!F94+'12월'!F94</f>
        <v>0</v>
      </c>
      <c r="G94" s="47">
        <f>'1월'!H94+'2월'!G94+'3월'!G94+'4월'!G94+'5월'!G94+'6월'!G94+'7월'!G94+'8월'!G94+'9월'!G94+'10월'!G94+'11월'!G94+'12월'!G94</f>
        <v>0</v>
      </c>
      <c r="H94" s="47">
        <f>'1월'!J94+'2월'!H94+'3월'!H94+'4월'!H94+'5월'!H94+'6월'!H94+'7월'!H94+'8월'!H94+'9월'!H94+'10월'!H94+'11월'!H94+'12월'!H94</f>
        <v>7700000</v>
      </c>
      <c r="I94" s="47">
        <f>'1월'!K94+'2월'!I94+'3월'!I94+'4월'!I94+'5월'!I94+'6월'!I94+'7월'!I94+'8월'!I94+'9월'!I94+'10월'!I94+'11월'!I94+'12월'!I94</f>
        <v>0</v>
      </c>
      <c r="J94" s="47">
        <f>'1월'!L94+'2월'!J94+'3월'!J94+'4월'!J94+'5월'!J94+'6월'!J94+'7월'!J94+'8월'!J94+'9월'!J94+'10월'!J94+'11월'!J94+'12월'!J94</f>
        <v>0</v>
      </c>
      <c r="K94" s="47">
        <f>'1월'!M94+'2월'!K94+'3월'!K94+'4월'!K94+'5월'!K94+'6월'!K94+'7월'!K94+'8월'!K94+'9월'!K94+'10월'!K94+'11월'!K94+'12월'!K94</f>
        <v>600000</v>
      </c>
      <c r="L94" s="47">
        <f>'1월'!N94+'2월'!L94+'3월'!L94+'4월'!L94+'5월'!L94+'6월'!L94+'7월'!L94+'8월'!L94+'9월'!L94+'10월'!L94+'11월'!L94+'12월'!L94</f>
        <v>0</v>
      </c>
      <c r="M94" s="47">
        <f>'1월'!O94+'2월'!M94+'3월'!M94+'4월'!M94+'5월'!M94+'6월'!M94+'7월'!M94+'8월'!M94+'9월'!M94+'10월'!M94+'11월'!M94+'12월'!M94</f>
        <v>0</v>
      </c>
      <c r="O94" s="47">
        <f>IFERROR(VLOOKUP($A94,[1]플랫폼1!$A:$B,2,FALSE),0)</f>
        <v>0</v>
      </c>
      <c r="P94" s="47">
        <f>IFERROR(VLOOKUP($A94,[1]플랫폼2!$A:$M,12,FALSE),0)+IFERROR(VLOOKUP($A94,[1]플랫폼2!$A:$M,13,FALSE),0)</f>
        <v>0</v>
      </c>
      <c r="Q94" s="47">
        <f>IFERROR(VLOOKUP($A94,[1]플랫폼2!$A:$M,7,FALSE),0)+IFERROR(VLOOKUP($A94,[1]플랫폼2!$A:$M,12,FALSE),0)</f>
        <v>0</v>
      </c>
      <c r="R94" s="47">
        <f>IFERROR(VLOOKUP($A94,[1]모바일!$A:$S,17,FALSE),0)</f>
        <v>0</v>
      </c>
      <c r="S94" s="47">
        <f>IFERROR(VLOOKUP($A94,[1]모바일!$A:$S,18,FALSE),0)</f>
        <v>0</v>
      </c>
      <c r="T94" s="198">
        <f>IFERROR(VLOOKUP(A94,[1]플랫폼2!$A:$O,15,0),0)</f>
        <v>0</v>
      </c>
      <c r="U94" s="83"/>
    </row>
    <row r="95" spans="1:21" hidden="1" outlineLevel="1" x14ac:dyDescent="0.45">
      <c r="A95" s="29" t="s">
        <v>186</v>
      </c>
      <c r="B95" s="44">
        <f>'1월'!B95+'2월'!B95+'3월'!B95+'4월'!B95+'5월'!B95+'6월'!B95+'7월'!B95+'8월'!B95+'9월'!B95+'10월'!B95+'11월'!B95+'12월'!B95</f>
        <v>201450000</v>
      </c>
      <c r="C95" s="44">
        <f>'1월'!C95+'2월'!C95+'3월'!C95+'4월'!C95+'5월'!C95+'6월'!C95+'7월'!C95+'8월'!C95+'9월'!C95+'10월'!C95+'11월'!C95+'12월'!C95</f>
        <v>9050000</v>
      </c>
      <c r="D95" s="44">
        <f>'1월'!D95+'2월'!D95+'3월'!D95+'4월'!D95+'5월'!D95+'6월'!D95+'7월'!D95+'8월'!D95+'9월'!D95+'10월'!D95+'11월'!D95+'12월'!D95</f>
        <v>8500000</v>
      </c>
      <c r="E95" s="44">
        <f>'1월'!E95+'2월'!E95+'3월'!E95+'4월'!E95+'5월'!E95+'6월'!E95+'7월'!E95+'8월'!E95+'9월'!E95+'10월'!E95+'11월'!E95+'12월'!E95</f>
        <v>183900000</v>
      </c>
      <c r="F95" s="44">
        <f>'1월'!F95+'2월'!F95+'3월'!F95+'4월'!F95+'5월'!F95+'6월'!F95+'7월'!F95+'8월'!F95+'9월'!F95+'10월'!F95+'11월'!F95+'12월'!F95</f>
        <v>97113086.99556078</v>
      </c>
      <c r="G95" s="44">
        <f>'1월'!H95+'2월'!G95+'3월'!G95+'4월'!G95+'5월'!G95+'6월'!G95+'7월'!G95+'8월'!G95+'9월'!G95+'10월'!G95+'11월'!G95+'12월'!G95</f>
        <v>55086913.00443922</v>
      </c>
      <c r="H95" s="44">
        <f>'1월'!J95+'2월'!H95+'3월'!H95+'4월'!H95+'5월'!H95+'6월'!H95+'7월'!H95+'8월'!H95+'9월'!H95+'10월'!H95+'11월'!H95+'12월'!H95</f>
        <v>1650000</v>
      </c>
      <c r="I95" s="44">
        <f>'1월'!K95+'2월'!I95+'3월'!I95+'4월'!I95+'5월'!I95+'6월'!I95+'7월'!I95+'8월'!I95+'9월'!I95+'10월'!I95+'11월'!I95+'12월'!I95</f>
        <v>1500000</v>
      </c>
      <c r="J95" s="44">
        <f>'1월'!L95+'2월'!J95+'3월'!J95+'4월'!J95+'5월'!J95+'6월'!J95+'7월'!J95+'8월'!J95+'9월'!J95+'10월'!J95+'11월'!J95+'12월'!J95</f>
        <v>2850000</v>
      </c>
      <c r="K95" s="44">
        <f>'1월'!M95+'2월'!K95+'3월'!K95+'4월'!K95+'5월'!K95+'6월'!K95+'7월'!K95+'8월'!K95+'9월'!K95+'10월'!K95+'11월'!K95+'12월'!K95</f>
        <v>8150000</v>
      </c>
      <c r="L95" s="44">
        <f>'1월'!N95+'2월'!L95+'3월'!L95+'4월'!L95+'5월'!L95+'6월'!L95+'7월'!L95+'8월'!L95+'9월'!L95+'10월'!L95+'11월'!L95+'12월'!L95</f>
        <v>17550000</v>
      </c>
      <c r="M95" s="44">
        <f>'1월'!O95+'2월'!M95+'3월'!M95+'4월'!M95+'5월'!M95+'6월'!M95+'7월'!M95+'8월'!M95+'9월'!M95+'10월'!M95+'11월'!M95+'12월'!M95</f>
        <v>0</v>
      </c>
      <c r="O95" s="44">
        <f>IFERROR(VLOOKUP($A95,[1]플랫폼1!$A:$B,2,FALSE),0)</f>
        <v>0</v>
      </c>
      <c r="P95" s="44">
        <f>IFERROR(VLOOKUP($A95,[1]플랫폼2!$A:$M,12,FALSE),0)+IFERROR(VLOOKUP($A95,[1]플랫폼2!$A:$M,13,FALSE),0)</f>
        <v>0</v>
      </c>
      <c r="Q95" s="44">
        <f>IFERROR(VLOOKUP($A95,[1]플랫폼2!$A:$M,7,FALSE),0)+IFERROR(VLOOKUP($A95,[1]플랫폼2!$A:$M,12,FALSE),0)</f>
        <v>0</v>
      </c>
      <c r="R95" s="44">
        <f>IFERROR(VLOOKUP($A95,[1]모바일!$A:$S,17,FALSE),0)</f>
        <v>0</v>
      </c>
      <c r="S95" s="44">
        <f>IFERROR(VLOOKUP($A95,[1]모바일!$A:$S,18,FALSE),0)</f>
        <v>0</v>
      </c>
      <c r="T95" s="43">
        <f>IFERROR(VLOOKUP(A95,[1]플랫폼2!$A:$O,15,0),0)</f>
        <v>0</v>
      </c>
      <c r="U95" s="83"/>
    </row>
    <row r="96" spans="1:21" hidden="1" outlineLevel="1" x14ac:dyDescent="0.45">
      <c r="A96" s="31" t="s">
        <v>228</v>
      </c>
      <c r="B96" s="47">
        <f>'1월'!B96+'2월'!B96+'3월'!B96+'4월'!B96+'5월'!B96+'6월'!B96+'7월'!B96+'8월'!B96+'9월'!B96+'10월'!B96+'11월'!B96+'12월'!B96</f>
        <v>0</v>
      </c>
      <c r="C96" s="47">
        <f>'1월'!C96+'2월'!C96+'3월'!C96+'4월'!C96+'5월'!C96+'6월'!C96+'7월'!C96+'8월'!C96+'9월'!C96+'10월'!C96+'11월'!C96+'12월'!C96</f>
        <v>0</v>
      </c>
      <c r="D96" s="47">
        <f>'1월'!D96+'2월'!D96+'3월'!D96+'4월'!D96+'5월'!D96+'6월'!D96+'7월'!D96+'8월'!D96+'9월'!D96+'10월'!D96+'11월'!D96+'12월'!D96</f>
        <v>0</v>
      </c>
      <c r="E96" s="47">
        <f>'1월'!E96+'2월'!E96+'3월'!E96+'4월'!E96+'5월'!E96+'6월'!E96+'7월'!E96+'8월'!E96+'9월'!E96+'10월'!E96+'11월'!E96+'12월'!E96</f>
        <v>0</v>
      </c>
      <c r="F96" s="47">
        <f>'1월'!F96+'2월'!F96+'3월'!F96+'4월'!F96+'5월'!F96+'6월'!F96+'7월'!F96+'8월'!F96+'9월'!F96+'10월'!F96+'11월'!F96+'12월'!F96</f>
        <v>0</v>
      </c>
      <c r="G96" s="47">
        <f>'1월'!H96+'2월'!G96+'3월'!G96+'4월'!G96+'5월'!G96+'6월'!G96+'7월'!G96+'8월'!G96+'9월'!G96+'10월'!G96+'11월'!G96+'12월'!G96</f>
        <v>0</v>
      </c>
      <c r="H96" s="47">
        <f>'1월'!J96+'2월'!H96+'3월'!H96+'4월'!H96+'5월'!H96+'6월'!H96+'7월'!H96+'8월'!H96+'9월'!H96+'10월'!H96+'11월'!H96+'12월'!H96</f>
        <v>0</v>
      </c>
      <c r="I96" s="47">
        <f>'1월'!K96+'2월'!I96+'3월'!I96+'4월'!I96+'5월'!I96+'6월'!I96+'7월'!I96+'8월'!I96+'9월'!I96+'10월'!I96+'11월'!I96+'12월'!I96</f>
        <v>0</v>
      </c>
      <c r="J96" s="47">
        <f>'1월'!L96+'2월'!J96+'3월'!J96+'4월'!J96+'5월'!J96+'6월'!J96+'7월'!J96+'8월'!J96+'9월'!J96+'10월'!J96+'11월'!J96+'12월'!J96</f>
        <v>0</v>
      </c>
      <c r="K96" s="47">
        <f>'1월'!M96+'2월'!K96+'3월'!K96+'4월'!K96+'5월'!K96+'6월'!K96+'7월'!K96+'8월'!K96+'9월'!K96+'10월'!K96+'11월'!K96+'12월'!K96</f>
        <v>0</v>
      </c>
      <c r="L96" s="47">
        <f>'1월'!N96+'2월'!L96+'3월'!L96+'4월'!L96+'5월'!L96+'6월'!L96+'7월'!L96+'8월'!L96+'9월'!L96+'10월'!L96+'11월'!L96+'12월'!L96</f>
        <v>0</v>
      </c>
      <c r="M96" s="47">
        <f>'1월'!O96+'2월'!M96+'3월'!M96+'4월'!M96+'5월'!M96+'6월'!M96+'7월'!M96+'8월'!M96+'9월'!M96+'10월'!M96+'11월'!M96+'12월'!M96</f>
        <v>0</v>
      </c>
      <c r="O96" s="47">
        <f>IFERROR(VLOOKUP($A96,[1]플랫폼1!$A:$B,2,FALSE),0)</f>
        <v>0</v>
      </c>
      <c r="P96" s="47">
        <f>IFERROR(VLOOKUP($A96,[1]플랫폼2!$A:$M,12,FALSE),0)+IFERROR(VLOOKUP($A96,[1]플랫폼2!$A:$M,13,FALSE),0)</f>
        <v>0</v>
      </c>
      <c r="Q96" s="47">
        <f>IFERROR(VLOOKUP($A96,[1]플랫폼2!$A:$M,7,FALSE),0)+IFERROR(VLOOKUP($A96,[1]플랫폼2!$A:$M,12,FALSE),0)</f>
        <v>0</v>
      </c>
      <c r="R96" s="47">
        <f>IFERROR(VLOOKUP($A96,[1]모바일!$A:$S,17,FALSE),0)</f>
        <v>0</v>
      </c>
      <c r="S96" s="47">
        <f>IFERROR(VLOOKUP($A96,[1]모바일!$A:$S,18,FALSE),0)</f>
        <v>0</v>
      </c>
      <c r="T96" s="198">
        <f>IFERROR(VLOOKUP(A96,[1]플랫폼2!$A:$O,15,0),0)</f>
        <v>0</v>
      </c>
      <c r="U96" s="83"/>
    </row>
    <row r="97" spans="1:21" hidden="1" outlineLevel="1" x14ac:dyDescent="0.45">
      <c r="A97" s="29" t="s">
        <v>135</v>
      </c>
      <c r="B97" s="44">
        <f>'1월'!B97+'2월'!B97+'3월'!B97+'4월'!B97+'5월'!B97+'6월'!B97+'7월'!B97+'8월'!B97+'9월'!B97+'10월'!B97+'11월'!B97+'12월'!B97</f>
        <v>0</v>
      </c>
      <c r="C97" s="44">
        <f>'1월'!C97+'2월'!C97+'3월'!C97+'4월'!C97+'5월'!C97+'6월'!C97+'7월'!C97+'8월'!C97+'9월'!C97+'10월'!C97+'11월'!C97+'12월'!C97</f>
        <v>0</v>
      </c>
      <c r="D97" s="44">
        <f>'1월'!D97+'2월'!D97+'3월'!D97+'4월'!D97+'5월'!D97+'6월'!D97+'7월'!D97+'8월'!D97+'9월'!D97+'10월'!D97+'11월'!D97+'12월'!D97</f>
        <v>0</v>
      </c>
      <c r="E97" s="44">
        <f>'1월'!E97+'2월'!E97+'3월'!E97+'4월'!E97+'5월'!E97+'6월'!E97+'7월'!E97+'8월'!E97+'9월'!E97+'10월'!E97+'11월'!E97+'12월'!E97</f>
        <v>0</v>
      </c>
      <c r="F97" s="44">
        <f>'1월'!F97+'2월'!F97+'3월'!F97+'4월'!F97+'5월'!F97+'6월'!F97+'7월'!F97+'8월'!F97+'9월'!F97+'10월'!F97+'11월'!F97+'12월'!F97</f>
        <v>0</v>
      </c>
      <c r="G97" s="44">
        <f>'1월'!H97+'2월'!G97+'3월'!G97+'4월'!G97+'5월'!G97+'6월'!G97+'7월'!G97+'8월'!G97+'9월'!G97+'10월'!G97+'11월'!G97+'12월'!G97</f>
        <v>0</v>
      </c>
      <c r="H97" s="44">
        <f>'1월'!J97+'2월'!H97+'3월'!H97+'4월'!H97+'5월'!H97+'6월'!H97+'7월'!H97+'8월'!H97+'9월'!H97+'10월'!H97+'11월'!H97+'12월'!H97</f>
        <v>0</v>
      </c>
      <c r="I97" s="44">
        <f>'1월'!K97+'2월'!I97+'3월'!I97+'4월'!I97+'5월'!I97+'6월'!I97+'7월'!I97+'8월'!I97+'9월'!I97+'10월'!I97+'11월'!I97+'12월'!I97</f>
        <v>0</v>
      </c>
      <c r="J97" s="44">
        <f>'1월'!L97+'2월'!J97+'3월'!J97+'4월'!J97+'5월'!J97+'6월'!J97+'7월'!J97+'8월'!J97+'9월'!J97+'10월'!J97+'11월'!J97+'12월'!J97</f>
        <v>0</v>
      </c>
      <c r="K97" s="44">
        <f>'1월'!M97+'2월'!K97+'3월'!K97+'4월'!K97+'5월'!K97+'6월'!K97+'7월'!K97+'8월'!K97+'9월'!K97+'10월'!K97+'11월'!K97+'12월'!K97</f>
        <v>0</v>
      </c>
      <c r="L97" s="44">
        <f>'1월'!N97+'2월'!L97+'3월'!L97+'4월'!L97+'5월'!L97+'6월'!L97+'7월'!L97+'8월'!L97+'9월'!L97+'10월'!L97+'11월'!L97+'12월'!L97</f>
        <v>0</v>
      </c>
      <c r="M97" s="44">
        <f>'1월'!O97+'2월'!M97+'3월'!M97+'4월'!M97+'5월'!M97+'6월'!M97+'7월'!M97+'8월'!M97+'9월'!M97+'10월'!M97+'11월'!M97+'12월'!M97</f>
        <v>0</v>
      </c>
      <c r="O97" s="44">
        <f>IFERROR(VLOOKUP($A97,[1]플랫폼1!$A:$B,2,FALSE),0)</f>
        <v>0</v>
      </c>
      <c r="P97" s="44">
        <f>IFERROR(VLOOKUP($A97,[1]플랫폼2!$A:$M,12,FALSE),0)+IFERROR(VLOOKUP($A97,[1]플랫폼2!$A:$M,13,FALSE),0)</f>
        <v>0</v>
      </c>
      <c r="Q97" s="44">
        <f>IFERROR(VLOOKUP($A97,[1]플랫폼2!$A:$M,7,FALSE),0)+IFERROR(VLOOKUP($A97,[1]플랫폼2!$A:$M,12,FALSE),0)</f>
        <v>0</v>
      </c>
      <c r="R97" s="44">
        <f>IFERROR(VLOOKUP($A97,[1]모바일!$A:$S,17,FALSE),0)</f>
        <v>0</v>
      </c>
      <c r="S97" s="44">
        <f>IFERROR(VLOOKUP($A97,[1]모바일!$A:$S,18,FALSE),0)</f>
        <v>0</v>
      </c>
      <c r="T97" s="43">
        <f>IFERROR(VLOOKUP(A97,[1]플랫폼2!$A:$O,15,0),0)</f>
        <v>0</v>
      </c>
      <c r="U97" s="83"/>
    </row>
    <row r="98" spans="1:21" hidden="1" outlineLevel="1" x14ac:dyDescent="0.45">
      <c r="A98" s="29" t="s">
        <v>52</v>
      </c>
      <c r="B98" s="44">
        <f>'1월'!B98+'2월'!B98+'3월'!B98+'4월'!B98+'5월'!B98+'6월'!B98+'7월'!B98+'8월'!B98+'9월'!B98+'10월'!B98+'11월'!B98+'12월'!B98</f>
        <v>5642500</v>
      </c>
      <c r="C98" s="44">
        <f>'1월'!C98+'2월'!C98+'3월'!C98+'4월'!C98+'5월'!C98+'6월'!C98+'7월'!C98+'8월'!C98+'9월'!C98+'10월'!C98+'11월'!C98+'12월'!C98</f>
        <v>0</v>
      </c>
      <c r="D98" s="44">
        <f>'1월'!D98+'2월'!D98+'3월'!D98+'4월'!D98+'5월'!D98+'6월'!D98+'7월'!D98+'8월'!D98+'9월'!D98+'10월'!D98+'11월'!D98+'12월'!D98</f>
        <v>0</v>
      </c>
      <c r="E98" s="44">
        <f>'1월'!E98+'2월'!E98+'3월'!E98+'4월'!E98+'5월'!E98+'6월'!E98+'7월'!E98+'8월'!E98+'9월'!E98+'10월'!E98+'11월'!E98+'12월'!E98</f>
        <v>5642500</v>
      </c>
      <c r="F98" s="44">
        <f>'1월'!F98+'2월'!F98+'3월'!F98+'4월'!F98+'5월'!F98+'6월'!F98+'7월'!F98+'8월'!F98+'9월'!F98+'10월'!F98+'11월'!F98+'12월'!F98</f>
        <v>0</v>
      </c>
      <c r="G98" s="44">
        <f>'1월'!H98+'2월'!G98+'3월'!G98+'4월'!G98+'5월'!G98+'6월'!G98+'7월'!G98+'8월'!G98+'9월'!G98+'10월'!G98+'11월'!G98+'12월'!G98</f>
        <v>2442500</v>
      </c>
      <c r="H98" s="44">
        <f>'1월'!J98+'2월'!H98+'3월'!H98+'4월'!H98+'5월'!H98+'6월'!H98+'7월'!H98+'8월'!H98+'9월'!H98+'10월'!H98+'11월'!H98+'12월'!H98</f>
        <v>0</v>
      </c>
      <c r="I98" s="44">
        <f>'1월'!K98+'2월'!I98+'3월'!I98+'4월'!I98+'5월'!I98+'6월'!I98+'7월'!I98+'8월'!I98+'9월'!I98+'10월'!I98+'11월'!I98+'12월'!I98</f>
        <v>0</v>
      </c>
      <c r="J98" s="44">
        <f>'1월'!L98+'2월'!J98+'3월'!J98+'4월'!J98+'5월'!J98+'6월'!J98+'7월'!J98+'8월'!J98+'9월'!J98+'10월'!J98+'11월'!J98+'12월'!J98</f>
        <v>0</v>
      </c>
      <c r="K98" s="44">
        <f>'1월'!M98+'2월'!K98+'3월'!K98+'4월'!K98+'5월'!K98+'6월'!K98+'7월'!K98+'8월'!K98+'9월'!K98+'10월'!K98+'11월'!K98+'12월'!K98</f>
        <v>0</v>
      </c>
      <c r="L98" s="44">
        <f>'1월'!N98+'2월'!L98+'3월'!L98+'4월'!L98+'5월'!L98+'6월'!L98+'7월'!L98+'8월'!L98+'9월'!L98+'10월'!L98+'11월'!L98+'12월'!L98</f>
        <v>3200000</v>
      </c>
      <c r="M98" s="44">
        <f>'1월'!O98+'2월'!M98+'3월'!M98+'4월'!M98+'5월'!M98+'6월'!M98+'7월'!M98+'8월'!M98+'9월'!M98+'10월'!M98+'11월'!M98+'12월'!M98</f>
        <v>0</v>
      </c>
      <c r="O98" s="44">
        <f>IFERROR(VLOOKUP($A98,[1]플랫폼1!$A:$B,2,FALSE),0)</f>
        <v>0</v>
      </c>
      <c r="P98" s="44">
        <f>IFERROR(VLOOKUP($A98,[1]플랫폼2!$A:$M,12,FALSE),0)+IFERROR(VLOOKUP($A98,[1]플랫폼2!$A:$M,13,FALSE),0)</f>
        <v>0</v>
      </c>
      <c r="Q98" s="44">
        <f>IFERROR(VLOOKUP($A98,[1]플랫폼2!$A:$M,7,FALSE),0)+IFERROR(VLOOKUP($A98,[1]플랫폼2!$A:$M,12,FALSE),0)</f>
        <v>0</v>
      </c>
      <c r="R98" s="44">
        <f>IFERROR(VLOOKUP($A98,[1]모바일!$A:$S,17,FALSE),0)</f>
        <v>0</v>
      </c>
      <c r="S98" s="44">
        <f>IFERROR(VLOOKUP($A98,[1]모바일!$A:$S,18,FALSE),0)</f>
        <v>0</v>
      </c>
      <c r="T98" s="43">
        <f>IFERROR(VLOOKUP(A98,[1]플랫폼2!$A:$O,15,0),0)</f>
        <v>0</v>
      </c>
      <c r="U98" s="83"/>
    </row>
    <row r="99" spans="1:21" hidden="1" outlineLevel="1" x14ac:dyDescent="0.45">
      <c r="A99" s="31" t="s">
        <v>187</v>
      </c>
      <c r="B99" s="47">
        <f>'1월'!B99+'2월'!B99+'3월'!B99+'4월'!B99+'5월'!B99+'6월'!B99+'7월'!B99+'8월'!B99+'9월'!B99+'10월'!B99+'11월'!B99+'12월'!B99</f>
        <v>0</v>
      </c>
      <c r="C99" s="47">
        <f>'1월'!C99+'2월'!C99+'3월'!C99+'4월'!C99+'5월'!C99+'6월'!C99+'7월'!C99+'8월'!C99+'9월'!C99+'10월'!C99+'11월'!C99+'12월'!C99</f>
        <v>0</v>
      </c>
      <c r="D99" s="47">
        <f>'1월'!D99+'2월'!D99+'3월'!D99+'4월'!D99+'5월'!D99+'6월'!D99+'7월'!D99+'8월'!D99+'9월'!D99+'10월'!D99+'11월'!D99+'12월'!D99</f>
        <v>0</v>
      </c>
      <c r="E99" s="47">
        <f>'1월'!E99+'2월'!E99+'3월'!E99+'4월'!E99+'5월'!E99+'6월'!E99+'7월'!E99+'8월'!E99+'9월'!E99+'10월'!E99+'11월'!E99+'12월'!E99</f>
        <v>0</v>
      </c>
      <c r="F99" s="47">
        <f>'1월'!F99+'2월'!F99+'3월'!F99+'4월'!F99+'5월'!F99+'6월'!F99+'7월'!F99+'8월'!F99+'9월'!F99+'10월'!F99+'11월'!F99+'12월'!F99</f>
        <v>0</v>
      </c>
      <c r="G99" s="47">
        <f>'1월'!H99+'2월'!G99+'3월'!G99+'4월'!G99+'5월'!G99+'6월'!G99+'7월'!G99+'8월'!G99+'9월'!G99+'10월'!G99+'11월'!G99+'12월'!G99</f>
        <v>0</v>
      </c>
      <c r="H99" s="47">
        <f>'1월'!J99+'2월'!H99+'3월'!H99+'4월'!H99+'5월'!H99+'6월'!H99+'7월'!H99+'8월'!H99+'9월'!H99+'10월'!H99+'11월'!H99+'12월'!H99</f>
        <v>0</v>
      </c>
      <c r="I99" s="47">
        <f>'1월'!K99+'2월'!I99+'3월'!I99+'4월'!I99+'5월'!I99+'6월'!I99+'7월'!I99+'8월'!I99+'9월'!I99+'10월'!I99+'11월'!I99+'12월'!I99</f>
        <v>0</v>
      </c>
      <c r="J99" s="47">
        <f>'1월'!L99+'2월'!J99+'3월'!J99+'4월'!J99+'5월'!J99+'6월'!J99+'7월'!J99+'8월'!J99+'9월'!J99+'10월'!J99+'11월'!J99+'12월'!J99</f>
        <v>0</v>
      </c>
      <c r="K99" s="47">
        <f>'1월'!M99+'2월'!K99+'3월'!K99+'4월'!K99+'5월'!K99+'6월'!K99+'7월'!K99+'8월'!K99+'9월'!K99+'10월'!K99+'11월'!K99+'12월'!K99</f>
        <v>0</v>
      </c>
      <c r="L99" s="47">
        <f>'1월'!N99+'2월'!L99+'3월'!L99+'4월'!L99+'5월'!L99+'6월'!L99+'7월'!L99+'8월'!L99+'9월'!L99+'10월'!L99+'11월'!L99+'12월'!L99</f>
        <v>0</v>
      </c>
      <c r="M99" s="47">
        <f>'1월'!O99+'2월'!M99+'3월'!M99+'4월'!M99+'5월'!M99+'6월'!M99+'7월'!M99+'8월'!M99+'9월'!M99+'10월'!M99+'11월'!M99+'12월'!M99</f>
        <v>0</v>
      </c>
      <c r="O99" s="47">
        <f>IFERROR(VLOOKUP($A99,[1]플랫폼1!$A:$B,2,FALSE),0)</f>
        <v>0</v>
      </c>
      <c r="P99" s="47">
        <f>IFERROR(VLOOKUP($A99,[1]플랫폼2!$A:$M,12,FALSE),0)+IFERROR(VLOOKUP($A99,[1]플랫폼2!$A:$M,13,FALSE),0)</f>
        <v>0</v>
      </c>
      <c r="Q99" s="47">
        <f>IFERROR(VLOOKUP($A99,[1]플랫폼2!$A:$M,7,FALSE),0)+IFERROR(VLOOKUP($A99,[1]플랫폼2!$A:$M,12,FALSE),0)</f>
        <v>0</v>
      </c>
      <c r="R99" s="47">
        <f>IFERROR(VLOOKUP($A99,[1]모바일!$A:$S,17,FALSE),0)</f>
        <v>0</v>
      </c>
      <c r="S99" s="47">
        <f>IFERROR(VLOOKUP($A99,[1]모바일!$A:$S,18,FALSE),0)</f>
        <v>0</v>
      </c>
      <c r="T99" s="198">
        <f>IFERROR(VLOOKUP(A99,[1]플랫폼2!$A:$O,15,0),0)</f>
        <v>0</v>
      </c>
      <c r="U99" s="83"/>
    </row>
    <row r="100" spans="1:21" hidden="1" outlineLevel="1" x14ac:dyDescent="0.45">
      <c r="A100" s="29" t="s">
        <v>114</v>
      </c>
      <c r="B100" s="44">
        <f>'1월'!B100+'2월'!B100+'3월'!B100+'4월'!B100+'5월'!B100+'6월'!B100+'7월'!B100+'8월'!B100+'9월'!B100+'10월'!B100+'11월'!B100+'12월'!B100</f>
        <v>3200000</v>
      </c>
      <c r="C100" s="44">
        <f>'1월'!C100+'2월'!C100+'3월'!C100+'4월'!C100+'5월'!C100+'6월'!C100+'7월'!C100+'8월'!C100+'9월'!C100+'10월'!C100+'11월'!C100+'12월'!C100</f>
        <v>0</v>
      </c>
      <c r="D100" s="44">
        <f>'1월'!D100+'2월'!D100+'3월'!D100+'4월'!D100+'5월'!D100+'6월'!D100+'7월'!D100+'8월'!D100+'9월'!D100+'10월'!D100+'11월'!D100+'12월'!D100</f>
        <v>0</v>
      </c>
      <c r="E100" s="44">
        <f>'1월'!E100+'2월'!E100+'3월'!E100+'4월'!E100+'5월'!E100+'6월'!E100+'7월'!E100+'8월'!E100+'9월'!E100+'10월'!E100+'11월'!E100+'12월'!E100</f>
        <v>3200000</v>
      </c>
      <c r="F100" s="44">
        <f>'1월'!F100+'2월'!F100+'3월'!F100+'4월'!F100+'5월'!F100+'6월'!F100+'7월'!F100+'8월'!F100+'9월'!F100+'10월'!F100+'11월'!F100+'12월'!F100</f>
        <v>3200000</v>
      </c>
      <c r="G100" s="44">
        <f>'1월'!H100+'2월'!G100+'3월'!G100+'4월'!G100+'5월'!G100+'6월'!G100+'7월'!G100+'8월'!G100+'9월'!G100+'10월'!G100+'11월'!G100+'12월'!G100</f>
        <v>0</v>
      </c>
      <c r="H100" s="44">
        <f>'1월'!J100+'2월'!H100+'3월'!H100+'4월'!H100+'5월'!H100+'6월'!H100+'7월'!H100+'8월'!H100+'9월'!H100+'10월'!H100+'11월'!H100+'12월'!H100</f>
        <v>0</v>
      </c>
      <c r="I100" s="44">
        <f>'1월'!K100+'2월'!I100+'3월'!I100+'4월'!I100+'5월'!I100+'6월'!I100+'7월'!I100+'8월'!I100+'9월'!I100+'10월'!I100+'11월'!I100+'12월'!I100</f>
        <v>0</v>
      </c>
      <c r="J100" s="44">
        <f>'1월'!L100+'2월'!J100+'3월'!J100+'4월'!J100+'5월'!J100+'6월'!J100+'7월'!J100+'8월'!J100+'9월'!J100+'10월'!J100+'11월'!J100+'12월'!J100</f>
        <v>0</v>
      </c>
      <c r="K100" s="44">
        <f>'1월'!M100+'2월'!K100+'3월'!K100+'4월'!K100+'5월'!K100+'6월'!K100+'7월'!K100+'8월'!K100+'9월'!K100+'10월'!K100+'11월'!K100+'12월'!K100</f>
        <v>0</v>
      </c>
      <c r="L100" s="44">
        <f>'1월'!N100+'2월'!L100+'3월'!L100+'4월'!L100+'5월'!L100+'6월'!L100+'7월'!L100+'8월'!L100+'9월'!L100+'10월'!L100+'11월'!L100+'12월'!L100</f>
        <v>0</v>
      </c>
      <c r="M100" s="44">
        <f>'1월'!O100+'2월'!M100+'3월'!M100+'4월'!M100+'5월'!M100+'6월'!M100+'7월'!M100+'8월'!M100+'9월'!M100+'10월'!M100+'11월'!M100+'12월'!M100</f>
        <v>0</v>
      </c>
      <c r="O100" s="44">
        <f>IFERROR(VLOOKUP($A100,[1]플랫폼1!$A:$B,2,FALSE),0)</f>
        <v>0</v>
      </c>
      <c r="P100" s="44">
        <f>IFERROR(VLOOKUP($A100,[1]플랫폼2!$A:$M,12,FALSE),0)+IFERROR(VLOOKUP($A100,[1]플랫폼2!$A:$M,13,FALSE),0)</f>
        <v>0</v>
      </c>
      <c r="Q100" s="44">
        <f>IFERROR(VLOOKUP($A100,[1]플랫폼2!$A:$M,7,FALSE),0)+IFERROR(VLOOKUP($A100,[1]플랫폼2!$A:$M,12,FALSE),0)</f>
        <v>0</v>
      </c>
      <c r="R100" s="44">
        <f>IFERROR(VLOOKUP($A100,[1]모바일!$A:$S,17,FALSE),0)</f>
        <v>0</v>
      </c>
      <c r="S100" s="44">
        <f>IFERROR(VLOOKUP($A100,[1]모바일!$A:$S,18,FALSE),0)</f>
        <v>0</v>
      </c>
      <c r="T100" s="43">
        <f>IFERROR(VLOOKUP(A100,[1]플랫폼2!$A:$O,15,0),0)</f>
        <v>0</v>
      </c>
      <c r="U100" s="83"/>
    </row>
    <row r="101" spans="1:21" hidden="1" outlineLevel="1" x14ac:dyDescent="0.45">
      <c r="A101" s="29" t="s">
        <v>188</v>
      </c>
      <c r="B101" s="44">
        <f>'1월'!B101+'2월'!B101+'3월'!B101+'4월'!B101+'5월'!B101+'6월'!B101+'7월'!B101+'8월'!B101+'9월'!B101+'10월'!B101+'11월'!B101+'12월'!B101</f>
        <v>0</v>
      </c>
      <c r="C101" s="44">
        <f>'1월'!C101+'2월'!C101+'3월'!C101+'4월'!C101+'5월'!C101+'6월'!C101+'7월'!C101+'8월'!C101+'9월'!C101+'10월'!C101+'11월'!C101+'12월'!C101</f>
        <v>0</v>
      </c>
      <c r="D101" s="44">
        <f>'1월'!D101+'2월'!D101+'3월'!D101+'4월'!D101+'5월'!D101+'6월'!D101+'7월'!D101+'8월'!D101+'9월'!D101+'10월'!D101+'11월'!D101+'12월'!D101</f>
        <v>0</v>
      </c>
      <c r="E101" s="44">
        <f>'1월'!E101+'2월'!E101+'3월'!E101+'4월'!E101+'5월'!E101+'6월'!E101+'7월'!E101+'8월'!E101+'9월'!E101+'10월'!E101+'11월'!E101+'12월'!E101</f>
        <v>0</v>
      </c>
      <c r="F101" s="44">
        <f>'1월'!F101+'2월'!F101+'3월'!F101+'4월'!F101+'5월'!F101+'6월'!F101+'7월'!F101+'8월'!F101+'9월'!F101+'10월'!F101+'11월'!F101+'12월'!F101</f>
        <v>0</v>
      </c>
      <c r="G101" s="44">
        <f>'1월'!H101+'2월'!G101+'3월'!G101+'4월'!G101+'5월'!G101+'6월'!G101+'7월'!G101+'8월'!G101+'9월'!G101+'10월'!G101+'11월'!G101+'12월'!G101</f>
        <v>0</v>
      </c>
      <c r="H101" s="44">
        <f>'1월'!J101+'2월'!H101+'3월'!H101+'4월'!H101+'5월'!H101+'6월'!H101+'7월'!H101+'8월'!H101+'9월'!H101+'10월'!H101+'11월'!H101+'12월'!H101</f>
        <v>0</v>
      </c>
      <c r="I101" s="44">
        <f>'1월'!K101+'2월'!I101+'3월'!I101+'4월'!I101+'5월'!I101+'6월'!I101+'7월'!I101+'8월'!I101+'9월'!I101+'10월'!I101+'11월'!I101+'12월'!I101</f>
        <v>0</v>
      </c>
      <c r="J101" s="44">
        <f>'1월'!L101+'2월'!J101+'3월'!J101+'4월'!J101+'5월'!J101+'6월'!J101+'7월'!J101+'8월'!J101+'9월'!J101+'10월'!J101+'11월'!J101+'12월'!J101</f>
        <v>0</v>
      </c>
      <c r="K101" s="44">
        <f>'1월'!M101+'2월'!K101+'3월'!K101+'4월'!K101+'5월'!K101+'6월'!K101+'7월'!K101+'8월'!K101+'9월'!K101+'10월'!K101+'11월'!K101+'12월'!K101</f>
        <v>0</v>
      </c>
      <c r="L101" s="44">
        <f>'1월'!N101+'2월'!L101+'3월'!L101+'4월'!L101+'5월'!L101+'6월'!L101+'7월'!L101+'8월'!L101+'9월'!L101+'10월'!L101+'11월'!L101+'12월'!L101</f>
        <v>0</v>
      </c>
      <c r="M101" s="44">
        <f>'1월'!O101+'2월'!M101+'3월'!M101+'4월'!M101+'5월'!M101+'6월'!M101+'7월'!M101+'8월'!M101+'9월'!M101+'10월'!M101+'11월'!M101+'12월'!M101</f>
        <v>0</v>
      </c>
      <c r="O101" s="44">
        <f>IFERROR(VLOOKUP($A101,[1]플랫폼1!$A:$B,2,FALSE),0)</f>
        <v>0</v>
      </c>
      <c r="P101" s="44">
        <f>IFERROR(VLOOKUP($A101,[1]플랫폼2!$A:$M,12,FALSE),0)+IFERROR(VLOOKUP($A101,[1]플랫폼2!$A:$M,13,FALSE),0)</f>
        <v>0</v>
      </c>
      <c r="Q101" s="44">
        <f>IFERROR(VLOOKUP($A101,[1]플랫폼2!$A:$M,7,FALSE),0)+IFERROR(VLOOKUP($A101,[1]플랫폼2!$A:$M,12,FALSE),0)</f>
        <v>0</v>
      </c>
      <c r="R101" s="44">
        <f>IFERROR(VLOOKUP($A101,[1]모바일!$A:$S,17,FALSE),0)</f>
        <v>0</v>
      </c>
      <c r="S101" s="44">
        <f>IFERROR(VLOOKUP($A101,[1]모바일!$A:$S,18,FALSE),0)</f>
        <v>0</v>
      </c>
      <c r="T101" s="43">
        <f>IFERROR(VLOOKUP(A101,[1]플랫폼2!$A:$O,15,0),0)</f>
        <v>0</v>
      </c>
      <c r="U101" s="83"/>
    </row>
    <row r="102" spans="1:21" hidden="1" outlineLevel="1" x14ac:dyDescent="0.45">
      <c r="A102" s="29" t="s">
        <v>259</v>
      </c>
      <c r="B102" s="44">
        <f>'1월'!B102+'2월'!B102+'3월'!B102+'4월'!B102+'5월'!B102+'6월'!B102+'7월'!B102+'8월'!B102+'9월'!B102+'10월'!B102+'11월'!B102+'12월'!B102</f>
        <v>25502000</v>
      </c>
      <c r="C102" s="44">
        <f>'1월'!C102+'2월'!C102+'3월'!C102+'4월'!C102+'5월'!C102+'6월'!C102+'7월'!C102+'8월'!C102+'9월'!C102+'10월'!C102+'11월'!C102+'12월'!C102</f>
        <v>2784000.0000000005</v>
      </c>
      <c r="D102" s="44">
        <f>'1월'!D102+'2월'!D102+'3월'!D102+'4월'!D102+'5월'!D102+'6월'!D102+'7월'!D102+'8월'!D102+'9월'!D102+'10월'!D102+'11월'!D102+'12월'!D102</f>
        <v>13860000</v>
      </c>
      <c r="E102" s="44">
        <f>'1월'!E102+'2월'!E102+'3월'!E102+'4월'!E102+'5월'!E102+'6월'!E102+'7월'!E102+'8월'!E102+'9월'!E102+'10월'!E102+'11월'!E102+'12월'!E102</f>
        <v>8858000</v>
      </c>
      <c r="F102" s="44">
        <f>'1월'!F102+'2월'!F102+'3월'!F102+'4월'!F102+'5월'!F102+'6월'!F102+'7월'!F102+'8월'!F102+'9월'!F102+'10월'!F102+'11월'!F102+'12월'!F102</f>
        <v>8261306.3972894903</v>
      </c>
      <c r="G102" s="44">
        <f>'1월'!H102+'2월'!G102+'3월'!G102+'4월'!G102+'5월'!G102+'6월'!G102+'7월'!G102+'8월'!G102+'9월'!G102+'10월'!G102+'11월'!G102+'12월'!G102</f>
        <v>596693.60271051014</v>
      </c>
      <c r="H102" s="44">
        <f>'1월'!J102+'2월'!H102+'3월'!H102+'4월'!H102+'5월'!H102+'6월'!H102+'7월'!H102+'8월'!H102+'9월'!H102+'10월'!H102+'11월'!H102+'12월'!H102</f>
        <v>0</v>
      </c>
      <c r="I102" s="44">
        <f>'1월'!K102+'2월'!I102+'3월'!I102+'4월'!I102+'5월'!I102+'6월'!I102+'7월'!I102+'8월'!I102+'9월'!I102+'10월'!I102+'11월'!I102+'12월'!I102</f>
        <v>0</v>
      </c>
      <c r="J102" s="44">
        <f>'1월'!L102+'2월'!J102+'3월'!J102+'4월'!J102+'5월'!J102+'6월'!J102+'7월'!J102+'8월'!J102+'9월'!J102+'10월'!J102+'11월'!J102+'12월'!J102</f>
        <v>0</v>
      </c>
      <c r="K102" s="44">
        <f>'1월'!M102+'2월'!K102+'3월'!K102+'4월'!K102+'5월'!K102+'6월'!K102+'7월'!K102+'8월'!K102+'9월'!K102+'10월'!K102+'11월'!K102+'12월'!K102</f>
        <v>0</v>
      </c>
      <c r="L102" s="44">
        <f>'1월'!N102+'2월'!L102+'3월'!L102+'4월'!L102+'5월'!L102+'6월'!L102+'7월'!L102+'8월'!L102+'9월'!L102+'10월'!L102+'11월'!L102+'12월'!L102</f>
        <v>0</v>
      </c>
      <c r="M102" s="44">
        <f>'1월'!O102+'2월'!M102+'3월'!M102+'4월'!M102+'5월'!M102+'6월'!M102+'7월'!M102+'8월'!M102+'9월'!M102+'10월'!M102+'11월'!M102+'12월'!M102</f>
        <v>0</v>
      </c>
      <c r="O102" s="44">
        <f>IFERROR(VLOOKUP($A102,[1]플랫폼1!$A:$B,2,FALSE),0)</f>
        <v>0</v>
      </c>
      <c r="P102" s="44">
        <f>IFERROR(VLOOKUP($A102,[1]플랫폼2!$A:$M,12,FALSE),0)+IFERROR(VLOOKUP($A102,[1]플랫폼2!$A:$M,13,FALSE),0)</f>
        <v>0</v>
      </c>
      <c r="Q102" s="44">
        <f>IFERROR(VLOOKUP($A102,[1]플랫폼2!$A:$M,7,FALSE),0)+IFERROR(VLOOKUP($A102,[1]플랫폼2!$A:$M,12,FALSE),0)</f>
        <v>0</v>
      </c>
      <c r="R102" s="44">
        <f>IFERROR(VLOOKUP($A102,[1]모바일!$A:$S,17,FALSE),0)</f>
        <v>0</v>
      </c>
      <c r="S102" s="44">
        <f>IFERROR(VLOOKUP($A102,[1]모바일!$A:$S,18,FALSE),0)</f>
        <v>0</v>
      </c>
      <c r="T102" s="43">
        <f>IFERROR(VLOOKUP(A102,[1]플랫폼2!$A:$O,15,0),0)</f>
        <v>0</v>
      </c>
      <c r="U102" s="83"/>
    </row>
    <row r="103" spans="1:21" hidden="1" outlineLevel="1" x14ac:dyDescent="0.45">
      <c r="A103" s="29" t="s">
        <v>189</v>
      </c>
      <c r="B103" s="44">
        <f>'1월'!B103+'2월'!B103+'3월'!B103+'4월'!B103+'5월'!B103+'6월'!B103+'7월'!B103+'8월'!B103+'9월'!B103+'10월'!B103+'11월'!B103+'12월'!B103</f>
        <v>108496000</v>
      </c>
      <c r="C103" s="44">
        <f>'1월'!C103+'2월'!C103+'3월'!C103+'4월'!C103+'5월'!C103+'6월'!C103+'7월'!C103+'8월'!C103+'9월'!C103+'10월'!C103+'11월'!C103+'12월'!C103</f>
        <v>35799000</v>
      </c>
      <c r="D103" s="44">
        <f>'1월'!D103+'2월'!D103+'3월'!D103+'4월'!D103+'5월'!D103+'6월'!D103+'7월'!D103+'8월'!D103+'9월'!D103+'10월'!D103+'11월'!D103+'12월'!D103</f>
        <v>0</v>
      </c>
      <c r="E103" s="44">
        <f>'1월'!E103+'2월'!E103+'3월'!E103+'4월'!E103+'5월'!E103+'6월'!E103+'7월'!E103+'8월'!E103+'9월'!E103+'10월'!E103+'11월'!E103+'12월'!E103</f>
        <v>72697000</v>
      </c>
      <c r="F103" s="44">
        <f>'1월'!F103+'2월'!F103+'3월'!F103+'4월'!F103+'5월'!F103+'6월'!F103+'7월'!F103+'8월'!F103+'9월'!F103+'10월'!F103+'11월'!F103+'12월'!F103</f>
        <v>46069821.568915389</v>
      </c>
      <c r="G103" s="44">
        <f>'1월'!H103+'2월'!G103+'3월'!G103+'4월'!G103+'5월'!G103+'6월'!G103+'7월'!G103+'8월'!G103+'9월'!G103+'10월'!G103+'11월'!G103+'12월'!G103</f>
        <v>10186178.431084612</v>
      </c>
      <c r="H103" s="44">
        <f>'1월'!J103+'2월'!H103+'3월'!H103+'4월'!H103+'5월'!H103+'6월'!H103+'7월'!H103+'8월'!H103+'9월'!H103+'10월'!H103+'11월'!H103+'12월'!H103</f>
        <v>0</v>
      </c>
      <c r="I103" s="44">
        <f>'1월'!K103+'2월'!I103+'3월'!I103+'4월'!I103+'5월'!I103+'6월'!I103+'7월'!I103+'8월'!I103+'9월'!I103+'10월'!I103+'11월'!I103+'12월'!I103</f>
        <v>1330500</v>
      </c>
      <c r="J103" s="44">
        <f>'1월'!L103+'2월'!J103+'3월'!J103+'4월'!J103+'5월'!J103+'6월'!J103+'7월'!J103+'8월'!J103+'9월'!J103+'10월'!J103+'11월'!J103+'12월'!J103</f>
        <v>1330500</v>
      </c>
      <c r="K103" s="44">
        <f>'1월'!M103+'2월'!K103+'3월'!K103+'4월'!K103+'5월'!K103+'6월'!K103+'7월'!K103+'8월'!K103+'9월'!K103+'10월'!K103+'11월'!K103+'12월'!K103</f>
        <v>13780000</v>
      </c>
      <c r="L103" s="44">
        <f>'1월'!N103+'2월'!L103+'3월'!L103+'4월'!L103+'5월'!L103+'6월'!L103+'7월'!L103+'8월'!L103+'9월'!L103+'10월'!L103+'11월'!L103+'12월'!L103</f>
        <v>0</v>
      </c>
      <c r="M103" s="44">
        <f>'1월'!O103+'2월'!M103+'3월'!M103+'4월'!M103+'5월'!M103+'6월'!M103+'7월'!M103+'8월'!M103+'9월'!M103+'10월'!M103+'11월'!M103+'12월'!M103</f>
        <v>0</v>
      </c>
      <c r="O103" s="44">
        <f>IFERROR(VLOOKUP($A103,[1]플랫폼1!$A:$B,2,FALSE),0)</f>
        <v>0</v>
      </c>
      <c r="P103" s="44">
        <f>IFERROR(VLOOKUP($A103,[1]플랫폼2!$A:$M,12,FALSE),0)+IFERROR(VLOOKUP($A103,[1]플랫폼2!$A:$M,13,FALSE),0)</f>
        <v>0</v>
      </c>
      <c r="Q103" s="44">
        <f>IFERROR(VLOOKUP($A103,[1]플랫폼2!$A:$M,7,FALSE),0)+IFERROR(VLOOKUP($A103,[1]플랫폼2!$A:$M,12,FALSE),0)</f>
        <v>0</v>
      </c>
      <c r="R103" s="44">
        <f>IFERROR(VLOOKUP($A103,[1]모바일!$A:$S,17,FALSE),0)</f>
        <v>0</v>
      </c>
      <c r="S103" s="44">
        <f>IFERROR(VLOOKUP($A103,[1]모바일!$A:$S,18,FALSE),0)</f>
        <v>0</v>
      </c>
      <c r="T103" s="43">
        <f>IFERROR(VLOOKUP(A103,[1]플랫폼2!$A:$O,15,0),0)</f>
        <v>0</v>
      </c>
      <c r="U103" s="83"/>
    </row>
    <row r="104" spans="1:21" hidden="1" outlineLevel="1" x14ac:dyDescent="0.45">
      <c r="A104" s="29" t="s">
        <v>115</v>
      </c>
      <c r="B104" s="44">
        <f>'1월'!B104+'2월'!B104+'3월'!B104+'4월'!B104+'5월'!B104+'6월'!B104+'7월'!B104+'8월'!B104+'9월'!B104+'10월'!B104+'11월'!B104+'12월'!B104</f>
        <v>67053000</v>
      </c>
      <c r="C104" s="44">
        <f>'1월'!C104+'2월'!C104+'3월'!C104+'4월'!C104+'5월'!C104+'6월'!C104+'7월'!C104+'8월'!C104+'9월'!C104+'10월'!C104+'11월'!C104+'12월'!C104</f>
        <v>0</v>
      </c>
      <c r="D104" s="44">
        <f>'1월'!D104+'2월'!D104+'3월'!D104+'4월'!D104+'5월'!D104+'6월'!D104+'7월'!D104+'8월'!D104+'9월'!D104+'10월'!D104+'11월'!D104+'12월'!D104</f>
        <v>12927000</v>
      </c>
      <c r="E104" s="44">
        <f>'1월'!E104+'2월'!E104+'3월'!E104+'4월'!E104+'5월'!E104+'6월'!E104+'7월'!E104+'8월'!E104+'9월'!E104+'10월'!E104+'11월'!E104+'12월'!E104</f>
        <v>54126000</v>
      </c>
      <c r="F104" s="44">
        <f>'1월'!F104+'2월'!F104+'3월'!F104+'4월'!F104+'5월'!F104+'6월'!F104+'7월'!F104+'8월'!F104+'9월'!F104+'10월'!F104+'11월'!F104+'12월'!F104</f>
        <v>16527000</v>
      </c>
      <c r="G104" s="44">
        <f>'1월'!H104+'2월'!G104+'3월'!G104+'4월'!G104+'5월'!G104+'6월'!G104+'7월'!G104+'8월'!G104+'9월'!G104+'10월'!G104+'11월'!G104+'12월'!G104</f>
        <v>16791000</v>
      </c>
      <c r="H104" s="44">
        <f>'1월'!J104+'2월'!H104+'3월'!H104+'4월'!H104+'5월'!H104+'6월'!H104+'7월'!H104+'8월'!H104+'9월'!H104+'10월'!H104+'11월'!H104+'12월'!H104</f>
        <v>0</v>
      </c>
      <c r="I104" s="44">
        <f>'1월'!K104+'2월'!I104+'3월'!I104+'4월'!I104+'5월'!I104+'6월'!I104+'7월'!I104+'8월'!I104+'9월'!I104+'10월'!I104+'11월'!I104+'12월'!I104</f>
        <v>0</v>
      </c>
      <c r="J104" s="44">
        <f>'1월'!L104+'2월'!J104+'3월'!J104+'4월'!J104+'5월'!J104+'6월'!J104+'7월'!J104+'8월'!J104+'9월'!J104+'10월'!J104+'11월'!J104+'12월'!J104</f>
        <v>0</v>
      </c>
      <c r="K104" s="44">
        <f>'1월'!M104+'2월'!K104+'3월'!K104+'4월'!K104+'5월'!K104+'6월'!K104+'7월'!K104+'8월'!K104+'9월'!K104+'10월'!K104+'11월'!K104+'12월'!K104</f>
        <v>10988000</v>
      </c>
      <c r="L104" s="44">
        <f>'1월'!N104+'2월'!L104+'3월'!L104+'4월'!L104+'5월'!L104+'6월'!L104+'7월'!L104+'8월'!L104+'9월'!L104+'10월'!L104+'11월'!L104+'12월'!L104</f>
        <v>9820000</v>
      </c>
      <c r="M104" s="44">
        <f>'1월'!O104+'2월'!M104+'3월'!M104+'4월'!M104+'5월'!M104+'6월'!M104+'7월'!M104+'8월'!M104+'9월'!M104+'10월'!M104+'11월'!M104+'12월'!M104</f>
        <v>0</v>
      </c>
      <c r="O104" s="44">
        <f>IFERROR(VLOOKUP($A104,[1]플랫폼1!$A:$B,2,FALSE),0)</f>
        <v>0</v>
      </c>
      <c r="P104" s="44">
        <f>IFERROR(VLOOKUP($A104,[1]플랫폼2!$A:$M,12,FALSE),0)+IFERROR(VLOOKUP($A104,[1]플랫폼2!$A:$M,13,FALSE),0)</f>
        <v>0</v>
      </c>
      <c r="Q104" s="44">
        <f>IFERROR(VLOOKUP($A104,[1]플랫폼2!$A:$M,7,FALSE),0)+IFERROR(VLOOKUP($A104,[1]플랫폼2!$A:$M,12,FALSE),0)</f>
        <v>0</v>
      </c>
      <c r="R104" s="44">
        <f>IFERROR(VLOOKUP($A104,[1]모바일!$A:$S,17,FALSE),0)</f>
        <v>0</v>
      </c>
      <c r="S104" s="44">
        <f>IFERROR(VLOOKUP($A104,[1]모바일!$A:$S,18,FALSE),0)</f>
        <v>0</v>
      </c>
      <c r="T104" s="43">
        <f>IFERROR(VLOOKUP(A104,[1]플랫폼2!$A:$O,15,0),0)</f>
        <v>0</v>
      </c>
      <c r="U104" s="83"/>
    </row>
    <row r="105" spans="1:21" hidden="1" outlineLevel="1" x14ac:dyDescent="0.45">
      <c r="A105" s="29" t="s">
        <v>53</v>
      </c>
      <c r="B105" s="44">
        <f>'1월'!B105+'2월'!B105+'3월'!B105+'4월'!B105+'5월'!B105+'6월'!B105+'7월'!B105+'8월'!B105+'9월'!B105+'10월'!B105+'11월'!B105+'12월'!B105</f>
        <v>2500400000</v>
      </c>
      <c r="C105" s="44">
        <f>'1월'!C105+'2월'!C105+'3월'!C105+'4월'!C105+'5월'!C105+'6월'!C105+'7월'!C105+'8월'!C105+'9월'!C105+'10월'!C105+'11월'!C105+'12월'!C105</f>
        <v>122005347.0200198</v>
      </c>
      <c r="D105" s="44">
        <f>'1월'!D105+'2월'!D105+'3월'!D105+'4월'!D105+'5월'!D105+'6월'!D105+'7월'!D105+'8월'!D105+'9월'!D105+'10월'!D105+'11월'!D105+'12월'!D105</f>
        <v>59900000</v>
      </c>
      <c r="E105" s="44">
        <f>'1월'!E105+'2월'!E105+'3월'!E105+'4월'!E105+'5월'!E105+'6월'!E105+'7월'!E105+'8월'!E105+'9월'!E105+'10월'!E105+'11월'!E105+'12월'!E105</f>
        <v>2318494652.97998</v>
      </c>
      <c r="F105" s="44">
        <f>'1월'!F105+'2월'!F105+'3월'!F105+'4월'!F105+'5월'!F105+'6월'!F105+'7월'!F105+'8월'!F105+'9월'!F105+'10월'!F105+'11월'!F105+'12월'!F105</f>
        <v>1409990511.1547768</v>
      </c>
      <c r="G105" s="44">
        <f>'1월'!H105+'2월'!G105+'3월'!G105+'4월'!G105+'5월'!G105+'6월'!G105+'7월'!G105+'8월'!G105+'9월'!G105+'10월'!G105+'11월'!G105+'12월'!G105</f>
        <v>446456799.09207678</v>
      </c>
      <c r="H105" s="44">
        <f>'1월'!J105+'2월'!H105+'3월'!H105+'4월'!H105+'5월'!H105+'6월'!H105+'7월'!H105+'8월'!H105+'9월'!H105+'10월'!H105+'11월'!H105+'12월'!H105</f>
        <v>172252689.75314638</v>
      </c>
      <c r="I105" s="44">
        <f>'1월'!K105+'2월'!I105+'3월'!I105+'4월'!I105+'5월'!I105+'6월'!I105+'7월'!I105+'8월'!I105+'9월'!I105+'10월'!I105+'11월'!I105+'12월'!I105</f>
        <v>17034191.515987642</v>
      </c>
      <c r="J105" s="44">
        <f>'1월'!L105+'2월'!J105+'3월'!J105+'4월'!J105+'5월'!J105+'6월'!J105+'7월'!J105+'8월'!J105+'9월'!J105+'10월'!J105+'11월'!J105+'12월'!J105</f>
        <v>16752096.185087014</v>
      </c>
      <c r="K105" s="44">
        <f>'1월'!M105+'2월'!K105+'3월'!K105+'4월'!K105+'5월'!K105+'6월'!K105+'7월'!K105+'8월'!K105+'9월'!K105+'10월'!K105+'11월'!K105+'12월'!K105</f>
        <v>76732489.646121204</v>
      </c>
      <c r="L105" s="44">
        <f>'1월'!N105+'2월'!L105+'3월'!L105+'4월'!L105+'5월'!L105+'6월'!L105+'7월'!L105+'8월'!L105+'9월'!L105+'10월'!L105+'11월'!L105+'12월'!L105</f>
        <v>157625875.63278431</v>
      </c>
      <c r="M105" s="44">
        <f>'1월'!O105+'2월'!M105+'3월'!M105+'4월'!M105+'5월'!M105+'6월'!M105+'7월'!M105+'8월'!M105+'9월'!M105+'10월'!M105+'11월'!M105+'12월'!M105</f>
        <v>21650000</v>
      </c>
      <c r="O105" s="44">
        <f>IFERROR(VLOOKUP($A105,[1]플랫폼1!$A:$B,2,FALSE),0)</f>
        <v>5400000</v>
      </c>
      <c r="P105" s="44">
        <f>IFERROR(VLOOKUP($A105,[1]플랫폼2!$A:$M,12,FALSE),0)+IFERROR(VLOOKUP($A105,[1]플랫폼2!$A:$M,13,FALSE),0)</f>
        <v>3225000</v>
      </c>
      <c r="Q105" s="44">
        <f>IFERROR(VLOOKUP($A105,[1]플랫폼2!$A:$M,7,FALSE),0)+IFERROR(VLOOKUP($A105,[1]플랫폼2!$A:$M,12,FALSE),0)</f>
        <v>3225000</v>
      </c>
      <c r="R105" s="44">
        <f>IFERROR(VLOOKUP($A105,[1]모바일!$A:$S,17,FALSE),0)</f>
        <v>470833.33333333331</v>
      </c>
      <c r="S105" s="44">
        <f>IFERROR(VLOOKUP($A105,[1]모바일!$A:$S,18,FALSE),0)</f>
        <v>470833.33333333331</v>
      </c>
      <c r="T105" s="43">
        <f>IFERROR(VLOOKUP(A105,[1]플랫폼2!$A:$O,15,0),0)</f>
        <v>8858333.3333333321</v>
      </c>
      <c r="U105" s="83"/>
    </row>
    <row r="106" spans="1:21" hidden="1" outlineLevel="1" x14ac:dyDescent="0.45">
      <c r="A106" s="29" t="s">
        <v>54</v>
      </c>
      <c r="B106" s="44">
        <f>'1월'!B106+'2월'!B106+'3월'!B106+'4월'!B106+'5월'!B106+'6월'!B106+'7월'!B106+'8월'!B106+'9월'!B106+'10월'!B106+'11월'!B106+'12월'!B106</f>
        <v>62541200</v>
      </c>
      <c r="C106" s="44">
        <f>'1월'!C106+'2월'!C106+'3월'!C106+'4월'!C106+'5월'!C106+'6월'!C106+'7월'!C106+'8월'!C106+'9월'!C106+'10월'!C106+'11월'!C106+'12월'!C106</f>
        <v>3822700</v>
      </c>
      <c r="D106" s="44">
        <f>'1월'!D106+'2월'!D106+'3월'!D106+'4월'!D106+'5월'!D106+'6월'!D106+'7월'!D106+'8월'!D106+'9월'!D106+'10월'!D106+'11월'!D106+'12월'!D106</f>
        <v>2278440</v>
      </c>
      <c r="E106" s="44">
        <f>'1월'!E106+'2월'!E106+'3월'!E106+'4월'!E106+'5월'!E106+'6월'!E106+'7월'!E106+'8월'!E106+'9월'!E106+'10월'!E106+'11월'!E106+'12월'!E106</f>
        <v>56440060</v>
      </c>
      <c r="F106" s="44">
        <f>'1월'!F106+'2월'!F106+'3월'!F106+'4월'!F106+'5월'!F106+'6월'!F106+'7월'!F106+'8월'!F106+'9월'!F106+'10월'!F106+'11월'!F106+'12월'!F106</f>
        <v>32923206.290788457</v>
      </c>
      <c r="G106" s="44">
        <f>'1월'!H106+'2월'!G106+'3월'!G106+'4월'!G106+'5월'!G106+'6월'!G106+'7월'!G106+'8월'!G106+'9월'!G106+'10월'!G106+'11월'!G106+'12월'!G106</f>
        <v>13600272.709211545</v>
      </c>
      <c r="H106" s="44">
        <f>'1월'!J106+'2월'!H106+'3월'!H106+'4월'!H106+'5월'!H106+'6월'!H106+'7월'!H106+'8월'!H106+'9월'!H106+'10월'!H106+'11월'!H106+'12월'!H106</f>
        <v>2748921</v>
      </c>
      <c r="I106" s="44">
        <f>'1월'!K106+'2월'!I106+'3월'!I106+'4월'!I106+'5월'!I106+'6월'!I106+'7월'!I106+'8월'!I106+'9월'!I106+'10월'!I106+'11월'!I106+'12월'!I106</f>
        <v>325250</v>
      </c>
      <c r="J106" s="44">
        <f>'1월'!L106+'2월'!J106+'3월'!J106+'4월'!J106+'5월'!J106+'6월'!J106+'7월'!J106+'8월'!J106+'9월'!J106+'10월'!J106+'11월'!J106+'12월'!J106</f>
        <v>385250</v>
      </c>
      <c r="K106" s="44">
        <f>'1월'!M106+'2월'!K106+'3월'!K106+'4월'!K106+'5월'!K106+'6월'!K106+'7월'!K106+'8월'!K106+'9월'!K106+'10월'!K106+'11월'!K106+'12월'!K106</f>
        <v>3038760</v>
      </c>
      <c r="L106" s="44">
        <f>'1월'!N106+'2월'!L106+'3월'!L106+'4월'!L106+'5월'!L106+'6월'!L106+'7월'!L106+'8월'!L106+'9월'!L106+'10월'!L106+'11월'!L106+'12월'!L106</f>
        <v>3035800</v>
      </c>
      <c r="M106" s="44">
        <f>'1월'!O106+'2월'!M106+'3월'!M106+'4월'!M106+'5월'!M106+'6월'!M106+'7월'!M106+'8월'!M106+'9월'!M106+'10월'!M106+'11월'!M106+'12월'!M106</f>
        <v>382600</v>
      </c>
      <c r="O106" s="44">
        <f>IFERROR(VLOOKUP($A106,[1]플랫폼1!$A:$B,2,FALSE),0)</f>
        <v>0</v>
      </c>
      <c r="P106" s="44">
        <f>IFERROR(VLOOKUP($A106,[1]플랫폼2!$A:$M,12,FALSE),0)+IFERROR(VLOOKUP($A106,[1]플랫폼2!$A:$M,13,FALSE),0)</f>
        <v>114300</v>
      </c>
      <c r="Q106" s="44">
        <f>IFERROR(VLOOKUP($A106,[1]플랫폼2!$A:$M,7,FALSE),0)+IFERROR(VLOOKUP($A106,[1]플랫폼2!$A:$M,12,FALSE),0)</f>
        <v>114300</v>
      </c>
      <c r="R106" s="44">
        <f>IFERROR(VLOOKUP($A106,[1]모바일!$A:$S,17,FALSE),0)</f>
        <v>12833.333333333334</v>
      </c>
      <c r="S106" s="44">
        <f>IFERROR(VLOOKUP($A106,[1]모바일!$A:$S,18,FALSE),0)</f>
        <v>12833.333333333334</v>
      </c>
      <c r="T106" s="43">
        <f>IFERROR(VLOOKUP(A106,[1]플랫폼2!$A:$O,15,0),0)</f>
        <v>128333.33333333334</v>
      </c>
      <c r="U106" s="83"/>
    </row>
    <row r="107" spans="1:21" hidden="1" outlineLevel="1" x14ac:dyDescent="0.45">
      <c r="A107" s="29" t="s">
        <v>55</v>
      </c>
      <c r="B107" s="44">
        <f>'1월'!B107+'2월'!B107+'3월'!B107+'4월'!B107+'5월'!B107+'6월'!B107+'7월'!B107+'8월'!B107+'9월'!B107+'10월'!B107+'11월'!B107+'12월'!B107</f>
        <v>29964265</v>
      </c>
      <c r="C107" s="44">
        <f>'1월'!C107+'2월'!C107+'3월'!C107+'4월'!C107+'5월'!C107+'6월'!C107+'7월'!C107+'8월'!C107+'9월'!C107+'10월'!C107+'11월'!C107+'12월'!C107</f>
        <v>2199811.890107912</v>
      </c>
      <c r="D107" s="44">
        <f>'1월'!D107+'2월'!D107+'3월'!D107+'4월'!D107+'5월'!D107+'6월'!D107+'7월'!D107+'8월'!D107+'9월'!D107+'10월'!D107+'11월'!D107+'12월'!D107</f>
        <v>1120000</v>
      </c>
      <c r="E107" s="44">
        <f>'1월'!E107+'2월'!E107+'3월'!E107+'4월'!E107+'5월'!E107+'6월'!E107+'7월'!E107+'8월'!E107+'9월'!E107+'10월'!E107+'11월'!E107+'12월'!E107</f>
        <v>26644453.109892089</v>
      </c>
      <c r="F107" s="44">
        <f>'1월'!F107+'2월'!F107+'3월'!F107+'4월'!F107+'5월'!F107+'6월'!F107+'7월'!F107+'8월'!F107+'9월'!F107+'10월'!F107+'11월'!F107+'12월'!F107</f>
        <v>15825502.086738495</v>
      </c>
      <c r="G107" s="44">
        <f>'1월'!H107+'2월'!G107+'3월'!G107+'4월'!G107+'5월'!G107+'6월'!G107+'7월'!G107+'8월'!G107+'9월'!G107+'10월'!G107+'11월'!G107+'12월'!G107</f>
        <v>6073662.9132615048</v>
      </c>
      <c r="H107" s="44">
        <f>'1월'!J107+'2월'!H107+'3월'!H107+'4월'!H107+'5월'!H107+'6월'!H107+'7월'!H107+'8월'!H107+'9월'!H107+'10월'!H107+'11월'!H107+'12월'!H107</f>
        <v>770000</v>
      </c>
      <c r="I107" s="44">
        <f>'1월'!K107+'2월'!I107+'3월'!I107+'4월'!I107+'5월'!I107+'6월'!I107+'7월'!I107+'8월'!I107+'9월'!I107+'10월'!I107+'11월'!I107+'12월'!I107</f>
        <v>215081.51171238307</v>
      </c>
      <c r="J107" s="44">
        <f>'1월'!L107+'2월'!J107+'3월'!J107+'4월'!J107+'5월'!J107+'6월'!J107+'7월'!J107+'8월'!J107+'9월'!J107+'10월'!J107+'11월'!J107+'12월'!J107</f>
        <v>281010.10424525023</v>
      </c>
      <c r="K107" s="44">
        <f>'1월'!M107+'2월'!K107+'3월'!K107+'4월'!K107+'5월'!K107+'6월'!K107+'7월'!K107+'8월'!K107+'9월'!K107+'10월'!K107+'11월'!K107+'12월'!K107</f>
        <v>1723054.7313648434</v>
      </c>
      <c r="L107" s="44">
        <f>'1월'!N107+'2월'!L107+'3월'!L107+'4월'!L107+'5월'!L107+'6월'!L107+'7월'!L107+'8월'!L107+'9월'!L107+'10월'!L107+'11월'!L107+'12월'!L107</f>
        <v>1476141.7625696107</v>
      </c>
      <c r="M107" s="44">
        <f>'1월'!O107+'2월'!M107+'3월'!M107+'4월'!M107+'5월'!M107+'6월'!M107+'7월'!M107+'8월'!M107+'9월'!M107+'10월'!M107+'11월'!M107+'12월'!M107</f>
        <v>280000</v>
      </c>
      <c r="O107" s="44">
        <v>70000</v>
      </c>
      <c r="P107" s="44">
        <f>IFERROR(VLOOKUP($A107,[1]플랫폼2!$A:$M,12,FALSE),0)+IFERROR(VLOOKUP($A107,[1]플랫폼2!$A:$M,13,FALSE),0)</f>
        <v>0</v>
      </c>
      <c r="Q107" s="44">
        <f>IFERROR(VLOOKUP($A107,[1]플랫폼2!$A:$M,7,FALSE),0)+IFERROR(VLOOKUP($A107,[1]플랫폼2!$A:$M,12,FALSE),0)</f>
        <v>0</v>
      </c>
      <c r="R107" s="44">
        <v>17500</v>
      </c>
      <c r="S107" s="44">
        <v>17500</v>
      </c>
      <c r="T107" s="43">
        <v>175000</v>
      </c>
      <c r="U107" s="83"/>
    </row>
    <row r="108" spans="1:21" hidden="1" outlineLevel="1" x14ac:dyDescent="0.45">
      <c r="A108" s="29" t="s">
        <v>190</v>
      </c>
      <c r="B108" s="44">
        <f>'1월'!B108+'2월'!B108+'3월'!B108+'4월'!B108+'5월'!B108+'6월'!B108+'7월'!B108+'8월'!B108+'9월'!B108+'10월'!B108+'11월'!B108+'12월'!B108</f>
        <v>0</v>
      </c>
      <c r="C108" s="44">
        <f>'1월'!C108+'2월'!C108+'3월'!C108+'4월'!C108+'5월'!C108+'6월'!C108+'7월'!C108+'8월'!C108+'9월'!C108+'10월'!C108+'11월'!C108+'12월'!C108</f>
        <v>0</v>
      </c>
      <c r="D108" s="44">
        <f>'1월'!D108+'2월'!D108+'3월'!D108+'4월'!D108+'5월'!D108+'6월'!D108+'7월'!D108+'8월'!D108+'9월'!D108+'10월'!D108+'11월'!D108+'12월'!D108</f>
        <v>0</v>
      </c>
      <c r="E108" s="44">
        <f>'1월'!E108+'2월'!E108+'3월'!E108+'4월'!E108+'5월'!E108+'6월'!E108+'7월'!E108+'8월'!E108+'9월'!E108+'10월'!E108+'11월'!E108+'12월'!E108</f>
        <v>0</v>
      </c>
      <c r="F108" s="44">
        <f>'1월'!F108+'2월'!F108+'3월'!F108+'4월'!F108+'5월'!F108+'6월'!F108+'7월'!F108+'8월'!F108+'9월'!F108+'10월'!F108+'11월'!F108+'12월'!F108</f>
        <v>0</v>
      </c>
      <c r="G108" s="44">
        <f>'1월'!H108+'2월'!G108+'3월'!G108+'4월'!G108+'5월'!G108+'6월'!G108+'7월'!G108+'8월'!G108+'9월'!G108+'10월'!G108+'11월'!G108+'12월'!G108</f>
        <v>0</v>
      </c>
      <c r="H108" s="44">
        <f>'1월'!J108+'2월'!H108+'3월'!H108+'4월'!H108+'5월'!H108+'6월'!H108+'7월'!H108+'8월'!H108+'9월'!H108+'10월'!H108+'11월'!H108+'12월'!H108</f>
        <v>0</v>
      </c>
      <c r="I108" s="44">
        <f>'1월'!K108+'2월'!I108+'3월'!I108+'4월'!I108+'5월'!I108+'6월'!I108+'7월'!I108+'8월'!I108+'9월'!I108+'10월'!I108+'11월'!I108+'12월'!I108</f>
        <v>0</v>
      </c>
      <c r="J108" s="44">
        <f>'1월'!L108+'2월'!J108+'3월'!J108+'4월'!J108+'5월'!J108+'6월'!J108+'7월'!J108+'8월'!J108+'9월'!J108+'10월'!J108+'11월'!J108+'12월'!J108</f>
        <v>0</v>
      </c>
      <c r="K108" s="44">
        <f>'1월'!M108+'2월'!K108+'3월'!K108+'4월'!K108+'5월'!K108+'6월'!K108+'7월'!K108+'8월'!K108+'9월'!K108+'10월'!K108+'11월'!K108+'12월'!K108</f>
        <v>0</v>
      </c>
      <c r="L108" s="44">
        <f>'1월'!N108+'2월'!L108+'3월'!L108+'4월'!L108+'5월'!L108+'6월'!L108+'7월'!L108+'8월'!L108+'9월'!L108+'10월'!L108+'11월'!L108+'12월'!L108</f>
        <v>0</v>
      </c>
      <c r="M108" s="44">
        <f>'1월'!O108+'2월'!M108+'3월'!M108+'4월'!M108+'5월'!M108+'6월'!M108+'7월'!M108+'8월'!M108+'9월'!M108+'10월'!M108+'11월'!M108+'12월'!M108</f>
        <v>0</v>
      </c>
      <c r="O108" s="44">
        <f>IFERROR(VLOOKUP($A108,[1]플랫폼1!$A:$B,2,FALSE),0)</f>
        <v>0</v>
      </c>
      <c r="P108" s="44">
        <f>IFERROR(VLOOKUP($A108,[1]플랫폼2!$A:$M,12,FALSE),0)+IFERROR(VLOOKUP($A108,[1]플랫폼2!$A:$M,13,FALSE),0)</f>
        <v>0</v>
      </c>
      <c r="Q108" s="44">
        <f>IFERROR(VLOOKUP($A108,[1]플랫폼2!$A:$M,7,FALSE),0)+IFERROR(VLOOKUP($A108,[1]플랫폼2!$A:$M,12,FALSE),0)</f>
        <v>0</v>
      </c>
      <c r="R108" s="44">
        <f>IFERROR(VLOOKUP($A108,[1]모바일!$A:$S,17,FALSE),0)</f>
        <v>0</v>
      </c>
      <c r="S108" s="44">
        <f>IFERROR(VLOOKUP($A108,[1]모바일!$A:$S,18,FALSE),0)</f>
        <v>0</v>
      </c>
      <c r="T108" s="43">
        <f>IFERROR(VLOOKUP(A108,[1]플랫폼2!$A:$O,15,0),0)</f>
        <v>0</v>
      </c>
      <c r="U108" s="83"/>
    </row>
    <row r="109" spans="1:21" hidden="1" outlineLevel="1" x14ac:dyDescent="0.45">
      <c r="A109" s="30" t="s">
        <v>56</v>
      </c>
      <c r="B109" s="46">
        <f>'1월'!B109+'2월'!B109+'3월'!B109+'4월'!B109+'5월'!B109+'6월'!B109+'7월'!B109+'8월'!B109+'9월'!B109+'10월'!B109+'11월'!B109+'12월'!B109</f>
        <v>5206169575</v>
      </c>
      <c r="C109" s="46">
        <f>'1월'!C109+'2월'!C109+'3월'!C109+'4월'!C109+'5월'!C109+'6월'!C109+'7월'!C109+'8월'!C109+'9월'!C109+'10월'!C109+'11월'!C109+'12월'!C109</f>
        <v>28012239</v>
      </c>
      <c r="D109" s="46">
        <f>'1월'!D109+'2월'!D109+'3월'!D109+'4월'!D109+'5월'!D109+'6월'!D109+'7월'!D109+'8월'!D109+'9월'!D109+'10월'!D109+'11월'!D109+'12월'!D109</f>
        <v>160000</v>
      </c>
      <c r="E109" s="46">
        <f>'1월'!E109+'2월'!E109+'3월'!E109+'4월'!E109+'5월'!E109+'6월'!E109+'7월'!E109+'8월'!E109+'9월'!E109+'10월'!E109+'11월'!E109+'12월'!E109</f>
        <v>5177997336</v>
      </c>
      <c r="F109" s="46">
        <f>'1월'!F109+'2월'!F109+'3월'!F109+'4월'!F109+'5월'!F109+'6월'!F109+'7월'!F109+'8월'!F109+'9월'!F109+'10월'!F109+'11월'!F109+'12월'!F109</f>
        <v>2949550594.1200871</v>
      </c>
      <c r="G109" s="46">
        <f>'1월'!H109+'2월'!G109+'3월'!G109+'4월'!G109+'5월'!G109+'6월'!G109+'7월'!G109+'8월'!G109+'9월'!G109+'10월'!G109+'11월'!G109+'12월'!G109</f>
        <v>486362145.87991285</v>
      </c>
      <c r="H109" s="46">
        <f>'1월'!J109+'2월'!H109+'3월'!H109+'4월'!H109+'5월'!H109+'6월'!H109+'7월'!H109+'8월'!H109+'9월'!H109+'10월'!H109+'11월'!H109+'12월'!H109</f>
        <v>0</v>
      </c>
      <c r="I109" s="46">
        <f>'1월'!K109+'2월'!I109+'3월'!I109+'4월'!I109+'5월'!I109+'6월'!I109+'7월'!I109+'8월'!I109+'9월'!I109+'10월'!I109+'11월'!I109+'12월'!I109</f>
        <v>830800</v>
      </c>
      <c r="J109" s="46">
        <f>'1월'!L109+'2월'!J109+'3월'!J109+'4월'!J109+'5월'!J109+'6월'!J109+'7월'!J109+'8월'!J109+'9월'!J109+'10월'!J109+'11월'!J109+'12월'!J109</f>
        <v>33091</v>
      </c>
      <c r="K109" s="46">
        <f>'1월'!M109+'2월'!K109+'3월'!K109+'4월'!K109+'5월'!K109+'6월'!K109+'7월'!K109+'8월'!K109+'9월'!K109+'10월'!K109+'11월'!K109+'12월'!K109</f>
        <v>24082627</v>
      </c>
      <c r="L109" s="46">
        <f>'1월'!N109+'2월'!L109+'3월'!L109+'4월'!L109+'5월'!L109+'6월'!L109+'7월'!L109+'8월'!L109+'9월'!L109+'10월'!L109+'11월'!L109+'12월'!L109</f>
        <v>1717068078</v>
      </c>
      <c r="M109" s="46">
        <f>'1월'!O109+'2월'!M109+'3월'!M109+'4월'!M109+'5월'!M109+'6월'!M109+'7월'!M109+'8월'!M109+'9월'!M109+'10월'!M109+'11월'!M109+'12월'!M109</f>
        <v>70000</v>
      </c>
      <c r="O109" s="46">
        <f>IFERROR(VLOOKUP($A109,[1]플랫폼1!$A:$B,2,FALSE),0)</f>
        <v>0</v>
      </c>
      <c r="P109" s="46">
        <f>IFERROR(VLOOKUP($A109,[1]플랫폼2!$A:$M,12,FALSE),0)+IFERROR(VLOOKUP($A109,[1]플랫폼2!$A:$M,13,FALSE),0)</f>
        <v>25000</v>
      </c>
      <c r="Q109" s="46">
        <f>IFERROR(VLOOKUP($A109,[1]플랫폼2!$A:$M,7,FALSE),0)+IFERROR(VLOOKUP($A109,[1]플랫폼2!$A:$M,12,FALSE),0)</f>
        <v>25000</v>
      </c>
      <c r="R109" s="46">
        <f>IFERROR(VLOOKUP($A109,[1]모바일!$A:$S,17,FALSE),0)</f>
        <v>0</v>
      </c>
      <c r="S109" s="46">
        <f>IFERROR(VLOOKUP($A109,[1]모바일!$A:$S,18,FALSE),0)</f>
        <v>0</v>
      </c>
      <c r="T109" s="199">
        <f>IFERROR(VLOOKUP(A109,[1]플랫폼2!$A:$O,15,0),0)</f>
        <v>20000</v>
      </c>
      <c r="U109" s="83"/>
    </row>
    <row r="110" spans="1:21" hidden="1" outlineLevel="1" x14ac:dyDescent="0.45">
      <c r="A110" s="29" t="s">
        <v>229</v>
      </c>
      <c r="B110" s="44">
        <f>'1월'!B110+'2월'!B110+'3월'!B110+'4월'!B110+'5월'!B110+'6월'!B110+'7월'!B110+'8월'!B110+'9월'!B110+'10월'!B110+'11월'!B110+'12월'!B110</f>
        <v>0</v>
      </c>
      <c r="C110" s="44">
        <f>'1월'!C110+'2월'!C110+'3월'!C110+'4월'!C110+'5월'!C110+'6월'!C110+'7월'!C110+'8월'!C110+'9월'!C110+'10월'!C110+'11월'!C110+'12월'!C110</f>
        <v>0</v>
      </c>
      <c r="D110" s="44">
        <f>'1월'!D110+'2월'!D110+'3월'!D110+'4월'!D110+'5월'!D110+'6월'!D110+'7월'!D110+'8월'!D110+'9월'!D110+'10월'!D110+'11월'!D110+'12월'!D110</f>
        <v>0</v>
      </c>
      <c r="E110" s="44">
        <f>'1월'!E110+'2월'!E110+'3월'!E110+'4월'!E110+'5월'!E110+'6월'!E110+'7월'!E110+'8월'!E110+'9월'!E110+'10월'!E110+'11월'!E110+'12월'!E110</f>
        <v>0</v>
      </c>
      <c r="F110" s="44">
        <f>'1월'!F110+'2월'!F110+'3월'!F110+'4월'!F110+'5월'!F110+'6월'!F110+'7월'!F110+'8월'!F110+'9월'!F110+'10월'!F110+'11월'!F110+'12월'!F110</f>
        <v>0</v>
      </c>
      <c r="G110" s="44">
        <f>'1월'!H110+'2월'!G110+'3월'!G110+'4월'!G110+'5월'!G110+'6월'!G110+'7월'!G110+'8월'!G110+'9월'!G110+'10월'!G110+'11월'!G110+'12월'!G110</f>
        <v>0</v>
      </c>
      <c r="H110" s="44">
        <f>'1월'!J110+'2월'!H110+'3월'!H110+'4월'!H110+'5월'!H110+'6월'!H110+'7월'!H110+'8월'!H110+'9월'!H110+'10월'!H110+'11월'!H110+'12월'!H110</f>
        <v>0</v>
      </c>
      <c r="I110" s="44">
        <f>'1월'!K110+'2월'!I110+'3월'!I110+'4월'!I110+'5월'!I110+'6월'!I110+'7월'!I110+'8월'!I110+'9월'!I110+'10월'!I110+'11월'!I110+'12월'!I110</f>
        <v>0</v>
      </c>
      <c r="J110" s="44">
        <f>'1월'!L110+'2월'!J110+'3월'!J110+'4월'!J110+'5월'!J110+'6월'!J110+'7월'!J110+'8월'!J110+'9월'!J110+'10월'!J110+'11월'!J110+'12월'!J110</f>
        <v>0</v>
      </c>
      <c r="K110" s="44">
        <f>'1월'!M110+'2월'!K110+'3월'!K110+'4월'!K110+'5월'!K110+'6월'!K110+'7월'!K110+'8월'!K110+'9월'!K110+'10월'!K110+'11월'!K110+'12월'!K110</f>
        <v>0</v>
      </c>
      <c r="L110" s="44">
        <f>'1월'!N110+'2월'!L110+'3월'!L110+'4월'!L110+'5월'!L110+'6월'!L110+'7월'!L110+'8월'!L110+'9월'!L110+'10월'!L110+'11월'!L110+'12월'!L110</f>
        <v>0</v>
      </c>
      <c r="M110" s="44">
        <f>'1월'!O110+'2월'!M110+'3월'!M110+'4월'!M110+'5월'!M110+'6월'!M110+'7월'!M110+'8월'!M110+'9월'!M110+'10월'!M110+'11월'!M110+'12월'!M110</f>
        <v>0</v>
      </c>
      <c r="O110" s="44">
        <f>IFERROR(VLOOKUP($A110,[1]플랫폼1!$A:$B,2,FALSE),0)</f>
        <v>0</v>
      </c>
      <c r="P110" s="44">
        <f>IFERROR(VLOOKUP($A110,[1]플랫폼2!$A:$M,12,FALSE),0)+IFERROR(VLOOKUP($A110,[1]플랫폼2!$A:$M,13,FALSE),0)</f>
        <v>0</v>
      </c>
      <c r="Q110" s="44">
        <f>IFERROR(VLOOKUP($A110,[1]플랫폼2!$A:$M,7,FALSE),0)+IFERROR(VLOOKUP($A110,[1]플랫폼2!$A:$M,12,FALSE),0)</f>
        <v>0</v>
      </c>
      <c r="R110" s="44">
        <f>IFERROR(VLOOKUP($A110,[1]모바일!$A:$S,17,FALSE),0)</f>
        <v>0</v>
      </c>
      <c r="S110" s="44">
        <f>IFERROR(VLOOKUP($A110,[1]모바일!$A:$S,18,FALSE),0)</f>
        <v>0</v>
      </c>
      <c r="T110" s="43">
        <f>IFERROR(VLOOKUP(A110,[1]플랫폼2!$A:$O,15,0),0)</f>
        <v>0</v>
      </c>
      <c r="U110" s="83"/>
    </row>
    <row r="111" spans="1:21" hidden="1" outlineLevel="1" x14ac:dyDescent="0.45">
      <c r="A111" s="29" t="s">
        <v>253</v>
      </c>
      <c r="B111" s="44">
        <f>'1월'!B111+'2월'!B111+'3월'!B111+'4월'!B111+'5월'!B111+'6월'!B111+'7월'!B111+'8월'!B111+'9월'!B111+'10월'!B111+'11월'!B111+'12월'!B111</f>
        <v>107700000</v>
      </c>
      <c r="C111" s="44">
        <f>'1월'!C111+'2월'!C111+'3월'!C111+'4월'!C111+'5월'!C111+'6월'!C111+'7월'!C111+'8월'!C111+'9월'!C111+'10월'!C111+'11월'!C111+'12월'!C111</f>
        <v>0</v>
      </c>
      <c r="D111" s="44">
        <f>'1월'!D111+'2월'!D111+'3월'!D111+'4월'!D111+'5월'!D111+'6월'!D111+'7월'!D111+'8월'!D111+'9월'!D111+'10월'!D111+'11월'!D111+'12월'!D111</f>
        <v>107700000</v>
      </c>
      <c r="E111" s="44">
        <f>'1월'!E111+'2월'!E111+'3월'!E111+'4월'!E111+'5월'!E111+'6월'!E111+'7월'!E111+'8월'!E111+'9월'!E111+'10월'!E111+'11월'!E111+'12월'!E111</f>
        <v>0</v>
      </c>
      <c r="F111" s="44">
        <f>'1월'!F111+'2월'!F111+'3월'!F111+'4월'!F111+'5월'!F111+'6월'!F111+'7월'!F111+'8월'!F111+'9월'!F111+'10월'!F111+'11월'!F111+'12월'!F111</f>
        <v>0</v>
      </c>
      <c r="G111" s="44">
        <f>'1월'!H111+'2월'!G111+'3월'!G111+'4월'!G111+'5월'!G111+'6월'!G111+'7월'!G111+'8월'!G111+'9월'!G111+'10월'!G111+'11월'!G111+'12월'!G111</f>
        <v>0</v>
      </c>
      <c r="H111" s="44">
        <f>'1월'!J111+'2월'!H111+'3월'!H111+'4월'!H111+'5월'!H111+'6월'!H111+'7월'!H111+'8월'!H111+'9월'!H111+'10월'!H111+'11월'!H111+'12월'!H111</f>
        <v>0</v>
      </c>
      <c r="I111" s="44">
        <f>'1월'!K111+'2월'!I111+'3월'!I111+'4월'!I111+'5월'!I111+'6월'!I111+'7월'!I111+'8월'!I111+'9월'!I111+'10월'!I111+'11월'!I111+'12월'!I111</f>
        <v>0</v>
      </c>
      <c r="J111" s="44">
        <f>'1월'!L111+'2월'!J111+'3월'!J111+'4월'!J111+'5월'!J111+'6월'!J111+'7월'!J111+'8월'!J111+'9월'!J111+'10월'!J111+'11월'!J111+'12월'!J111</f>
        <v>0</v>
      </c>
      <c r="K111" s="44">
        <f>'1월'!M111+'2월'!K111+'3월'!K111+'4월'!K111+'5월'!K111+'6월'!K111+'7월'!K111+'8월'!K111+'9월'!K111+'10월'!K111+'11월'!K111+'12월'!K111</f>
        <v>0</v>
      </c>
      <c r="L111" s="44">
        <f>'1월'!N111+'2월'!L111+'3월'!L111+'4월'!L111+'5월'!L111+'6월'!L111+'7월'!L111+'8월'!L111+'9월'!L111+'10월'!L111+'11월'!L111+'12월'!L111</f>
        <v>0</v>
      </c>
      <c r="M111" s="44">
        <f>'1월'!O111+'2월'!M111+'3월'!M111+'4월'!M111+'5월'!M111+'6월'!M111+'7월'!M111+'8월'!M111+'9월'!M111+'10월'!M111+'11월'!M111+'12월'!M111</f>
        <v>0</v>
      </c>
      <c r="O111" s="44">
        <f>IFERROR(VLOOKUP($A111,[1]플랫폼1!$A:$B,2,FALSE),0)</f>
        <v>0</v>
      </c>
      <c r="P111" s="44">
        <f>IFERROR(VLOOKUP($A111,[1]플랫폼2!$A:$M,12,FALSE),0)+IFERROR(VLOOKUP($A111,[1]플랫폼2!$A:$M,13,FALSE),0)</f>
        <v>0</v>
      </c>
      <c r="Q111" s="44">
        <f>IFERROR(VLOOKUP($A111,[1]플랫폼2!$A:$M,7,FALSE),0)+IFERROR(VLOOKUP($A111,[1]플랫폼2!$A:$M,12,FALSE),0)</f>
        <v>0</v>
      </c>
      <c r="R111" s="44">
        <f>IFERROR(VLOOKUP($A111,[1]모바일!$A:$S,17,FALSE),0)</f>
        <v>0</v>
      </c>
      <c r="S111" s="44">
        <f>IFERROR(VLOOKUP($A111,[1]모바일!$A:$S,18,FALSE),0)</f>
        <v>0</v>
      </c>
      <c r="T111" s="43">
        <f>IFERROR(VLOOKUP(A111,[1]플랫폼2!$A:$O,15,0),0)</f>
        <v>0</v>
      </c>
      <c r="U111" s="83"/>
    </row>
    <row r="112" spans="1:21" hidden="1" outlineLevel="1" x14ac:dyDescent="0.45">
      <c r="A112" s="29" t="s">
        <v>255</v>
      </c>
      <c r="B112" s="44">
        <f>'1월'!B112+'2월'!B112+'3월'!B112+'4월'!B112+'5월'!B112+'6월'!B112+'7월'!B112+'8월'!B112+'9월'!B112+'10월'!B112+'11월'!B112+'12월'!B112</f>
        <v>0</v>
      </c>
      <c r="C112" s="44">
        <f>'1월'!C112+'2월'!C112+'3월'!C112+'4월'!C112+'5월'!C112+'6월'!C112+'7월'!C112+'8월'!C112+'9월'!C112+'10월'!C112+'11월'!C112+'12월'!C112</f>
        <v>0</v>
      </c>
      <c r="D112" s="44">
        <f>'1월'!D112+'2월'!D112+'3월'!D112+'4월'!D112+'5월'!D112+'6월'!D112+'7월'!D112+'8월'!D112+'9월'!D112+'10월'!D112+'11월'!D112+'12월'!D112</f>
        <v>0</v>
      </c>
      <c r="E112" s="44">
        <f>'1월'!E112+'2월'!E112+'3월'!E112+'4월'!E112+'5월'!E112+'6월'!E112+'7월'!E112+'8월'!E112+'9월'!E112+'10월'!E112+'11월'!E112+'12월'!E112</f>
        <v>0</v>
      </c>
      <c r="F112" s="44">
        <f>'1월'!F112+'2월'!F112+'3월'!F112+'4월'!F112+'5월'!F112+'6월'!F112+'7월'!F112+'8월'!F112+'9월'!F112+'10월'!F112+'11월'!F112+'12월'!F112</f>
        <v>0</v>
      </c>
      <c r="G112" s="44">
        <f>'1월'!H112+'2월'!G112+'3월'!G112+'4월'!G112+'5월'!G112+'6월'!G112+'7월'!G112+'8월'!G112+'9월'!G112+'10월'!G112+'11월'!G112+'12월'!G112</f>
        <v>0</v>
      </c>
      <c r="H112" s="44">
        <f>'1월'!J112+'2월'!H112+'3월'!H112+'4월'!H112+'5월'!H112+'6월'!H112+'7월'!H112+'8월'!H112+'9월'!H112+'10월'!H112+'11월'!H112+'12월'!H112</f>
        <v>0</v>
      </c>
      <c r="I112" s="44">
        <f>'1월'!K112+'2월'!I112+'3월'!I112+'4월'!I112+'5월'!I112+'6월'!I112+'7월'!I112+'8월'!I112+'9월'!I112+'10월'!I112+'11월'!I112+'12월'!I112</f>
        <v>0</v>
      </c>
      <c r="J112" s="44">
        <f>'1월'!L112+'2월'!J112+'3월'!J112+'4월'!J112+'5월'!J112+'6월'!J112+'7월'!J112+'8월'!J112+'9월'!J112+'10월'!J112+'11월'!J112+'12월'!J112</f>
        <v>0</v>
      </c>
      <c r="K112" s="44">
        <f>'1월'!M112+'2월'!K112+'3월'!K112+'4월'!K112+'5월'!K112+'6월'!K112+'7월'!K112+'8월'!K112+'9월'!K112+'10월'!K112+'11월'!K112+'12월'!K112</f>
        <v>0</v>
      </c>
      <c r="L112" s="44">
        <f>'1월'!N112+'2월'!L112+'3월'!L112+'4월'!L112+'5월'!L112+'6월'!L112+'7월'!L112+'8월'!L112+'9월'!L112+'10월'!L112+'11월'!L112+'12월'!L112</f>
        <v>0</v>
      </c>
      <c r="M112" s="44">
        <f>'1월'!O112+'2월'!M112+'3월'!M112+'4월'!M112+'5월'!M112+'6월'!M112+'7월'!M112+'8월'!M112+'9월'!M112+'10월'!M112+'11월'!M112+'12월'!M112</f>
        <v>0</v>
      </c>
      <c r="O112" s="44">
        <f>IFERROR(VLOOKUP($A112,[1]플랫폼1!$A:$B,2,FALSE),0)</f>
        <v>0</v>
      </c>
      <c r="P112" s="44">
        <f>IFERROR(VLOOKUP($A112,[1]플랫폼2!$A:$M,12,FALSE),0)+IFERROR(VLOOKUP($A112,[1]플랫폼2!$A:$M,13,FALSE),0)</f>
        <v>0</v>
      </c>
      <c r="Q112" s="44">
        <f>IFERROR(VLOOKUP($A112,[1]플랫폼2!$A:$M,7,FALSE),0)+IFERROR(VLOOKUP($A112,[1]플랫폼2!$A:$M,12,FALSE),0)</f>
        <v>0</v>
      </c>
      <c r="R112" s="44">
        <f>IFERROR(VLOOKUP($A112,[1]모바일!$A:$S,17,FALSE),0)</f>
        <v>0</v>
      </c>
      <c r="S112" s="44">
        <f>IFERROR(VLOOKUP($A112,[1]모바일!$A:$S,18,FALSE),0)</f>
        <v>0</v>
      </c>
      <c r="T112" s="43">
        <f>IFERROR(VLOOKUP(A112,[1]플랫폼2!$A:$O,15,0),0)</f>
        <v>0</v>
      </c>
      <c r="U112" s="83"/>
    </row>
    <row r="113" spans="1:21" hidden="1" outlineLevel="1" x14ac:dyDescent="0.45">
      <c r="A113" s="29" t="s">
        <v>254</v>
      </c>
      <c r="B113" s="44">
        <f>'1월'!B113+'2월'!B113+'3월'!B113+'4월'!B113+'5월'!B113+'6월'!B113+'7월'!B113+'8월'!B113+'9월'!B113+'10월'!B113+'11월'!B113+'12월'!B113</f>
        <v>0</v>
      </c>
      <c r="C113" s="44">
        <f>'1월'!C113+'2월'!C113+'3월'!C113+'4월'!C113+'5월'!C113+'6월'!C113+'7월'!C113+'8월'!C113+'9월'!C113+'10월'!C113+'11월'!C113+'12월'!C113</f>
        <v>0</v>
      </c>
      <c r="D113" s="44">
        <f>'1월'!D113+'2월'!D113+'3월'!D113+'4월'!D113+'5월'!D113+'6월'!D113+'7월'!D113+'8월'!D113+'9월'!D113+'10월'!D113+'11월'!D113+'12월'!D113</f>
        <v>0</v>
      </c>
      <c r="E113" s="44">
        <f>'1월'!E113+'2월'!E113+'3월'!E113+'4월'!E113+'5월'!E113+'6월'!E113+'7월'!E113+'8월'!E113+'9월'!E113+'10월'!E113+'11월'!E113+'12월'!E113</f>
        <v>0</v>
      </c>
      <c r="F113" s="44">
        <f>'1월'!F113+'2월'!F113+'3월'!F113+'4월'!F113+'5월'!F113+'6월'!F113+'7월'!F113+'8월'!F113+'9월'!F113+'10월'!F113+'11월'!F113+'12월'!F113</f>
        <v>0</v>
      </c>
      <c r="G113" s="44">
        <f>'1월'!H113+'2월'!G113+'3월'!G113+'4월'!G113+'5월'!G113+'6월'!G113+'7월'!G113+'8월'!G113+'9월'!G113+'10월'!G113+'11월'!G113+'12월'!G113</f>
        <v>0</v>
      </c>
      <c r="H113" s="44">
        <f>'1월'!J113+'2월'!H113+'3월'!H113+'4월'!H113+'5월'!H113+'6월'!H113+'7월'!H113+'8월'!H113+'9월'!H113+'10월'!H113+'11월'!H113+'12월'!H113</f>
        <v>0</v>
      </c>
      <c r="I113" s="44">
        <f>'1월'!K113+'2월'!I113+'3월'!I113+'4월'!I113+'5월'!I113+'6월'!I113+'7월'!I113+'8월'!I113+'9월'!I113+'10월'!I113+'11월'!I113+'12월'!I113</f>
        <v>0</v>
      </c>
      <c r="J113" s="44">
        <f>'1월'!L113+'2월'!J113+'3월'!J113+'4월'!J113+'5월'!J113+'6월'!J113+'7월'!J113+'8월'!J113+'9월'!J113+'10월'!J113+'11월'!J113+'12월'!J113</f>
        <v>0</v>
      </c>
      <c r="K113" s="44">
        <f>'1월'!M113+'2월'!K113+'3월'!K113+'4월'!K113+'5월'!K113+'6월'!K113+'7월'!K113+'8월'!K113+'9월'!K113+'10월'!K113+'11월'!K113+'12월'!K113</f>
        <v>0</v>
      </c>
      <c r="L113" s="44">
        <f>'1월'!N113+'2월'!L113+'3월'!L113+'4월'!L113+'5월'!L113+'6월'!L113+'7월'!L113+'8월'!L113+'9월'!L113+'10월'!L113+'11월'!L113+'12월'!L113</f>
        <v>0</v>
      </c>
      <c r="M113" s="44">
        <f>'1월'!O113+'2월'!M113+'3월'!M113+'4월'!M113+'5월'!M113+'6월'!M113+'7월'!M113+'8월'!M113+'9월'!M113+'10월'!M113+'11월'!M113+'12월'!M113</f>
        <v>0</v>
      </c>
      <c r="O113" s="44">
        <f>IFERROR(VLOOKUP($A113,[1]플랫폼1!$A:$B,2,FALSE),0)</f>
        <v>0</v>
      </c>
      <c r="P113" s="44">
        <f>IFERROR(VLOOKUP($A113,[1]플랫폼2!$A:$M,12,FALSE),0)+IFERROR(VLOOKUP($A113,[1]플랫폼2!$A:$M,13,FALSE),0)</f>
        <v>0</v>
      </c>
      <c r="Q113" s="44">
        <f>IFERROR(VLOOKUP($A113,[1]플랫폼2!$A:$M,7,FALSE),0)+IFERROR(VLOOKUP($A113,[1]플랫폼2!$A:$M,12,FALSE),0)</f>
        <v>0</v>
      </c>
      <c r="R113" s="44">
        <f>IFERROR(VLOOKUP($A113,[1]모바일!$A:$S,17,FALSE),0)</f>
        <v>0</v>
      </c>
      <c r="S113" s="44">
        <f>IFERROR(VLOOKUP($A113,[1]모바일!$A:$S,18,FALSE),0)</f>
        <v>0</v>
      </c>
      <c r="T113" s="43">
        <f>IFERROR(VLOOKUP(A113,[1]플랫폼2!$A:$O,15,0),0)</f>
        <v>0</v>
      </c>
      <c r="U113" s="83"/>
    </row>
    <row r="114" spans="1:21" hidden="1" outlineLevel="1" x14ac:dyDescent="0.45">
      <c r="A114" s="29" t="s">
        <v>269</v>
      </c>
      <c r="B114" s="44">
        <f>'1월'!B114+'2월'!B114+'3월'!B114+'4월'!B114+'5월'!B114+'6월'!B114+'7월'!B114+'8월'!B114+'9월'!B114+'10월'!B114+'11월'!B114+'12월'!B114</f>
        <v>281034580</v>
      </c>
      <c r="C114" s="44">
        <f>'1월'!C114+'2월'!C114+'3월'!C114+'4월'!C114+'5월'!C114+'6월'!C114+'7월'!C114+'8월'!C114+'9월'!C114+'10월'!C114+'11월'!C114+'12월'!C114</f>
        <v>281034580</v>
      </c>
      <c r="D114" s="44">
        <f>'1월'!D114+'2월'!D114+'3월'!D114+'4월'!D114+'5월'!D114+'6월'!D114+'7월'!D114+'8월'!D114+'9월'!D114+'10월'!D114+'11월'!D114+'12월'!D114</f>
        <v>0</v>
      </c>
      <c r="E114" s="44">
        <f>'1월'!E114+'2월'!E114+'3월'!E114+'4월'!E114+'5월'!E114+'6월'!E114+'7월'!E114+'8월'!E114+'9월'!E114+'10월'!E114+'11월'!E114+'12월'!E114</f>
        <v>0</v>
      </c>
      <c r="F114" s="44">
        <f>'1월'!F114+'2월'!F114+'3월'!F114+'4월'!F114+'5월'!F114+'6월'!F114+'7월'!F114+'8월'!F114+'9월'!F114+'10월'!F114+'11월'!F114+'12월'!F114</f>
        <v>0</v>
      </c>
      <c r="G114" s="44">
        <f>'1월'!H114+'2월'!G114+'3월'!G114+'4월'!G114+'5월'!G114+'6월'!G114+'7월'!G114+'8월'!G114+'9월'!G114+'10월'!G114+'11월'!G114+'12월'!G114</f>
        <v>0</v>
      </c>
      <c r="H114" s="44">
        <f>'1월'!J114+'2월'!H114+'3월'!H114+'4월'!H114+'5월'!H114+'6월'!H114+'7월'!H114+'8월'!H114+'9월'!H114+'10월'!H114+'11월'!H114+'12월'!H114</f>
        <v>0</v>
      </c>
      <c r="I114" s="44">
        <f>'1월'!K114+'2월'!I114+'3월'!I114+'4월'!I114+'5월'!I114+'6월'!I114+'7월'!I114+'8월'!I114+'9월'!I114+'10월'!I114+'11월'!I114+'12월'!I114</f>
        <v>0</v>
      </c>
      <c r="J114" s="44">
        <f>'1월'!L114+'2월'!J114+'3월'!J114+'4월'!J114+'5월'!J114+'6월'!J114+'7월'!J114+'8월'!J114+'9월'!J114+'10월'!J114+'11월'!J114+'12월'!J114</f>
        <v>0</v>
      </c>
      <c r="K114" s="44">
        <f>'1월'!M114+'2월'!K114+'3월'!K114+'4월'!K114+'5월'!K114+'6월'!K114+'7월'!K114+'8월'!K114+'9월'!K114+'10월'!K114+'11월'!K114+'12월'!K114</f>
        <v>0</v>
      </c>
      <c r="L114" s="44">
        <f>'1월'!N114+'2월'!L114+'3월'!L114+'4월'!L114+'5월'!L114+'6월'!L114+'7월'!L114+'8월'!L114+'9월'!L114+'10월'!L114+'11월'!L114+'12월'!L114</f>
        <v>0</v>
      </c>
      <c r="M114" s="44">
        <f>'1월'!O114+'2월'!M114+'3월'!M114+'4월'!M114+'5월'!M114+'6월'!M114+'7월'!M114+'8월'!M114+'9월'!M114+'10월'!M114+'11월'!M114+'12월'!M114</f>
        <v>0</v>
      </c>
      <c r="O114" s="44">
        <f>IFERROR(VLOOKUP($A114,[1]플랫폼1!$A:$B,2,FALSE),0)</f>
        <v>0</v>
      </c>
      <c r="P114" s="44">
        <f>IFERROR(VLOOKUP($A114,[1]플랫폼2!$A:$M,12,FALSE),0)+IFERROR(VLOOKUP($A114,[1]플랫폼2!$A:$M,13,FALSE),0)</f>
        <v>0</v>
      </c>
      <c r="Q114" s="44">
        <f>IFERROR(VLOOKUP($A114,[1]플랫폼2!$A:$M,7,FALSE),0)+IFERROR(VLOOKUP($A114,[1]플랫폼2!$A:$M,12,FALSE),0)</f>
        <v>0</v>
      </c>
      <c r="R114" s="44">
        <f>IFERROR(VLOOKUP($A114,[1]모바일!$A:$S,17,FALSE),0)</f>
        <v>0</v>
      </c>
      <c r="S114" s="44">
        <f>IFERROR(VLOOKUP($A114,[1]모바일!$A:$S,18,FALSE),0)</f>
        <v>0</v>
      </c>
      <c r="T114" s="43">
        <f>IFERROR(VLOOKUP(A114,[1]플랫폼2!$A:$O,15,0),0)</f>
        <v>0</v>
      </c>
      <c r="U114" s="83"/>
    </row>
    <row r="115" spans="1:21" s="1" customFormat="1" collapsed="1" x14ac:dyDescent="0.45">
      <c r="A115" s="28" t="s">
        <v>57</v>
      </c>
      <c r="B115" s="43">
        <f>'1월'!B115+'2월'!B115+'3월'!B115+'4월'!B115+'5월'!B115+'6월'!B115+'7월'!B115+'8월'!B115+'9월'!B115+'10월'!B115+'11월'!B115+'12월'!B115</f>
        <v>584984199</v>
      </c>
      <c r="C115" s="43">
        <f>'1월'!C115+'2월'!C115+'3월'!C115+'4월'!C115+'5월'!C115+'6월'!C115+'7월'!C115+'8월'!C115+'9월'!C115+'10월'!C115+'11월'!C115+'12월'!C115</f>
        <v>124190715.12659566</v>
      </c>
      <c r="D115" s="43">
        <f>'1월'!D115+'2월'!D115+'3월'!D115+'4월'!D115+'5월'!D115+'6월'!D115+'7월'!D115+'8월'!D115+'9월'!D115+'10월'!D115+'11월'!D115+'12월'!D115</f>
        <v>52679451</v>
      </c>
      <c r="E115" s="43">
        <f>'1월'!E115+'2월'!E115+'3월'!E115+'4월'!E115+'5월'!E115+'6월'!E115+'7월'!E115+'8월'!E115+'9월'!E115+'10월'!E115+'11월'!E115+'12월'!E115</f>
        <v>408114032.87340438</v>
      </c>
      <c r="F115" s="43">
        <f>'1월'!F115+'2월'!F115+'3월'!F115+'4월'!F115+'5월'!F115+'6월'!F115+'7월'!F115+'8월'!F115+'9월'!F115+'10월'!F115+'11월'!F115+'12월'!F115</f>
        <v>199648398.25573954</v>
      </c>
      <c r="G115" s="43">
        <f>'1월'!H115+'2월'!G115+'3월'!G115+'4월'!G115+'5월'!G115+'6월'!G115+'7월'!G115+'8월'!G115+'9월'!G115+'10월'!G115+'11월'!G115+'12월'!G115</f>
        <v>83080675.74426043</v>
      </c>
      <c r="H115" s="43">
        <f>'1월'!J115+'2월'!H115+'3월'!H115+'4월'!H115+'5월'!H115+'6월'!H115+'7월'!H115+'8월'!H115+'9월'!H115+'10월'!H115+'11월'!H115+'12월'!H115</f>
        <v>11184286</v>
      </c>
      <c r="I115" s="43">
        <f>'1월'!K115+'2월'!I115+'3월'!I115+'4월'!I115+'5월'!I115+'6월'!I115+'7월'!I115+'8월'!I115+'9월'!I115+'10월'!I115+'11월'!I115+'12월'!I115</f>
        <v>5203056.0413532099</v>
      </c>
      <c r="J115" s="43">
        <f>'1월'!L115+'2월'!J115+'3월'!J115+'4월'!J115+'5월'!J115+'6월'!J115+'7월'!J115+'8월'!J115+'9월'!J115+'10월'!J115+'11월'!J115+'12월'!J115</f>
        <v>3631232.050128581</v>
      </c>
      <c r="K115" s="43">
        <f>'1월'!M115+'2월'!K115+'3월'!K115+'4월'!K115+'5월'!K115+'6월'!K115+'7월'!K115+'8월'!K115+'9월'!K115+'10월'!K115+'11월'!K115+'12월'!K115</f>
        <v>17646246.927020904</v>
      </c>
      <c r="L115" s="43">
        <f>'1월'!N115+'2월'!L115+'3월'!L115+'4월'!L115+'5월'!L115+'6월'!L115+'7월'!L115+'8월'!L115+'9월'!L115+'10월'!L115+'11월'!L115+'12월'!L115</f>
        <v>61945595.854901649</v>
      </c>
      <c r="M115" s="43">
        <f>'1월'!O115+'2월'!M115+'3월'!M115+'4월'!M115+'5월'!M115+'6월'!M115+'7월'!M115+'8월'!M115+'9월'!M115+'10월'!M115+'11월'!M115+'12월'!M115</f>
        <v>25774542</v>
      </c>
      <c r="O115" s="43">
        <f>IFERROR(VLOOKUP($A115,[1]플랫폼1!$A:$B,2,FALSE),0)</f>
        <v>5920700</v>
      </c>
      <c r="P115" s="43">
        <f>IFERROR(VLOOKUP($A115,[1]플랫폼2!$A:$M,12,FALSE),0)+IFERROR(VLOOKUP($A115,[1]플랫폼2!$A:$M,13,FALSE),0)</f>
        <v>4324938</v>
      </c>
      <c r="Q115" s="43">
        <f>IFERROR(VLOOKUP($A115,[1]플랫폼2!$A:$M,7,FALSE),0)+IFERROR(VLOOKUP($A115,[1]플랫폼2!$A:$M,12,FALSE),0)</f>
        <v>4324938</v>
      </c>
      <c r="R115" s="43">
        <v>934902.33333333337</v>
      </c>
      <c r="S115" s="43">
        <v>934902.33333333337</v>
      </c>
      <c r="T115" s="43">
        <v>9349023.333333334</v>
      </c>
      <c r="U115" s="83"/>
    </row>
    <row r="116" spans="1:21" hidden="1" outlineLevel="1" x14ac:dyDescent="0.45">
      <c r="A116" s="29" t="s">
        <v>58</v>
      </c>
      <c r="B116" s="44">
        <f>'1월'!B116+'2월'!B116+'3월'!B116+'4월'!B116+'5월'!B116+'6월'!B116+'7월'!B116+'8월'!B116+'9월'!B116+'10월'!B116+'11월'!B116+'12월'!B116</f>
        <v>322524417</v>
      </c>
      <c r="C116" s="44">
        <f>'1월'!C116+'2월'!C116+'3월'!C116+'4월'!C116+'5월'!C116+'6월'!C116+'7월'!C116+'8월'!C116+'9월'!C116+'10월'!C116+'11월'!C116+'12월'!C116</f>
        <v>43875998.514940649</v>
      </c>
      <c r="D116" s="44">
        <f>'1월'!D116+'2월'!D116+'3월'!D116+'4월'!D116+'5월'!D116+'6월'!D116+'7월'!D116+'8월'!D116+'9월'!D116+'10월'!D116+'11월'!D116+'12월'!D116</f>
        <v>18048120</v>
      </c>
      <c r="E116" s="44">
        <f>'1월'!E116+'2월'!E116+'3월'!E116+'4월'!E116+'5월'!E116+'6월'!E116+'7월'!E116+'8월'!E116+'9월'!E116+'10월'!E116+'11월'!E116+'12월'!E116</f>
        <v>260600298.48505935</v>
      </c>
      <c r="F116" s="44">
        <f>'1월'!F116+'2월'!F116+'3월'!F116+'4월'!F116+'5월'!F116+'6월'!F116+'7월'!F116+'8월'!F116+'9월'!F116+'10월'!F116+'11월'!F116+'12월'!F116</f>
        <v>136288232.30523744</v>
      </c>
      <c r="G116" s="44">
        <f>'1월'!H116+'2월'!G116+'3월'!G116+'4월'!G116+'5월'!G116+'6월'!G116+'7월'!G116+'8월'!G116+'9월'!G116+'10월'!G116+'11월'!G116+'12월'!G116</f>
        <v>49778583.694762535</v>
      </c>
      <c r="H116" s="44">
        <f>'1월'!J116+'2월'!H116+'3월'!H116+'4월'!H116+'5월'!H116+'6월'!H116+'7월'!H116+'8월'!H116+'9월'!H116+'10월'!H116+'11월'!H116+'12월'!H116</f>
        <v>2000516</v>
      </c>
      <c r="I116" s="44">
        <f>'1월'!K116+'2월'!I116+'3월'!I116+'4월'!I116+'5월'!I116+'6월'!I116+'7월'!I116+'8월'!I116+'9월'!I116+'10월'!I116+'11월'!I116+'12월'!I116</f>
        <v>2279329.0020706058</v>
      </c>
      <c r="J116" s="44">
        <f>'1월'!L116+'2월'!J116+'3월'!J116+'4월'!J116+'5월'!J116+'6월'!J116+'7월'!J116+'8월'!J116+'9월'!J116+'10월'!J116+'11월'!J116+'12월'!J116</f>
        <v>513346.95167599205</v>
      </c>
      <c r="K116" s="44">
        <f>'1월'!M116+'2월'!K116+'3월'!K116+'4월'!K116+'5월'!K116+'6월'!K116+'7월'!K116+'8월'!K116+'9월'!K116+'10월'!K116+'11월'!K116+'12월'!K116</f>
        <v>11216803.330311751</v>
      </c>
      <c r="L116" s="44">
        <f>'1월'!N116+'2월'!L116+'3월'!L116+'4월'!L116+'5월'!L116+'6월'!L116+'7월'!L116+'8월'!L116+'9월'!L116+'10월'!L116+'11월'!L116+'12월'!L116</f>
        <v>46930259.201001003</v>
      </c>
      <c r="M116" s="44">
        <f>'1월'!O116+'2월'!M116+'3월'!M116+'4월'!M116+'5월'!M116+'6월'!M116+'7월'!M116+'8월'!M116+'9월'!M116+'10월'!M116+'11월'!M116+'12월'!M116</f>
        <v>11593228</v>
      </c>
      <c r="O116" s="44">
        <f>IFERROR(VLOOKUP($A116,[1]플랫폼1!$A:$B,2,FALSE),0)</f>
        <v>2842700</v>
      </c>
      <c r="P116" s="44">
        <f>IFERROR(VLOOKUP($A116,[1]플랫폼2!$A:$M,12,FALSE),0)+IFERROR(VLOOKUP($A116,[1]플랫폼2!$A:$M,13,FALSE),0)</f>
        <v>710950</v>
      </c>
      <c r="Q116" s="44">
        <f>IFERROR(VLOOKUP($A116,[1]플랫폼2!$A:$M,7,FALSE),0)+IFERROR(VLOOKUP($A116,[1]플랫폼2!$A:$M,12,FALSE),0)</f>
        <v>710950</v>
      </c>
      <c r="R116" s="44">
        <f>IFERROR(VLOOKUP($A116,[1]모바일!$A:$S,17,FALSE),0)</f>
        <v>610719</v>
      </c>
      <c r="S116" s="44">
        <f>IFERROR(VLOOKUP($A116,[1]모바일!$A:$S,18,FALSE),0)</f>
        <v>610719</v>
      </c>
      <c r="T116" s="43">
        <f>IFERROR(VLOOKUP(A116,[1]플랫폼2!$A:$O,15,0),0)</f>
        <v>6107190</v>
      </c>
      <c r="U116" s="83"/>
    </row>
    <row r="117" spans="1:21" hidden="1" outlineLevel="1" x14ac:dyDescent="0.45">
      <c r="A117" s="29" t="s">
        <v>266</v>
      </c>
      <c r="B117" s="44">
        <f>'1월'!B117+'2월'!B117+'3월'!B117+'4월'!B117+'5월'!B117+'6월'!B117+'7월'!B117+'8월'!B117+'9월'!B117+'10월'!B117+'11월'!B117+'12월'!B117</f>
        <v>6646250</v>
      </c>
      <c r="C117" s="44">
        <f>'1월'!C117+'2월'!C117+'3월'!C117+'4월'!C117+'5월'!C117+'6월'!C117+'7월'!C117+'8월'!C117+'9월'!C117+'10월'!C117+'11월'!C117+'12월'!C117</f>
        <v>1202350</v>
      </c>
      <c r="D117" s="44">
        <f>'1월'!D117+'2월'!D117+'3월'!D117+'4월'!D117+'5월'!D117+'6월'!D117+'7월'!D117+'8월'!D117+'9월'!D117+'10월'!D117+'11월'!D117+'12월'!D117</f>
        <v>1939100</v>
      </c>
      <c r="E117" s="44">
        <f>'1월'!E117+'2월'!E117+'3월'!E117+'4월'!E117+'5월'!E117+'6월'!E117+'7월'!E117+'8월'!E117+'9월'!E117+'10월'!E117+'11월'!E117+'12월'!E117</f>
        <v>3504800</v>
      </c>
      <c r="F117" s="44">
        <f>'1월'!F117+'2월'!F117+'3월'!F117+'4월'!F117+'5월'!F117+'6월'!F117+'7월'!F117+'8월'!F117+'9월'!F117+'10월'!F117+'11월'!F117+'12월'!F117</f>
        <v>2530483.6575994659</v>
      </c>
      <c r="G117" s="44">
        <f>'1월'!H117+'2월'!G117+'3월'!G117+'4월'!G117+'5월'!G117+'6월'!G117+'7월'!G117+'8월'!G117+'9월'!G117+'10월'!G117+'11월'!G117+'12월'!G117</f>
        <v>379116.34240053396</v>
      </c>
      <c r="H117" s="44">
        <f>'1월'!J117+'2월'!H117+'3월'!H117+'4월'!H117+'5월'!H117+'6월'!H117+'7월'!H117+'8월'!H117+'9월'!H117+'10월'!H117+'11월'!H117+'12월'!H117</f>
        <v>0</v>
      </c>
      <c r="I117" s="44">
        <f>'1월'!K117+'2월'!I117+'3월'!I117+'4월'!I117+'5월'!I117+'6월'!I117+'7월'!I117+'8월'!I117+'9월'!I117+'10월'!I117+'11월'!I117+'12월'!I117</f>
        <v>0</v>
      </c>
      <c r="J117" s="44">
        <f>'1월'!L117+'2월'!J117+'3월'!J117+'4월'!J117+'5월'!J117+'6월'!J117+'7월'!J117+'8월'!J117+'9월'!J117+'10월'!J117+'11월'!J117+'12월'!J117</f>
        <v>0</v>
      </c>
      <c r="K117" s="44">
        <f>'1월'!M117+'2월'!K117+'3월'!K117+'4월'!K117+'5월'!K117+'6월'!K117+'7월'!K117+'8월'!K117+'9월'!K117+'10월'!K117+'11월'!K117+'12월'!K117</f>
        <v>0</v>
      </c>
      <c r="L117" s="44">
        <f>'1월'!N117+'2월'!L117+'3월'!L117+'4월'!L117+'5월'!L117+'6월'!L117+'7월'!L117+'8월'!L117+'9월'!L117+'10월'!L117+'11월'!L117+'12월'!L117</f>
        <v>103200</v>
      </c>
      <c r="M117" s="44">
        <f>'1월'!O117+'2월'!M117+'3월'!M117+'4월'!M117+'5월'!M117+'6월'!M117+'7월'!M117+'8월'!M117+'9월'!M117+'10월'!M117+'11월'!M117+'12월'!M117</f>
        <v>492000</v>
      </c>
      <c r="O117" s="44">
        <f>IFERROR(VLOOKUP($A117,[1]플랫폼1!$A:$B,2,FALSE),0)</f>
        <v>0</v>
      </c>
      <c r="P117" s="44">
        <f>IFERROR(VLOOKUP($A117,[1]플랫폼2!$A:$M,12,FALSE),0)+IFERROR(VLOOKUP($A117,[1]플랫폼2!$A:$M,13,FALSE),0)</f>
        <v>246000</v>
      </c>
      <c r="Q117" s="44">
        <f>IFERROR(VLOOKUP($A117,[1]플랫폼2!$A:$M,7,FALSE),0)+IFERROR(VLOOKUP($A117,[1]플랫폼2!$A:$M,12,FALSE),0)</f>
        <v>246000</v>
      </c>
      <c r="R117" s="44">
        <f>IFERROR(VLOOKUP($A117,[1]모바일!$A:$S,17,FALSE),0)</f>
        <v>0</v>
      </c>
      <c r="S117" s="44">
        <f>IFERROR(VLOOKUP($A117,[1]모바일!$A:$S,18,FALSE),0)</f>
        <v>0</v>
      </c>
      <c r="T117" s="43">
        <f>IFERROR(VLOOKUP(A117,[1]플랫폼2!$A:$O,15,0),0)</f>
        <v>0</v>
      </c>
      <c r="U117" s="83"/>
    </row>
    <row r="118" spans="1:21" hidden="1" outlineLevel="1" x14ac:dyDescent="0.45">
      <c r="A118" s="29" t="s">
        <v>296</v>
      </c>
      <c r="B118" s="44">
        <f>'1월'!B118+'2월'!B118+'3월'!B118+'4월'!B118+'5월'!B118+'6월'!B118+'7월'!B118+'8월'!B118+'9월'!B118+'10월'!B118+'11월'!B118+'12월'!B118</f>
        <v>0</v>
      </c>
      <c r="C118" s="44">
        <f>'1월'!C118+'2월'!C118+'3월'!C118+'4월'!C118+'5월'!C118+'6월'!C118+'7월'!C118+'8월'!C118+'9월'!C118+'10월'!C118+'11월'!C118+'12월'!C118</f>
        <v>0</v>
      </c>
      <c r="D118" s="44">
        <f>'1월'!D118+'2월'!D118+'3월'!D118+'4월'!D118+'5월'!D118+'6월'!D118+'7월'!D118+'8월'!D118+'9월'!D118+'10월'!D118+'11월'!D118+'12월'!D118</f>
        <v>0</v>
      </c>
      <c r="E118" s="44">
        <f>'1월'!E118+'2월'!E118+'3월'!E118+'4월'!E118+'5월'!E118+'6월'!E118+'7월'!E118+'8월'!E118+'9월'!E118+'10월'!E118+'11월'!E118+'12월'!E118</f>
        <v>0</v>
      </c>
      <c r="F118" s="44">
        <f>'1월'!F118+'2월'!F118+'3월'!F118+'4월'!F118+'5월'!F118+'6월'!F118+'7월'!F118+'8월'!F118+'9월'!F118+'10월'!F118+'11월'!F118+'12월'!F118</f>
        <v>0</v>
      </c>
      <c r="G118" s="44">
        <f>'1월'!H118+'2월'!G118+'3월'!G118+'4월'!G118+'5월'!G118+'6월'!G118+'7월'!G118+'8월'!G118+'9월'!G118+'10월'!G118+'11월'!G118+'12월'!G118</f>
        <v>0</v>
      </c>
      <c r="H118" s="44">
        <f>'1월'!J118+'2월'!H118+'3월'!H118+'4월'!H118+'5월'!H118+'6월'!H118+'7월'!H118+'8월'!H118+'9월'!H118+'10월'!H118+'11월'!H118+'12월'!H118</f>
        <v>0</v>
      </c>
      <c r="I118" s="44">
        <f>'1월'!K118+'2월'!I118+'3월'!I118+'4월'!I118+'5월'!I118+'6월'!I118+'7월'!I118+'8월'!I118+'9월'!I118+'10월'!I118+'11월'!I118+'12월'!I118</f>
        <v>0</v>
      </c>
      <c r="J118" s="44">
        <f>'1월'!L118+'2월'!J118+'3월'!J118+'4월'!J118+'5월'!J118+'6월'!J118+'7월'!J118+'8월'!J118+'9월'!J118+'10월'!J118+'11월'!J118+'12월'!J118</f>
        <v>0</v>
      </c>
      <c r="K118" s="44">
        <f>'1월'!M118+'2월'!K118+'3월'!K118+'4월'!K118+'5월'!K118+'6월'!K118+'7월'!K118+'8월'!K118+'9월'!K118+'10월'!K118+'11월'!K118+'12월'!K118</f>
        <v>0</v>
      </c>
      <c r="L118" s="44">
        <f>'1월'!N118+'2월'!L118+'3월'!L118+'4월'!L118+'5월'!L118+'6월'!L118+'7월'!L118+'8월'!L118+'9월'!L118+'10월'!L118+'11월'!L118+'12월'!L118</f>
        <v>0</v>
      </c>
      <c r="M118" s="44">
        <f>'1월'!O118+'2월'!M118+'3월'!M118+'4월'!M118+'5월'!M118+'6월'!M118+'7월'!M118+'8월'!M118+'9월'!M118+'10월'!M118+'11월'!M118+'12월'!M118</f>
        <v>0</v>
      </c>
      <c r="O118" s="44">
        <f>IFERROR(VLOOKUP($A118,[1]플랫폼1!$A:$B,2,FALSE),0)</f>
        <v>0</v>
      </c>
      <c r="P118" s="44">
        <f>IFERROR(VLOOKUP($A118,[1]플랫폼2!$A:$M,12,FALSE),0)+IFERROR(VLOOKUP($A118,[1]플랫폼2!$A:$M,13,FALSE),0)</f>
        <v>0</v>
      </c>
      <c r="Q118" s="44">
        <f>IFERROR(VLOOKUP($A118,[1]플랫폼2!$A:$M,7,FALSE),0)+IFERROR(VLOOKUP($A118,[1]플랫폼2!$A:$M,12,FALSE),0)</f>
        <v>0</v>
      </c>
      <c r="R118" s="44">
        <f>IFERROR(VLOOKUP($A118,[1]모바일!$A:$S,17,FALSE),0)</f>
        <v>0</v>
      </c>
      <c r="S118" s="44">
        <f>IFERROR(VLOOKUP($A118,[1]모바일!$A:$S,18,FALSE),0)</f>
        <v>0</v>
      </c>
      <c r="T118" s="43">
        <f>IFERROR(VLOOKUP(A118,[1]플랫폼2!$A:$O,15,0),0)</f>
        <v>0</v>
      </c>
      <c r="U118" s="83"/>
    </row>
    <row r="119" spans="1:21" hidden="1" outlineLevel="1" x14ac:dyDescent="0.45">
      <c r="A119" s="29" t="s">
        <v>270</v>
      </c>
      <c r="B119" s="44">
        <f>'1월'!B119+'2월'!B119+'3월'!B119+'4월'!B119+'5월'!B119+'6월'!B119+'7월'!B119+'8월'!B119+'9월'!B119+'10월'!B119+'11월'!B119+'12월'!B119</f>
        <v>109914782</v>
      </c>
      <c r="C119" s="44">
        <f>'1월'!C119+'2월'!C119+'3월'!C119+'4월'!C119+'5월'!C119+'6월'!C119+'7월'!C119+'8월'!C119+'9월'!C119+'10월'!C119+'11월'!C119+'12월'!C119</f>
        <v>19186003.611655012</v>
      </c>
      <c r="D119" s="44">
        <f>'1월'!D119+'2월'!D119+'3월'!D119+'4월'!D119+'5월'!D119+'6월'!D119+'7월'!D119+'8월'!D119+'9월'!D119+'10월'!D119+'11월'!D119+'12월'!D119</f>
        <v>2803271</v>
      </c>
      <c r="E119" s="44">
        <f>'1월'!E119+'2월'!E119+'3월'!E119+'4월'!E119+'5월'!E119+'6월'!E119+'7월'!E119+'8월'!E119+'9월'!E119+'10월'!E119+'11월'!E119+'12월'!E119</f>
        <v>87925507.388344973</v>
      </c>
      <c r="F119" s="44">
        <f>'1월'!F119+'2월'!F119+'3월'!F119+'4월'!F119+'5월'!F119+'6월'!F119+'7월'!F119+'8월'!F119+'9월'!F119+'10월'!F119+'11월'!F119+'12월'!F119</f>
        <v>49729682.292902648</v>
      </c>
      <c r="G119" s="44">
        <f>'1월'!H119+'2월'!G119+'3월'!G119+'4월'!G119+'5월'!G119+'6월'!G119+'7월'!G119+'8월'!G119+'9월'!G119+'10월'!G119+'11월'!G119+'12월'!G119</f>
        <v>27744407.707097348</v>
      </c>
      <c r="H119" s="44">
        <f>'1월'!J119+'2월'!H119+'3월'!H119+'4월'!H119+'5월'!H119+'6월'!H119+'7월'!H119+'8월'!H119+'9월'!H119+'10월'!H119+'11월'!H119+'12월'!H119</f>
        <v>1217000</v>
      </c>
      <c r="I119" s="44">
        <f>'1월'!K119+'2월'!I119+'3월'!I119+'4월'!I119+'5월'!I119+'6월'!I119+'7월'!I119+'8월'!I119+'9월'!I119+'10월'!I119+'11월'!I119+'12월'!I119</f>
        <v>933727.03928260424</v>
      </c>
      <c r="J119" s="44">
        <f>'1월'!L119+'2월'!J119+'3월'!J119+'4월'!J119+'5월'!J119+'6월'!J119+'7월'!J119+'8월'!J119+'9월'!J119+'10월'!J119+'11월'!J119+'12월'!J119</f>
        <v>1007885.0984525888</v>
      </c>
      <c r="K119" s="44">
        <f>'1월'!M119+'2월'!K119+'3월'!K119+'4월'!K119+'5월'!K119+'6월'!K119+'7월'!K119+'8월'!K119+'9월'!K119+'10월'!K119+'11월'!K119+'12월'!K119</f>
        <v>2084043.5967091534</v>
      </c>
      <c r="L119" s="44">
        <f>'1월'!N119+'2월'!L119+'3월'!L119+'4월'!L119+'5월'!L119+'6월'!L119+'7월'!L119+'8월'!L119+'9월'!L119+'10월'!L119+'11월'!L119+'12월'!L119</f>
        <v>3493647.6539006433</v>
      </c>
      <c r="M119" s="44">
        <f>'1월'!O119+'2월'!M119+'3월'!M119+'4월'!M119+'5월'!M119+'6월'!M119+'7월'!M119+'8월'!M119+'9월'!M119+'10월'!M119+'11월'!M119+'12월'!M119</f>
        <v>1715114</v>
      </c>
      <c r="O119" s="44">
        <f>IFERROR(VLOOKUP($A119,[1]플랫폼1!$A:$B,2,FALSE),0)</f>
        <v>684000</v>
      </c>
      <c r="P119" s="44">
        <f>IFERROR(VLOOKUP($A119,[1]플랫폼2!$A:$M,12,FALSE),0)+IFERROR(VLOOKUP($A119,[1]플랫폼2!$A:$M,13,FALSE),0)</f>
        <v>522988</v>
      </c>
      <c r="Q119" s="44">
        <f>IFERROR(VLOOKUP($A119,[1]플랫폼2!$A:$M,7,FALSE),0)+IFERROR(VLOOKUP($A119,[1]플랫폼2!$A:$M,12,FALSE),0)</f>
        <v>522988</v>
      </c>
      <c r="R119" s="44">
        <f>IFERROR(VLOOKUP($A119,[1]모바일!$A:$S,17,FALSE),0)</f>
        <v>0</v>
      </c>
      <c r="S119" s="44">
        <f>IFERROR(VLOOKUP($A119,[1]모바일!$A:$S,18,FALSE),0)</f>
        <v>0</v>
      </c>
      <c r="T119" s="43">
        <f>IFERROR(VLOOKUP(A119,[1]플랫폼2!$A:$O,15,0),0)</f>
        <v>0</v>
      </c>
      <c r="U119" s="83"/>
    </row>
    <row r="120" spans="1:21" hidden="1" outlineLevel="1" x14ac:dyDescent="0.45">
      <c r="A120" s="29" t="s">
        <v>271</v>
      </c>
      <c r="B120" s="44">
        <f>'1월'!B120+'2월'!B120+'3월'!B120+'4월'!B120+'5월'!B120+'6월'!B120+'7월'!B120+'8월'!B120+'9월'!B120+'10월'!B120+'11월'!B120+'12월'!B120</f>
        <v>19952380</v>
      </c>
      <c r="C120" s="44">
        <f>'1월'!C120+'2월'!C120+'3월'!C120+'4월'!C120+'5월'!C120+'6월'!C120+'7월'!C120+'8월'!C120+'9월'!C120+'10월'!C120+'11월'!C120+'12월'!C120</f>
        <v>19952380</v>
      </c>
      <c r="D120" s="44">
        <f>'1월'!D120+'2월'!D120+'3월'!D120+'4월'!D120+'5월'!D120+'6월'!D120+'7월'!D120+'8월'!D120+'9월'!D120+'10월'!D120+'11월'!D120+'12월'!D120</f>
        <v>0</v>
      </c>
      <c r="E120" s="44">
        <f>'1월'!E120+'2월'!E120+'3월'!E120+'4월'!E120+'5월'!E120+'6월'!E120+'7월'!E120+'8월'!E120+'9월'!E120+'10월'!E120+'11월'!E120+'12월'!E120</f>
        <v>0</v>
      </c>
      <c r="F120" s="44">
        <f>'1월'!F120+'2월'!F120+'3월'!F120+'4월'!F120+'5월'!F120+'6월'!F120+'7월'!F120+'8월'!F120+'9월'!F120+'10월'!F120+'11월'!F120+'12월'!F120</f>
        <v>0</v>
      </c>
      <c r="G120" s="44">
        <f>'1월'!H120+'2월'!G120+'3월'!G120+'4월'!G120+'5월'!G120+'6월'!G120+'7월'!G120+'8월'!G120+'9월'!G120+'10월'!G120+'11월'!G120+'12월'!G120</f>
        <v>0</v>
      </c>
      <c r="H120" s="44">
        <f>'1월'!J120+'2월'!H120+'3월'!H120+'4월'!H120+'5월'!H120+'6월'!H120+'7월'!H120+'8월'!H120+'9월'!H120+'10월'!H120+'11월'!H120+'12월'!H120</f>
        <v>0</v>
      </c>
      <c r="I120" s="44">
        <f>'1월'!K120+'2월'!I120+'3월'!I120+'4월'!I120+'5월'!I120+'6월'!I120+'7월'!I120+'8월'!I120+'9월'!I120+'10월'!I120+'11월'!I120+'12월'!I120</f>
        <v>0</v>
      </c>
      <c r="J120" s="44">
        <f>'1월'!L120+'2월'!J120+'3월'!J120+'4월'!J120+'5월'!J120+'6월'!J120+'7월'!J120+'8월'!J120+'9월'!J120+'10월'!J120+'11월'!J120+'12월'!J120</f>
        <v>0</v>
      </c>
      <c r="K120" s="44">
        <f>'1월'!M120+'2월'!K120+'3월'!K120+'4월'!K120+'5월'!K120+'6월'!K120+'7월'!K120+'8월'!K120+'9월'!K120+'10월'!K120+'11월'!K120+'12월'!K120</f>
        <v>0</v>
      </c>
      <c r="L120" s="44">
        <f>'1월'!N120+'2월'!L120+'3월'!L120+'4월'!L120+'5월'!L120+'6월'!L120+'7월'!L120+'8월'!L120+'9월'!L120+'10월'!L120+'11월'!L120+'12월'!L120</f>
        <v>0</v>
      </c>
      <c r="M120" s="44">
        <f>'1월'!O120+'2월'!M120+'3월'!M120+'4월'!M120+'5월'!M120+'6월'!M120+'7월'!M120+'8월'!M120+'9월'!M120+'10월'!M120+'11월'!M120+'12월'!M120</f>
        <v>0</v>
      </c>
      <c r="O120" s="44">
        <f>IFERROR(VLOOKUP($A120,[1]플랫폼1!$A:$B,2,FALSE),0)</f>
        <v>0</v>
      </c>
      <c r="P120" s="44">
        <f>IFERROR(VLOOKUP($A120,[1]플랫폼2!$A:$M,12,FALSE),0)+IFERROR(VLOOKUP($A120,[1]플랫폼2!$A:$M,13,FALSE),0)</f>
        <v>0</v>
      </c>
      <c r="Q120" s="44">
        <f>IFERROR(VLOOKUP($A120,[1]플랫폼2!$A:$M,7,FALSE),0)+IFERROR(VLOOKUP($A120,[1]플랫폼2!$A:$M,12,FALSE),0)</f>
        <v>0</v>
      </c>
      <c r="R120" s="44">
        <f>IFERROR(VLOOKUP($A120,[1]모바일!$A:$S,17,FALSE),0)</f>
        <v>0</v>
      </c>
      <c r="S120" s="44">
        <f>IFERROR(VLOOKUP($A120,[1]모바일!$A:$S,18,FALSE),0)</f>
        <v>0</v>
      </c>
      <c r="T120" s="43">
        <f>IFERROR(VLOOKUP(A120,[1]플랫폼2!$A:$O,15,0),0)</f>
        <v>0</v>
      </c>
      <c r="U120" s="83"/>
    </row>
    <row r="121" spans="1:21" s="1" customFormat="1" hidden="1" outlineLevel="1" collapsed="1" x14ac:dyDescent="0.45">
      <c r="A121" s="31" t="s">
        <v>297</v>
      </c>
      <c r="B121" s="47">
        <f>'1월'!B121+'2월'!B121+'3월'!B121+'4월'!B121+'5월'!B121+'6월'!B121+'7월'!B121+'8월'!B121+'9월'!B121+'10월'!B121+'11월'!B121+'12월'!B121</f>
        <v>125946370</v>
      </c>
      <c r="C121" s="47">
        <f>'1월'!C121+'2월'!C121+'3월'!C121+'4월'!C121+'5월'!C121+'6월'!C121+'7월'!C121+'8월'!C121+'9월'!C121+'10월'!C121+'11월'!C121+'12월'!C121</f>
        <v>39973983</v>
      </c>
      <c r="D121" s="47">
        <f>'1월'!D121+'2월'!D121+'3월'!D121+'4월'!D121+'5월'!D121+'6월'!D121+'7월'!D121+'8월'!D121+'9월'!D121+'10월'!D121+'11월'!D121+'12월'!D121</f>
        <v>29888960</v>
      </c>
      <c r="E121" s="47">
        <f>'1월'!E121+'2월'!E121+'3월'!E121+'4월'!E121+'5월'!E121+'6월'!E121+'7월'!E121+'8월'!E121+'9월'!E121+'10월'!E121+'11월'!E121+'12월'!E121</f>
        <v>56083427</v>
      </c>
      <c r="F121" s="47">
        <f>'1월'!F121+'2월'!F121+'3월'!F121+'4월'!F121+'5월'!F121+'6월'!F121+'7월'!F121+'8월'!F121+'9월'!F121+'10월'!F121+'11월'!F121+'12월'!F121</f>
        <v>11100000</v>
      </c>
      <c r="G121" s="47">
        <f>'1월'!H121+'2월'!G121+'3월'!G121+'4월'!G121+'5월'!G121+'6월'!G121+'7월'!G121+'8월'!G121+'9월'!G121+'10월'!G121+'11월'!G121+'12월'!G121</f>
        <v>5178568</v>
      </c>
      <c r="H121" s="47">
        <f>'1월'!J121+'2월'!H121+'3월'!H121+'4월'!H121+'5월'!H121+'6월'!H121+'7월'!H121+'8월'!H121+'9월'!H121+'10월'!H121+'11월'!H121+'12월'!H121</f>
        <v>7966770</v>
      </c>
      <c r="I121" s="47">
        <f>'1월'!K121+'2월'!I121+'3월'!I121+'4월'!I121+'5월'!I121+'6월'!I121+'7월'!I121+'8월'!I121+'9월'!I121+'10월'!I121+'11월'!I121+'12월'!I121</f>
        <v>1990000</v>
      </c>
      <c r="J121" s="47">
        <f>'1월'!L121+'2월'!J121+'3월'!J121+'4월'!J121+'5월'!J121+'6월'!J121+'7월'!J121+'8월'!J121+'9월'!J121+'10월'!J121+'11월'!J121+'12월'!J121</f>
        <v>2110000</v>
      </c>
      <c r="K121" s="47">
        <f>'1월'!M121+'2월'!K121+'3월'!K121+'4월'!K121+'5월'!K121+'6월'!K121+'7월'!K121+'8월'!K121+'9월'!K121+'10월'!K121+'11월'!K121+'12월'!K121</f>
        <v>4345400</v>
      </c>
      <c r="L121" s="47">
        <f>'1월'!N121+'2월'!L121+'3월'!L121+'4월'!L121+'5월'!L121+'6월'!L121+'7월'!L121+'8월'!L121+'9월'!L121+'10월'!L121+'11월'!L121+'12월'!L121</f>
        <v>11418489</v>
      </c>
      <c r="M121" s="47">
        <f>'1월'!O121+'2월'!M121+'3월'!M121+'4월'!M121+'5월'!M121+'6월'!M121+'7월'!M121+'8월'!M121+'9월'!M121+'10월'!M121+'11월'!M121+'12월'!M121</f>
        <v>11974200</v>
      </c>
      <c r="O121" s="47">
        <f>IFERROR(VLOOKUP($A121,[1]플랫폼1!$A:$B,2,FALSE),0)</f>
        <v>2394000</v>
      </c>
      <c r="P121" s="47">
        <f>IFERROR(VLOOKUP($A121,[1]플랫폼2!$A:$M,12,FALSE),0)+IFERROR(VLOOKUP($A121,[1]플랫폼2!$A:$M,13,FALSE),0)</f>
        <v>2845000</v>
      </c>
      <c r="Q121" s="47">
        <f>IFERROR(VLOOKUP($A121,[1]플랫폼2!$A:$M,7,FALSE),0)+IFERROR(VLOOKUP($A121,[1]플랫폼2!$A:$M,12,FALSE),0)</f>
        <v>2845000</v>
      </c>
      <c r="R121" s="47">
        <f>IFERROR(VLOOKUP($A121,[1]모바일!$A:$S,17,FALSE),0)</f>
        <v>324183.33333333331</v>
      </c>
      <c r="S121" s="47">
        <f>IFERROR(VLOOKUP($A121,[1]모바일!$A:$S,18,FALSE),0)</f>
        <v>324183.33333333331</v>
      </c>
      <c r="T121" s="198">
        <f>IFERROR(VLOOKUP(A121,[1]플랫폼2!$A:$O,15,0),0)</f>
        <v>3241833.333333333</v>
      </c>
      <c r="U121" s="83"/>
    </row>
    <row r="122" spans="1:21" collapsed="1" x14ac:dyDescent="0.45">
      <c r="A122" s="28" t="s">
        <v>136</v>
      </c>
      <c r="B122" s="43">
        <f>'1월'!B122+'2월'!B122+'3월'!B122+'4월'!B122+'5월'!B122+'6월'!B122+'7월'!B122+'8월'!B122+'9월'!B122+'10월'!B122+'11월'!B122+'12월'!B122</f>
        <v>299097930</v>
      </c>
      <c r="C122" s="43">
        <f>'1월'!C122+'2월'!C122+'3월'!C122+'4월'!C122+'5월'!C122+'6월'!C122+'7월'!C122+'8월'!C122+'9월'!C122+'10월'!C122+'11월'!C122+'12월'!C122</f>
        <v>233089930</v>
      </c>
      <c r="D122" s="43">
        <f>'1월'!D122+'2월'!D122+'3월'!D122+'4월'!D122+'5월'!D122+'6월'!D122+'7월'!D122+'8월'!D122+'9월'!D122+'10월'!D122+'11월'!D122+'12월'!D122</f>
        <v>2200000</v>
      </c>
      <c r="E122" s="43">
        <f>'1월'!E122+'2월'!E122+'3월'!E122+'4월'!E122+'5월'!E122+'6월'!E122+'7월'!E122+'8월'!E122+'9월'!E122+'10월'!E122+'11월'!E122+'12월'!E122</f>
        <v>63808000</v>
      </c>
      <c r="F122" s="43">
        <f>'1월'!F122+'2월'!F122+'3월'!F122+'4월'!F122+'5월'!F122+'6월'!F122+'7월'!F122+'8월'!F122+'9월'!F122+'10월'!F122+'11월'!F122+'12월'!F122</f>
        <v>7747256.2892498644</v>
      </c>
      <c r="G122" s="43">
        <f>'1월'!H122+'2월'!G122+'3월'!G122+'4월'!G122+'5월'!G122+'6월'!G122+'7월'!G122+'8월'!G122+'9월'!G122+'10월'!G122+'11월'!G122+'12월'!G122</f>
        <v>51139743.710750133</v>
      </c>
      <c r="H122" s="43">
        <f>'1월'!J122+'2월'!H122+'3월'!H122+'4월'!H122+'5월'!H122+'6월'!H122+'7월'!H122+'8월'!H122+'9월'!H122+'10월'!H122+'11월'!H122+'12월'!H122</f>
        <v>0</v>
      </c>
      <c r="I122" s="43">
        <f>'1월'!K122+'2월'!I122+'3월'!I122+'4월'!I122+'5월'!I122+'6월'!I122+'7월'!I122+'8월'!I122+'9월'!I122+'10월'!I122+'11월'!I122+'12월'!I122</f>
        <v>58226.158777842211</v>
      </c>
      <c r="J122" s="43">
        <f>'1월'!L122+'2월'!J122+'3월'!J122+'4월'!J122+'5월'!J122+'6월'!J122+'7월'!J122+'8월'!J122+'9월'!J122+'10월'!J122+'11월'!J122+'12월'!J122</f>
        <v>55191.520072354964</v>
      </c>
      <c r="K122" s="43">
        <f>'1월'!M122+'2월'!K122+'3월'!K122+'4월'!K122+'5월'!K122+'6월'!K122+'7월'!K122+'8월'!K122+'9월'!K122+'10월'!K122+'11월'!K122+'12월'!K122</f>
        <v>2734213.5340902731</v>
      </c>
      <c r="L122" s="43">
        <f>'1월'!N122+'2월'!L122+'3월'!L122+'4월'!L122+'5월'!L122+'6월'!L122+'7월'!L122+'8월'!L122+'9월'!L122+'10월'!L122+'11월'!L122+'12월'!L122</f>
        <v>773368.78705953003</v>
      </c>
      <c r="M122" s="43">
        <f>'1월'!O122+'2월'!M122+'3월'!M122+'4월'!M122+'5월'!M122+'6월'!M122+'7월'!M122+'8월'!M122+'9월'!M122+'10월'!M122+'11월'!M122+'12월'!M122</f>
        <v>1300000</v>
      </c>
      <c r="O122" s="43">
        <f>IFERROR(VLOOKUP($A122,[1]플랫폼1!$A:$B,2,FALSE),0)</f>
        <v>1300000</v>
      </c>
      <c r="P122" s="43">
        <f>IFERROR(VLOOKUP($A122,[1]플랫폼2!$A:$M,12,FALSE),0)+IFERROR(VLOOKUP($A122,[1]플랫폼2!$A:$M,13,FALSE),0)</f>
        <v>0</v>
      </c>
      <c r="Q122" s="43">
        <f>IFERROR(VLOOKUP($A122,[1]플랫폼2!$A:$M,7,FALSE),0)+IFERROR(VLOOKUP($A122,[1]플랫폼2!$A:$M,12,FALSE),0)</f>
        <v>0</v>
      </c>
      <c r="R122" s="43">
        <f>IFERROR(VLOOKUP($A122,[1]모바일!$A:$S,17,FALSE),0)</f>
        <v>0</v>
      </c>
      <c r="S122" s="43">
        <f>IFERROR(VLOOKUP($A122,[1]모바일!$A:$S,18,FALSE),0)</f>
        <v>0</v>
      </c>
      <c r="T122" s="43">
        <f>IFERROR(VLOOKUP(A122,[1]플랫폼2!$A:$O,15,0),0)</f>
        <v>0</v>
      </c>
      <c r="U122" s="83"/>
    </row>
    <row r="123" spans="1:21" hidden="1" outlineLevel="1" x14ac:dyDescent="0.45">
      <c r="A123" s="29" t="s">
        <v>137</v>
      </c>
      <c r="B123" s="44">
        <f>'1월'!B123+'2월'!B123+'3월'!B123+'4월'!B123+'5월'!B123+'6월'!B123+'7월'!B123+'8월'!B123+'9월'!B123+'10월'!B123+'11월'!B123+'12월'!B123</f>
        <v>94502000</v>
      </c>
      <c r="C123" s="44">
        <f>'1월'!C123+'2월'!C123+'3월'!C123+'4월'!C123+'5월'!C123+'6월'!C123+'7월'!C123+'8월'!C123+'9월'!C123+'10월'!C123+'11월'!C123+'12월'!C123</f>
        <v>44215000</v>
      </c>
      <c r="D123" s="44">
        <f>'1월'!D123+'2월'!D123+'3월'!D123+'4월'!D123+'5월'!D123+'6월'!D123+'7월'!D123+'8월'!D123+'9월'!D123+'10월'!D123+'11월'!D123+'12월'!D123</f>
        <v>0</v>
      </c>
      <c r="E123" s="44">
        <f>'1월'!E123+'2월'!E123+'3월'!E123+'4월'!E123+'5월'!E123+'6월'!E123+'7월'!E123+'8월'!E123+'9월'!E123+'10월'!E123+'11월'!E123+'12월'!E123</f>
        <v>50287000</v>
      </c>
      <c r="F123" s="44">
        <f>'1월'!F123+'2월'!F123+'3월'!F123+'4월'!F123+'5월'!F123+'6월'!F123+'7월'!F123+'8월'!F123+'9월'!F123+'10월'!F123+'11월'!F123+'12월'!F123</f>
        <v>0</v>
      </c>
      <c r="G123" s="44">
        <f>'1월'!H123+'2월'!G123+'3월'!G123+'4월'!G123+'5월'!G123+'6월'!G123+'7월'!G123+'8월'!G123+'9월'!G123+'10월'!G123+'11월'!G123+'12월'!G123</f>
        <v>50287000</v>
      </c>
      <c r="H123" s="44">
        <f>'1월'!J123+'2월'!H123+'3월'!H123+'4월'!H123+'5월'!H123+'6월'!H123+'7월'!H123+'8월'!H123+'9월'!H123+'10월'!H123+'11월'!H123+'12월'!H123</f>
        <v>0</v>
      </c>
      <c r="I123" s="44">
        <f>'1월'!K123+'2월'!I123+'3월'!I123+'4월'!I123+'5월'!I123+'6월'!I123+'7월'!I123+'8월'!I123+'9월'!I123+'10월'!I123+'11월'!I123+'12월'!I123</f>
        <v>0</v>
      </c>
      <c r="J123" s="44">
        <f>'1월'!L123+'2월'!J123+'3월'!J123+'4월'!J123+'5월'!J123+'6월'!J123+'7월'!J123+'8월'!J123+'9월'!J123+'10월'!J123+'11월'!J123+'12월'!J123</f>
        <v>0</v>
      </c>
      <c r="K123" s="44">
        <f>'1월'!M123+'2월'!K123+'3월'!K123+'4월'!K123+'5월'!K123+'6월'!K123+'7월'!K123+'8월'!K123+'9월'!K123+'10월'!K123+'11월'!K123+'12월'!K123</f>
        <v>0</v>
      </c>
      <c r="L123" s="44">
        <f>'1월'!N123+'2월'!L123+'3월'!L123+'4월'!L123+'5월'!L123+'6월'!L123+'7월'!L123+'8월'!L123+'9월'!L123+'10월'!L123+'11월'!L123+'12월'!L123</f>
        <v>0</v>
      </c>
      <c r="M123" s="44">
        <f>'1월'!O123+'2월'!M123+'3월'!M123+'4월'!M123+'5월'!M123+'6월'!M123+'7월'!M123+'8월'!M123+'9월'!M123+'10월'!M123+'11월'!M123+'12월'!M123</f>
        <v>0</v>
      </c>
      <c r="O123" s="44">
        <f>IFERROR(VLOOKUP($A123,[1]플랫폼1!$A:$B,2,FALSE),0)</f>
        <v>0</v>
      </c>
      <c r="P123" s="44">
        <f>IFERROR(VLOOKUP($A123,[1]플랫폼2!$A:$M,12,FALSE),0)+IFERROR(VLOOKUP($A123,[1]플랫폼2!$A:$M,13,FALSE),0)</f>
        <v>0</v>
      </c>
      <c r="Q123" s="44">
        <f>IFERROR(VLOOKUP($A123,[1]플랫폼2!$A:$M,7,FALSE),0)+IFERROR(VLOOKUP($A123,[1]플랫폼2!$A:$M,12,FALSE),0)</f>
        <v>0</v>
      </c>
      <c r="R123" s="44">
        <f>IFERROR(VLOOKUP($A123,[1]모바일!$A:$S,17,FALSE),0)</f>
        <v>0</v>
      </c>
      <c r="S123" s="44">
        <f>IFERROR(VLOOKUP($A123,[1]모바일!$A:$S,18,FALSE),0)</f>
        <v>0</v>
      </c>
      <c r="T123" s="43">
        <f>IFERROR(VLOOKUP(A123,[1]플랫폼2!$A:$O,15,0),0)</f>
        <v>0</v>
      </c>
      <c r="U123" s="83"/>
    </row>
    <row r="124" spans="1:21" hidden="1" outlineLevel="1" x14ac:dyDescent="0.45">
      <c r="A124" s="29" t="s">
        <v>191</v>
      </c>
      <c r="B124" s="44">
        <f>'1월'!B124+'2월'!B124+'3월'!B124+'4월'!B124+'5월'!B124+'6월'!B124+'7월'!B124+'8월'!B124+'9월'!B124+'10월'!B124+'11월'!B124+'12월'!B124</f>
        <v>0</v>
      </c>
      <c r="C124" s="44">
        <f>'1월'!C124+'2월'!C124+'3월'!C124+'4월'!C124+'5월'!C124+'6월'!C124+'7월'!C124+'8월'!C124+'9월'!C124+'10월'!C124+'11월'!C124+'12월'!C124</f>
        <v>0</v>
      </c>
      <c r="D124" s="44">
        <f>'1월'!D124+'2월'!D124+'3월'!D124+'4월'!D124+'5월'!D124+'6월'!D124+'7월'!D124+'8월'!D124+'9월'!D124+'10월'!D124+'11월'!D124+'12월'!D124</f>
        <v>0</v>
      </c>
      <c r="E124" s="44">
        <f>'1월'!E124+'2월'!E124+'3월'!E124+'4월'!E124+'5월'!E124+'6월'!E124+'7월'!E124+'8월'!E124+'9월'!E124+'10월'!E124+'11월'!E124+'12월'!E124</f>
        <v>0</v>
      </c>
      <c r="F124" s="44">
        <f>'1월'!F124+'2월'!F124+'3월'!F124+'4월'!F124+'5월'!F124+'6월'!F124+'7월'!F124+'8월'!F124+'9월'!F124+'10월'!F124+'11월'!F124+'12월'!F124</f>
        <v>0</v>
      </c>
      <c r="G124" s="44">
        <f>'1월'!H124+'2월'!G124+'3월'!G124+'4월'!G124+'5월'!G124+'6월'!G124+'7월'!G124+'8월'!G124+'9월'!G124+'10월'!G124+'11월'!G124+'12월'!G124</f>
        <v>0</v>
      </c>
      <c r="H124" s="44">
        <f>'1월'!J124+'2월'!H124+'3월'!H124+'4월'!H124+'5월'!H124+'6월'!H124+'7월'!H124+'8월'!H124+'9월'!H124+'10월'!H124+'11월'!H124+'12월'!H124</f>
        <v>0</v>
      </c>
      <c r="I124" s="44">
        <f>'1월'!K124+'2월'!I124+'3월'!I124+'4월'!I124+'5월'!I124+'6월'!I124+'7월'!I124+'8월'!I124+'9월'!I124+'10월'!I124+'11월'!I124+'12월'!I124</f>
        <v>0</v>
      </c>
      <c r="J124" s="44">
        <f>'1월'!L124+'2월'!J124+'3월'!J124+'4월'!J124+'5월'!J124+'6월'!J124+'7월'!J124+'8월'!J124+'9월'!J124+'10월'!J124+'11월'!J124+'12월'!J124</f>
        <v>0</v>
      </c>
      <c r="K124" s="44">
        <f>'1월'!M124+'2월'!K124+'3월'!K124+'4월'!K124+'5월'!K124+'6월'!K124+'7월'!K124+'8월'!K124+'9월'!K124+'10월'!K124+'11월'!K124+'12월'!K124</f>
        <v>0</v>
      </c>
      <c r="L124" s="44">
        <f>'1월'!N124+'2월'!L124+'3월'!L124+'4월'!L124+'5월'!L124+'6월'!L124+'7월'!L124+'8월'!L124+'9월'!L124+'10월'!L124+'11월'!L124+'12월'!L124</f>
        <v>0</v>
      </c>
      <c r="M124" s="44">
        <f>'1월'!O124+'2월'!M124+'3월'!M124+'4월'!M124+'5월'!M124+'6월'!M124+'7월'!M124+'8월'!M124+'9월'!M124+'10월'!M124+'11월'!M124+'12월'!M124</f>
        <v>0</v>
      </c>
      <c r="O124" s="44">
        <f>IFERROR(VLOOKUP($A124,[1]플랫폼1!$A:$B,2,FALSE),0)</f>
        <v>0</v>
      </c>
      <c r="P124" s="44">
        <f>IFERROR(VLOOKUP($A124,[1]플랫폼2!$A:$M,12,FALSE),0)+IFERROR(VLOOKUP($A124,[1]플랫폼2!$A:$M,13,FALSE),0)</f>
        <v>0</v>
      </c>
      <c r="Q124" s="44">
        <f>IFERROR(VLOOKUP($A124,[1]플랫폼2!$A:$M,7,FALSE),0)+IFERROR(VLOOKUP($A124,[1]플랫폼2!$A:$M,12,FALSE),0)</f>
        <v>0</v>
      </c>
      <c r="R124" s="44">
        <f>IFERROR(VLOOKUP($A124,[1]모바일!$A:$S,17,FALSE),0)</f>
        <v>0</v>
      </c>
      <c r="S124" s="44">
        <f>IFERROR(VLOOKUP($A124,[1]모바일!$A:$S,18,FALSE),0)</f>
        <v>0</v>
      </c>
      <c r="T124" s="43">
        <f>IFERROR(VLOOKUP(A124,[1]플랫폼2!$A:$O,15,0),0)</f>
        <v>0</v>
      </c>
      <c r="U124" s="83"/>
    </row>
    <row r="125" spans="1:21" s="1" customFormat="1" hidden="1" outlineLevel="1" collapsed="1" x14ac:dyDescent="0.45">
      <c r="A125" s="29" t="s">
        <v>138</v>
      </c>
      <c r="B125" s="44">
        <f>'1월'!B125+'2월'!B125+'3월'!B125+'4월'!B125+'5월'!B125+'6월'!B125+'7월'!B125+'8월'!B125+'9월'!B125+'10월'!B125+'11월'!B125+'12월'!B125</f>
        <v>204595930</v>
      </c>
      <c r="C125" s="44">
        <f>'1월'!C125+'2월'!C125+'3월'!C125+'4월'!C125+'5월'!C125+'6월'!C125+'7월'!C125+'8월'!C125+'9월'!C125+'10월'!C125+'11월'!C125+'12월'!C125</f>
        <v>188874930</v>
      </c>
      <c r="D125" s="44">
        <f>'1월'!D125+'2월'!D125+'3월'!D125+'4월'!D125+'5월'!D125+'6월'!D125+'7월'!D125+'8월'!D125+'9월'!D125+'10월'!D125+'11월'!D125+'12월'!D125</f>
        <v>2200000</v>
      </c>
      <c r="E125" s="44">
        <f>'1월'!E125+'2월'!E125+'3월'!E125+'4월'!E125+'5월'!E125+'6월'!E125+'7월'!E125+'8월'!E125+'9월'!E125+'10월'!E125+'11월'!E125+'12월'!E125</f>
        <v>13521000</v>
      </c>
      <c r="F125" s="44">
        <f>'1월'!F125+'2월'!F125+'3월'!F125+'4월'!F125+'5월'!F125+'6월'!F125+'7월'!F125+'8월'!F125+'9월'!F125+'10월'!F125+'11월'!F125+'12월'!F125</f>
        <v>7747256.2892498644</v>
      </c>
      <c r="G125" s="44">
        <f>'1월'!H125+'2월'!G125+'3월'!G125+'4월'!G125+'5월'!G125+'6월'!G125+'7월'!G125+'8월'!G125+'9월'!G125+'10월'!G125+'11월'!G125+'12월'!G125</f>
        <v>852743.71075013501</v>
      </c>
      <c r="H125" s="44">
        <f>'1월'!J125+'2월'!H125+'3월'!H125+'4월'!H125+'5월'!H125+'6월'!H125+'7월'!H125+'8월'!H125+'9월'!H125+'10월'!H125+'11월'!H125+'12월'!H125</f>
        <v>0</v>
      </c>
      <c r="I125" s="44">
        <f>'1월'!K125+'2월'!I125+'3월'!I125+'4월'!I125+'5월'!I125+'6월'!I125+'7월'!I125+'8월'!I125+'9월'!I125+'10월'!I125+'11월'!I125+'12월'!I125</f>
        <v>58226.158777842211</v>
      </c>
      <c r="J125" s="44">
        <f>'1월'!L125+'2월'!J125+'3월'!J125+'4월'!J125+'5월'!J125+'6월'!J125+'7월'!J125+'8월'!J125+'9월'!J125+'10월'!J125+'11월'!J125+'12월'!J125</f>
        <v>55191.520072354964</v>
      </c>
      <c r="K125" s="44">
        <f>'1월'!M125+'2월'!K125+'3월'!K125+'4월'!K125+'5월'!K125+'6월'!K125+'7월'!K125+'8월'!K125+'9월'!K125+'10월'!K125+'11월'!K125+'12월'!K125</f>
        <v>2734213.5340902731</v>
      </c>
      <c r="L125" s="44">
        <f>'1월'!N125+'2월'!L125+'3월'!L125+'4월'!L125+'5월'!L125+'6월'!L125+'7월'!L125+'8월'!L125+'9월'!L125+'10월'!L125+'11월'!L125+'12월'!L125</f>
        <v>773368.78705953003</v>
      </c>
      <c r="M125" s="44">
        <f>'1월'!O125+'2월'!M125+'3월'!M125+'4월'!M125+'5월'!M125+'6월'!M125+'7월'!M125+'8월'!M125+'9월'!M125+'10월'!M125+'11월'!M125+'12월'!M125</f>
        <v>1300000</v>
      </c>
      <c r="O125" s="44">
        <f>IFERROR(VLOOKUP($A125,[1]플랫폼1!$A:$B,2,FALSE),0)</f>
        <v>1300000</v>
      </c>
      <c r="P125" s="44">
        <f>IFERROR(VLOOKUP($A125,[1]플랫폼2!$A:$M,12,FALSE),0)+IFERROR(VLOOKUP($A125,[1]플랫폼2!$A:$M,13,FALSE),0)</f>
        <v>0</v>
      </c>
      <c r="Q125" s="44">
        <f>IFERROR(VLOOKUP($A125,[1]플랫폼2!$A:$M,7,FALSE),0)+IFERROR(VLOOKUP($A125,[1]플랫폼2!$A:$M,12,FALSE),0)</f>
        <v>0</v>
      </c>
      <c r="R125" s="44">
        <f>IFERROR(VLOOKUP($A125,[1]모바일!$A:$S,17,FALSE),0)</f>
        <v>0</v>
      </c>
      <c r="S125" s="44">
        <f>IFERROR(VLOOKUP($A125,[1]모바일!$A:$S,18,FALSE),0)</f>
        <v>0</v>
      </c>
      <c r="T125" s="43">
        <f>IFERROR(VLOOKUP(A125,[1]플랫폼2!$A:$O,15,0),0)</f>
        <v>0</v>
      </c>
      <c r="U125" s="83"/>
    </row>
    <row r="126" spans="1:21" collapsed="1" x14ac:dyDescent="0.45">
      <c r="A126" s="28" t="s">
        <v>59</v>
      </c>
      <c r="B126" s="43">
        <f>'1월'!B126+'2월'!B126+'3월'!B126+'4월'!B126+'5월'!B126+'6월'!B126+'7월'!B126+'8월'!B126+'9월'!B126+'10월'!B126+'11월'!B126+'12월'!B126</f>
        <v>945287408</v>
      </c>
      <c r="C126" s="43">
        <f>'1월'!C126+'2월'!C126+'3월'!C126+'4월'!C126+'5월'!C126+'6월'!C126+'7월'!C126+'8월'!C126+'9월'!C126+'10월'!C126+'11월'!C126+'12월'!C126</f>
        <v>369122931</v>
      </c>
      <c r="D126" s="43">
        <f>'1월'!D126+'2월'!D126+'3월'!D126+'4월'!D126+'5월'!D126+'6월'!D126+'7월'!D126+'8월'!D126+'9월'!D126+'10월'!D126+'11월'!D126+'12월'!D126</f>
        <v>15120594</v>
      </c>
      <c r="E126" s="43">
        <f>'1월'!E126+'2월'!E126+'3월'!E126+'4월'!E126+'5월'!E126+'6월'!E126+'7월'!E126+'8월'!E126+'9월'!E126+'10월'!E126+'11월'!E126+'12월'!E126</f>
        <v>561043883</v>
      </c>
      <c r="F126" s="43">
        <f>'1월'!F126+'2월'!F126+'3월'!F126+'4월'!F126+'5월'!F126+'6월'!F126+'7월'!F126+'8월'!F126+'9월'!F126+'10월'!F126+'11월'!F126+'12월'!F126</f>
        <v>172736719.97420183</v>
      </c>
      <c r="G126" s="43">
        <f>'1월'!H126+'2월'!G126+'3월'!G126+'4월'!G126+'5월'!G126+'6월'!G126+'7월'!G126+'8월'!G126+'9월'!G126+'10월'!G126+'11월'!G126+'12월'!G126</f>
        <v>103065764.02579816</v>
      </c>
      <c r="H126" s="43">
        <f>'1월'!J126+'2월'!H126+'3월'!H126+'4월'!H126+'5월'!H126+'6월'!H126+'7월'!H126+'8월'!H126+'9월'!H126+'10월'!H126+'11월'!H126+'12월'!H126</f>
        <v>96338321</v>
      </c>
      <c r="I126" s="43">
        <f>'1월'!K126+'2월'!I126+'3월'!I126+'4월'!I126+'5월'!I126+'6월'!I126+'7월'!I126+'8월'!I126+'9월'!I126+'10월'!I126+'11월'!I126+'12월'!I126</f>
        <v>4577160.2</v>
      </c>
      <c r="J126" s="43">
        <f>'1월'!L126+'2월'!J126+'3월'!J126+'4월'!J126+'5월'!J126+'6월'!J126+'7월'!J126+'8월'!J126+'9월'!J126+'10월'!J126+'11월'!J126+'12월'!J126</f>
        <v>150749791.80000001</v>
      </c>
      <c r="K126" s="43">
        <f>'1월'!M126+'2월'!K126+'3월'!K126+'4월'!K126+'5월'!K126+'6월'!K126+'7월'!K126+'8월'!K126+'9월'!K126+'10월'!K126+'11월'!K126+'12월'!K126</f>
        <v>17022650</v>
      </c>
      <c r="L126" s="43">
        <f>'1월'!N126+'2월'!L126+'3월'!L126+'4월'!L126+'5월'!L126+'6월'!L126+'7월'!L126+'8월'!L126+'9월'!L126+'10월'!L126+'11월'!L126+'12월'!L126</f>
        <v>6112769</v>
      </c>
      <c r="M126" s="43">
        <f>'1월'!O126+'2월'!M126+'3월'!M126+'4월'!M126+'5월'!M126+'6월'!M126+'7월'!M126+'8월'!M126+'9월'!M126+'10월'!M126+'11월'!M126+'12월'!M126</f>
        <v>10440707</v>
      </c>
      <c r="O126" s="43">
        <f>IFERROR(VLOOKUP($A126,[1]플랫폼1!$A:$B,2,FALSE),0)</f>
        <v>3085305</v>
      </c>
      <c r="P126" s="43">
        <f>IFERROR(VLOOKUP($A126,[1]플랫폼2!$A:$M,12,FALSE),0)+IFERROR(VLOOKUP($A126,[1]플랫폼2!$A:$M,13,FALSE),0)</f>
        <v>2622833.5</v>
      </c>
      <c r="Q126" s="43">
        <f>IFERROR(VLOOKUP($A126,[1]플랫폼2!$A:$M,7,FALSE),0)+IFERROR(VLOOKUP($A126,[1]플랫폼2!$A:$M,12,FALSE),0)</f>
        <v>363786.5</v>
      </c>
      <c r="R126" s="43">
        <f>IFERROR(VLOOKUP($A126,[1]모바일!$A:$S,17,FALSE),0)</f>
        <v>2549233</v>
      </c>
      <c r="S126" s="43">
        <f>IFERROR(VLOOKUP($A126,[1]모바일!$A:$S,18,FALSE),0)</f>
        <v>1144728</v>
      </c>
      <c r="T126" s="43">
        <f>IFERROR(VLOOKUP(A126,[1]플랫폼2!$A:$O,15,0),0)</f>
        <v>674821</v>
      </c>
      <c r="U126" s="83"/>
    </row>
    <row r="127" spans="1:21" hidden="1" outlineLevel="1" x14ac:dyDescent="0.45">
      <c r="A127" s="29" t="s">
        <v>60</v>
      </c>
      <c r="B127" s="44">
        <f>'1월'!B127+'2월'!B127+'3월'!B127+'4월'!B127+'5월'!B127+'6월'!B127+'7월'!B127+'8월'!B127+'9월'!B127+'10월'!B127+'11월'!B127+'12월'!B127</f>
        <v>386604942</v>
      </c>
      <c r="C127" s="44">
        <f>'1월'!C127+'2월'!C127+'3월'!C127+'4월'!C127+'5월'!C127+'6월'!C127+'7월'!C127+'8월'!C127+'9월'!C127+'10월'!C127+'11월'!C127+'12월'!C127</f>
        <v>158451242</v>
      </c>
      <c r="D127" s="44">
        <f>'1월'!D127+'2월'!D127+'3월'!D127+'4월'!D127+'5월'!D127+'6월'!D127+'7월'!D127+'8월'!D127+'9월'!D127+'10월'!D127+'11월'!D127+'12월'!D127</f>
        <v>8472724</v>
      </c>
      <c r="E127" s="44">
        <f>'1월'!E127+'2월'!E127+'3월'!E127+'4월'!E127+'5월'!E127+'6월'!E127+'7월'!E127+'8월'!E127+'9월'!E127+'10월'!E127+'11월'!E127+'12월'!E127</f>
        <v>219680976</v>
      </c>
      <c r="F127" s="44">
        <f>'1월'!F127+'2월'!F127+'3월'!F127+'4월'!F127+'5월'!F127+'6월'!F127+'7월'!F127+'8월'!F127+'9월'!F127+'10월'!F127+'11월'!F127+'12월'!F127</f>
        <v>112644023.1030395</v>
      </c>
      <c r="G127" s="44">
        <f>'1월'!H127+'2월'!G127+'3월'!G127+'4월'!G127+'5월'!G127+'6월'!G127+'7월'!G127+'8월'!G127+'9월'!G127+'10월'!G127+'11월'!G127+'12월'!G127</f>
        <v>91717580.896960512</v>
      </c>
      <c r="H127" s="44">
        <f>'1월'!J127+'2월'!H127+'3월'!H127+'4월'!H127+'5월'!H127+'6월'!H127+'7월'!H127+'8월'!H127+'9월'!H127+'10월'!H127+'11월'!H127+'12월'!H127</f>
        <v>8791535</v>
      </c>
      <c r="I127" s="44">
        <f>'1월'!K127+'2월'!I127+'3월'!I127+'4월'!I127+'5월'!I127+'6월'!I127+'7월'!I127+'8월'!I127+'9월'!I127+'10월'!I127+'11월'!I127+'12월'!I127</f>
        <v>0</v>
      </c>
      <c r="J127" s="44">
        <f>'1월'!L127+'2월'!J127+'3월'!J127+'4월'!J127+'5월'!J127+'6월'!J127+'7월'!J127+'8월'!J127+'9월'!J127+'10월'!J127+'11월'!J127+'12월'!J127</f>
        <v>0</v>
      </c>
      <c r="K127" s="44">
        <f>'1월'!M127+'2월'!K127+'3월'!K127+'4월'!K127+'5월'!K127+'6월'!K127+'7월'!K127+'8월'!K127+'9월'!K127+'10월'!K127+'11월'!K127+'12월'!K127</f>
        <v>4880434</v>
      </c>
      <c r="L127" s="44">
        <f>'1월'!N127+'2월'!L127+'3월'!L127+'4월'!L127+'5월'!L127+'6월'!L127+'7월'!L127+'8월'!L127+'9월'!L127+'10월'!L127+'11월'!L127+'12월'!L127</f>
        <v>921829</v>
      </c>
      <c r="M127" s="44">
        <f>'1월'!O127+'2월'!M127+'3월'!M127+'4월'!M127+'5월'!M127+'6월'!M127+'7월'!M127+'8월'!M127+'9월'!M127+'10월'!M127+'11월'!M127+'12월'!M127</f>
        <v>725574</v>
      </c>
      <c r="O127" s="44">
        <f>IFERROR(VLOOKUP($A127,[1]플랫폼1!$A:$B,2,FALSE),0)</f>
        <v>172800</v>
      </c>
      <c r="P127" s="44">
        <f>IFERROR(VLOOKUP($A127,[1]플랫폼2!$A:$M,12,FALSE),0)+IFERROR(VLOOKUP($A127,[1]플랫폼2!$A:$M,13,FALSE),0)</f>
        <v>33866.5</v>
      </c>
      <c r="Q127" s="44">
        <f>IFERROR(VLOOKUP($A127,[1]플랫폼2!$A:$M,7,FALSE),0)+IFERROR(VLOOKUP($A127,[1]플랫폼2!$A:$M,12,FALSE),0)</f>
        <v>33866.5</v>
      </c>
      <c r="R127" s="44">
        <f>IFERROR(VLOOKUP($A127,[1]모바일!$A:$S,17,FALSE),0)</f>
        <v>0</v>
      </c>
      <c r="S127" s="44">
        <f>IFERROR(VLOOKUP($A127,[1]모바일!$A:$S,18,FALSE),0)</f>
        <v>0</v>
      </c>
      <c r="T127" s="43">
        <f>IFERROR(VLOOKUP(A127,[1]플랫폼2!$A:$O,15,0),0)</f>
        <v>485041</v>
      </c>
      <c r="U127" s="83"/>
    </row>
    <row r="128" spans="1:21" hidden="1" outlineLevel="1" x14ac:dyDescent="0.45">
      <c r="A128" s="29" t="s">
        <v>61</v>
      </c>
      <c r="B128" s="44">
        <f>'1월'!B128+'2월'!B128+'3월'!B128+'4월'!B128+'5월'!B128+'6월'!B128+'7월'!B128+'8월'!B128+'9월'!B128+'10월'!B128+'11월'!B128+'12월'!B128</f>
        <v>316725947</v>
      </c>
      <c r="C128" s="44">
        <f>'1월'!C128+'2월'!C128+'3월'!C128+'4월'!C128+'5월'!C128+'6월'!C128+'7월'!C128+'8월'!C128+'9월'!C128+'10월'!C128+'11월'!C128+'12월'!C128</f>
        <v>133731081</v>
      </c>
      <c r="D128" s="44">
        <f>'1월'!D128+'2월'!D128+'3월'!D128+'4월'!D128+'5월'!D128+'6월'!D128+'7월'!D128+'8월'!D128+'9월'!D128+'10월'!D128+'11월'!D128+'12월'!D128</f>
        <v>0</v>
      </c>
      <c r="E128" s="44">
        <f>'1월'!E128+'2월'!E128+'3월'!E128+'4월'!E128+'5월'!E128+'6월'!E128+'7월'!E128+'8월'!E128+'9월'!E128+'10월'!E128+'11월'!E128+'12월'!E128</f>
        <v>182994866</v>
      </c>
      <c r="F128" s="44">
        <f>'1월'!F128+'2월'!F128+'3월'!F128+'4월'!F128+'5월'!F128+'6월'!F128+'7월'!F128+'8월'!F128+'9월'!F128+'10월'!F128+'11월'!F128+'12월'!F128</f>
        <v>0</v>
      </c>
      <c r="G128" s="44">
        <f>'1월'!H128+'2월'!G128+'3월'!G128+'4월'!G128+'5월'!G128+'6월'!G128+'7월'!G128+'8월'!G128+'9월'!G128+'10월'!G128+'11월'!G128+'12월'!G128</f>
        <v>0</v>
      </c>
      <c r="H128" s="44">
        <f>'1월'!J128+'2월'!H128+'3월'!H128+'4월'!H128+'5월'!H128+'6월'!H128+'7월'!H128+'8월'!H128+'9월'!H128+'10월'!H128+'11월'!H128+'12월'!H128</f>
        <v>32426708</v>
      </c>
      <c r="I128" s="44">
        <f>'1월'!K128+'2월'!I128+'3월'!I128+'4월'!I128+'5월'!I128+'6월'!I128+'7월'!I128+'8월'!I128+'9월'!I128+'10월'!I128+'11월'!I128+'12월'!I128</f>
        <v>0</v>
      </c>
      <c r="J128" s="44">
        <f>'1월'!L128+'2월'!J128+'3월'!J128+'4월'!J128+'5월'!J128+'6월'!J128+'7월'!J128+'8월'!J128+'9월'!J128+'10월'!J128+'11월'!J128+'12월'!J128</f>
        <v>141890584</v>
      </c>
      <c r="K128" s="44">
        <f>'1월'!M128+'2월'!K128+'3월'!K128+'4월'!K128+'5월'!K128+'6월'!K128+'7월'!K128+'8월'!K128+'9월'!K128+'10월'!K128+'11월'!K128+'12월'!K128</f>
        <v>2065826</v>
      </c>
      <c r="L128" s="44">
        <f>'1월'!N128+'2월'!L128+'3월'!L128+'4월'!L128+'5월'!L128+'6월'!L128+'7월'!L128+'8월'!L128+'9월'!L128+'10월'!L128+'11월'!L128+'12월'!L128</f>
        <v>0</v>
      </c>
      <c r="M128" s="44">
        <f>'1월'!O128+'2월'!M128+'3월'!M128+'4월'!M128+'5월'!M128+'6월'!M128+'7월'!M128+'8월'!M128+'9월'!M128+'10월'!M128+'11월'!M128+'12월'!M128</f>
        <v>6611748</v>
      </c>
      <c r="O128" s="44">
        <f>IFERROR(VLOOKUP($A128,[1]플랫폼1!$A:$B,2,FALSE),0)</f>
        <v>0</v>
      </c>
      <c r="P128" s="44">
        <f>IFERROR(VLOOKUP($A128,[1]플랫폼2!$A:$M,12,FALSE),0)+IFERROR(VLOOKUP($A128,[1]플랫폼2!$A:$M,13,FALSE),0)</f>
        <v>2588967</v>
      </c>
      <c r="Q128" s="44">
        <f>IFERROR(VLOOKUP($A128,[1]플랫폼2!$A:$M,7,FALSE),0)+IFERROR(VLOOKUP($A128,[1]플랫폼2!$A:$M,12,FALSE),0)</f>
        <v>329920</v>
      </c>
      <c r="R128" s="44">
        <f>IFERROR(VLOOKUP($A128,[1]모바일!$A:$S,17,FALSE),0)</f>
        <v>2548683</v>
      </c>
      <c r="S128" s="44">
        <f>IFERROR(VLOOKUP($A128,[1]모바일!$A:$S,18,FALSE),0)</f>
        <v>1144178</v>
      </c>
      <c r="T128" s="43">
        <f>IFERROR(VLOOKUP(A128,[1]플랫폼2!$A:$O,15,0),0)</f>
        <v>0</v>
      </c>
      <c r="U128" s="83"/>
    </row>
    <row r="129" spans="1:21" hidden="1" outlineLevel="1" x14ac:dyDescent="0.45">
      <c r="A129" s="29" t="s">
        <v>62</v>
      </c>
      <c r="B129" s="44">
        <f>'1월'!B129+'2월'!B129+'3월'!B129+'4월'!B129+'5월'!B129+'6월'!B129+'7월'!B129+'8월'!B129+'9월'!B129+'10월'!B129+'11월'!B129+'12월'!B129</f>
        <v>156220049</v>
      </c>
      <c r="C129" s="44">
        <f>'1월'!C129+'2월'!C129+'3월'!C129+'4월'!C129+'5월'!C129+'6월'!C129+'7월'!C129+'8월'!C129+'9월'!C129+'10월'!C129+'11월'!C129+'12월'!C129</f>
        <v>74596538</v>
      </c>
      <c r="D129" s="44">
        <f>'1월'!D129+'2월'!D129+'3월'!D129+'4월'!D129+'5월'!D129+'6월'!D129+'7월'!D129+'8월'!D129+'9월'!D129+'10월'!D129+'11월'!D129+'12월'!D129</f>
        <v>6282330</v>
      </c>
      <c r="E129" s="44">
        <f>'1월'!E129+'2월'!E129+'3월'!E129+'4월'!E129+'5월'!E129+'6월'!E129+'7월'!E129+'8월'!E129+'9월'!E129+'10월'!E129+'11월'!E129+'12월'!E129</f>
        <v>75341181</v>
      </c>
      <c r="F129" s="44">
        <f>'1월'!F129+'2월'!F129+'3월'!F129+'4월'!F129+'5월'!F129+'6월'!F129+'7월'!F129+'8월'!F129+'9월'!F129+'10월'!F129+'11월'!F129+'12월'!F129</f>
        <v>0</v>
      </c>
      <c r="G129" s="44">
        <f>'1월'!H129+'2월'!G129+'3월'!G129+'4월'!G129+'5월'!G129+'6월'!G129+'7월'!G129+'8월'!G129+'9월'!G129+'10월'!G129+'11월'!G129+'12월'!G129</f>
        <v>0</v>
      </c>
      <c r="H129" s="44">
        <f>'1월'!J129+'2월'!H129+'3월'!H129+'4월'!H129+'5월'!H129+'6월'!H129+'7월'!H129+'8월'!H129+'9월'!H129+'10월'!H129+'11월'!H129+'12월'!H129</f>
        <v>54664248</v>
      </c>
      <c r="I129" s="44">
        <f>'1월'!K129+'2월'!I129+'3월'!I129+'4월'!I129+'5월'!I129+'6월'!I129+'7월'!I129+'8월'!I129+'9월'!I129+'10월'!I129+'11월'!I129+'12월'!I129</f>
        <v>4485240.2</v>
      </c>
      <c r="J129" s="44">
        <f>'1월'!L129+'2월'!J129+'3월'!J129+'4월'!J129+'5월'!J129+'6월'!J129+'7월'!J129+'8월'!J129+'9월'!J129+'10월'!J129+'11월'!J129+'12월'!J129</f>
        <v>4773327.8</v>
      </c>
      <c r="K129" s="44">
        <f>'1월'!M129+'2월'!K129+'3월'!K129+'4월'!K129+'5월'!K129+'6월'!K129+'7월'!K129+'8월'!K129+'9월'!K129+'10월'!K129+'11월'!K129+'12월'!K129</f>
        <v>8515060</v>
      </c>
      <c r="L129" s="44">
        <f>'1월'!N129+'2월'!L129+'3월'!L129+'4월'!L129+'5월'!L129+'6월'!L129+'7월'!L129+'8월'!L129+'9월'!L129+'10월'!L129+'11월'!L129+'12월'!L129</f>
        <v>0</v>
      </c>
      <c r="M129" s="44">
        <f>'1월'!O129+'2월'!M129+'3월'!M129+'4월'!M129+'5월'!M129+'6월'!M129+'7월'!M129+'8월'!M129+'9월'!M129+'10월'!M129+'11월'!M129+'12월'!M129</f>
        <v>2903305</v>
      </c>
      <c r="O129" s="44">
        <f>IFERROR(VLOOKUP($A129,[1]플랫폼1!$A:$B,2,FALSE),0)</f>
        <v>2903305</v>
      </c>
      <c r="P129" s="44">
        <f>IFERROR(VLOOKUP($A129,[1]플랫폼2!$A:$M,12,FALSE),0)+IFERROR(VLOOKUP($A129,[1]플랫폼2!$A:$M,13,FALSE),0)</f>
        <v>0</v>
      </c>
      <c r="Q129" s="44">
        <f>IFERROR(VLOOKUP($A129,[1]플랫폼2!$A:$M,7,FALSE),0)+IFERROR(VLOOKUP($A129,[1]플랫폼2!$A:$M,12,FALSE),0)</f>
        <v>0</v>
      </c>
      <c r="R129" s="44">
        <f>IFERROR(VLOOKUP($A129,[1]모바일!$A:$S,17,FALSE),0)</f>
        <v>0</v>
      </c>
      <c r="S129" s="44">
        <f>IFERROR(VLOOKUP($A129,[1]모바일!$A:$S,18,FALSE),0)</f>
        <v>0</v>
      </c>
      <c r="T129" s="43">
        <f>IFERROR(VLOOKUP(A129,[1]플랫폼2!$A:$O,15,0),0)</f>
        <v>0</v>
      </c>
      <c r="U129" s="83"/>
    </row>
    <row r="130" spans="1:21" hidden="1" outlineLevel="1" x14ac:dyDescent="0.45">
      <c r="A130" s="29" t="s">
        <v>63</v>
      </c>
      <c r="B130" s="44">
        <f>'1월'!B130+'2월'!B130+'3월'!B130+'4월'!B130+'5월'!B130+'6월'!B130+'7월'!B130+'8월'!B130+'9월'!B130+'10월'!B130+'11월'!B130+'12월'!B130</f>
        <v>85736470</v>
      </c>
      <c r="C130" s="44">
        <f>'1월'!C130+'2월'!C130+'3월'!C130+'4월'!C130+'5월'!C130+'6월'!C130+'7월'!C130+'8월'!C130+'9월'!C130+'10월'!C130+'11월'!C130+'12월'!C130</f>
        <v>2344070</v>
      </c>
      <c r="D130" s="44">
        <f>'1월'!D130+'2월'!D130+'3월'!D130+'4월'!D130+'5월'!D130+'6월'!D130+'7월'!D130+'8월'!D130+'9월'!D130+'10월'!D130+'11월'!D130+'12월'!D130</f>
        <v>365540</v>
      </c>
      <c r="E130" s="44">
        <f>'1월'!E130+'2월'!E130+'3월'!E130+'4월'!E130+'5월'!E130+'6월'!E130+'7월'!E130+'8월'!E130+'9월'!E130+'10월'!E130+'11월'!E130+'12월'!E130</f>
        <v>83026860</v>
      </c>
      <c r="F130" s="44">
        <f>'1월'!F130+'2월'!F130+'3월'!F130+'4월'!F130+'5월'!F130+'6월'!F130+'7월'!F130+'8월'!F130+'9월'!F130+'10월'!F130+'11월'!F130+'12월'!F130</f>
        <v>60092696.871162347</v>
      </c>
      <c r="G130" s="44">
        <f>'1월'!H130+'2월'!G130+'3월'!G130+'4월'!G130+'5월'!G130+'6월'!G130+'7월'!G130+'8월'!G130+'9월'!G130+'10월'!G130+'11월'!G130+'12월'!G130</f>
        <v>11348183.12883766</v>
      </c>
      <c r="H130" s="44">
        <f>'1월'!J130+'2월'!H130+'3월'!H130+'4월'!H130+'5월'!H130+'6월'!H130+'7월'!H130+'8월'!H130+'9월'!H130+'10월'!H130+'11월'!H130+'12월'!H130</f>
        <v>455830</v>
      </c>
      <c r="I130" s="44">
        <f>'1월'!K130+'2월'!I130+'3월'!I130+'4월'!I130+'5월'!I130+'6월'!I130+'7월'!I130+'8월'!I130+'9월'!I130+'10월'!I130+'11월'!I130+'12월'!I130</f>
        <v>91920</v>
      </c>
      <c r="J130" s="44">
        <f>'1월'!L130+'2월'!J130+'3월'!J130+'4월'!J130+'5월'!J130+'6월'!J130+'7월'!J130+'8월'!J130+'9월'!J130+'10월'!J130+'11월'!J130+'12월'!J130</f>
        <v>4085880</v>
      </c>
      <c r="K130" s="44">
        <f>'1월'!M130+'2월'!K130+'3월'!K130+'4월'!K130+'5월'!K130+'6월'!K130+'7월'!K130+'8월'!K130+'9월'!K130+'10월'!K130+'11월'!K130+'12월'!K130</f>
        <v>1561330</v>
      </c>
      <c r="L130" s="44">
        <f>'1월'!N130+'2월'!L130+'3월'!L130+'4월'!L130+'5월'!L130+'6월'!L130+'7월'!L130+'8월'!L130+'9월'!L130+'10월'!L130+'11월'!L130+'12월'!L130</f>
        <v>5190940</v>
      </c>
      <c r="M130" s="44">
        <f>'1월'!O130+'2월'!M130+'3월'!M130+'4월'!M130+'5월'!M130+'6월'!M130+'7월'!M130+'8월'!M130+'9월'!M130+'10월'!M130+'11월'!M130+'12월'!M130</f>
        <v>200080</v>
      </c>
      <c r="O130" s="44">
        <f>IFERROR(VLOOKUP($A130,[1]플랫폼1!$A:$B,2,FALSE),0)</f>
        <v>9200</v>
      </c>
      <c r="P130" s="44">
        <f>IFERROR(VLOOKUP($A130,[1]플랫폼2!$A:$M,12,FALSE),0)+IFERROR(VLOOKUP($A130,[1]플랫폼2!$A:$M,13,FALSE),0)</f>
        <v>0</v>
      </c>
      <c r="Q130" s="44">
        <f>IFERROR(VLOOKUP($A130,[1]플랫폼2!$A:$M,7,FALSE),0)+IFERROR(VLOOKUP($A130,[1]플랫폼2!$A:$M,12,FALSE),0)</f>
        <v>0</v>
      </c>
      <c r="R130" s="44">
        <v>550</v>
      </c>
      <c r="S130" s="44">
        <v>550</v>
      </c>
      <c r="T130" s="43">
        <v>189780</v>
      </c>
      <c r="U130" s="83"/>
    </row>
    <row r="131" spans="1:21" hidden="1" outlineLevel="1" x14ac:dyDescent="0.45">
      <c r="A131" s="24" t="s">
        <v>192</v>
      </c>
      <c r="B131" s="45">
        <f>'1월'!B131+'2월'!B131+'3월'!B131+'4월'!B131+'5월'!B131+'6월'!B131+'7월'!B131+'8월'!B131+'9월'!B131+'10월'!B131+'11월'!B131+'12월'!B131</f>
        <v>0</v>
      </c>
      <c r="C131" s="45">
        <f>'1월'!C131+'2월'!C131+'3월'!C131+'4월'!C131+'5월'!C131+'6월'!C131+'7월'!C131+'8월'!C131+'9월'!C131+'10월'!C131+'11월'!C131+'12월'!C131</f>
        <v>0</v>
      </c>
      <c r="D131" s="45">
        <f>'1월'!D131+'2월'!D131+'3월'!D131+'4월'!D131+'5월'!D131+'6월'!D131+'7월'!D131+'8월'!D131+'9월'!D131+'10월'!D131+'11월'!D131+'12월'!D131</f>
        <v>0</v>
      </c>
      <c r="E131" s="45">
        <f>'1월'!E131+'2월'!E131+'3월'!E131+'4월'!E131+'5월'!E131+'6월'!E131+'7월'!E131+'8월'!E131+'9월'!E131+'10월'!E131+'11월'!E131+'12월'!E131</f>
        <v>0</v>
      </c>
      <c r="F131" s="45">
        <f>'1월'!F131+'2월'!F131+'3월'!F131+'4월'!F131+'5월'!F131+'6월'!F131+'7월'!F131+'8월'!F131+'9월'!F131+'10월'!F131+'11월'!F131+'12월'!F131</f>
        <v>0</v>
      </c>
      <c r="G131" s="45">
        <f>'1월'!H131+'2월'!G131+'3월'!G131+'4월'!G131+'5월'!G131+'6월'!G131+'7월'!G131+'8월'!G131+'9월'!G131+'10월'!G131+'11월'!G131+'12월'!G131</f>
        <v>0</v>
      </c>
      <c r="H131" s="45">
        <f>'1월'!J131+'2월'!H131+'3월'!H131+'4월'!H131+'5월'!H131+'6월'!H131+'7월'!H131+'8월'!H131+'9월'!H131+'10월'!H131+'11월'!H131+'12월'!H131</f>
        <v>0</v>
      </c>
      <c r="I131" s="45">
        <f>'1월'!K131+'2월'!I131+'3월'!I131+'4월'!I131+'5월'!I131+'6월'!I131+'7월'!I131+'8월'!I131+'9월'!I131+'10월'!I131+'11월'!I131+'12월'!I131</f>
        <v>0</v>
      </c>
      <c r="J131" s="45">
        <f>'1월'!L131+'2월'!J131+'3월'!J131+'4월'!J131+'5월'!J131+'6월'!J131+'7월'!J131+'8월'!J131+'9월'!J131+'10월'!J131+'11월'!J131+'12월'!J131</f>
        <v>0</v>
      </c>
      <c r="K131" s="45">
        <f>'1월'!M131+'2월'!K131+'3월'!K131+'4월'!K131+'5월'!K131+'6월'!K131+'7월'!K131+'8월'!K131+'9월'!K131+'10월'!K131+'11월'!K131+'12월'!K131</f>
        <v>0</v>
      </c>
      <c r="L131" s="45">
        <f>'1월'!N131+'2월'!L131+'3월'!L131+'4월'!L131+'5월'!L131+'6월'!L131+'7월'!L131+'8월'!L131+'9월'!L131+'10월'!L131+'11월'!L131+'12월'!L131</f>
        <v>0</v>
      </c>
      <c r="M131" s="45">
        <f>'1월'!O131+'2월'!M131+'3월'!M131+'4월'!M131+'5월'!M131+'6월'!M131+'7월'!M131+'8월'!M131+'9월'!M131+'10월'!M131+'11월'!M131+'12월'!M131</f>
        <v>0</v>
      </c>
      <c r="O131" s="45">
        <f>IFERROR(VLOOKUP($A131,[1]플랫폼1!$A:$B,2,FALSE),0)</f>
        <v>0</v>
      </c>
      <c r="P131" s="45">
        <f>IFERROR(VLOOKUP($A131,[1]플랫폼2!$A:$M,12,FALSE),0)+IFERROR(VLOOKUP($A131,[1]플랫폼2!$A:$M,13,FALSE),0)</f>
        <v>0</v>
      </c>
      <c r="Q131" s="45">
        <f>IFERROR(VLOOKUP($A131,[1]플랫폼2!$A:$M,7,FALSE),0)+IFERROR(VLOOKUP($A131,[1]플랫폼2!$A:$M,12,FALSE),0)</f>
        <v>0</v>
      </c>
      <c r="R131" s="45">
        <f>IFERROR(VLOOKUP($A131,[1]모바일!$A:$S,17,FALSE),0)</f>
        <v>0</v>
      </c>
      <c r="S131" s="45">
        <f>IFERROR(VLOOKUP($A131,[1]모바일!$A:$S,18,FALSE),0)</f>
        <v>0</v>
      </c>
      <c r="T131" s="54">
        <f>IFERROR(VLOOKUP(A131,[1]플랫폼2!$A:$O,15,0),0)</f>
        <v>0</v>
      </c>
      <c r="U131" s="83"/>
    </row>
    <row r="132" spans="1:21" s="1" customFormat="1" hidden="1" outlineLevel="1" collapsed="1" x14ac:dyDescent="0.45">
      <c r="A132" s="29" t="s">
        <v>193</v>
      </c>
      <c r="B132" s="44">
        <f>'1월'!B132+'2월'!B132+'3월'!B132+'4월'!B132+'5월'!B132+'6월'!B132+'7월'!B132+'8월'!B132+'9월'!B132+'10월'!B132+'11월'!B132+'12월'!B132</f>
        <v>0</v>
      </c>
      <c r="C132" s="44">
        <f>'1월'!C132+'2월'!C132+'3월'!C132+'4월'!C132+'5월'!C132+'6월'!C132+'7월'!C132+'8월'!C132+'9월'!C132+'10월'!C132+'11월'!C132+'12월'!C132</f>
        <v>0</v>
      </c>
      <c r="D132" s="44">
        <f>'1월'!D132+'2월'!D132+'3월'!D132+'4월'!D132+'5월'!D132+'6월'!D132+'7월'!D132+'8월'!D132+'9월'!D132+'10월'!D132+'11월'!D132+'12월'!D132</f>
        <v>0</v>
      </c>
      <c r="E132" s="44">
        <f>'1월'!E132+'2월'!E132+'3월'!E132+'4월'!E132+'5월'!E132+'6월'!E132+'7월'!E132+'8월'!E132+'9월'!E132+'10월'!E132+'11월'!E132+'12월'!E132</f>
        <v>0</v>
      </c>
      <c r="F132" s="44">
        <f>'1월'!F132+'2월'!F132+'3월'!F132+'4월'!F132+'5월'!F132+'6월'!F132+'7월'!F132+'8월'!F132+'9월'!F132+'10월'!F132+'11월'!F132+'12월'!F132</f>
        <v>0</v>
      </c>
      <c r="G132" s="44">
        <f>'1월'!H132+'2월'!G132+'3월'!G132+'4월'!G132+'5월'!G132+'6월'!G132+'7월'!G132+'8월'!G132+'9월'!G132+'10월'!G132+'11월'!G132+'12월'!G132</f>
        <v>0</v>
      </c>
      <c r="H132" s="44">
        <f>'1월'!J132+'2월'!H132+'3월'!H132+'4월'!H132+'5월'!H132+'6월'!H132+'7월'!H132+'8월'!H132+'9월'!H132+'10월'!H132+'11월'!H132+'12월'!H132</f>
        <v>0</v>
      </c>
      <c r="I132" s="44">
        <f>'1월'!K132+'2월'!I132+'3월'!I132+'4월'!I132+'5월'!I132+'6월'!I132+'7월'!I132+'8월'!I132+'9월'!I132+'10월'!I132+'11월'!I132+'12월'!I132</f>
        <v>0</v>
      </c>
      <c r="J132" s="44">
        <f>'1월'!L132+'2월'!J132+'3월'!J132+'4월'!J132+'5월'!J132+'6월'!J132+'7월'!J132+'8월'!J132+'9월'!J132+'10월'!J132+'11월'!J132+'12월'!J132</f>
        <v>0</v>
      </c>
      <c r="K132" s="44">
        <f>'1월'!M132+'2월'!K132+'3월'!K132+'4월'!K132+'5월'!K132+'6월'!K132+'7월'!K132+'8월'!K132+'9월'!K132+'10월'!K132+'11월'!K132+'12월'!K132</f>
        <v>0</v>
      </c>
      <c r="L132" s="44">
        <f>'1월'!N132+'2월'!L132+'3월'!L132+'4월'!L132+'5월'!L132+'6월'!L132+'7월'!L132+'8월'!L132+'9월'!L132+'10월'!L132+'11월'!L132+'12월'!L132</f>
        <v>0</v>
      </c>
      <c r="M132" s="44">
        <f>'1월'!O132+'2월'!M132+'3월'!M132+'4월'!M132+'5월'!M132+'6월'!M132+'7월'!M132+'8월'!M132+'9월'!M132+'10월'!M132+'11월'!M132+'12월'!M132</f>
        <v>0</v>
      </c>
      <c r="O132" s="44">
        <f>IFERROR(VLOOKUP($A132,[1]플랫폼1!$A:$B,2,FALSE),0)</f>
        <v>0</v>
      </c>
      <c r="P132" s="44">
        <f>IFERROR(VLOOKUP($A132,[1]플랫폼2!$A:$M,12,FALSE),0)+IFERROR(VLOOKUP($A132,[1]플랫폼2!$A:$M,13,FALSE),0)</f>
        <v>0</v>
      </c>
      <c r="Q132" s="44">
        <f>IFERROR(VLOOKUP($A132,[1]플랫폼2!$A:$M,7,FALSE),0)+IFERROR(VLOOKUP($A132,[1]플랫폼2!$A:$M,12,FALSE),0)</f>
        <v>0</v>
      </c>
      <c r="R132" s="44">
        <f>IFERROR(VLOOKUP($A132,[1]모바일!$A:$S,17,FALSE),0)</f>
        <v>0</v>
      </c>
      <c r="S132" s="44">
        <f>IFERROR(VLOOKUP($A132,[1]모바일!$A:$S,18,FALSE),0)</f>
        <v>0</v>
      </c>
      <c r="T132" s="43">
        <f>IFERROR(VLOOKUP(A132,[1]플랫폼2!$A:$O,15,0),0)</f>
        <v>0</v>
      </c>
      <c r="U132" s="83"/>
    </row>
    <row r="133" spans="1:21" collapsed="1" x14ac:dyDescent="0.45">
      <c r="A133" s="28" t="s">
        <v>64</v>
      </c>
      <c r="B133" s="43">
        <f>'1월'!B133+'2월'!B133+'3월'!B133+'4월'!B133+'5월'!B133+'6월'!B133+'7월'!B133+'8월'!B133+'9월'!B133+'10월'!B133+'11월'!B133+'12월'!B133</f>
        <v>826611575</v>
      </c>
      <c r="C133" s="43">
        <f>'1월'!C133+'2월'!C133+'3월'!C133+'4월'!C133+'5월'!C133+'6월'!C133+'7월'!C133+'8월'!C133+'9월'!C133+'10월'!C133+'11월'!C133+'12월'!C133</f>
        <v>6312846</v>
      </c>
      <c r="D133" s="43">
        <f>'1월'!D133+'2월'!D133+'3월'!D133+'4월'!D133+'5월'!D133+'6월'!D133+'7월'!D133+'8월'!D133+'9월'!D133+'10월'!D133+'11월'!D133+'12월'!D133</f>
        <v>0</v>
      </c>
      <c r="E133" s="43">
        <f>'1월'!E133+'2월'!E133+'3월'!E133+'4월'!E133+'5월'!E133+'6월'!E133+'7월'!E133+'8월'!E133+'9월'!E133+'10월'!E133+'11월'!E133+'12월'!E133</f>
        <v>820298729</v>
      </c>
      <c r="F133" s="43">
        <f>'1월'!F133+'2월'!F133+'3월'!F133+'4월'!F133+'5월'!F133+'6월'!F133+'7월'!F133+'8월'!F133+'9월'!F133+'10월'!F133+'11월'!F133+'12월'!F133</f>
        <v>749105999.25071156</v>
      </c>
      <c r="G133" s="43">
        <f>'1월'!H133+'2월'!G133+'3월'!G133+'4월'!G133+'5월'!G133+'6월'!G133+'7월'!G133+'8월'!G133+'9월'!G133+'10월'!G133+'11월'!G133+'12월'!G133</f>
        <v>67020894.749288447</v>
      </c>
      <c r="H133" s="43">
        <f>'1월'!J133+'2월'!H133+'3월'!H133+'4월'!H133+'5월'!H133+'6월'!H133+'7월'!H133+'8월'!H133+'9월'!H133+'10월'!H133+'11월'!H133+'12월'!H133</f>
        <v>0</v>
      </c>
      <c r="I133" s="43">
        <f>'1월'!K133+'2월'!I133+'3월'!I133+'4월'!I133+'5월'!I133+'6월'!I133+'7월'!I133+'8월'!I133+'9월'!I133+'10월'!I133+'11월'!I133+'12월'!I133</f>
        <v>0</v>
      </c>
      <c r="J133" s="43">
        <f>'1월'!L133+'2월'!J133+'3월'!J133+'4월'!J133+'5월'!J133+'6월'!J133+'7월'!J133+'8월'!J133+'9월'!J133+'10월'!J133+'11월'!J133+'12월'!J133</f>
        <v>0</v>
      </c>
      <c r="K133" s="43">
        <f>'1월'!M133+'2월'!K133+'3월'!K133+'4월'!K133+'5월'!K133+'6월'!K133+'7월'!K133+'8월'!K133+'9월'!K133+'10월'!K133+'11월'!K133+'12월'!K133</f>
        <v>42270</v>
      </c>
      <c r="L133" s="43">
        <f>'1월'!N133+'2월'!L133+'3월'!L133+'4월'!L133+'5월'!L133+'6월'!L133+'7월'!L133+'8월'!L133+'9월'!L133+'10월'!L133+'11월'!L133+'12월'!L133</f>
        <v>0</v>
      </c>
      <c r="M133" s="43">
        <f>'1월'!O133+'2월'!M133+'3월'!M133+'4월'!M133+'5월'!M133+'6월'!M133+'7월'!M133+'8월'!M133+'9월'!M133+'10월'!M133+'11월'!M133+'12월'!M133</f>
        <v>4129565</v>
      </c>
      <c r="O133" s="43">
        <f>IFERROR(VLOOKUP($A133,[1]플랫폼1!$A:$B,2,FALSE),0)</f>
        <v>0</v>
      </c>
      <c r="P133" s="43">
        <f>IFERROR(VLOOKUP($A133,[1]플랫폼2!$A:$M,12,FALSE),0)+IFERROR(VLOOKUP($A133,[1]플랫폼2!$A:$M,13,FALSE),0)</f>
        <v>0</v>
      </c>
      <c r="Q133" s="43">
        <f>IFERROR(VLOOKUP($A133,[1]플랫폼2!$A:$M,7,FALSE),0)+IFERROR(VLOOKUP($A133,[1]플랫폼2!$A:$M,12,FALSE),0)</f>
        <v>0</v>
      </c>
      <c r="R133" s="43">
        <f>IFERROR(VLOOKUP($A133,[1]모바일!$A:$S,17,FALSE),0)</f>
        <v>0</v>
      </c>
      <c r="S133" s="43">
        <f>IFERROR(VLOOKUP($A133,[1]모바일!$A:$S,18,FALSE),0)</f>
        <v>0</v>
      </c>
      <c r="T133" s="43">
        <v>4129565</v>
      </c>
      <c r="U133" s="83"/>
    </row>
    <row r="134" spans="1:21" hidden="1" outlineLevel="1" x14ac:dyDescent="0.45">
      <c r="A134" s="29" t="s">
        <v>65</v>
      </c>
      <c r="B134" s="44">
        <f>'1월'!B134+'2월'!B134+'3월'!B134+'4월'!B134+'5월'!B134+'6월'!B134+'7월'!B134+'8월'!B134+'9월'!B134+'10월'!B134+'11월'!B134+'12월'!B134</f>
        <v>826611575</v>
      </c>
      <c r="C134" s="44">
        <f>'1월'!C134+'2월'!C134+'3월'!C134+'4월'!C134+'5월'!C134+'6월'!C134+'7월'!C134+'8월'!C134+'9월'!C134+'10월'!C134+'11월'!C134+'12월'!C134</f>
        <v>6312846</v>
      </c>
      <c r="D134" s="44">
        <f>'1월'!D134+'2월'!D134+'3월'!D134+'4월'!D134+'5월'!D134+'6월'!D134+'7월'!D134+'8월'!D134+'9월'!D134+'10월'!D134+'11월'!D134+'12월'!D134</f>
        <v>0</v>
      </c>
      <c r="E134" s="44">
        <f>'1월'!E134+'2월'!E134+'3월'!E134+'4월'!E134+'5월'!E134+'6월'!E134+'7월'!E134+'8월'!E134+'9월'!E134+'10월'!E134+'11월'!E134+'12월'!E134</f>
        <v>820298729</v>
      </c>
      <c r="F134" s="44">
        <f>'1월'!F134+'2월'!F134+'3월'!F134+'4월'!F134+'5월'!F134+'6월'!F134+'7월'!F134+'8월'!F134+'9월'!F134+'10월'!F134+'11월'!F134+'12월'!F134</f>
        <v>749105999.25071156</v>
      </c>
      <c r="G134" s="44">
        <f>'1월'!H134+'2월'!G134+'3월'!G134+'4월'!G134+'5월'!G134+'6월'!G134+'7월'!G134+'8월'!G134+'9월'!G134+'10월'!G134+'11월'!G134+'12월'!G134</f>
        <v>67020894.749288447</v>
      </c>
      <c r="H134" s="44">
        <f>'1월'!J134+'2월'!H134+'3월'!H134+'4월'!H134+'5월'!H134+'6월'!H134+'7월'!H134+'8월'!H134+'9월'!H134+'10월'!H134+'11월'!H134+'12월'!H134</f>
        <v>0</v>
      </c>
      <c r="I134" s="44">
        <f>'1월'!K134+'2월'!I134+'3월'!I134+'4월'!I134+'5월'!I134+'6월'!I134+'7월'!I134+'8월'!I134+'9월'!I134+'10월'!I134+'11월'!I134+'12월'!I134</f>
        <v>0</v>
      </c>
      <c r="J134" s="44">
        <f>'1월'!L134+'2월'!J134+'3월'!J134+'4월'!J134+'5월'!J134+'6월'!J134+'7월'!J134+'8월'!J134+'9월'!J134+'10월'!J134+'11월'!J134+'12월'!J134</f>
        <v>0</v>
      </c>
      <c r="K134" s="44">
        <f>'1월'!M134+'2월'!K134+'3월'!K134+'4월'!K134+'5월'!K134+'6월'!K134+'7월'!K134+'8월'!K134+'9월'!K134+'10월'!K134+'11월'!K134+'12월'!K134</f>
        <v>42270</v>
      </c>
      <c r="L134" s="44">
        <f>'1월'!N134+'2월'!L134+'3월'!L134+'4월'!L134+'5월'!L134+'6월'!L134+'7월'!L134+'8월'!L134+'9월'!L134+'10월'!L134+'11월'!L134+'12월'!L134</f>
        <v>0</v>
      </c>
      <c r="M134" s="44">
        <f>'1월'!O134+'2월'!M134+'3월'!M134+'4월'!M134+'5월'!M134+'6월'!M134+'7월'!M134+'8월'!M134+'9월'!M134+'10월'!M134+'11월'!M134+'12월'!M134</f>
        <v>4129565</v>
      </c>
      <c r="O134" s="44">
        <f>IFERROR(VLOOKUP($A134,[1]플랫폼1!$A:$B,2,FALSE),0)</f>
        <v>0</v>
      </c>
      <c r="P134" s="44">
        <f>IFERROR(VLOOKUP($A134,[1]플랫폼2!$A:$M,12,FALSE),0)+IFERROR(VLOOKUP($A134,[1]플랫폼2!$A:$M,13,FALSE),0)</f>
        <v>0</v>
      </c>
      <c r="Q134" s="44">
        <f>IFERROR(VLOOKUP($A134,[1]플랫폼2!$A:$M,7,FALSE),0)+IFERROR(VLOOKUP($A134,[1]플랫폼2!$A:$M,12,FALSE),0)</f>
        <v>0</v>
      </c>
      <c r="R134" s="44">
        <f>IFERROR(VLOOKUP($A134,[1]모바일!$A:$S,17,FALSE),0)</f>
        <v>0</v>
      </c>
      <c r="S134" s="44">
        <f>IFERROR(VLOOKUP($A134,[1]모바일!$A:$S,18,FALSE),0)</f>
        <v>0</v>
      </c>
      <c r="T134" s="43">
        <v>4129565</v>
      </c>
      <c r="U134" s="83"/>
    </row>
    <row r="135" spans="1:21" s="1" customFormat="1" hidden="1" outlineLevel="1" collapsed="1" x14ac:dyDescent="0.45">
      <c r="A135" s="29" t="s">
        <v>261</v>
      </c>
      <c r="B135" s="44">
        <f>'1월'!B135+'2월'!B135+'3월'!B135+'4월'!B135+'5월'!B135+'6월'!B135+'7월'!B135+'8월'!B135+'9월'!B135+'10월'!B135+'11월'!B135+'12월'!B135</f>
        <v>0</v>
      </c>
      <c r="C135" s="44">
        <f>'1월'!C135+'2월'!C135+'3월'!C135+'4월'!C135+'5월'!C135+'6월'!C135+'7월'!C135+'8월'!C135+'9월'!C135+'10월'!C135+'11월'!C135+'12월'!C135</f>
        <v>0</v>
      </c>
      <c r="D135" s="44">
        <f>'1월'!D135+'2월'!D135+'3월'!D135+'4월'!D135+'5월'!D135+'6월'!D135+'7월'!D135+'8월'!D135+'9월'!D135+'10월'!D135+'11월'!D135+'12월'!D135</f>
        <v>0</v>
      </c>
      <c r="E135" s="44">
        <f>'1월'!E135+'2월'!E135+'3월'!E135+'4월'!E135+'5월'!E135+'6월'!E135+'7월'!E135+'8월'!E135+'9월'!E135+'10월'!E135+'11월'!E135+'12월'!E135</f>
        <v>0</v>
      </c>
      <c r="F135" s="44">
        <f>'1월'!F135+'2월'!F135+'3월'!F135+'4월'!F135+'5월'!F135+'6월'!F135+'7월'!F135+'8월'!F135+'9월'!F135+'10월'!F135+'11월'!F135+'12월'!F135</f>
        <v>0</v>
      </c>
      <c r="G135" s="44">
        <f>'1월'!H135+'2월'!G135+'3월'!G135+'4월'!G135+'5월'!G135+'6월'!G135+'7월'!G135+'8월'!G135+'9월'!G135+'10월'!G135+'11월'!G135+'12월'!G135</f>
        <v>0</v>
      </c>
      <c r="H135" s="44">
        <f>'1월'!J135+'2월'!H135+'3월'!H135+'4월'!H135+'5월'!H135+'6월'!H135+'7월'!H135+'8월'!H135+'9월'!H135+'10월'!H135+'11월'!H135+'12월'!H135</f>
        <v>0</v>
      </c>
      <c r="I135" s="44">
        <f>'1월'!K135+'2월'!I135+'3월'!I135+'4월'!I135+'5월'!I135+'6월'!I135+'7월'!I135+'8월'!I135+'9월'!I135+'10월'!I135+'11월'!I135+'12월'!I135</f>
        <v>0</v>
      </c>
      <c r="J135" s="44">
        <f>'1월'!L135+'2월'!J135+'3월'!J135+'4월'!J135+'5월'!J135+'6월'!J135+'7월'!J135+'8월'!J135+'9월'!J135+'10월'!J135+'11월'!J135+'12월'!J135</f>
        <v>0</v>
      </c>
      <c r="K135" s="44">
        <f>'1월'!M135+'2월'!K135+'3월'!K135+'4월'!K135+'5월'!K135+'6월'!K135+'7월'!K135+'8월'!K135+'9월'!K135+'10월'!K135+'11월'!K135+'12월'!K135</f>
        <v>0</v>
      </c>
      <c r="L135" s="44">
        <f>'1월'!N135+'2월'!L135+'3월'!L135+'4월'!L135+'5월'!L135+'6월'!L135+'7월'!L135+'8월'!L135+'9월'!L135+'10월'!L135+'11월'!L135+'12월'!L135</f>
        <v>0</v>
      </c>
      <c r="M135" s="44">
        <f>'1월'!O135+'2월'!M135+'3월'!M135+'4월'!M135+'5월'!M135+'6월'!M135+'7월'!M135+'8월'!M135+'9월'!M135+'10월'!M135+'11월'!M135+'12월'!M135</f>
        <v>0</v>
      </c>
      <c r="O135" s="44">
        <f>IFERROR(VLOOKUP($A135,[1]플랫폼1!$A:$B,2,FALSE),0)</f>
        <v>0</v>
      </c>
      <c r="P135" s="44">
        <f>IFERROR(VLOOKUP($A135,[1]플랫폼2!$A:$M,12,FALSE),0)+IFERROR(VLOOKUP($A135,[1]플랫폼2!$A:$M,13,FALSE),0)</f>
        <v>0</v>
      </c>
      <c r="Q135" s="44">
        <f>IFERROR(VLOOKUP($A135,[1]플랫폼2!$A:$M,7,FALSE),0)+IFERROR(VLOOKUP($A135,[1]플랫폼2!$A:$M,12,FALSE),0)</f>
        <v>0</v>
      </c>
      <c r="R135" s="44">
        <f>IFERROR(VLOOKUP($A135,[1]모바일!$A:$S,17,FALSE),0)</f>
        <v>0</v>
      </c>
      <c r="S135" s="44">
        <f>IFERROR(VLOOKUP($A135,[1]모바일!$A:$S,18,FALSE),0)</f>
        <v>0</v>
      </c>
      <c r="T135" s="43">
        <f>IFERROR(VLOOKUP(A135,[1]플랫폼2!$A:$O,15,0),0)</f>
        <v>0</v>
      </c>
      <c r="U135" s="83"/>
    </row>
    <row r="136" spans="1:21" collapsed="1" x14ac:dyDescent="0.45">
      <c r="A136" s="28" t="s">
        <v>139</v>
      </c>
      <c r="B136" s="43">
        <f>'1월'!B136+'2월'!B136+'3월'!B136+'4월'!B136+'5월'!B136+'6월'!B136+'7월'!B136+'8월'!B136+'9월'!B136+'10월'!B136+'11월'!B136+'12월'!B136</f>
        <v>241698091</v>
      </c>
      <c r="C136" s="43">
        <f>'1월'!C136+'2월'!C136+'3월'!C136+'4월'!C136+'5월'!C136+'6월'!C136+'7월'!C136+'8월'!C136+'9월'!C136+'10월'!C136+'11월'!C136+'12월'!C136</f>
        <v>239200860</v>
      </c>
      <c r="D136" s="43">
        <f>'1월'!D136+'2월'!D136+'3월'!D136+'4월'!D136+'5월'!D136+'6월'!D136+'7월'!D136+'8월'!D136+'9월'!D136+'10월'!D136+'11월'!D136+'12월'!D136</f>
        <v>0</v>
      </c>
      <c r="E136" s="43">
        <f>'1월'!E136+'2월'!E136+'3월'!E136+'4월'!E136+'5월'!E136+'6월'!E136+'7월'!E136+'8월'!E136+'9월'!E136+'10월'!E136+'11월'!E136+'12월'!E136</f>
        <v>2497231</v>
      </c>
      <c r="F136" s="43">
        <f>'1월'!F136+'2월'!F136+'3월'!F136+'4월'!F136+'5월'!F136+'6월'!F136+'7월'!F136+'8월'!F136+'9월'!F136+'10월'!F136+'11월'!F136+'12월'!F136</f>
        <v>2497231</v>
      </c>
      <c r="G136" s="43">
        <f>'1월'!H136+'2월'!G136+'3월'!G136+'4월'!G136+'5월'!G136+'6월'!G136+'7월'!G136+'8월'!G136+'9월'!G136+'10월'!G136+'11월'!G136+'12월'!G136</f>
        <v>0</v>
      </c>
      <c r="H136" s="43">
        <f>'1월'!J136+'2월'!H136+'3월'!H136+'4월'!H136+'5월'!H136+'6월'!H136+'7월'!H136+'8월'!H136+'9월'!H136+'10월'!H136+'11월'!H136+'12월'!H136</f>
        <v>0</v>
      </c>
      <c r="I136" s="43">
        <f>'1월'!K136+'2월'!I136+'3월'!I136+'4월'!I136+'5월'!I136+'6월'!I136+'7월'!I136+'8월'!I136+'9월'!I136+'10월'!I136+'11월'!I136+'12월'!I136</f>
        <v>0</v>
      </c>
      <c r="J136" s="43">
        <f>'1월'!L136+'2월'!J136+'3월'!J136+'4월'!J136+'5월'!J136+'6월'!J136+'7월'!J136+'8월'!J136+'9월'!J136+'10월'!J136+'11월'!J136+'12월'!J136</f>
        <v>0</v>
      </c>
      <c r="K136" s="43">
        <f>'1월'!M136+'2월'!K136+'3월'!K136+'4월'!K136+'5월'!K136+'6월'!K136+'7월'!K136+'8월'!K136+'9월'!K136+'10월'!K136+'11월'!K136+'12월'!K136</f>
        <v>0</v>
      </c>
      <c r="L136" s="43">
        <f>'1월'!N136+'2월'!L136+'3월'!L136+'4월'!L136+'5월'!L136+'6월'!L136+'7월'!L136+'8월'!L136+'9월'!L136+'10월'!L136+'11월'!L136+'12월'!L136</f>
        <v>0</v>
      </c>
      <c r="M136" s="43">
        <f>'1월'!O136+'2월'!M136+'3월'!M136+'4월'!M136+'5월'!M136+'6월'!M136+'7월'!M136+'8월'!M136+'9월'!M136+'10월'!M136+'11월'!M136+'12월'!M136</f>
        <v>0</v>
      </c>
      <c r="O136" s="43">
        <f>IFERROR(VLOOKUP($A136,[1]플랫폼1!$A:$B,2,FALSE),0)</f>
        <v>0</v>
      </c>
      <c r="P136" s="43">
        <f>IFERROR(VLOOKUP($A136,[1]플랫폼2!$A:$M,12,FALSE),0)+IFERROR(VLOOKUP($A136,[1]플랫폼2!$A:$M,13,FALSE),0)</f>
        <v>0</v>
      </c>
      <c r="Q136" s="43">
        <f>IFERROR(VLOOKUP($A136,[1]플랫폼2!$A:$M,7,FALSE),0)+IFERROR(VLOOKUP($A136,[1]플랫폼2!$A:$M,12,FALSE),0)</f>
        <v>0</v>
      </c>
      <c r="R136" s="43">
        <f>IFERROR(VLOOKUP($A136,[1]모바일!$A:$S,17,FALSE),0)</f>
        <v>0</v>
      </c>
      <c r="S136" s="43">
        <f>IFERROR(VLOOKUP($A136,[1]모바일!$A:$S,18,FALSE),0)</f>
        <v>0</v>
      </c>
      <c r="T136" s="43">
        <f>IFERROR(VLOOKUP(A136,[1]플랫폼2!$A:$O,15,0),0)</f>
        <v>0</v>
      </c>
      <c r="U136" s="83"/>
    </row>
    <row r="137" spans="1:21" hidden="1" outlineLevel="1" x14ac:dyDescent="0.45">
      <c r="A137" s="29" t="s">
        <v>140</v>
      </c>
      <c r="B137" s="44">
        <f>'1월'!B137+'2월'!B137+'3월'!B137+'4월'!B137+'5월'!B137+'6월'!B137+'7월'!B137+'8월'!B137+'9월'!B137+'10월'!B137+'11월'!B137+'12월'!B137</f>
        <v>123500</v>
      </c>
      <c r="C137" s="44">
        <f>'1월'!C137+'2월'!C137+'3월'!C137+'4월'!C137+'5월'!C137+'6월'!C137+'7월'!C137+'8월'!C137+'9월'!C137+'10월'!C137+'11월'!C137+'12월'!C137</f>
        <v>123500</v>
      </c>
      <c r="D137" s="44">
        <f>'1월'!D137+'2월'!D137+'3월'!D137+'4월'!D137+'5월'!D137+'6월'!D137+'7월'!D137+'8월'!D137+'9월'!D137+'10월'!D137+'11월'!D137+'12월'!D137</f>
        <v>0</v>
      </c>
      <c r="E137" s="44">
        <f>'1월'!E137+'2월'!E137+'3월'!E137+'4월'!E137+'5월'!E137+'6월'!E137+'7월'!E137+'8월'!E137+'9월'!E137+'10월'!E137+'11월'!E137+'12월'!E137</f>
        <v>0</v>
      </c>
      <c r="F137" s="44">
        <f>'1월'!F137+'2월'!F137+'3월'!F137+'4월'!F137+'5월'!F137+'6월'!F137+'7월'!F137+'8월'!F137+'9월'!F137+'10월'!F137+'11월'!F137+'12월'!F137</f>
        <v>0</v>
      </c>
      <c r="G137" s="44">
        <f>'1월'!H137+'2월'!G137+'3월'!G137+'4월'!G137+'5월'!G137+'6월'!G137+'7월'!G137+'8월'!G137+'9월'!G137+'10월'!G137+'11월'!G137+'12월'!G137</f>
        <v>0</v>
      </c>
      <c r="H137" s="44">
        <f>'1월'!J137+'2월'!H137+'3월'!H137+'4월'!H137+'5월'!H137+'6월'!H137+'7월'!H137+'8월'!H137+'9월'!H137+'10월'!H137+'11월'!H137+'12월'!H137</f>
        <v>0</v>
      </c>
      <c r="I137" s="44">
        <f>'1월'!K137+'2월'!I137+'3월'!I137+'4월'!I137+'5월'!I137+'6월'!I137+'7월'!I137+'8월'!I137+'9월'!I137+'10월'!I137+'11월'!I137+'12월'!I137</f>
        <v>0</v>
      </c>
      <c r="J137" s="44">
        <f>'1월'!L137+'2월'!J137+'3월'!J137+'4월'!J137+'5월'!J137+'6월'!J137+'7월'!J137+'8월'!J137+'9월'!J137+'10월'!J137+'11월'!J137+'12월'!J137</f>
        <v>0</v>
      </c>
      <c r="K137" s="44">
        <f>'1월'!M137+'2월'!K137+'3월'!K137+'4월'!K137+'5월'!K137+'6월'!K137+'7월'!K137+'8월'!K137+'9월'!K137+'10월'!K137+'11월'!K137+'12월'!K137</f>
        <v>0</v>
      </c>
      <c r="L137" s="44">
        <f>'1월'!N137+'2월'!L137+'3월'!L137+'4월'!L137+'5월'!L137+'6월'!L137+'7월'!L137+'8월'!L137+'9월'!L137+'10월'!L137+'11월'!L137+'12월'!L137</f>
        <v>0</v>
      </c>
      <c r="M137" s="44">
        <f>'1월'!O137+'2월'!M137+'3월'!M137+'4월'!M137+'5월'!M137+'6월'!M137+'7월'!M137+'8월'!M137+'9월'!M137+'10월'!M137+'11월'!M137+'12월'!M137</f>
        <v>0</v>
      </c>
      <c r="O137" s="44">
        <f>IFERROR(VLOOKUP($A137,[1]플랫폼1!$A:$B,2,FALSE),0)</f>
        <v>0</v>
      </c>
      <c r="P137" s="44">
        <f>IFERROR(VLOOKUP($A137,[1]플랫폼2!$A:$M,12,FALSE),0)+IFERROR(VLOOKUP($A137,[1]플랫폼2!$A:$M,13,FALSE),0)</f>
        <v>0</v>
      </c>
      <c r="Q137" s="44">
        <f>IFERROR(VLOOKUP($A137,[1]플랫폼2!$A:$M,7,FALSE),0)+IFERROR(VLOOKUP($A137,[1]플랫폼2!$A:$M,12,FALSE),0)</f>
        <v>0</v>
      </c>
      <c r="R137" s="44">
        <f>IFERROR(VLOOKUP($A137,[1]모바일!$A:$S,17,FALSE),0)</f>
        <v>0</v>
      </c>
      <c r="S137" s="44">
        <f>IFERROR(VLOOKUP($A137,[1]모바일!$A:$S,18,FALSE),0)</f>
        <v>0</v>
      </c>
      <c r="T137" s="43">
        <f>IFERROR(VLOOKUP(A137,[1]플랫폼2!$A:$O,15,0),0)</f>
        <v>0</v>
      </c>
      <c r="U137" s="83"/>
    </row>
    <row r="138" spans="1:21" hidden="1" outlineLevel="1" x14ac:dyDescent="0.45">
      <c r="A138" s="29" t="s">
        <v>194</v>
      </c>
      <c r="B138" s="44">
        <f>'1월'!B138+'2월'!B138+'3월'!B138+'4월'!B138+'5월'!B138+'6월'!B138+'7월'!B138+'8월'!B138+'9월'!B138+'10월'!B138+'11월'!B138+'12월'!B138</f>
        <v>509170</v>
      </c>
      <c r="C138" s="44">
        <f>'1월'!C138+'2월'!C138+'3월'!C138+'4월'!C138+'5월'!C138+'6월'!C138+'7월'!C138+'8월'!C138+'9월'!C138+'10월'!C138+'11월'!C138+'12월'!C138</f>
        <v>509170</v>
      </c>
      <c r="D138" s="44">
        <f>'1월'!D138+'2월'!D138+'3월'!D138+'4월'!D138+'5월'!D138+'6월'!D138+'7월'!D138+'8월'!D138+'9월'!D138+'10월'!D138+'11월'!D138+'12월'!D138</f>
        <v>0</v>
      </c>
      <c r="E138" s="44">
        <f>'1월'!E138+'2월'!E138+'3월'!E138+'4월'!E138+'5월'!E138+'6월'!E138+'7월'!E138+'8월'!E138+'9월'!E138+'10월'!E138+'11월'!E138+'12월'!E138</f>
        <v>0</v>
      </c>
      <c r="F138" s="44">
        <f>'1월'!F138+'2월'!F138+'3월'!F138+'4월'!F138+'5월'!F138+'6월'!F138+'7월'!F138+'8월'!F138+'9월'!F138+'10월'!F138+'11월'!F138+'12월'!F138</f>
        <v>0</v>
      </c>
      <c r="G138" s="44">
        <f>'1월'!H138+'2월'!G138+'3월'!G138+'4월'!G138+'5월'!G138+'6월'!G138+'7월'!G138+'8월'!G138+'9월'!G138+'10월'!G138+'11월'!G138+'12월'!G138</f>
        <v>0</v>
      </c>
      <c r="H138" s="44">
        <f>'1월'!J138+'2월'!H138+'3월'!H138+'4월'!H138+'5월'!H138+'6월'!H138+'7월'!H138+'8월'!H138+'9월'!H138+'10월'!H138+'11월'!H138+'12월'!H138</f>
        <v>0</v>
      </c>
      <c r="I138" s="44">
        <f>'1월'!K138+'2월'!I138+'3월'!I138+'4월'!I138+'5월'!I138+'6월'!I138+'7월'!I138+'8월'!I138+'9월'!I138+'10월'!I138+'11월'!I138+'12월'!I138</f>
        <v>0</v>
      </c>
      <c r="J138" s="44">
        <f>'1월'!L138+'2월'!J138+'3월'!J138+'4월'!J138+'5월'!J138+'6월'!J138+'7월'!J138+'8월'!J138+'9월'!J138+'10월'!J138+'11월'!J138+'12월'!J138</f>
        <v>0</v>
      </c>
      <c r="K138" s="44">
        <f>'1월'!M138+'2월'!K138+'3월'!K138+'4월'!K138+'5월'!K138+'6월'!K138+'7월'!K138+'8월'!K138+'9월'!K138+'10월'!K138+'11월'!K138+'12월'!K138</f>
        <v>0</v>
      </c>
      <c r="L138" s="44">
        <f>'1월'!N138+'2월'!L138+'3월'!L138+'4월'!L138+'5월'!L138+'6월'!L138+'7월'!L138+'8월'!L138+'9월'!L138+'10월'!L138+'11월'!L138+'12월'!L138</f>
        <v>0</v>
      </c>
      <c r="M138" s="44">
        <f>'1월'!O138+'2월'!M138+'3월'!M138+'4월'!M138+'5월'!M138+'6월'!M138+'7월'!M138+'8월'!M138+'9월'!M138+'10월'!M138+'11월'!M138+'12월'!M138</f>
        <v>0</v>
      </c>
      <c r="O138" s="44">
        <f>IFERROR(VLOOKUP($A138,[1]플랫폼1!$A:$B,2,FALSE),0)</f>
        <v>0</v>
      </c>
      <c r="P138" s="44">
        <f>IFERROR(VLOOKUP($A138,[1]플랫폼2!$A:$M,12,FALSE),0)+IFERROR(VLOOKUP($A138,[1]플랫폼2!$A:$M,13,FALSE),0)</f>
        <v>0</v>
      </c>
      <c r="Q138" s="44">
        <f>IFERROR(VLOOKUP($A138,[1]플랫폼2!$A:$M,7,FALSE),0)+IFERROR(VLOOKUP($A138,[1]플랫폼2!$A:$M,12,FALSE),0)</f>
        <v>0</v>
      </c>
      <c r="R138" s="44">
        <f>IFERROR(VLOOKUP($A138,[1]모바일!$A:$S,17,FALSE),0)</f>
        <v>0</v>
      </c>
      <c r="S138" s="44">
        <f>IFERROR(VLOOKUP($A138,[1]모바일!$A:$S,18,FALSE),0)</f>
        <v>0</v>
      </c>
      <c r="T138" s="43">
        <f>IFERROR(VLOOKUP(A138,[1]플랫폼2!$A:$O,15,0),0)</f>
        <v>0</v>
      </c>
      <c r="U138" s="83"/>
    </row>
    <row r="139" spans="1:21" hidden="1" outlineLevel="1" x14ac:dyDescent="0.45">
      <c r="A139" s="29" t="s">
        <v>195</v>
      </c>
      <c r="B139" s="44">
        <f>'1월'!B139+'2월'!B139+'3월'!B139+'4월'!B139+'5월'!B139+'6월'!B139+'7월'!B139+'8월'!B139+'9월'!B139+'10월'!B139+'11월'!B139+'12월'!B139</f>
        <v>2535441</v>
      </c>
      <c r="C139" s="44">
        <f>'1월'!C139+'2월'!C139+'3월'!C139+'4월'!C139+'5월'!C139+'6월'!C139+'7월'!C139+'8월'!C139+'9월'!C139+'10월'!C139+'11월'!C139+'12월'!C139</f>
        <v>38210</v>
      </c>
      <c r="D139" s="44">
        <f>'1월'!D139+'2월'!D139+'3월'!D139+'4월'!D139+'5월'!D139+'6월'!D139+'7월'!D139+'8월'!D139+'9월'!D139+'10월'!D139+'11월'!D139+'12월'!D139</f>
        <v>0</v>
      </c>
      <c r="E139" s="44">
        <f>'1월'!E139+'2월'!E139+'3월'!E139+'4월'!E139+'5월'!E139+'6월'!E139+'7월'!E139+'8월'!E139+'9월'!E139+'10월'!E139+'11월'!E139+'12월'!E139</f>
        <v>2497231</v>
      </c>
      <c r="F139" s="44">
        <f>'1월'!F139+'2월'!F139+'3월'!F139+'4월'!F139+'5월'!F139+'6월'!F139+'7월'!F139+'8월'!F139+'9월'!F139+'10월'!F139+'11월'!F139+'12월'!F139</f>
        <v>2497231</v>
      </c>
      <c r="G139" s="44">
        <f>'1월'!H139+'2월'!G139+'3월'!G139+'4월'!G139+'5월'!G139+'6월'!G139+'7월'!G139+'8월'!G139+'9월'!G139+'10월'!G139+'11월'!G139+'12월'!G139</f>
        <v>0</v>
      </c>
      <c r="H139" s="44">
        <f>'1월'!J139+'2월'!H139+'3월'!H139+'4월'!H139+'5월'!H139+'6월'!H139+'7월'!H139+'8월'!H139+'9월'!H139+'10월'!H139+'11월'!H139+'12월'!H139</f>
        <v>0</v>
      </c>
      <c r="I139" s="44">
        <f>'1월'!K139+'2월'!I139+'3월'!I139+'4월'!I139+'5월'!I139+'6월'!I139+'7월'!I139+'8월'!I139+'9월'!I139+'10월'!I139+'11월'!I139+'12월'!I139</f>
        <v>0</v>
      </c>
      <c r="J139" s="44">
        <f>'1월'!L139+'2월'!J139+'3월'!J139+'4월'!J139+'5월'!J139+'6월'!J139+'7월'!J139+'8월'!J139+'9월'!J139+'10월'!J139+'11월'!J139+'12월'!J139</f>
        <v>0</v>
      </c>
      <c r="K139" s="44">
        <f>'1월'!M139+'2월'!K139+'3월'!K139+'4월'!K139+'5월'!K139+'6월'!K139+'7월'!K139+'8월'!K139+'9월'!K139+'10월'!K139+'11월'!K139+'12월'!K139</f>
        <v>0</v>
      </c>
      <c r="L139" s="44">
        <f>'1월'!N139+'2월'!L139+'3월'!L139+'4월'!L139+'5월'!L139+'6월'!L139+'7월'!L139+'8월'!L139+'9월'!L139+'10월'!L139+'11월'!L139+'12월'!L139</f>
        <v>0</v>
      </c>
      <c r="M139" s="44">
        <f>'1월'!O139+'2월'!M139+'3월'!M139+'4월'!M139+'5월'!M139+'6월'!M139+'7월'!M139+'8월'!M139+'9월'!M139+'10월'!M139+'11월'!M139+'12월'!M139</f>
        <v>0</v>
      </c>
      <c r="O139" s="44">
        <f>IFERROR(VLOOKUP($A139,[1]플랫폼1!$A:$B,2,FALSE),0)</f>
        <v>0</v>
      </c>
      <c r="P139" s="44">
        <f>IFERROR(VLOOKUP($A139,[1]플랫폼2!$A:$M,12,FALSE),0)+IFERROR(VLOOKUP($A139,[1]플랫폼2!$A:$M,13,FALSE),0)</f>
        <v>0</v>
      </c>
      <c r="Q139" s="44">
        <f>IFERROR(VLOOKUP($A139,[1]플랫폼2!$A:$M,7,FALSE),0)+IFERROR(VLOOKUP($A139,[1]플랫폼2!$A:$M,12,FALSE),0)</f>
        <v>0</v>
      </c>
      <c r="R139" s="44">
        <f>IFERROR(VLOOKUP($A139,[1]모바일!$A:$S,17,FALSE),0)</f>
        <v>0</v>
      </c>
      <c r="S139" s="44">
        <f>IFERROR(VLOOKUP($A139,[1]모바일!$A:$S,18,FALSE),0)</f>
        <v>0</v>
      </c>
      <c r="T139" s="43">
        <f>IFERROR(VLOOKUP(A139,[1]플랫폼2!$A:$O,15,0),0)</f>
        <v>0</v>
      </c>
      <c r="U139" s="83"/>
    </row>
    <row r="140" spans="1:21" s="1" customFormat="1" hidden="1" outlineLevel="1" collapsed="1" x14ac:dyDescent="0.45">
      <c r="A140" s="29" t="s">
        <v>141</v>
      </c>
      <c r="B140" s="44">
        <f>'1월'!B140+'2월'!B140+'3월'!B140+'4월'!B140+'5월'!B140+'6월'!B140+'7월'!B140+'8월'!B140+'9월'!B140+'10월'!B140+'11월'!B140+'12월'!B140</f>
        <v>238529980</v>
      </c>
      <c r="C140" s="44">
        <f>'1월'!C140+'2월'!C140+'3월'!C140+'4월'!C140+'5월'!C140+'6월'!C140+'7월'!C140+'8월'!C140+'9월'!C140+'10월'!C140+'11월'!C140+'12월'!C140</f>
        <v>238529980</v>
      </c>
      <c r="D140" s="44">
        <f>'1월'!D140+'2월'!D140+'3월'!D140+'4월'!D140+'5월'!D140+'6월'!D140+'7월'!D140+'8월'!D140+'9월'!D140+'10월'!D140+'11월'!D140+'12월'!D140</f>
        <v>0</v>
      </c>
      <c r="E140" s="44">
        <f>'1월'!E140+'2월'!E140+'3월'!E140+'4월'!E140+'5월'!E140+'6월'!E140+'7월'!E140+'8월'!E140+'9월'!E140+'10월'!E140+'11월'!E140+'12월'!E140</f>
        <v>0</v>
      </c>
      <c r="F140" s="44">
        <f>'1월'!F140+'2월'!F140+'3월'!F140+'4월'!F140+'5월'!F140+'6월'!F140+'7월'!F140+'8월'!F140+'9월'!F140+'10월'!F140+'11월'!F140+'12월'!F140</f>
        <v>0</v>
      </c>
      <c r="G140" s="44">
        <f>'1월'!H140+'2월'!G140+'3월'!G140+'4월'!G140+'5월'!G140+'6월'!G140+'7월'!G140+'8월'!G140+'9월'!G140+'10월'!G140+'11월'!G140+'12월'!G140</f>
        <v>0</v>
      </c>
      <c r="H140" s="44">
        <f>'1월'!J140+'2월'!H140+'3월'!H140+'4월'!H140+'5월'!H140+'6월'!H140+'7월'!H140+'8월'!H140+'9월'!H140+'10월'!H140+'11월'!H140+'12월'!H140</f>
        <v>0</v>
      </c>
      <c r="I140" s="44">
        <f>'1월'!K140+'2월'!I140+'3월'!I140+'4월'!I140+'5월'!I140+'6월'!I140+'7월'!I140+'8월'!I140+'9월'!I140+'10월'!I140+'11월'!I140+'12월'!I140</f>
        <v>0</v>
      </c>
      <c r="J140" s="44">
        <f>'1월'!L140+'2월'!J140+'3월'!J140+'4월'!J140+'5월'!J140+'6월'!J140+'7월'!J140+'8월'!J140+'9월'!J140+'10월'!J140+'11월'!J140+'12월'!J140</f>
        <v>0</v>
      </c>
      <c r="K140" s="44">
        <f>'1월'!M140+'2월'!K140+'3월'!K140+'4월'!K140+'5월'!K140+'6월'!K140+'7월'!K140+'8월'!K140+'9월'!K140+'10월'!K140+'11월'!K140+'12월'!K140</f>
        <v>0</v>
      </c>
      <c r="L140" s="44">
        <f>'1월'!N140+'2월'!L140+'3월'!L140+'4월'!L140+'5월'!L140+'6월'!L140+'7월'!L140+'8월'!L140+'9월'!L140+'10월'!L140+'11월'!L140+'12월'!L140</f>
        <v>0</v>
      </c>
      <c r="M140" s="44">
        <f>'1월'!O140+'2월'!M140+'3월'!M140+'4월'!M140+'5월'!M140+'6월'!M140+'7월'!M140+'8월'!M140+'9월'!M140+'10월'!M140+'11월'!M140+'12월'!M140</f>
        <v>0</v>
      </c>
      <c r="O140" s="44">
        <f>IFERROR(VLOOKUP($A140,[1]플랫폼1!$A:$B,2,FALSE),0)</f>
        <v>0</v>
      </c>
      <c r="P140" s="44">
        <f>IFERROR(VLOOKUP($A140,[1]플랫폼2!$A:$M,12,FALSE),0)+IFERROR(VLOOKUP($A140,[1]플랫폼2!$A:$M,13,FALSE),0)</f>
        <v>0</v>
      </c>
      <c r="Q140" s="44">
        <f>IFERROR(VLOOKUP($A140,[1]플랫폼2!$A:$M,7,FALSE),0)+IFERROR(VLOOKUP($A140,[1]플랫폼2!$A:$M,12,FALSE),0)</f>
        <v>0</v>
      </c>
      <c r="R140" s="44">
        <f>IFERROR(VLOOKUP($A140,[1]모바일!$A:$S,17,FALSE),0)</f>
        <v>0</v>
      </c>
      <c r="S140" s="44">
        <f>IFERROR(VLOOKUP($A140,[1]모바일!$A:$S,18,FALSE),0)</f>
        <v>0</v>
      </c>
      <c r="T140" s="43">
        <f>IFERROR(VLOOKUP(A140,[1]플랫폼2!$A:$O,15,0),0)</f>
        <v>0</v>
      </c>
      <c r="U140" s="83"/>
    </row>
    <row r="141" spans="1:21" s="1" customFormat="1" collapsed="1" x14ac:dyDescent="0.45">
      <c r="A141" s="28" t="s">
        <v>66</v>
      </c>
      <c r="B141" s="43">
        <f>'1월'!B141+'2월'!B141+'3월'!B141+'4월'!B141+'5월'!B141+'6월'!B141+'7월'!B141+'8월'!B141+'9월'!B141+'10월'!B141+'11월'!B141+'12월'!B141</f>
        <v>6140156727</v>
      </c>
      <c r="C141" s="43">
        <f>'1월'!C141+'2월'!C141+'3월'!C141+'4월'!C141+'5월'!C141+'6월'!C141+'7월'!C141+'8월'!C141+'9월'!C141+'10월'!C141+'11월'!C141+'12월'!C141</f>
        <v>5645347932</v>
      </c>
      <c r="D141" s="43">
        <f>'1월'!D141+'2월'!D141+'3월'!D141+'4월'!D141+'5월'!D141+'6월'!D141+'7월'!D141+'8월'!D141+'9월'!D141+'10월'!D141+'11월'!D141+'12월'!D141</f>
        <v>0</v>
      </c>
      <c r="E141" s="43">
        <f>'1월'!E141+'2월'!E141+'3월'!E141+'4월'!E141+'5월'!E141+'6월'!E141+'7월'!E141+'8월'!E141+'9월'!E141+'10월'!E141+'11월'!E141+'12월'!E141</f>
        <v>494808795</v>
      </c>
      <c r="F141" s="43">
        <f>'1월'!F141+'2월'!F141+'3월'!F141+'4월'!F141+'5월'!F141+'6월'!F141+'7월'!F141+'8월'!F141+'9월'!F141+'10월'!F141+'11월'!F141+'12월'!F141</f>
        <v>139596644.38679168</v>
      </c>
      <c r="G141" s="43">
        <f>'1월'!H141+'2월'!G141+'3월'!G141+'4월'!G141+'5월'!G141+'6월'!G141+'7월'!G141+'8월'!G141+'9월'!G141+'10월'!G141+'11월'!G141+'12월'!G141</f>
        <v>35412161.613208309</v>
      </c>
      <c r="H141" s="43">
        <f>'1월'!J141+'2월'!H141+'3월'!H141+'4월'!H141+'5월'!H141+'6월'!H141+'7월'!H141+'8월'!H141+'9월'!H141+'10월'!H141+'11월'!H141+'12월'!H141</f>
        <v>0</v>
      </c>
      <c r="I141" s="43">
        <f>'1월'!K141+'2월'!I141+'3월'!I141+'4월'!I141+'5월'!I141+'6월'!I141+'7월'!I141+'8월'!I141+'9월'!I141+'10월'!I141+'11월'!I141+'12월'!I141</f>
        <v>0</v>
      </c>
      <c r="J141" s="43">
        <f>'1월'!L141+'2월'!J141+'3월'!J141+'4월'!J141+'5월'!J141+'6월'!J141+'7월'!J141+'8월'!J141+'9월'!J141+'10월'!J141+'11월'!J141+'12월'!J141</f>
        <v>0</v>
      </c>
      <c r="K141" s="43">
        <f>'1월'!M141+'2월'!K141+'3월'!K141+'4월'!K141+'5월'!K141+'6월'!K141+'7월'!K141+'8월'!K141+'9월'!K141+'10월'!K141+'11월'!K141+'12월'!K141</f>
        <v>0</v>
      </c>
      <c r="L141" s="43">
        <f>'1월'!N141+'2월'!L141+'3월'!L141+'4월'!L141+'5월'!L141+'6월'!L141+'7월'!L141+'8월'!L141+'9월'!L141+'10월'!L141+'11월'!L141+'12월'!L141</f>
        <v>0</v>
      </c>
      <c r="M141" s="43">
        <f>'1월'!O141+'2월'!M141+'3월'!M141+'4월'!M141+'5월'!M141+'6월'!M141+'7월'!M141+'8월'!M141+'9월'!M141+'10월'!M141+'11월'!M141+'12월'!M141</f>
        <v>319799989</v>
      </c>
      <c r="O141" s="43">
        <f>IFERROR(VLOOKUP($A141,[1]플랫폼1!$A:$B,2,FALSE),0)</f>
        <v>0</v>
      </c>
      <c r="P141" s="43">
        <f>IFERROR(VLOOKUP($A141,[1]플랫폼2!$A:$M,12,FALSE),0)+IFERROR(VLOOKUP($A141,[1]플랫폼2!$A:$M,13,FALSE),0)</f>
        <v>319799989</v>
      </c>
      <c r="Q141" s="43">
        <f>IFERROR(VLOOKUP($A141,[1]플랫폼2!$A:$M,7,FALSE),0)+IFERROR(VLOOKUP($A141,[1]플랫폼2!$A:$M,12,FALSE),0)</f>
        <v>0</v>
      </c>
      <c r="R141" s="43">
        <f>IFERROR(VLOOKUP($A141,[1]모바일!$A:$S,17,FALSE),0)</f>
        <v>0</v>
      </c>
      <c r="S141" s="43">
        <f>IFERROR(VLOOKUP($A141,[1]모바일!$A:$S,18,FALSE),0)</f>
        <v>0</v>
      </c>
      <c r="T141" s="43">
        <f>IFERROR(VLOOKUP(A141,[1]플랫폼2!$A:$O,15,0),0)</f>
        <v>0</v>
      </c>
      <c r="U141" s="83"/>
    </row>
    <row r="142" spans="1:21" x14ac:dyDescent="0.45">
      <c r="A142" s="28" t="s">
        <v>67</v>
      </c>
      <c r="B142" s="43">
        <f>'1월'!B142+'2월'!B142+'3월'!B142+'4월'!B142+'5월'!B142+'6월'!B142+'7월'!B142+'8월'!B142+'9월'!B142+'10월'!B142+'11월'!B142+'12월'!B142</f>
        <v>4488555819</v>
      </c>
      <c r="C142" s="43">
        <f>'1월'!C142+'2월'!C142+'3월'!C142+'4월'!C142+'5월'!C142+'6월'!C142+'7월'!C142+'8월'!C142+'9월'!C142+'10월'!C142+'11월'!C142+'12월'!C142</f>
        <v>-4223244804.0337114</v>
      </c>
      <c r="D142" s="43">
        <f>'1월'!D142+'2월'!D142+'3월'!D142+'4월'!D142+'5월'!D142+'6월'!D142+'7월'!D142+'8월'!D142+'9월'!D142+'10월'!D142+'11월'!D142+'12월'!D142</f>
        <v>373619586</v>
      </c>
      <c r="E142" s="43">
        <f>'1월'!E142+'2월'!E142+'3월'!E142+'4월'!E142+'5월'!E142+'6월'!E142+'7월'!E142+'8월'!E142+'9월'!E142+'10월'!E142+'11월'!E142+'12월'!E142</f>
        <v>8338181037.0337114</v>
      </c>
      <c r="F142" s="43">
        <f>'1월'!F142+'2월'!F142+'3월'!F142+'4월'!F142+'5월'!F142+'6월'!F142+'7월'!F142+'8월'!F142+'9월'!F142+'10월'!F142+'11월'!F142+'12월'!F142</f>
        <v>3621924906.6034946</v>
      </c>
      <c r="G142" s="43">
        <f>'1월'!H142+'2월'!G142+'3월'!G142+'4월'!G142+'5월'!G142+'6월'!G142+'7월'!G142+'8월'!G142+'9월'!G142+'10월'!G142+'11월'!G142+'12월'!G142</f>
        <v>3187482433.3965054</v>
      </c>
      <c r="H142" s="43">
        <f>'1월'!J142+'2월'!H142+'3월'!H142+'4월'!H142+'5월'!H142+'6월'!H142+'7월'!H142+'8월'!H142+'9월'!H142+'10월'!H142+'11월'!H142+'12월'!H142</f>
        <v>580255340</v>
      </c>
      <c r="I142" s="43">
        <f>'1월'!K142+'2월'!I142+'3월'!I142+'4월'!I142+'5월'!I142+'6월'!I142+'7월'!I142+'8월'!I142+'9월'!I142+'10월'!I142+'11월'!I142+'12월'!I142</f>
        <v>56771925.879604682</v>
      </c>
      <c r="J142" s="43">
        <f>'1월'!L142+'2월'!J142+'3월'!J142+'4월'!J142+'5월'!J142+'6월'!J142+'7월'!J142+'8월'!J142+'9월'!J142+'10월'!J142+'11월'!J142+'12월'!J142</f>
        <v>60598537.864829682</v>
      </c>
      <c r="K142" s="43">
        <f>'1월'!M142+'2월'!K142+'3월'!K142+'4월'!K142+'5월'!K142+'6월'!K142+'7월'!K142+'8월'!K142+'9월'!K142+'10월'!K142+'11월'!K142+'12월'!K142</f>
        <v>339156190.75421923</v>
      </c>
      <c r="L142" s="43">
        <f>'1월'!N142+'2월'!L142+'3월'!L142+'4월'!L142+'5월'!L142+'6월'!L142+'7월'!L142+'8월'!L142+'9월'!L142+'10월'!L142+'11월'!L142+'12월'!L142</f>
        <v>323960112.53505802</v>
      </c>
      <c r="M142" s="43">
        <f>'1월'!O142+'2월'!M142+'3월'!M142+'4월'!M142+'5월'!M142+'6월'!M142+'7월'!M142+'8월'!M142+'9월'!M142+'10월'!M142+'11월'!M142+'12월'!M142</f>
        <v>168031590</v>
      </c>
      <c r="O142" s="43">
        <f>IFERROR(VLOOKUP($A142,[1]플랫폼1!$A:$B,2,FALSE),0)</f>
        <v>0</v>
      </c>
      <c r="P142" s="43">
        <f>IFERROR(VLOOKUP($A142,[1]플랫폼2!$A:$M,12,FALSE),0)+IFERROR(VLOOKUP($A142,[1]플랫폼2!$A:$M,13,FALSE),0)</f>
        <v>17929443</v>
      </c>
      <c r="Q142" s="43">
        <f>IFERROR(VLOOKUP($A142,[1]플랫폼2!$A:$M,7,FALSE),0)+IFERROR(VLOOKUP($A142,[1]플랫폼2!$A:$M,12,FALSE),0)</f>
        <v>32369094</v>
      </c>
      <c r="R142" s="43">
        <f>IFERROR(VLOOKUP($A142,[1]모바일!$A:$S,17,FALSE),0)</f>
        <v>18795740</v>
      </c>
      <c r="S142" s="43">
        <f>IFERROR(VLOOKUP($A142,[1]모바일!$A:$S,18,FALSE),0)</f>
        <v>26627313</v>
      </c>
      <c r="T142" s="43">
        <f>IFERROR(VLOOKUP(A142,[1]플랫폼2!$A:$O,15,0),0)</f>
        <v>72310000</v>
      </c>
      <c r="U142" s="83"/>
    </row>
    <row r="143" spans="1:21" hidden="1" outlineLevel="1" x14ac:dyDescent="0.45">
      <c r="A143" s="29" t="s">
        <v>68</v>
      </c>
      <c r="B143" s="44">
        <f>'1월'!B143+'2월'!B143+'3월'!B143+'4월'!B143+'5월'!B143+'6월'!B143+'7월'!B143+'8월'!B143+'9월'!B143+'10월'!B143+'11월'!B143+'12월'!B143</f>
        <v>2065603859</v>
      </c>
      <c r="C143" s="44">
        <f>'1월'!C143+'2월'!C143+'3월'!C143+'4월'!C143+'5월'!C143+'6월'!C143+'7월'!C143+'8월'!C143+'9월'!C143+'10월'!C143+'11월'!C143+'12월'!C143</f>
        <v>134934675.96628842</v>
      </c>
      <c r="D143" s="44">
        <f>'1월'!D143+'2월'!D143+'3월'!D143+'4월'!D143+'5월'!D143+'6월'!D143+'7월'!D143+'8월'!D143+'9월'!D143+'10월'!D143+'11월'!D143+'12월'!D143</f>
        <v>16085430</v>
      </c>
      <c r="E143" s="44">
        <f>'1월'!E143+'2월'!E143+'3월'!E143+'4월'!E143+'5월'!E143+'6월'!E143+'7월'!E143+'8월'!E143+'9월'!E143+'10월'!E143+'11월'!E143+'12월'!E143</f>
        <v>1914583753.0337117</v>
      </c>
      <c r="F143" s="44">
        <f>'1월'!F143+'2월'!F143+'3월'!F143+'4월'!F143+'5월'!F143+'6월'!F143+'7월'!F143+'8월'!F143+'9월'!F143+'10월'!F143+'11월'!F143+'12월'!F143</f>
        <v>316360359.13480729</v>
      </c>
      <c r="G143" s="44">
        <f>'1월'!H143+'2월'!G143+'3월'!G143+'4월'!G143+'5월'!G143+'6월'!G143+'7월'!G143+'8월'!G143+'9월'!G143+'10월'!G143+'11월'!G143+'12월'!G143</f>
        <v>1420204640.8651924</v>
      </c>
      <c r="H143" s="44">
        <f>'1월'!J143+'2월'!H143+'3월'!H143+'4월'!H143+'5월'!H143+'6월'!H143+'7월'!H143+'8월'!H143+'9월'!H143+'10월'!H143+'11월'!H143+'12월'!H143</f>
        <v>0</v>
      </c>
      <c r="I143" s="44">
        <f>'1월'!K143+'2월'!I143+'3월'!I143+'4월'!I143+'5월'!I143+'6월'!I143+'7월'!I143+'8월'!I143+'9월'!I143+'10월'!I143+'11월'!I143+'12월'!I143</f>
        <v>477492.27960468526</v>
      </c>
      <c r="J143" s="44">
        <f>'1월'!L143+'2월'!J143+'3월'!J143+'4월'!J143+'5월'!J143+'6월'!J143+'7월'!J143+'8월'!J143+'9월'!J143+'10월'!J143+'11월'!J143+'12월'!J143</f>
        <v>560905.46482967562</v>
      </c>
      <c r="K143" s="44">
        <f>'1월'!M143+'2월'!K143+'3월'!K143+'4월'!K143+'5월'!K143+'6월'!K143+'7월'!K143+'8월'!K143+'9월'!K143+'10월'!K143+'11월'!K143+'12월'!K143</f>
        <v>11619224.754219251</v>
      </c>
      <c r="L143" s="44">
        <f>'1월'!N143+'2월'!L143+'3월'!L143+'4월'!L143+'5월'!L143+'6월'!L143+'7월'!L143+'8월'!L143+'9월'!L143+'10월'!L143+'11월'!L143+'12월'!L143</f>
        <v>165361130.53505793</v>
      </c>
      <c r="M143" s="44">
        <f>'1월'!O143+'2월'!M143+'3월'!M143+'4월'!M143+'5월'!M143+'6월'!M143+'7월'!M143+'8월'!M143+'9월'!M143+'10월'!M143+'11월'!M143+'12월'!M143</f>
        <v>0</v>
      </c>
      <c r="O143" s="44">
        <f>IFERROR(VLOOKUP($A143,[1]플랫폼1!$A:$B,2,FALSE),0)</f>
        <v>0</v>
      </c>
      <c r="P143" s="44">
        <f>IFERROR(VLOOKUP($A143,[1]플랫폼2!$A:$M,12,FALSE),0)+IFERROR(VLOOKUP($A143,[1]플랫폼2!$A:$M,13,FALSE),0)</f>
        <v>0</v>
      </c>
      <c r="Q143" s="44">
        <f>IFERROR(VLOOKUP($A143,[1]플랫폼2!$A:$M,7,FALSE),0)+IFERROR(VLOOKUP($A143,[1]플랫폼2!$A:$M,12,FALSE),0)</f>
        <v>0</v>
      </c>
      <c r="R143" s="44">
        <f>IFERROR(VLOOKUP($A143,[1]모바일!$A:$S,17,FALSE),0)</f>
        <v>0</v>
      </c>
      <c r="S143" s="44">
        <f>IFERROR(VLOOKUP($A143,[1]모바일!$A:$S,18,FALSE),0)</f>
        <v>0</v>
      </c>
      <c r="T143" s="43">
        <f>IFERROR(VLOOKUP(A143,[1]플랫폼2!$A:$O,15,0),0)</f>
        <v>0</v>
      </c>
      <c r="U143" s="83"/>
    </row>
    <row r="144" spans="1:21" hidden="1" outlineLevel="1" x14ac:dyDescent="0.45">
      <c r="A144" s="29" t="s">
        <v>196</v>
      </c>
      <c r="B144" s="44">
        <f>'1월'!B144+'2월'!B144+'3월'!B144+'4월'!B144+'5월'!B144+'6월'!B144+'7월'!B144+'8월'!B144+'9월'!B144+'10월'!B144+'11월'!B144+'12월'!B144</f>
        <v>-6279932360</v>
      </c>
      <c r="C144" s="44">
        <f>'1월'!C144+'2월'!C144+'3월'!C144+'4월'!C144+'5월'!C144+'6월'!C144+'7월'!C144+'8월'!C144+'9월'!C144+'10월'!C144+'11월'!C144+'12월'!C144</f>
        <v>-6279932360</v>
      </c>
      <c r="D144" s="44">
        <f>'1월'!D144+'2월'!D144+'3월'!D144+'4월'!D144+'5월'!D144+'6월'!D144+'7월'!D144+'8월'!D144+'9월'!D144+'10월'!D144+'11월'!D144+'12월'!D144</f>
        <v>0</v>
      </c>
      <c r="E144" s="44">
        <f>'1월'!E144+'2월'!E144+'3월'!E144+'4월'!E144+'5월'!E144+'6월'!E144+'7월'!E144+'8월'!E144+'9월'!E144+'10월'!E144+'11월'!E144+'12월'!E144</f>
        <v>0</v>
      </c>
      <c r="F144" s="44">
        <f>'1월'!F144+'2월'!F144+'3월'!F144+'4월'!F144+'5월'!F144+'6월'!F144+'7월'!F144+'8월'!F144+'9월'!F144+'10월'!F144+'11월'!F144+'12월'!F144</f>
        <v>0</v>
      </c>
      <c r="G144" s="44">
        <f>'1월'!H144+'2월'!G144+'3월'!G144+'4월'!G144+'5월'!G144+'6월'!G144+'7월'!G144+'8월'!G144+'9월'!G144+'10월'!G144+'11월'!G144+'12월'!G144</f>
        <v>0</v>
      </c>
      <c r="H144" s="44">
        <f>'1월'!J144+'2월'!H144+'3월'!H144+'4월'!H144+'5월'!H144+'6월'!H144+'7월'!H144+'8월'!H144+'9월'!H144+'10월'!H144+'11월'!H144+'12월'!H144</f>
        <v>0</v>
      </c>
      <c r="I144" s="44">
        <f>'1월'!K144+'2월'!I144+'3월'!I144+'4월'!I144+'5월'!I144+'6월'!I144+'7월'!I144+'8월'!I144+'9월'!I144+'10월'!I144+'11월'!I144+'12월'!I144</f>
        <v>0</v>
      </c>
      <c r="J144" s="44">
        <f>'1월'!L144+'2월'!J144+'3월'!J144+'4월'!J144+'5월'!J144+'6월'!J144+'7월'!J144+'8월'!J144+'9월'!J144+'10월'!J144+'11월'!J144+'12월'!J144</f>
        <v>0</v>
      </c>
      <c r="K144" s="44">
        <f>'1월'!M144+'2월'!K144+'3월'!K144+'4월'!K144+'5월'!K144+'6월'!K144+'7월'!K144+'8월'!K144+'9월'!K144+'10월'!K144+'11월'!K144+'12월'!K144</f>
        <v>0</v>
      </c>
      <c r="L144" s="44">
        <f>'1월'!N144+'2월'!L144+'3월'!L144+'4월'!L144+'5월'!L144+'6월'!L144+'7월'!L144+'8월'!L144+'9월'!L144+'10월'!L144+'11월'!L144+'12월'!L144</f>
        <v>0</v>
      </c>
      <c r="M144" s="44">
        <f>'1월'!O144+'2월'!M144+'3월'!M144+'4월'!M144+'5월'!M144+'6월'!M144+'7월'!M144+'8월'!M144+'9월'!M144+'10월'!M144+'11월'!M144+'12월'!M144</f>
        <v>0</v>
      </c>
      <c r="O144" s="44">
        <f>IFERROR(VLOOKUP($A144,[1]플랫폼1!$A:$B,2,FALSE),0)</f>
        <v>0</v>
      </c>
      <c r="P144" s="44">
        <f>IFERROR(VLOOKUP($A144,[1]플랫폼2!$A:$M,12,FALSE),0)+IFERROR(VLOOKUP($A144,[1]플랫폼2!$A:$M,13,FALSE),0)</f>
        <v>0</v>
      </c>
      <c r="Q144" s="44">
        <f>IFERROR(VLOOKUP($A144,[1]플랫폼2!$A:$M,7,FALSE),0)+IFERROR(VLOOKUP($A144,[1]플랫폼2!$A:$M,12,FALSE),0)</f>
        <v>0</v>
      </c>
      <c r="R144" s="44">
        <f>IFERROR(VLOOKUP($A144,[1]모바일!$A:$S,17,FALSE),0)</f>
        <v>0</v>
      </c>
      <c r="S144" s="44">
        <f>IFERROR(VLOOKUP($A144,[1]모바일!$A:$S,18,FALSE),0)</f>
        <v>0</v>
      </c>
      <c r="T144" s="43">
        <f>IFERROR(VLOOKUP(A144,[1]플랫폼2!$A:$O,15,0),0)</f>
        <v>0</v>
      </c>
      <c r="U144" s="83"/>
    </row>
    <row r="145" spans="1:21" hidden="1" outlineLevel="1" x14ac:dyDescent="0.45">
      <c r="A145" s="29" t="s">
        <v>69</v>
      </c>
      <c r="B145" s="44">
        <f>'1월'!B145+'2월'!B145+'3월'!B145+'4월'!B145+'5월'!B145+'6월'!B145+'7월'!B145+'8월'!B145+'9월'!B145+'10월'!B145+'11월'!B145+'12월'!B145</f>
        <v>4374235987</v>
      </c>
      <c r="C145" s="44">
        <f>'1월'!C145+'2월'!C145+'3월'!C145+'4월'!C145+'5월'!C145+'6월'!C145+'7월'!C145+'8월'!C145+'9월'!C145+'10월'!C145+'11월'!C145+'12월'!C145</f>
        <v>623305718</v>
      </c>
      <c r="D145" s="44">
        <f>'1월'!D145+'2월'!D145+'3월'!D145+'4월'!D145+'5월'!D145+'6월'!D145+'7월'!D145+'8월'!D145+'9월'!D145+'10월'!D145+'11월'!D145+'12월'!D145</f>
        <v>198112411</v>
      </c>
      <c r="E145" s="44">
        <f>'1월'!E145+'2월'!E145+'3월'!E145+'4월'!E145+'5월'!E145+'6월'!E145+'7월'!E145+'8월'!E145+'9월'!E145+'10월'!E145+'11월'!E145+'12월'!E145</f>
        <v>3552817858</v>
      </c>
      <c r="F145" s="44">
        <f>'1월'!F145+'2월'!F145+'3월'!F145+'4월'!F145+'5월'!F145+'6월'!F145+'7월'!F145+'8월'!F145+'9월'!F145+'10월'!F145+'11월'!F145+'12월'!F145</f>
        <v>1306739900.4206777</v>
      </c>
      <c r="G145" s="44">
        <f>'1월'!H145+'2월'!G145+'3월'!G145+'4월'!G145+'5월'!G145+'6월'!G145+'7월'!G145+'8월'!G145+'9월'!G145+'10월'!G145+'11월'!G145+'12월'!G145</f>
        <v>1261939209.5793223</v>
      </c>
      <c r="H145" s="44">
        <f>'1월'!J145+'2월'!H145+'3월'!H145+'4월'!H145+'5월'!H145+'6월'!H145+'7월'!H145+'8월'!H145+'9월'!H145+'10월'!H145+'11월'!H145+'12월'!H145</f>
        <v>403009209</v>
      </c>
      <c r="I145" s="44">
        <f>'1월'!K145+'2월'!I145+'3월'!I145+'4월'!I145+'5월'!I145+'6월'!I145+'7월'!I145+'8월'!I145+'9월'!I145+'10월'!I145+'11월'!I145+'12월'!I145</f>
        <v>36665145.299999997</v>
      </c>
      <c r="J145" s="44">
        <f>'1월'!L145+'2월'!J145+'3월'!J145+'4월'!J145+'5월'!J145+'6월'!J145+'7월'!J145+'8월'!J145+'9월'!J145+'10월'!J145+'11월'!J145+'12월'!J145</f>
        <v>39046053.700000003</v>
      </c>
      <c r="K145" s="44">
        <f>'1월'!M145+'2월'!K145+'3월'!K145+'4월'!K145+'5월'!K145+'6월'!K145+'7월'!K145+'8월'!K145+'9월'!K145+'10월'!K145+'11월'!K145+'12월'!K145</f>
        <v>263525501</v>
      </c>
      <c r="L145" s="44">
        <f>'1월'!N145+'2월'!L145+'3월'!L145+'4월'!L145+'5월'!L145+'6월'!L145+'7월'!L145+'8월'!L145+'9월'!L145+'10월'!L145+'11월'!L145+'12월'!L145</f>
        <v>97382839</v>
      </c>
      <c r="M145" s="44">
        <f>'1월'!O145+'2월'!M145+'3월'!M145+'4월'!M145+'5월'!M145+'6월'!M145+'7월'!M145+'8월'!M145+'9월'!M145+'10월'!M145+'11월'!M145+'12월'!M145</f>
        <v>144510000</v>
      </c>
      <c r="O145" s="44">
        <f>IFERROR(VLOOKUP($A145,[1]플랫폼1!$A:$B,2,FALSE),0)</f>
        <v>0</v>
      </c>
      <c r="P145" s="44">
        <f>IFERROR(VLOOKUP($A145,[1]플랫폼2!$A:$M,12,FALSE),0)+IFERROR(VLOOKUP($A145,[1]플랫폼2!$A:$M,13,FALSE),0)</f>
        <v>13900000</v>
      </c>
      <c r="Q145" s="44">
        <f>IFERROR(VLOOKUP($A145,[1]플랫폼2!$A:$M,7,FALSE),0)+IFERROR(VLOOKUP($A145,[1]플랫폼2!$A:$M,12,FALSE),0)</f>
        <v>24700000</v>
      </c>
      <c r="R145" s="44">
        <f>IFERROR(VLOOKUP($A145,[1]모바일!$A:$S,17,FALSE),0)</f>
        <v>14400000</v>
      </c>
      <c r="S145" s="44">
        <f>IFERROR(VLOOKUP($A145,[1]모바일!$A:$S,18,FALSE),0)</f>
        <v>20400000</v>
      </c>
      <c r="T145" s="43">
        <f>IFERROR(VLOOKUP(A145,[1]플랫폼2!$A:$O,15,0),0)</f>
        <v>71110000</v>
      </c>
      <c r="U145" s="83"/>
    </row>
    <row r="146" spans="1:21" hidden="1" outlineLevel="1" x14ac:dyDescent="0.45">
      <c r="A146" s="29" t="s">
        <v>70</v>
      </c>
      <c r="B146" s="44">
        <f>'1월'!B146+'2월'!B146+'3월'!B146+'4월'!B146+'5월'!B146+'6월'!B146+'7월'!B146+'8월'!B146+'9월'!B146+'10월'!B146+'11월'!B146+'12월'!B146</f>
        <v>3361883903</v>
      </c>
      <c r="C146" s="44">
        <f>'1월'!C146+'2월'!C146+'3월'!C146+'4월'!C146+'5월'!C146+'6월'!C146+'7월'!C146+'8월'!C146+'9월'!C146+'10월'!C146+'11월'!C146+'12월'!C146</f>
        <v>350191732</v>
      </c>
      <c r="D146" s="44">
        <f>'1월'!D146+'2월'!D146+'3월'!D146+'4월'!D146+'5월'!D146+'6월'!D146+'7월'!D146+'8월'!D146+'9월'!D146+'10월'!D146+'11월'!D146+'12월'!D146</f>
        <v>146933745</v>
      </c>
      <c r="E146" s="44">
        <f>'1월'!E146+'2월'!E146+'3월'!E146+'4월'!E146+'5월'!E146+'6월'!E146+'7월'!E146+'8월'!E146+'9월'!E146+'10월'!E146+'11월'!E146+'12월'!E146</f>
        <v>2864758426</v>
      </c>
      <c r="F146" s="44">
        <f>'1월'!F146+'2월'!F146+'3월'!F146+'4월'!F146+'5월'!F146+'6월'!F146+'7월'!F146+'8월'!F146+'9월'!F146+'10월'!F146+'11월'!F146+'12월'!F146</f>
        <v>1992803647.0480099</v>
      </c>
      <c r="G146" s="44">
        <f>'1월'!H146+'2월'!G146+'3월'!G146+'4월'!G146+'5월'!G146+'6월'!G146+'7월'!G146+'8월'!G146+'9월'!G146+'10월'!G146+'11월'!G146+'12월'!G146</f>
        <v>505338582.95198989</v>
      </c>
      <c r="H146" s="44">
        <f>'1월'!J146+'2월'!H146+'3월'!H146+'4월'!H146+'5월'!H146+'6월'!H146+'7월'!H146+'8월'!H146+'9월'!H146+'10월'!H146+'11월'!H146+'12월'!H146</f>
        <v>177246131</v>
      </c>
      <c r="I146" s="44">
        <f>'1월'!K146+'2월'!I146+'3월'!I146+'4월'!I146+'5월'!I146+'6월'!I146+'7월'!I146+'8월'!I146+'9월'!I146+'10월'!I146+'11월'!I146+'12월'!I146</f>
        <v>19629288.300000001</v>
      </c>
      <c r="J146" s="44">
        <f>'1월'!L146+'2월'!J146+'3월'!J146+'4월'!J146+'5월'!J146+'6월'!J146+'7월'!J146+'8월'!J146+'9월'!J146+'10월'!J146+'11월'!J146+'12월'!J146</f>
        <v>20991578.699999999</v>
      </c>
      <c r="K146" s="44">
        <f>'1월'!M146+'2월'!K146+'3월'!K146+'4월'!K146+'5월'!K146+'6월'!K146+'7월'!K146+'8월'!K146+'9월'!K146+'10월'!K146+'11월'!K146+'12월'!K146</f>
        <v>64011465</v>
      </c>
      <c r="L146" s="44">
        <f>'1월'!N146+'2월'!L146+'3월'!L146+'4월'!L146+'5월'!L146+'6월'!L146+'7월'!L146+'8월'!L146+'9월'!L146+'10월'!L146+'11월'!L146+'12월'!L146</f>
        <v>61216143</v>
      </c>
      <c r="M146" s="44">
        <f>'1월'!O146+'2월'!M146+'3월'!M146+'4월'!M146+'5월'!M146+'6월'!M146+'7월'!M146+'8월'!M146+'9월'!M146+'10월'!M146+'11월'!M146+'12월'!M146</f>
        <v>23521590</v>
      </c>
      <c r="O146" s="44">
        <f>IFERROR(VLOOKUP($A146,[1]플랫폼1!$A:$B,2,FALSE),0)</f>
        <v>0</v>
      </c>
      <c r="P146" s="44">
        <f>IFERROR(VLOOKUP($A146,[1]플랫폼2!$A:$M,12,FALSE),0)+IFERROR(VLOOKUP($A146,[1]플랫폼2!$A:$M,13,FALSE),0)</f>
        <v>4029443</v>
      </c>
      <c r="Q146" s="44">
        <f>IFERROR(VLOOKUP($A146,[1]플랫폼2!$A:$M,7,FALSE),0)+IFERROR(VLOOKUP($A146,[1]플랫폼2!$A:$M,12,FALSE),0)</f>
        <v>7669094</v>
      </c>
      <c r="R146" s="44">
        <f>IFERROR(VLOOKUP($A146,[1]모바일!$A:$S,17,FALSE),0)</f>
        <v>4395740</v>
      </c>
      <c r="S146" s="44">
        <f>IFERROR(VLOOKUP($A146,[1]모바일!$A:$S,18,FALSE),0)</f>
        <v>6227313</v>
      </c>
      <c r="T146" s="43">
        <f>IFERROR(VLOOKUP(A146,[1]플랫폼2!$A:$O,15,0),0)</f>
        <v>1200000</v>
      </c>
      <c r="U146" s="83"/>
    </row>
    <row r="147" spans="1:21" hidden="1" outlineLevel="1" x14ac:dyDescent="0.45">
      <c r="A147" s="29" t="s">
        <v>142</v>
      </c>
      <c r="B147" s="44">
        <f>'1월'!B147+'2월'!B147+'3월'!B147+'4월'!B147+'5월'!B147+'6월'!B147+'7월'!B147+'8월'!B147+'9월'!B147+'10월'!B147+'11월'!B147+'12월'!B147</f>
        <v>966764430</v>
      </c>
      <c r="C147" s="44">
        <f>'1월'!C147+'2월'!C147+'3월'!C147+'4월'!C147+'5월'!C147+'6월'!C147+'7월'!C147+'8월'!C147+'9월'!C147+'10월'!C147+'11월'!C147+'12월'!C147</f>
        <v>948255430</v>
      </c>
      <c r="D147" s="44">
        <f>'1월'!D147+'2월'!D147+'3월'!D147+'4월'!D147+'5월'!D147+'6월'!D147+'7월'!D147+'8월'!D147+'9월'!D147+'10월'!D147+'11월'!D147+'12월'!D147</f>
        <v>12488000</v>
      </c>
      <c r="E147" s="44">
        <f>'1월'!E147+'2월'!E147+'3월'!E147+'4월'!E147+'5월'!E147+'6월'!E147+'7월'!E147+'8월'!E147+'9월'!E147+'10월'!E147+'11월'!E147+'12월'!E147</f>
        <v>6021000</v>
      </c>
      <c r="F147" s="44">
        <f>'1월'!F147+'2월'!F147+'3월'!F147+'4월'!F147+'5월'!F147+'6월'!F147+'7월'!F147+'8월'!F147+'9월'!F147+'10월'!F147+'11월'!F147+'12월'!F147</f>
        <v>6021000</v>
      </c>
      <c r="G147" s="44">
        <f>'1월'!H147+'2월'!G147+'3월'!G147+'4월'!G147+'5월'!G147+'6월'!G147+'7월'!G147+'8월'!G147+'9월'!G147+'10월'!G147+'11월'!G147+'12월'!G147</f>
        <v>0</v>
      </c>
      <c r="H147" s="44">
        <f>'1월'!J147+'2월'!H147+'3월'!H147+'4월'!H147+'5월'!H147+'6월'!H147+'7월'!H147+'8월'!H147+'9월'!H147+'10월'!H147+'11월'!H147+'12월'!H147</f>
        <v>0</v>
      </c>
      <c r="I147" s="44">
        <f>'1월'!K147+'2월'!I147+'3월'!I147+'4월'!I147+'5월'!I147+'6월'!I147+'7월'!I147+'8월'!I147+'9월'!I147+'10월'!I147+'11월'!I147+'12월'!I147</f>
        <v>0</v>
      </c>
      <c r="J147" s="44">
        <f>'1월'!L147+'2월'!J147+'3월'!J147+'4월'!J147+'5월'!J147+'6월'!J147+'7월'!J147+'8월'!J147+'9월'!J147+'10월'!J147+'11월'!J147+'12월'!J147</f>
        <v>0</v>
      </c>
      <c r="K147" s="44">
        <f>'1월'!M147+'2월'!K147+'3월'!K147+'4월'!K147+'5월'!K147+'6월'!K147+'7월'!K147+'8월'!K147+'9월'!K147+'10월'!K147+'11월'!K147+'12월'!K147</f>
        <v>0</v>
      </c>
      <c r="L147" s="44">
        <f>'1월'!N147+'2월'!L147+'3월'!L147+'4월'!L147+'5월'!L147+'6월'!L147+'7월'!L147+'8월'!L147+'9월'!L147+'10월'!L147+'11월'!L147+'12월'!L147</f>
        <v>0</v>
      </c>
      <c r="M147" s="44">
        <f>'1월'!O147+'2월'!M147+'3월'!M147+'4월'!M147+'5월'!M147+'6월'!M147+'7월'!M147+'8월'!M147+'9월'!M147+'10월'!M147+'11월'!M147+'12월'!M147</f>
        <v>0</v>
      </c>
      <c r="O147" s="44">
        <f>IFERROR(VLOOKUP($A147,[1]플랫폼1!$A:$B,2,FALSE),0)</f>
        <v>0</v>
      </c>
      <c r="P147" s="44">
        <f>IFERROR(VLOOKUP($A147,[1]플랫폼2!$A:$M,12,FALSE),0)+IFERROR(VLOOKUP($A147,[1]플랫폼2!$A:$M,13,FALSE),0)</f>
        <v>0</v>
      </c>
      <c r="Q147" s="44">
        <f>IFERROR(VLOOKUP($A147,[1]플랫폼2!$A:$M,7,FALSE),0)+IFERROR(VLOOKUP($A147,[1]플랫폼2!$A:$M,12,FALSE),0)</f>
        <v>0</v>
      </c>
      <c r="R147" s="44">
        <f>IFERROR(VLOOKUP($A147,[1]모바일!$A:$S,17,FALSE),0)</f>
        <v>0</v>
      </c>
      <c r="S147" s="44">
        <f>IFERROR(VLOOKUP($A147,[1]모바일!$A:$S,18,FALSE),0)</f>
        <v>0</v>
      </c>
      <c r="T147" s="43">
        <f>IFERROR(VLOOKUP(A147,[1]플랫폼2!$A:$O,15,0),0)</f>
        <v>0</v>
      </c>
      <c r="U147" s="83"/>
    </row>
    <row r="148" spans="1:21" hidden="1" outlineLevel="1" x14ac:dyDescent="0.45">
      <c r="A148" s="29" t="s">
        <v>197</v>
      </c>
      <c r="B148" s="44">
        <f>'1월'!B148+'2월'!B148+'3월'!B148+'4월'!B148+'5월'!B148+'6월'!B148+'7월'!B148+'8월'!B148+'9월'!B148+'10월'!B148+'11월'!B148+'12월'!B148</f>
        <v>0</v>
      </c>
      <c r="C148" s="44">
        <f>'1월'!C148+'2월'!C148+'3월'!C148+'4월'!C148+'5월'!C148+'6월'!C148+'7월'!C148+'8월'!C148+'9월'!C148+'10월'!C148+'11월'!C148+'12월'!C148</f>
        <v>0</v>
      </c>
      <c r="D148" s="44">
        <f>'1월'!D148+'2월'!D148+'3월'!D148+'4월'!D148+'5월'!D148+'6월'!D148+'7월'!D148+'8월'!D148+'9월'!D148+'10월'!D148+'11월'!D148+'12월'!D148</f>
        <v>0</v>
      </c>
      <c r="E148" s="44">
        <f>'1월'!E148+'2월'!E148+'3월'!E148+'4월'!E148+'5월'!E148+'6월'!E148+'7월'!E148+'8월'!E148+'9월'!E148+'10월'!E148+'11월'!E148+'12월'!E148</f>
        <v>0</v>
      </c>
      <c r="F148" s="44">
        <f>'1월'!F148+'2월'!F148+'3월'!F148+'4월'!F148+'5월'!F148+'6월'!F148+'7월'!F148+'8월'!F148+'9월'!F148+'10월'!F148+'11월'!F148+'12월'!F148</f>
        <v>0</v>
      </c>
      <c r="G148" s="44">
        <f>'1월'!H148+'2월'!G148+'3월'!G148+'4월'!G148+'5월'!G148+'6월'!G148+'7월'!G148+'8월'!G148+'9월'!G148+'10월'!G148+'11월'!G148+'12월'!G148</f>
        <v>0</v>
      </c>
      <c r="H148" s="44">
        <f>'1월'!J148+'2월'!H148+'3월'!H148+'4월'!H148+'5월'!H148+'6월'!H148+'7월'!H148+'8월'!H148+'9월'!H148+'10월'!H148+'11월'!H148+'12월'!H148</f>
        <v>0</v>
      </c>
      <c r="I148" s="44">
        <f>'1월'!K148+'2월'!I148+'3월'!I148+'4월'!I148+'5월'!I148+'6월'!I148+'7월'!I148+'8월'!I148+'9월'!I148+'10월'!I148+'11월'!I148+'12월'!I148</f>
        <v>0</v>
      </c>
      <c r="J148" s="44">
        <f>'1월'!L148+'2월'!J148+'3월'!J148+'4월'!J148+'5월'!J148+'6월'!J148+'7월'!J148+'8월'!J148+'9월'!J148+'10월'!J148+'11월'!J148+'12월'!J148</f>
        <v>0</v>
      </c>
      <c r="K148" s="44">
        <f>'1월'!M148+'2월'!K148+'3월'!K148+'4월'!K148+'5월'!K148+'6월'!K148+'7월'!K148+'8월'!K148+'9월'!K148+'10월'!K148+'11월'!K148+'12월'!K148</f>
        <v>0</v>
      </c>
      <c r="L148" s="44">
        <f>'1월'!N148+'2월'!L148+'3월'!L148+'4월'!L148+'5월'!L148+'6월'!L148+'7월'!L148+'8월'!L148+'9월'!L148+'10월'!L148+'11월'!L148+'12월'!L148</f>
        <v>0</v>
      </c>
      <c r="M148" s="44">
        <f>'1월'!O148+'2월'!M148+'3월'!M148+'4월'!M148+'5월'!M148+'6월'!M148+'7월'!M148+'8월'!M148+'9월'!M148+'10월'!M148+'11월'!M148+'12월'!M148</f>
        <v>0</v>
      </c>
      <c r="O148" s="44">
        <f>IFERROR(VLOOKUP($A148,[1]플랫폼1!$A:$B,2,FALSE),0)</f>
        <v>0</v>
      </c>
      <c r="P148" s="44">
        <f>IFERROR(VLOOKUP($A148,[1]플랫폼2!$A:$M,12,FALSE),0)+IFERROR(VLOOKUP($A148,[1]플랫폼2!$A:$M,13,FALSE),0)</f>
        <v>0</v>
      </c>
      <c r="Q148" s="44">
        <f>IFERROR(VLOOKUP($A148,[1]플랫폼2!$A:$M,7,FALSE),0)+IFERROR(VLOOKUP($A148,[1]플랫폼2!$A:$M,12,FALSE),0)</f>
        <v>0</v>
      </c>
      <c r="R148" s="44">
        <f>IFERROR(VLOOKUP($A148,[1]모바일!$A:$S,17,FALSE),0)</f>
        <v>0</v>
      </c>
      <c r="S148" s="44">
        <f>IFERROR(VLOOKUP($A148,[1]모바일!$A:$S,18,FALSE),0)</f>
        <v>0</v>
      </c>
      <c r="T148" s="43">
        <f>IFERROR(VLOOKUP(A148,[1]플랫폼2!$A:$O,15,0),0)</f>
        <v>0</v>
      </c>
      <c r="U148" s="83"/>
    </row>
    <row r="149" spans="1:21" hidden="1" outlineLevel="1" x14ac:dyDescent="0.45">
      <c r="A149" s="29" t="s">
        <v>262</v>
      </c>
      <c r="B149" s="44">
        <f>'1월'!B149+'2월'!B149+'3월'!B149+'4월'!B149+'5월'!B149+'6월'!B149+'7월'!B149+'8월'!B149+'9월'!B149+'10월'!B149+'11월'!B149+'12월'!B149</f>
        <v>0</v>
      </c>
      <c r="C149" s="44">
        <f>'1월'!C149+'2월'!C149+'3월'!C149+'4월'!C149+'5월'!C149+'6월'!C149+'7월'!C149+'8월'!C149+'9월'!C149+'10월'!C149+'11월'!C149+'12월'!C149</f>
        <v>0</v>
      </c>
      <c r="D149" s="44">
        <f>'1월'!D149+'2월'!D149+'3월'!D149+'4월'!D149+'5월'!D149+'6월'!D149+'7월'!D149+'8월'!D149+'9월'!D149+'10월'!D149+'11월'!D149+'12월'!D149</f>
        <v>0</v>
      </c>
      <c r="E149" s="44">
        <f>'1월'!E149+'2월'!E149+'3월'!E149+'4월'!E149+'5월'!E149+'6월'!E149+'7월'!E149+'8월'!E149+'9월'!E149+'10월'!E149+'11월'!E149+'12월'!E149</f>
        <v>0</v>
      </c>
      <c r="F149" s="44">
        <f>'1월'!F149+'2월'!F149+'3월'!F149+'4월'!F149+'5월'!F149+'6월'!F149+'7월'!F149+'8월'!F149+'9월'!F149+'10월'!F149+'11월'!F149+'12월'!F149</f>
        <v>0</v>
      </c>
      <c r="G149" s="44">
        <f>'1월'!H149+'2월'!G149+'3월'!G149+'4월'!G149+'5월'!G149+'6월'!G149+'7월'!G149+'8월'!G149+'9월'!G149+'10월'!G149+'11월'!G149+'12월'!G149</f>
        <v>0</v>
      </c>
      <c r="H149" s="44">
        <f>'1월'!J149+'2월'!H149+'3월'!H149+'4월'!H149+'5월'!H149+'6월'!H149+'7월'!H149+'8월'!H149+'9월'!H149+'10월'!H149+'11월'!H149+'12월'!H149</f>
        <v>0</v>
      </c>
      <c r="I149" s="44">
        <f>'1월'!K149+'2월'!I149+'3월'!I149+'4월'!I149+'5월'!I149+'6월'!I149+'7월'!I149+'8월'!I149+'9월'!I149+'10월'!I149+'11월'!I149+'12월'!I149</f>
        <v>0</v>
      </c>
      <c r="J149" s="44">
        <f>'1월'!L149+'2월'!J149+'3월'!J149+'4월'!J149+'5월'!J149+'6월'!J149+'7월'!J149+'8월'!J149+'9월'!J149+'10월'!J149+'11월'!J149+'12월'!J149</f>
        <v>0</v>
      </c>
      <c r="K149" s="44">
        <f>'1월'!M149+'2월'!K149+'3월'!K149+'4월'!K149+'5월'!K149+'6월'!K149+'7월'!K149+'8월'!K149+'9월'!K149+'10월'!K149+'11월'!K149+'12월'!K149</f>
        <v>0</v>
      </c>
      <c r="L149" s="44">
        <f>'1월'!N149+'2월'!L149+'3월'!L149+'4월'!L149+'5월'!L149+'6월'!L149+'7월'!L149+'8월'!L149+'9월'!L149+'10월'!L149+'11월'!L149+'12월'!L149</f>
        <v>0</v>
      </c>
      <c r="M149" s="44">
        <f>'1월'!O149+'2월'!M149+'3월'!M149+'4월'!M149+'5월'!M149+'6월'!M149+'7월'!M149+'8월'!M149+'9월'!M149+'10월'!M149+'11월'!M149+'12월'!M149</f>
        <v>0</v>
      </c>
      <c r="O149" s="44">
        <f>IFERROR(VLOOKUP($A149,[1]플랫폼1!$A:$B,2,FALSE),0)</f>
        <v>0</v>
      </c>
      <c r="P149" s="44">
        <f>IFERROR(VLOOKUP($A149,[1]플랫폼2!$A:$M,12,FALSE),0)+IFERROR(VLOOKUP($A149,[1]플랫폼2!$A:$M,13,FALSE),0)</f>
        <v>0</v>
      </c>
      <c r="Q149" s="44">
        <f>IFERROR(VLOOKUP($A149,[1]플랫폼2!$A:$M,7,FALSE),0)+IFERROR(VLOOKUP($A149,[1]플랫폼2!$A:$M,12,FALSE),0)</f>
        <v>0</v>
      </c>
      <c r="R149" s="44">
        <f>IFERROR(VLOOKUP($A149,[1]모바일!$A:$S,17,FALSE),0)</f>
        <v>0</v>
      </c>
      <c r="S149" s="44">
        <f>IFERROR(VLOOKUP($A149,[1]모바일!$A:$S,18,FALSE),0)</f>
        <v>0</v>
      </c>
      <c r="T149" s="43">
        <f>IFERROR(VLOOKUP(A149,[1]플랫폼2!$A:$O,15,0),0)</f>
        <v>0</v>
      </c>
      <c r="U149" s="83"/>
    </row>
    <row r="150" spans="1:21" s="1" customFormat="1" hidden="1" outlineLevel="1" collapsed="1" x14ac:dyDescent="0.45">
      <c r="A150" s="29" t="s">
        <v>263</v>
      </c>
      <c r="B150" s="44">
        <f>'1월'!B150+'2월'!B150+'3월'!B150+'4월'!B150+'5월'!B150+'6월'!B150+'7월'!B150+'8월'!B150+'9월'!B150+'10월'!B150+'11월'!B150+'12월'!B150</f>
        <v>0</v>
      </c>
      <c r="C150" s="44">
        <f>'1월'!C150+'2월'!C150+'3월'!C150+'4월'!C150+'5월'!C150+'6월'!C150+'7월'!C150+'8월'!C150+'9월'!C150+'10월'!C150+'11월'!C150+'12월'!C150</f>
        <v>0</v>
      </c>
      <c r="D150" s="44">
        <f>'1월'!D150+'2월'!D150+'3월'!D150+'4월'!D150+'5월'!D150+'6월'!D150+'7월'!D150+'8월'!D150+'9월'!D150+'10월'!D150+'11월'!D150+'12월'!D150</f>
        <v>0</v>
      </c>
      <c r="E150" s="44">
        <f>'1월'!E150+'2월'!E150+'3월'!E150+'4월'!E150+'5월'!E150+'6월'!E150+'7월'!E150+'8월'!E150+'9월'!E150+'10월'!E150+'11월'!E150+'12월'!E150</f>
        <v>0</v>
      </c>
      <c r="F150" s="44">
        <f>'1월'!F150+'2월'!F150+'3월'!F150+'4월'!F150+'5월'!F150+'6월'!F150+'7월'!F150+'8월'!F150+'9월'!F150+'10월'!F150+'11월'!F150+'12월'!F150</f>
        <v>0</v>
      </c>
      <c r="G150" s="44">
        <f>'1월'!H150+'2월'!G150+'3월'!G150+'4월'!G150+'5월'!G150+'6월'!G150+'7월'!G150+'8월'!G150+'9월'!G150+'10월'!G150+'11월'!G150+'12월'!G150</f>
        <v>0</v>
      </c>
      <c r="H150" s="44">
        <f>'1월'!J150+'2월'!H150+'3월'!H150+'4월'!H150+'5월'!H150+'6월'!H150+'7월'!H150+'8월'!H150+'9월'!H150+'10월'!H150+'11월'!H150+'12월'!H150</f>
        <v>0</v>
      </c>
      <c r="I150" s="44">
        <f>'1월'!K150+'2월'!I150+'3월'!I150+'4월'!I150+'5월'!I150+'6월'!I150+'7월'!I150+'8월'!I150+'9월'!I150+'10월'!I150+'11월'!I150+'12월'!I150</f>
        <v>0</v>
      </c>
      <c r="J150" s="44">
        <f>'1월'!L150+'2월'!J150+'3월'!J150+'4월'!J150+'5월'!J150+'6월'!J150+'7월'!J150+'8월'!J150+'9월'!J150+'10월'!J150+'11월'!J150+'12월'!J150</f>
        <v>0</v>
      </c>
      <c r="K150" s="44">
        <f>'1월'!M150+'2월'!K150+'3월'!K150+'4월'!K150+'5월'!K150+'6월'!K150+'7월'!K150+'8월'!K150+'9월'!K150+'10월'!K150+'11월'!K150+'12월'!K150</f>
        <v>0</v>
      </c>
      <c r="L150" s="44">
        <f>'1월'!N150+'2월'!L150+'3월'!L150+'4월'!L150+'5월'!L150+'6월'!L150+'7월'!L150+'8월'!L150+'9월'!L150+'10월'!L150+'11월'!L150+'12월'!L150</f>
        <v>0</v>
      </c>
      <c r="M150" s="44">
        <f>'1월'!O150+'2월'!M150+'3월'!M150+'4월'!M150+'5월'!M150+'6월'!M150+'7월'!M150+'8월'!M150+'9월'!M150+'10월'!M150+'11월'!M150+'12월'!M150</f>
        <v>0</v>
      </c>
      <c r="O150" s="44">
        <f>IFERROR(VLOOKUP($A150,[1]플랫폼1!$A:$B,2,FALSE),0)</f>
        <v>0</v>
      </c>
      <c r="P150" s="44">
        <f>IFERROR(VLOOKUP($A150,[1]플랫폼2!$A:$M,12,FALSE),0)+IFERROR(VLOOKUP($A150,[1]플랫폼2!$A:$M,13,FALSE),0)</f>
        <v>0</v>
      </c>
      <c r="Q150" s="44">
        <f>IFERROR(VLOOKUP($A150,[1]플랫폼2!$A:$M,7,FALSE),0)+IFERROR(VLOOKUP($A150,[1]플랫폼2!$A:$M,12,FALSE),0)</f>
        <v>0</v>
      </c>
      <c r="R150" s="44">
        <f>IFERROR(VLOOKUP($A150,[1]모바일!$A:$S,17,FALSE),0)</f>
        <v>0</v>
      </c>
      <c r="S150" s="44">
        <f>IFERROR(VLOOKUP($A150,[1]모바일!$A:$S,18,FALSE),0)</f>
        <v>0</v>
      </c>
      <c r="T150" s="43">
        <f>IFERROR(VLOOKUP(A150,[1]플랫폼2!$A:$O,15,0),0)</f>
        <v>0</v>
      </c>
      <c r="U150" s="83"/>
    </row>
    <row r="151" spans="1:21" collapsed="1" x14ac:dyDescent="0.45">
      <c r="A151" s="28" t="s">
        <v>71</v>
      </c>
      <c r="B151" s="43">
        <f>'1월'!B151+'2월'!B151+'3월'!B151+'4월'!B151+'5월'!B151+'6월'!B151+'7월'!B151+'8월'!B151+'9월'!B151+'10월'!B151+'11월'!B151+'12월'!B151</f>
        <v>886863514</v>
      </c>
      <c r="C151" s="43">
        <f>'1월'!C151+'2월'!C151+'3월'!C151+'4월'!C151+'5월'!C151+'6월'!C151+'7월'!C151+'8월'!C151+'9월'!C151+'10월'!C151+'11월'!C151+'12월'!C151</f>
        <v>879257788</v>
      </c>
      <c r="D151" s="43">
        <f>'1월'!D151+'2월'!D151+'3월'!D151+'4월'!D151+'5월'!D151+'6월'!D151+'7월'!D151+'8월'!D151+'9월'!D151+'10월'!D151+'11월'!D151+'12월'!D151</f>
        <v>0</v>
      </c>
      <c r="E151" s="43">
        <f>'1월'!E151+'2월'!E151+'3월'!E151+'4월'!E151+'5월'!E151+'6월'!E151+'7월'!E151+'8월'!E151+'9월'!E151+'10월'!E151+'11월'!E151+'12월'!E151</f>
        <v>7605726</v>
      </c>
      <c r="F151" s="43">
        <f>'1월'!F151+'2월'!F151+'3월'!F151+'4월'!F151+'5월'!F151+'6월'!F151+'7월'!F151+'8월'!F151+'9월'!F151+'10월'!F151+'11월'!F151+'12월'!F151</f>
        <v>70229</v>
      </c>
      <c r="G151" s="43">
        <f>'1월'!H151+'2월'!G151+'3월'!G151+'4월'!G151+'5월'!G151+'6월'!G151+'7월'!G151+'8월'!G151+'9월'!G151+'10월'!G151+'11월'!G151+'12월'!G151</f>
        <v>1449253</v>
      </c>
      <c r="H151" s="43">
        <f>'1월'!J151+'2월'!H151+'3월'!H151+'4월'!H151+'5월'!H151+'6월'!H151+'7월'!H151+'8월'!H151+'9월'!H151+'10월'!H151+'11월'!H151+'12월'!H151</f>
        <v>200628</v>
      </c>
      <c r="I151" s="43">
        <f>'1월'!K151+'2월'!I151+'3월'!I151+'4월'!I151+'5월'!I151+'6월'!I151+'7월'!I151+'8월'!I151+'9월'!I151+'10월'!I151+'11월'!I151+'12월'!I151</f>
        <v>0</v>
      </c>
      <c r="J151" s="43">
        <f>'1월'!L151+'2월'!J151+'3월'!J151+'4월'!J151+'5월'!J151+'6월'!J151+'7월'!J151+'8월'!J151+'9월'!J151+'10월'!J151+'11월'!J151+'12월'!J151</f>
        <v>0</v>
      </c>
      <c r="K151" s="43">
        <f>'1월'!M151+'2월'!K151+'3월'!K151+'4월'!K151+'5월'!K151+'6월'!K151+'7월'!K151+'8월'!K151+'9월'!K151+'10월'!K151+'11월'!K151+'12월'!K151</f>
        <v>4169450</v>
      </c>
      <c r="L151" s="43">
        <f>'1월'!N151+'2월'!L151+'3월'!L151+'4월'!L151+'5월'!L151+'6월'!L151+'7월'!L151+'8월'!L151+'9월'!L151+'10월'!L151+'11월'!L151+'12월'!L151</f>
        <v>0</v>
      </c>
      <c r="M151" s="43">
        <f>'1월'!O151+'2월'!M151+'3월'!M151+'4월'!M151+'5월'!M151+'6월'!M151+'7월'!M151+'8월'!M151+'9월'!M151+'10월'!M151+'11월'!M151+'12월'!M151</f>
        <v>1716166</v>
      </c>
      <c r="O151" s="43">
        <f>IFERROR(VLOOKUP($A151,[1]플랫폼1!$A:$B,2,FALSE),0)</f>
        <v>0</v>
      </c>
      <c r="P151" s="43">
        <f>IFERROR(VLOOKUP($A151,[1]플랫폼2!$A:$M,12,FALSE),0)+IFERROR(VLOOKUP($A151,[1]플랫폼2!$A:$M,13,FALSE),0)</f>
        <v>759986.5</v>
      </c>
      <c r="Q151" s="43">
        <f>IFERROR(VLOOKUP($A151,[1]플랫폼2!$A:$M,7,FALSE),0)+IFERROR(VLOOKUP($A151,[1]플랫폼2!$A:$M,12,FALSE),0)</f>
        <v>759986.5</v>
      </c>
      <c r="R151" s="43">
        <f>IFERROR(VLOOKUP($A151,[1]모바일!$A:$S,17,FALSE),0)</f>
        <v>0</v>
      </c>
      <c r="S151" s="43">
        <f>IFERROR(VLOOKUP($A151,[1]모바일!$A:$S,18,FALSE),0)</f>
        <v>0</v>
      </c>
      <c r="T151" s="43">
        <f>IFERROR(VLOOKUP(A151,[1]플랫폼2!$A:$O,15,0),0)</f>
        <v>196193</v>
      </c>
      <c r="U151" s="83"/>
    </row>
    <row r="152" spans="1:21" hidden="1" outlineLevel="1" x14ac:dyDescent="0.45">
      <c r="A152" s="29" t="s">
        <v>143</v>
      </c>
      <c r="B152" s="44">
        <f>'1월'!B152+'2월'!B152+'3월'!B152+'4월'!B152+'5월'!B152+'6월'!B152+'7월'!B152+'8월'!B152+'9월'!B152+'10월'!B152+'11월'!B152+'12월'!B152</f>
        <v>36689335</v>
      </c>
      <c r="C152" s="44">
        <f>'1월'!C152+'2월'!C152+'3월'!C152+'4월'!C152+'5월'!C152+'6월'!C152+'7월'!C152+'8월'!C152+'9월'!C152+'10월'!C152+'11월'!C152+'12월'!C152</f>
        <v>31140790</v>
      </c>
      <c r="D152" s="44">
        <f>'1월'!D152+'2월'!D152+'3월'!D152+'4월'!D152+'5월'!D152+'6월'!D152+'7월'!D152+'8월'!D152+'9월'!D152+'10월'!D152+'11월'!D152+'12월'!D152</f>
        <v>0</v>
      </c>
      <c r="E152" s="44">
        <f>'1월'!E152+'2월'!E152+'3월'!E152+'4월'!E152+'5월'!E152+'6월'!E152+'7월'!E152+'8월'!E152+'9월'!E152+'10월'!E152+'11월'!E152+'12월'!E152</f>
        <v>5548545</v>
      </c>
      <c r="F152" s="44">
        <f>'1월'!F152+'2월'!F152+'3월'!F152+'4월'!F152+'5월'!F152+'6월'!F152+'7월'!F152+'8월'!F152+'9월'!F152+'10월'!F152+'11월'!F152+'12월'!F152</f>
        <v>0</v>
      </c>
      <c r="G152" s="44">
        <f>'1월'!H152+'2월'!G152+'3월'!G152+'4월'!G152+'5월'!G152+'6월'!G152+'7월'!G152+'8월'!G152+'9월'!G152+'10월'!G152+'11월'!G152+'12월'!G152</f>
        <v>1379095</v>
      </c>
      <c r="H152" s="44">
        <f>'1월'!J152+'2월'!H152+'3월'!H152+'4월'!H152+'5월'!H152+'6월'!H152+'7월'!H152+'8월'!H152+'9월'!H152+'10월'!H152+'11월'!H152+'12월'!H152</f>
        <v>0</v>
      </c>
      <c r="I152" s="44">
        <f>'1월'!K152+'2월'!I152+'3월'!I152+'4월'!I152+'5월'!I152+'6월'!I152+'7월'!I152+'8월'!I152+'9월'!I152+'10월'!I152+'11월'!I152+'12월'!I152</f>
        <v>0</v>
      </c>
      <c r="J152" s="44">
        <f>'1월'!L152+'2월'!J152+'3월'!J152+'4월'!J152+'5월'!J152+'6월'!J152+'7월'!J152+'8월'!J152+'9월'!J152+'10월'!J152+'11월'!J152+'12월'!J152</f>
        <v>0</v>
      </c>
      <c r="K152" s="44">
        <f>'1월'!M152+'2월'!K152+'3월'!K152+'4월'!K152+'5월'!K152+'6월'!K152+'7월'!K152+'8월'!K152+'9월'!K152+'10월'!K152+'11월'!K152+'12월'!K152</f>
        <v>4169450</v>
      </c>
      <c r="L152" s="44">
        <f>'1월'!N152+'2월'!L152+'3월'!L152+'4월'!L152+'5월'!L152+'6월'!L152+'7월'!L152+'8월'!L152+'9월'!L152+'10월'!L152+'11월'!L152+'12월'!L152</f>
        <v>0</v>
      </c>
      <c r="M152" s="44">
        <f>'1월'!O152+'2월'!M152+'3월'!M152+'4월'!M152+'5월'!M152+'6월'!M152+'7월'!M152+'8월'!M152+'9월'!M152+'10월'!M152+'11월'!M152+'12월'!M152</f>
        <v>0</v>
      </c>
      <c r="O152" s="44">
        <f>IFERROR(VLOOKUP($A152,[1]플랫폼1!$A:$B,2,FALSE),0)</f>
        <v>0</v>
      </c>
      <c r="P152" s="44">
        <f>IFERROR(VLOOKUP($A152,[1]플랫폼2!$A:$M,12,FALSE),0)+IFERROR(VLOOKUP($A152,[1]플랫폼2!$A:$M,13,FALSE),0)</f>
        <v>0</v>
      </c>
      <c r="Q152" s="44">
        <f>IFERROR(VLOOKUP($A152,[1]플랫폼2!$A:$M,7,FALSE),0)+IFERROR(VLOOKUP($A152,[1]플랫폼2!$A:$M,12,FALSE),0)</f>
        <v>0</v>
      </c>
      <c r="R152" s="44">
        <f>IFERROR(VLOOKUP($A152,[1]모바일!$A:$S,17,FALSE),0)</f>
        <v>0</v>
      </c>
      <c r="S152" s="44">
        <f>IFERROR(VLOOKUP($A152,[1]모바일!$A:$S,18,FALSE),0)</f>
        <v>0</v>
      </c>
      <c r="T152" s="43">
        <f>IFERROR(VLOOKUP(A152,[1]플랫폼2!$A:$O,15,0),0)</f>
        <v>0</v>
      </c>
      <c r="U152" s="83"/>
    </row>
    <row r="153" spans="1:21" hidden="1" outlineLevel="1" x14ac:dyDescent="0.45">
      <c r="A153" s="29" t="s">
        <v>72</v>
      </c>
      <c r="B153" s="44">
        <f>'1월'!B153+'2월'!B153+'3월'!B153+'4월'!B153+'5월'!B153+'6월'!B153+'7월'!B153+'8월'!B153+'9월'!B153+'10월'!B153+'11월'!B153+'12월'!B153</f>
        <v>160467146</v>
      </c>
      <c r="C153" s="44">
        <f>'1월'!C153+'2월'!C153+'3월'!C153+'4월'!C153+'5월'!C153+'6월'!C153+'7월'!C153+'8월'!C153+'9월'!C153+'10월'!C153+'11월'!C153+'12월'!C153</f>
        <v>158409965</v>
      </c>
      <c r="D153" s="44">
        <f>'1월'!D153+'2월'!D153+'3월'!D153+'4월'!D153+'5월'!D153+'6월'!D153+'7월'!D153+'8월'!D153+'9월'!D153+'10월'!D153+'11월'!D153+'12월'!D153</f>
        <v>0</v>
      </c>
      <c r="E153" s="44">
        <f>'1월'!E153+'2월'!E153+'3월'!E153+'4월'!E153+'5월'!E153+'6월'!E153+'7월'!E153+'8월'!E153+'9월'!E153+'10월'!E153+'11월'!E153+'12월'!E153</f>
        <v>2057181</v>
      </c>
      <c r="F153" s="44">
        <f>'1월'!F153+'2월'!F153+'3월'!F153+'4월'!F153+'5월'!F153+'6월'!F153+'7월'!F153+'8월'!F153+'9월'!F153+'10월'!F153+'11월'!F153+'12월'!F153</f>
        <v>70229</v>
      </c>
      <c r="G153" s="44">
        <f>'1월'!H153+'2월'!G153+'3월'!G153+'4월'!G153+'5월'!G153+'6월'!G153+'7월'!G153+'8월'!G153+'9월'!G153+'10월'!G153+'11월'!G153+'12월'!G153</f>
        <v>70158</v>
      </c>
      <c r="H153" s="44">
        <f>'1월'!J153+'2월'!H153+'3월'!H153+'4월'!H153+'5월'!H153+'6월'!H153+'7월'!H153+'8월'!H153+'9월'!H153+'10월'!H153+'11월'!H153+'12월'!H153</f>
        <v>200628</v>
      </c>
      <c r="I153" s="44">
        <f>'1월'!K153+'2월'!I153+'3월'!I153+'4월'!I153+'5월'!I153+'6월'!I153+'7월'!I153+'8월'!I153+'9월'!I153+'10월'!I153+'11월'!I153+'12월'!I153</f>
        <v>0</v>
      </c>
      <c r="J153" s="44">
        <f>'1월'!L153+'2월'!J153+'3월'!J153+'4월'!J153+'5월'!J153+'6월'!J153+'7월'!J153+'8월'!J153+'9월'!J153+'10월'!J153+'11월'!J153+'12월'!J153</f>
        <v>0</v>
      </c>
      <c r="K153" s="44">
        <f>'1월'!M153+'2월'!K153+'3월'!K153+'4월'!K153+'5월'!K153+'6월'!K153+'7월'!K153+'8월'!K153+'9월'!K153+'10월'!K153+'11월'!K153+'12월'!K153</f>
        <v>0</v>
      </c>
      <c r="L153" s="44">
        <f>'1월'!N153+'2월'!L153+'3월'!L153+'4월'!L153+'5월'!L153+'6월'!L153+'7월'!L153+'8월'!L153+'9월'!L153+'10월'!L153+'11월'!L153+'12월'!L153</f>
        <v>0</v>
      </c>
      <c r="M153" s="44">
        <f>'1월'!O153+'2월'!M153+'3월'!M153+'4월'!M153+'5월'!M153+'6월'!M153+'7월'!M153+'8월'!M153+'9월'!M153+'10월'!M153+'11월'!M153+'12월'!M153</f>
        <v>1716166</v>
      </c>
      <c r="O153" s="44">
        <f>IFERROR(VLOOKUP($A153,[1]플랫폼1!$A:$B,2,FALSE),0)</f>
        <v>0</v>
      </c>
      <c r="P153" s="44">
        <f>IFERROR(VLOOKUP($A153,[1]플랫폼2!$A:$M,12,FALSE),0)+IFERROR(VLOOKUP($A153,[1]플랫폼2!$A:$M,13,FALSE),0)</f>
        <v>759986.5</v>
      </c>
      <c r="Q153" s="44">
        <f>IFERROR(VLOOKUP($A153,[1]플랫폼2!$A:$M,7,FALSE),0)+IFERROR(VLOOKUP($A153,[1]플랫폼2!$A:$M,12,FALSE),0)</f>
        <v>759986.5</v>
      </c>
      <c r="R153" s="44">
        <f>IFERROR(VLOOKUP($A153,[1]모바일!$A:$S,17,FALSE),0)</f>
        <v>0</v>
      </c>
      <c r="S153" s="44">
        <f>IFERROR(VLOOKUP($A153,[1]모바일!$A:$S,18,FALSE),0)</f>
        <v>0</v>
      </c>
      <c r="T153" s="43">
        <f>IFERROR(VLOOKUP(A153,[1]플랫폼2!$A:$O,15,0),0)</f>
        <v>196193</v>
      </c>
      <c r="U153" s="83"/>
    </row>
    <row r="154" spans="1:21" hidden="1" outlineLevel="1" x14ac:dyDescent="0.45">
      <c r="A154" s="29" t="s">
        <v>144</v>
      </c>
      <c r="B154" s="44">
        <f>'1월'!B154+'2월'!B154+'3월'!B154+'4월'!B154+'5월'!B154+'6월'!B154+'7월'!B154+'8월'!B154+'9월'!B154+'10월'!B154+'11월'!B154+'12월'!B154</f>
        <v>689707033</v>
      </c>
      <c r="C154" s="44">
        <f>'1월'!C154+'2월'!C154+'3월'!C154+'4월'!C154+'5월'!C154+'6월'!C154+'7월'!C154+'8월'!C154+'9월'!C154+'10월'!C154+'11월'!C154+'12월'!C154</f>
        <v>689707033</v>
      </c>
      <c r="D154" s="44">
        <f>'1월'!D154+'2월'!D154+'3월'!D154+'4월'!D154+'5월'!D154+'6월'!D154+'7월'!D154+'8월'!D154+'9월'!D154+'10월'!D154+'11월'!D154+'12월'!D154</f>
        <v>0</v>
      </c>
      <c r="E154" s="44">
        <f>'1월'!E154+'2월'!E154+'3월'!E154+'4월'!E154+'5월'!E154+'6월'!E154+'7월'!E154+'8월'!E154+'9월'!E154+'10월'!E154+'11월'!E154+'12월'!E154</f>
        <v>0</v>
      </c>
      <c r="F154" s="44">
        <f>'1월'!F154+'2월'!F154+'3월'!F154+'4월'!F154+'5월'!F154+'6월'!F154+'7월'!F154+'8월'!F154+'9월'!F154+'10월'!F154+'11월'!F154+'12월'!F154</f>
        <v>0</v>
      </c>
      <c r="G154" s="44">
        <f>'1월'!H154+'2월'!G154+'3월'!G154+'4월'!G154+'5월'!G154+'6월'!G154+'7월'!G154+'8월'!G154+'9월'!G154+'10월'!G154+'11월'!G154+'12월'!G154</f>
        <v>0</v>
      </c>
      <c r="H154" s="44">
        <f>'1월'!J154+'2월'!H154+'3월'!H154+'4월'!H154+'5월'!H154+'6월'!H154+'7월'!H154+'8월'!H154+'9월'!H154+'10월'!H154+'11월'!H154+'12월'!H154</f>
        <v>0</v>
      </c>
      <c r="I154" s="44">
        <f>'1월'!K154+'2월'!I154+'3월'!I154+'4월'!I154+'5월'!I154+'6월'!I154+'7월'!I154+'8월'!I154+'9월'!I154+'10월'!I154+'11월'!I154+'12월'!I154</f>
        <v>0</v>
      </c>
      <c r="J154" s="44">
        <f>'1월'!L154+'2월'!J154+'3월'!J154+'4월'!J154+'5월'!J154+'6월'!J154+'7월'!J154+'8월'!J154+'9월'!J154+'10월'!J154+'11월'!J154+'12월'!J154</f>
        <v>0</v>
      </c>
      <c r="K154" s="44">
        <f>'1월'!M154+'2월'!K154+'3월'!K154+'4월'!K154+'5월'!K154+'6월'!K154+'7월'!K154+'8월'!K154+'9월'!K154+'10월'!K154+'11월'!K154+'12월'!K154</f>
        <v>0</v>
      </c>
      <c r="L154" s="44">
        <f>'1월'!N154+'2월'!L154+'3월'!L154+'4월'!L154+'5월'!L154+'6월'!L154+'7월'!L154+'8월'!L154+'9월'!L154+'10월'!L154+'11월'!L154+'12월'!L154</f>
        <v>0</v>
      </c>
      <c r="M154" s="44">
        <f>'1월'!O154+'2월'!M154+'3월'!M154+'4월'!M154+'5월'!M154+'6월'!M154+'7월'!M154+'8월'!M154+'9월'!M154+'10월'!M154+'11월'!M154+'12월'!M154</f>
        <v>0</v>
      </c>
      <c r="O154" s="44">
        <f>IFERROR(VLOOKUP($A154,[1]플랫폼1!$A:$B,2,FALSE),0)</f>
        <v>0</v>
      </c>
      <c r="P154" s="44">
        <f>IFERROR(VLOOKUP($A154,[1]플랫폼2!$A:$M,12,FALSE),0)+IFERROR(VLOOKUP($A154,[1]플랫폼2!$A:$M,13,FALSE),0)</f>
        <v>0</v>
      </c>
      <c r="Q154" s="44">
        <f>IFERROR(VLOOKUP($A154,[1]플랫폼2!$A:$M,7,FALSE),0)+IFERROR(VLOOKUP($A154,[1]플랫폼2!$A:$M,12,FALSE),0)</f>
        <v>0</v>
      </c>
      <c r="R154" s="44">
        <f>IFERROR(VLOOKUP($A154,[1]모바일!$A:$S,17,FALSE),0)</f>
        <v>0</v>
      </c>
      <c r="S154" s="44">
        <f>IFERROR(VLOOKUP($A154,[1]모바일!$A:$S,18,FALSE),0)</f>
        <v>0</v>
      </c>
      <c r="T154" s="43">
        <f>IFERROR(VLOOKUP(A154,[1]플랫폼2!$A:$O,15,0),0)</f>
        <v>0</v>
      </c>
      <c r="U154" s="83"/>
    </row>
    <row r="155" spans="1:21" s="1" customFormat="1" hidden="1" outlineLevel="1" collapsed="1" x14ac:dyDescent="0.45">
      <c r="A155" s="29" t="s">
        <v>145</v>
      </c>
      <c r="B155" s="44">
        <f>'1월'!B155+'2월'!B155+'3월'!B155+'4월'!B155+'5월'!B155+'6월'!B155+'7월'!B155+'8월'!B155+'9월'!B155+'10월'!B155+'11월'!B155+'12월'!B155</f>
        <v>0</v>
      </c>
      <c r="C155" s="44">
        <f>'1월'!C155+'2월'!C155+'3월'!C155+'4월'!C155+'5월'!C155+'6월'!C155+'7월'!C155+'8월'!C155+'9월'!C155+'10월'!C155+'11월'!C155+'12월'!C155</f>
        <v>0</v>
      </c>
      <c r="D155" s="44">
        <f>'1월'!D155+'2월'!D155+'3월'!D155+'4월'!D155+'5월'!D155+'6월'!D155+'7월'!D155+'8월'!D155+'9월'!D155+'10월'!D155+'11월'!D155+'12월'!D155</f>
        <v>0</v>
      </c>
      <c r="E155" s="44">
        <f>'1월'!E155+'2월'!E155+'3월'!E155+'4월'!E155+'5월'!E155+'6월'!E155+'7월'!E155+'8월'!E155+'9월'!E155+'10월'!E155+'11월'!E155+'12월'!E155</f>
        <v>0</v>
      </c>
      <c r="F155" s="44">
        <f>'1월'!F155+'2월'!F155+'3월'!F155+'4월'!F155+'5월'!F155+'6월'!F155+'7월'!F155+'8월'!F155+'9월'!F155+'10월'!F155+'11월'!F155+'12월'!F155</f>
        <v>0</v>
      </c>
      <c r="G155" s="44">
        <f>'1월'!H155+'2월'!G155+'3월'!G155+'4월'!G155+'5월'!G155+'6월'!G155+'7월'!G155+'8월'!G155+'9월'!G155+'10월'!G155+'11월'!G155+'12월'!G155</f>
        <v>0</v>
      </c>
      <c r="H155" s="44">
        <f>'1월'!J155+'2월'!H155+'3월'!H155+'4월'!H155+'5월'!H155+'6월'!H155+'7월'!H155+'8월'!H155+'9월'!H155+'10월'!H155+'11월'!H155+'12월'!H155</f>
        <v>0</v>
      </c>
      <c r="I155" s="44">
        <f>'1월'!K155+'2월'!I155+'3월'!I155+'4월'!I155+'5월'!I155+'6월'!I155+'7월'!I155+'8월'!I155+'9월'!I155+'10월'!I155+'11월'!I155+'12월'!I155</f>
        <v>0</v>
      </c>
      <c r="J155" s="44">
        <f>'1월'!L155+'2월'!J155+'3월'!J155+'4월'!J155+'5월'!J155+'6월'!J155+'7월'!J155+'8월'!J155+'9월'!J155+'10월'!J155+'11월'!J155+'12월'!J155</f>
        <v>0</v>
      </c>
      <c r="K155" s="44">
        <f>'1월'!M155+'2월'!K155+'3월'!K155+'4월'!K155+'5월'!K155+'6월'!K155+'7월'!K155+'8월'!K155+'9월'!K155+'10월'!K155+'11월'!K155+'12월'!K155</f>
        <v>0</v>
      </c>
      <c r="L155" s="44">
        <f>'1월'!N155+'2월'!L155+'3월'!L155+'4월'!L155+'5월'!L155+'6월'!L155+'7월'!L155+'8월'!L155+'9월'!L155+'10월'!L155+'11월'!L155+'12월'!L155</f>
        <v>0</v>
      </c>
      <c r="M155" s="44">
        <f>'1월'!O155+'2월'!M155+'3월'!M155+'4월'!M155+'5월'!M155+'6월'!M155+'7월'!M155+'8월'!M155+'9월'!M155+'10월'!M155+'11월'!M155+'12월'!M155</f>
        <v>0</v>
      </c>
      <c r="O155" s="44">
        <f>IFERROR(VLOOKUP($A155,[1]플랫폼1!$A:$B,2,FALSE),0)</f>
        <v>0</v>
      </c>
      <c r="P155" s="44">
        <f>IFERROR(VLOOKUP($A155,[1]플랫폼2!$A:$M,12,FALSE),0)+IFERROR(VLOOKUP($A155,[1]플랫폼2!$A:$M,13,FALSE),0)</f>
        <v>0</v>
      </c>
      <c r="Q155" s="44">
        <f>IFERROR(VLOOKUP($A155,[1]플랫폼2!$A:$M,7,FALSE),0)+IFERROR(VLOOKUP($A155,[1]플랫폼2!$A:$M,12,FALSE),0)</f>
        <v>0</v>
      </c>
      <c r="R155" s="44">
        <f>IFERROR(VLOOKUP($A155,[1]모바일!$A:$S,17,FALSE),0)</f>
        <v>0</v>
      </c>
      <c r="S155" s="44">
        <f>IFERROR(VLOOKUP($A155,[1]모바일!$A:$S,18,FALSE),0)</f>
        <v>0</v>
      </c>
      <c r="T155" s="43">
        <f>IFERROR(VLOOKUP(A155,[1]플랫폼2!$A:$O,15,0),0)</f>
        <v>0</v>
      </c>
      <c r="U155" s="83"/>
    </row>
    <row r="156" spans="1:21" collapsed="1" x14ac:dyDescent="0.45">
      <c r="A156" s="28" t="s">
        <v>73</v>
      </c>
      <c r="B156" s="43">
        <f>'1월'!B156+'2월'!B156+'3월'!B156+'4월'!B156+'5월'!B156+'6월'!B156+'7월'!B156+'8월'!B156+'9월'!B156+'10월'!B156+'11월'!B156+'12월'!B156</f>
        <v>1287763148</v>
      </c>
      <c r="C156" s="43">
        <f>'1월'!C156+'2월'!C156+'3월'!C156+'4월'!C156+'5월'!C156+'6월'!C156+'7월'!C156+'8월'!C156+'9월'!C156+'10월'!C156+'11월'!C156+'12월'!C156</f>
        <v>115417508.47574364</v>
      </c>
      <c r="D156" s="43">
        <f>'1월'!D156+'2월'!D156+'3월'!D156+'4월'!D156+'5월'!D156+'6월'!D156+'7월'!D156+'8월'!D156+'9월'!D156+'10월'!D156+'11월'!D156+'12월'!D156</f>
        <v>24935268</v>
      </c>
      <c r="E156" s="43">
        <f>'1월'!E156+'2월'!E156+'3월'!E156+'4월'!E156+'5월'!E156+'6월'!E156+'7월'!E156+'8월'!E156+'9월'!E156+'10월'!E156+'11월'!E156+'12월'!E156</f>
        <v>1147410371.5242565</v>
      </c>
      <c r="F156" s="43">
        <f>'1월'!F156+'2월'!F156+'3월'!F156+'4월'!F156+'5월'!F156+'6월'!F156+'7월'!F156+'8월'!F156+'9월'!F156+'10월'!F156+'11월'!F156+'12월'!F156</f>
        <v>206823366.29295614</v>
      </c>
      <c r="G156" s="43">
        <f>'1월'!H156+'2월'!G156+'3월'!G156+'4월'!G156+'5월'!G156+'6월'!G156+'7월'!G156+'8월'!G156+'9월'!G156+'10월'!G156+'11월'!G156+'12월'!G156</f>
        <v>635030840.01845264</v>
      </c>
      <c r="H156" s="43">
        <f>'1월'!J156+'2월'!H156+'3월'!H156+'4월'!H156+'5월'!H156+'6월'!H156+'7월'!H156+'8월'!H156+'9월'!H156+'10월'!H156+'11월'!H156+'12월'!H156</f>
        <v>10734031.688591257</v>
      </c>
      <c r="I156" s="43">
        <f>'1월'!K156+'2월'!I156+'3월'!I156+'4월'!I156+'5월'!I156+'6월'!I156+'7월'!I156+'8월'!I156+'9월'!I156+'10월'!I156+'11월'!I156+'12월'!I156</f>
        <v>5352423.2768828813</v>
      </c>
      <c r="J156" s="43">
        <f>'1월'!L156+'2월'!J156+'3월'!J156+'4월'!J156+'5월'!J156+'6월'!J156+'7월'!J156+'8월'!J156+'9월'!J156+'10월'!J156+'11월'!J156+'12월'!J156</f>
        <v>11056808.766305523</v>
      </c>
      <c r="K156" s="43">
        <f>'1월'!M156+'2월'!K156+'3월'!K156+'4월'!K156+'5월'!K156+'6월'!K156+'7월'!K156+'8월'!K156+'9월'!K156+'10월'!K156+'11월'!K156+'12월'!K156</f>
        <v>52969354.93732281</v>
      </c>
      <c r="L156" s="43">
        <f>'1월'!N156+'2월'!L156+'3월'!L156+'4월'!L156+'5월'!L156+'6월'!L156+'7월'!L156+'8월'!L156+'9월'!L156+'10월'!L156+'11월'!L156+'12월'!L156</f>
        <v>224020916.54374513</v>
      </c>
      <c r="M156" s="43">
        <f>'1월'!O156+'2월'!M156+'3월'!M156+'4월'!M156+'5월'!M156+'6월'!M156+'7월'!M156+'8월'!M156+'9월'!M156+'10월'!M156+'11월'!M156+'12월'!M156</f>
        <v>1422630</v>
      </c>
      <c r="O156" s="43">
        <f>IFERROR(VLOOKUP($A156,[1]플랫폼1!$A:$B,2,FALSE),0)</f>
        <v>337960</v>
      </c>
      <c r="P156" s="43">
        <f>IFERROR(VLOOKUP($A156,[1]플랫폼2!$A:$M,12,FALSE),0)+IFERROR(VLOOKUP($A156,[1]플랫폼2!$A:$M,13,FALSE),0)</f>
        <v>211635</v>
      </c>
      <c r="Q156" s="43">
        <f>IFERROR(VLOOKUP($A156,[1]플랫폼2!$A:$M,7,FALSE),0)+IFERROR(VLOOKUP($A156,[1]플랫폼2!$A:$M,12,FALSE),0)</f>
        <v>211635</v>
      </c>
      <c r="R156" s="43">
        <f>IFERROR(VLOOKUP($A156,[1]모바일!$A:$S,17,FALSE),0)</f>
        <v>7158.333333333333</v>
      </c>
      <c r="S156" s="43">
        <f>IFERROR(VLOOKUP($A156,[1]모바일!$A:$S,18,FALSE),0)</f>
        <v>7158.333333333333</v>
      </c>
      <c r="T156" s="43">
        <f>IFERROR(VLOOKUP(A156,[1]플랫폼2!$A:$O,15,0),0)</f>
        <v>647083.33333333337</v>
      </c>
      <c r="U156" s="83"/>
    </row>
    <row r="157" spans="1:21" hidden="1" outlineLevel="1" x14ac:dyDescent="0.45">
      <c r="A157" s="29" t="s">
        <v>74</v>
      </c>
      <c r="B157" s="44">
        <f>'1월'!B157+'2월'!B157+'3월'!B157+'4월'!B157+'5월'!B157+'6월'!B157+'7월'!B157+'8월'!B157+'9월'!B157+'10월'!B157+'11월'!B157+'12월'!B157</f>
        <v>348580631</v>
      </c>
      <c r="C157" s="44">
        <f>'1월'!C157+'2월'!C157+'3월'!C157+'4월'!C157+'5월'!C157+'6월'!C157+'7월'!C157+'8월'!C157+'9월'!C157+'10월'!C157+'11월'!C157+'12월'!C157</f>
        <v>57796737.54209727</v>
      </c>
      <c r="D157" s="44">
        <f>'1월'!D157+'2월'!D157+'3월'!D157+'4월'!D157+'5월'!D157+'6월'!D157+'7월'!D157+'8월'!D157+'9월'!D157+'10월'!D157+'11월'!D157+'12월'!D157</f>
        <v>2075160</v>
      </c>
      <c r="E157" s="44">
        <f>'1월'!E157+'2월'!E157+'3월'!E157+'4월'!E157+'5월'!E157+'6월'!E157+'7월'!E157+'8월'!E157+'9월'!E157+'10월'!E157+'11월'!E157+'12월'!E157</f>
        <v>288708733.45790267</v>
      </c>
      <c r="F157" s="44">
        <f>'1월'!F157+'2월'!F157+'3월'!F157+'4월'!F157+'5월'!F157+'6월'!F157+'7월'!F157+'8월'!F157+'9월'!F157+'10월'!F157+'11월'!F157+'12월'!F157</f>
        <v>80991610.500552699</v>
      </c>
      <c r="G157" s="44">
        <f>'1월'!H157+'2월'!G157+'3월'!G157+'4월'!G157+'5월'!G157+'6월'!G157+'7월'!G157+'8월'!G157+'9월'!G157+'10월'!G157+'11월'!G157+'12월'!G157</f>
        <v>159214284.49944729</v>
      </c>
      <c r="H157" s="44">
        <f>'1월'!J157+'2월'!H157+'3월'!H157+'4월'!H157+'5월'!H157+'6월'!H157+'7월'!H157+'8월'!H157+'9월'!H157+'10월'!H157+'11월'!H157+'12월'!H157</f>
        <v>768950</v>
      </c>
      <c r="I157" s="44">
        <f>'1월'!K157+'2월'!I157+'3월'!I157+'4월'!I157+'5월'!I157+'6월'!I157+'7월'!I157+'8월'!I157+'9월'!I157+'10월'!I157+'11월'!I157+'12월'!I157</f>
        <v>1709151.6930907748</v>
      </c>
      <c r="J157" s="44">
        <f>'1월'!L157+'2월'!J157+'3월'!J157+'4월'!J157+'5월'!J157+'6월'!J157+'7월'!J157+'8월'!J157+'9월'!J157+'10월'!J157+'11월'!J157+'12월'!J157</f>
        <v>4233544.027833947</v>
      </c>
      <c r="K157" s="44">
        <f>'1월'!M157+'2월'!K157+'3월'!K157+'4월'!K157+'5월'!K157+'6월'!K157+'7월'!K157+'8월'!K157+'9월'!K157+'10월'!K157+'11월'!K157+'12월'!K157</f>
        <v>11540063.638814772</v>
      </c>
      <c r="L157" s="44">
        <f>'1월'!N157+'2월'!L157+'3월'!L157+'4월'!L157+'5월'!L157+'6월'!L157+'7월'!L157+'8월'!L157+'9월'!L157+'10월'!L157+'11월'!L157+'12월'!L157</f>
        <v>28988559.098163236</v>
      </c>
      <c r="M157" s="44">
        <f>'1월'!O157+'2월'!M157+'3월'!M157+'4월'!M157+'5월'!M157+'6월'!M157+'7월'!M157+'8월'!M157+'9월'!M157+'10월'!M157+'11월'!M157+'12월'!M157</f>
        <v>1262570</v>
      </c>
      <c r="O157" s="44">
        <f>IFERROR(VLOOKUP($A157,[1]플랫폼1!$A:$B,2,FALSE),0)</f>
        <v>257900</v>
      </c>
      <c r="P157" s="44">
        <f>IFERROR(VLOOKUP($A157,[1]플랫폼2!$A:$M,12,FALSE),0)+IFERROR(VLOOKUP($A157,[1]플랫폼2!$A:$M,13,FALSE),0)</f>
        <v>171635</v>
      </c>
      <c r="Q157" s="44">
        <f>IFERROR(VLOOKUP($A157,[1]플랫폼2!$A:$M,7,FALSE),0)+IFERROR(VLOOKUP($A157,[1]플랫폼2!$A:$M,12,FALSE),0)</f>
        <v>171635</v>
      </c>
      <c r="R157" s="44">
        <f>IFERROR(VLOOKUP($A157,[1]모바일!$A:$S,17,FALSE),0)</f>
        <v>7158.333333333333</v>
      </c>
      <c r="S157" s="44">
        <f>IFERROR(VLOOKUP($A157,[1]모바일!$A:$S,18,FALSE),0)</f>
        <v>7158.333333333333</v>
      </c>
      <c r="T157" s="43">
        <f>IFERROR(VLOOKUP(A157,[1]플랫폼2!$A:$O,15,0),0)</f>
        <v>647083.33333333337</v>
      </c>
      <c r="U157" s="83"/>
    </row>
    <row r="158" spans="1:21" hidden="1" outlineLevel="1" x14ac:dyDescent="0.45">
      <c r="A158" s="29" t="s">
        <v>75</v>
      </c>
      <c r="B158" s="44">
        <f>'1월'!B158+'2월'!B158+'3월'!B158+'4월'!B158+'5월'!B158+'6월'!B158+'7월'!B158+'8월'!B158+'9월'!B158+'10월'!B158+'11월'!B158+'12월'!B158</f>
        <v>135593774</v>
      </c>
      <c r="C158" s="44">
        <f>'1월'!C158+'2월'!C158+'3월'!C158+'4월'!C158+'5월'!C158+'6월'!C158+'7월'!C158+'8월'!C158+'9월'!C158+'10월'!C158+'11월'!C158+'12월'!C158</f>
        <v>33750942.933646366</v>
      </c>
      <c r="D158" s="44">
        <f>'1월'!D158+'2월'!D158+'3월'!D158+'4월'!D158+'5월'!D158+'6월'!D158+'7월'!D158+'8월'!D158+'9월'!D158+'10월'!D158+'11월'!D158+'12월'!D158</f>
        <v>22472108</v>
      </c>
      <c r="E158" s="44">
        <f>'1월'!E158+'2월'!E158+'3월'!E158+'4월'!E158+'5월'!E158+'6월'!E158+'7월'!E158+'8월'!E158+'9월'!E158+'10월'!E158+'11월'!E158+'12월'!E158</f>
        <v>79370723.066353634</v>
      </c>
      <c r="F158" s="44">
        <f>'1월'!F158+'2월'!F158+'3월'!F158+'4월'!F158+'5월'!F158+'6월'!F158+'7월'!F158+'8월'!F158+'9월'!F158+'10월'!F158+'11월'!F158+'12월'!F158</f>
        <v>41531639.773098163</v>
      </c>
      <c r="G158" s="44">
        <f>'1월'!H158+'2월'!G158+'3월'!G158+'4월'!G158+'5월'!G158+'6월'!G158+'7월'!G158+'8월'!G158+'9월'!G158+'10월'!G158+'11월'!G158+'12월'!G158</f>
        <v>8708712.5383105818</v>
      </c>
      <c r="H158" s="44">
        <f>'1월'!J158+'2월'!H158+'3월'!H158+'4월'!H158+'5월'!H158+'6월'!H158+'7월'!H158+'8월'!H158+'9월'!H158+'10월'!H158+'11월'!H158+'12월'!H158</f>
        <v>9965081.6885912567</v>
      </c>
      <c r="I158" s="44">
        <f>'1월'!K158+'2월'!I158+'3월'!I158+'4월'!I158+'5월'!I158+'6월'!I158+'7월'!I158+'8월'!I158+'9월'!I158+'10월'!I158+'11월'!I158+'12월'!I158</f>
        <v>3289239.5837921081</v>
      </c>
      <c r="J158" s="44">
        <f>'1월'!L158+'2월'!J158+'3월'!J158+'4월'!J158+'5월'!J158+'6월'!J158+'7월'!J158+'8월'!J158+'9월'!J158+'10월'!J158+'11월'!J158+'12월'!J158</f>
        <v>5501664.738471576</v>
      </c>
      <c r="K158" s="44">
        <f>'1월'!M158+'2월'!K158+'3월'!K158+'4월'!K158+'5월'!K158+'6월'!K158+'7월'!K158+'8월'!K158+'9월'!K158+'10월'!K158+'11월'!K158+'12월'!K158</f>
        <v>8159964.2985080481</v>
      </c>
      <c r="L158" s="44">
        <f>'1월'!N158+'2월'!L158+'3월'!L158+'4월'!L158+'5월'!L158+'6월'!L158+'7월'!L158+'8월'!L158+'9월'!L158+'10월'!L158+'11월'!L158+'12월'!L158</f>
        <v>2054360.4455818958</v>
      </c>
      <c r="M158" s="44">
        <f>'1월'!O158+'2월'!M158+'3월'!M158+'4월'!M158+'5월'!M158+'6월'!M158+'7월'!M158+'8월'!M158+'9월'!M158+'10월'!M158+'11월'!M158+'12월'!M158</f>
        <v>160060</v>
      </c>
      <c r="O158" s="44">
        <f>IFERROR(VLOOKUP($A158,[1]플랫폼1!$A:$B,2,FALSE),0)</f>
        <v>80060</v>
      </c>
      <c r="P158" s="44">
        <f>IFERROR(VLOOKUP($A158,[1]플랫폼2!$A:$M,12,FALSE),0)+IFERROR(VLOOKUP($A158,[1]플랫폼2!$A:$M,13,FALSE),0)</f>
        <v>40000</v>
      </c>
      <c r="Q158" s="44">
        <f>IFERROR(VLOOKUP($A158,[1]플랫폼2!$A:$M,7,FALSE),0)+IFERROR(VLOOKUP($A158,[1]플랫폼2!$A:$M,12,FALSE),0)</f>
        <v>40000</v>
      </c>
      <c r="R158" s="44">
        <f>IFERROR(VLOOKUP($A158,[1]모바일!$A:$S,17,FALSE),0)</f>
        <v>0</v>
      </c>
      <c r="S158" s="44">
        <f>IFERROR(VLOOKUP($A158,[1]모바일!$A:$S,18,FALSE),0)</f>
        <v>0</v>
      </c>
      <c r="T158" s="43">
        <f>IFERROR(VLOOKUP(A158,[1]플랫폼2!$A:$O,15,0),0)</f>
        <v>0</v>
      </c>
      <c r="U158" s="83"/>
    </row>
    <row r="159" spans="1:21" hidden="1" outlineLevel="1" x14ac:dyDescent="0.45">
      <c r="A159" s="29" t="s">
        <v>76</v>
      </c>
      <c r="B159" s="44">
        <f>'1월'!B159+'2월'!B159+'3월'!B159+'4월'!B159+'5월'!B159+'6월'!B159+'7월'!B159+'8월'!B159+'9월'!B159+'10월'!B159+'11월'!B159+'12월'!B159</f>
        <v>230042832</v>
      </c>
      <c r="C159" s="44">
        <f>'1월'!C159+'2월'!C159+'3월'!C159+'4월'!C159+'5월'!C159+'6월'!C159+'7월'!C159+'8월'!C159+'9월'!C159+'10월'!C159+'11월'!C159+'12월'!C159</f>
        <v>5827740</v>
      </c>
      <c r="D159" s="44">
        <f>'1월'!D159+'2월'!D159+'3월'!D159+'4월'!D159+'5월'!D159+'6월'!D159+'7월'!D159+'8월'!D159+'9월'!D159+'10월'!D159+'11월'!D159+'12월'!D159</f>
        <v>388000</v>
      </c>
      <c r="E159" s="44">
        <f>'1월'!E159+'2월'!E159+'3월'!E159+'4월'!E159+'5월'!E159+'6월'!E159+'7월'!E159+'8월'!E159+'9월'!E159+'10월'!E159+'11월'!E159+'12월'!E159</f>
        <v>223827092</v>
      </c>
      <c r="F159" s="44">
        <f>'1월'!F159+'2월'!F159+'3월'!F159+'4월'!F159+'5월'!F159+'6월'!F159+'7월'!F159+'8월'!F159+'9월'!F159+'10월'!F159+'11월'!F159+'12월'!F159</f>
        <v>23684079.90082404</v>
      </c>
      <c r="G159" s="44">
        <f>'1월'!H159+'2월'!G159+'3월'!G159+'4월'!G159+'5월'!G159+'6월'!G159+'7월'!G159+'8월'!G159+'9월'!G159+'10월'!G159+'11월'!G159+'12월'!G159</f>
        <v>22299161.09917596</v>
      </c>
      <c r="H159" s="44">
        <f>'1월'!J159+'2월'!H159+'3월'!H159+'4월'!H159+'5월'!H159+'6월'!H159+'7월'!H159+'8월'!H159+'9월'!H159+'10월'!H159+'11월'!H159+'12월'!H159</f>
        <v>0</v>
      </c>
      <c r="I159" s="44">
        <f>'1월'!K159+'2월'!I159+'3월'!I159+'4월'!I159+'5월'!I159+'6월'!I159+'7월'!I159+'8월'!I159+'9월'!I159+'10월'!I159+'11월'!I159+'12월'!I159</f>
        <v>354032</v>
      </c>
      <c r="J159" s="44">
        <f>'1월'!L159+'2월'!J159+'3월'!J159+'4월'!J159+'5월'!J159+'6월'!J159+'7월'!J159+'8월'!J159+'9월'!J159+'10월'!J159+'11월'!J159+'12월'!J159</f>
        <v>1321600</v>
      </c>
      <c r="K159" s="44">
        <f>'1월'!M159+'2월'!K159+'3월'!K159+'4월'!K159+'5월'!K159+'6월'!K159+'7월'!K159+'8월'!K159+'9월'!K159+'10월'!K159+'11월'!K159+'12월'!K159</f>
        <v>28276171</v>
      </c>
      <c r="L159" s="44">
        <f>'1월'!N159+'2월'!L159+'3월'!L159+'4월'!L159+'5월'!L159+'6월'!L159+'7월'!L159+'8월'!L159+'9월'!L159+'10월'!L159+'11월'!L159+'12월'!L159</f>
        <v>147892048</v>
      </c>
      <c r="M159" s="44">
        <f>'1월'!O159+'2월'!M159+'3월'!M159+'4월'!M159+'5월'!M159+'6월'!M159+'7월'!M159+'8월'!M159+'9월'!M159+'10월'!M159+'11월'!M159+'12월'!M159</f>
        <v>0</v>
      </c>
      <c r="O159" s="44">
        <f>IFERROR(VLOOKUP($A159,[1]플랫폼1!$A:$B,2,FALSE),0)</f>
        <v>0</v>
      </c>
      <c r="P159" s="44">
        <f>IFERROR(VLOOKUP($A159,[1]플랫폼2!$A:$M,12,FALSE),0)+IFERROR(VLOOKUP($A159,[1]플랫폼2!$A:$M,13,FALSE),0)</f>
        <v>0</v>
      </c>
      <c r="Q159" s="44">
        <f>IFERROR(VLOOKUP($A159,[1]플랫폼2!$A:$M,7,FALSE),0)+IFERROR(VLOOKUP($A159,[1]플랫폼2!$A:$M,12,FALSE),0)</f>
        <v>0</v>
      </c>
      <c r="R159" s="44">
        <f>IFERROR(VLOOKUP($A159,[1]모바일!$A:$S,17,FALSE),0)</f>
        <v>0</v>
      </c>
      <c r="S159" s="44">
        <f>IFERROR(VLOOKUP($A159,[1]모바일!$A:$S,18,FALSE),0)</f>
        <v>0</v>
      </c>
      <c r="T159" s="43">
        <f>IFERROR(VLOOKUP(A159,[1]플랫폼2!$A:$O,15,0),0)</f>
        <v>0</v>
      </c>
      <c r="U159" s="83"/>
    </row>
    <row r="160" spans="1:21" hidden="1" outlineLevel="1" x14ac:dyDescent="0.45">
      <c r="A160" s="29" t="s">
        <v>77</v>
      </c>
      <c r="B160" s="44">
        <f>'1월'!B160+'2월'!B160+'3월'!B160+'4월'!B160+'5월'!B160+'6월'!B160+'7월'!B160+'8월'!B160+'9월'!B160+'10월'!B160+'11월'!B160+'12월'!B160</f>
        <v>573545911</v>
      </c>
      <c r="C160" s="44">
        <f>'1월'!C160+'2월'!C160+'3월'!C160+'4월'!C160+'5월'!C160+'6월'!C160+'7월'!C160+'8월'!C160+'9월'!C160+'10월'!C160+'11월'!C160+'12월'!C160</f>
        <v>18042088</v>
      </c>
      <c r="D160" s="44">
        <f>'1월'!D160+'2월'!D160+'3월'!D160+'4월'!D160+'5월'!D160+'6월'!D160+'7월'!D160+'8월'!D160+'9월'!D160+'10월'!D160+'11월'!D160+'12월'!D160</f>
        <v>0</v>
      </c>
      <c r="E160" s="44">
        <f>'1월'!E160+'2월'!E160+'3월'!E160+'4월'!E160+'5월'!E160+'6월'!E160+'7월'!E160+'8월'!E160+'9월'!E160+'10월'!E160+'11월'!E160+'12월'!E160</f>
        <v>555503823</v>
      </c>
      <c r="F160" s="44">
        <f>'1월'!F160+'2월'!F160+'3월'!F160+'4월'!F160+'5월'!F160+'6월'!F160+'7월'!F160+'8월'!F160+'9월'!F160+'10월'!F160+'11월'!F160+'12월'!F160</f>
        <v>60616036.118481234</v>
      </c>
      <c r="G160" s="44">
        <f>'1월'!H160+'2월'!G160+'3월'!G160+'4월'!G160+'5월'!G160+'6월'!G160+'7월'!G160+'8월'!G160+'9월'!G160+'10월'!G160+'11월'!G160+'12월'!G160</f>
        <v>444808681.88151872</v>
      </c>
      <c r="H160" s="44">
        <f>'1월'!J160+'2월'!H160+'3월'!H160+'4월'!H160+'5월'!H160+'6월'!H160+'7월'!H160+'8월'!H160+'9월'!H160+'10월'!H160+'11월'!H160+'12월'!H160</f>
        <v>0</v>
      </c>
      <c r="I160" s="44">
        <f>'1월'!K160+'2월'!I160+'3월'!I160+'4월'!I160+'5월'!I160+'6월'!I160+'7월'!I160+'8월'!I160+'9월'!I160+'10월'!I160+'11월'!I160+'12월'!I160</f>
        <v>0</v>
      </c>
      <c r="J160" s="44">
        <f>'1월'!L160+'2월'!J160+'3월'!J160+'4월'!J160+'5월'!J160+'6월'!J160+'7월'!J160+'8월'!J160+'9월'!J160+'10월'!J160+'11월'!J160+'12월'!J160</f>
        <v>0</v>
      </c>
      <c r="K160" s="44">
        <f>'1월'!M160+'2월'!K160+'3월'!K160+'4월'!K160+'5월'!K160+'6월'!K160+'7월'!K160+'8월'!K160+'9월'!K160+'10월'!K160+'11월'!K160+'12월'!K160</f>
        <v>4993156</v>
      </c>
      <c r="L160" s="44">
        <f>'1월'!N160+'2월'!L160+'3월'!L160+'4월'!L160+'5월'!L160+'6월'!L160+'7월'!L160+'8월'!L160+'9월'!L160+'10월'!L160+'11월'!L160+'12월'!L160</f>
        <v>45085949</v>
      </c>
      <c r="M160" s="44">
        <f>'1월'!O160+'2월'!M160+'3월'!M160+'4월'!M160+'5월'!M160+'6월'!M160+'7월'!M160+'8월'!M160+'9월'!M160+'10월'!M160+'11월'!M160+'12월'!M160</f>
        <v>0</v>
      </c>
      <c r="O160" s="44">
        <f>IFERROR(VLOOKUP($A160,[1]플랫폼1!$A:$B,2,FALSE),0)</f>
        <v>0</v>
      </c>
      <c r="P160" s="44">
        <f>IFERROR(VLOOKUP($A160,[1]플랫폼2!$A:$M,12,FALSE),0)+IFERROR(VLOOKUP($A160,[1]플랫폼2!$A:$M,13,FALSE),0)</f>
        <v>0</v>
      </c>
      <c r="Q160" s="44">
        <f>IFERROR(VLOOKUP($A160,[1]플랫폼2!$A:$M,7,FALSE),0)+IFERROR(VLOOKUP($A160,[1]플랫폼2!$A:$M,12,FALSE),0)</f>
        <v>0</v>
      </c>
      <c r="R160" s="44">
        <f>IFERROR(VLOOKUP($A160,[1]모바일!$A:$S,17,FALSE),0)</f>
        <v>0</v>
      </c>
      <c r="S160" s="44">
        <f>IFERROR(VLOOKUP($A160,[1]모바일!$A:$S,18,FALSE),0)</f>
        <v>0</v>
      </c>
      <c r="T160" s="43">
        <f>IFERROR(VLOOKUP(A160,[1]플랫폼2!$A:$O,15,0),0)</f>
        <v>0</v>
      </c>
      <c r="U160" s="83"/>
    </row>
    <row r="161" spans="1:21" hidden="1" outlineLevel="1" x14ac:dyDescent="0.45">
      <c r="A161" s="29" t="s">
        <v>198</v>
      </c>
      <c r="B161" s="44">
        <f>'1월'!B161+'2월'!B161+'3월'!B161+'4월'!B161+'5월'!B161+'6월'!B161+'7월'!B161+'8월'!B161+'9월'!B161+'10월'!B161+'11월'!B161+'12월'!B161</f>
        <v>0</v>
      </c>
      <c r="C161" s="44">
        <f>'1월'!C161+'2월'!C161+'3월'!C161+'4월'!C161+'5월'!C161+'6월'!C161+'7월'!C161+'8월'!C161+'9월'!C161+'10월'!C161+'11월'!C161+'12월'!C161</f>
        <v>0</v>
      </c>
      <c r="D161" s="44">
        <f>'1월'!D161+'2월'!D161+'3월'!D161+'4월'!D161+'5월'!D161+'6월'!D161+'7월'!D161+'8월'!D161+'9월'!D161+'10월'!D161+'11월'!D161+'12월'!D161</f>
        <v>0</v>
      </c>
      <c r="E161" s="44">
        <f>'1월'!E161+'2월'!E161+'3월'!E161+'4월'!E161+'5월'!E161+'6월'!E161+'7월'!E161+'8월'!E161+'9월'!E161+'10월'!E161+'11월'!E161+'12월'!E161</f>
        <v>0</v>
      </c>
      <c r="F161" s="44">
        <f>'1월'!F161+'2월'!F161+'3월'!F161+'4월'!F161+'5월'!F161+'6월'!F161+'7월'!F161+'8월'!F161+'9월'!F161+'10월'!F161+'11월'!F161+'12월'!F161</f>
        <v>0</v>
      </c>
      <c r="G161" s="44">
        <f>'1월'!H161+'2월'!G161+'3월'!G161+'4월'!G161+'5월'!G161+'6월'!G161+'7월'!G161+'8월'!G161+'9월'!G161+'10월'!G161+'11월'!G161+'12월'!G161</f>
        <v>0</v>
      </c>
      <c r="H161" s="44">
        <f>'1월'!J161+'2월'!H161+'3월'!H161+'4월'!H161+'5월'!H161+'6월'!H161+'7월'!H161+'8월'!H161+'9월'!H161+'10월'!H161+'11월'!H161+'12월'!H161</f>
        <v>0</v>
      </c>
      <c r="I161" s="44">
        <f>'1월'!K161+'2월'!I161+'3월'!I161+'4월'!I161+'5월'!I161+'6월'!I161+'7월'!I161+'8월'!I161+'9월'!I161+'10월'!I161+'11월'!I161+'12월'!I161</f>
        <v>0</v>
      </c>
      <c r="J161" s="44">
        <f>'1월'!L161+'2월'!J161+'3월'!J161+'4월'!J161+'5월'!J161+'6월'!J161+'7월'!J161+'8월'!J161+'9월'!J161+'10월'!J161+'11월'!J161+'12월'!J161</f>
        <v>0</v>
      </c>
      <c r="K161" s="44">
        <f>'1월'!M161+'2월'!K161+'3월'!K161+'4월'!K161+'5월'!K161+'6월'!K161+'7월'!K161+'8월'!K161+'9월'!K161+'10월'!K161+'11월'!K161+'12월'!K161</f>
        <v>0</v>
      </c>
      <c r="L161" s="44">
        <f>'1월'!N161+'2월'!L161+'3월'!L161+'4월'!L161+'5월'!L161+'6월'!L161+'7월'!L161+'8월'!L161+'9월'!L161+'10월'!L161+'11월'!L161+'12월'!L161</f>
        <v>0</v>
      </c>
      <c r="M161" s="44">
        <f>'1월'!O161+'2월'!M161+'3월'!M161+'4월'!M161+'5월'!M161+'6월'!M161+'7월'!M161+'8월'!M161+'9월'!M161+'10월'!M161+'11월'!M161+'12월'!M161</f>
        <v>0</v>
      </c>
      <c r="O161" s="44">
        <f>IFERROR(VLOOKUP($A161,[1]플랫폼1!$A:$B,2,FALSE),0)</f>
        <v>0</v>
      </c>
      <c r="P161" s="44">
        <f>IFERROR(VLOOKUP($A161,[1]플랫폼2!$A:$M,12,FALSE),0)+IFERROR(VLOOKUP($A161,[1]플랫폼2!$A:$M,13,FALSE),0)</f>
        <v>0</v>
      </c>
      <c r="Q161" s="44">
        <f>IFERROR(VLOOKUP($A161,[1]플랫폼2!$A:$M,7,FALSE),0)+IFERROR(VLOOKUP($A161,[1]플랫폼2!$A:$M,12,FALSE),0)</f>
        <v>0</v>
      </c>
      <c r="R161" s="44">
        <f>IFERROR(VLOOKUP($A161,[1]모바일!$A:$S,17,FALSE),0)</f>
        <v>0</v>
      </c>
      <c r="S161" s="44">
        <f>IFERROR(VLOOKUP($A161,[1]모바일!$A:$S,18,FALSE),0)</f>
        <v>0</v>
      </c>
      <c r="T161" s="43">
        <f>IFERROR(VLOOKUP(A161,[1]플랫폼2!$A:$O,15,0),0)</f>
        <v>0</v>
      </c>
      <c r="U161" s="83"/>
    </row>
    <row r="162" spans="1:21" hidden="1" outlineLevel="1" x14ac:dyDescent="0.45">
      <c r="A162" s="24" t="s">
        <v>199</v>
      </c>
      <c r="B162" s="45">
        <f>'1월'!B162+'2월'!B162+'3월'!B162+'4월'!B162+'5월'!B162+'6월'!B162+'7월'!B162+'8월'!B162+'9월'!B162+'10월'!B162+'11월'!B162+'12월'!B162</f>
        <v>0</v>
      </c>
      <c r="C162" s="45">
        <f>'1월'!C162+'2월'!C162+'3월'!C162+'4월'!C162+'5월'!C162+'6월'!C162+'7월'!C162+'8월'!C162+'9월'!C162+'10월'!C162+'11월'!C162+'12월'!C162</f>
        <v>0</v>
      </c>
      <c r="D162" s="45">
        <f>'1월'!D162+'2월'!D162+'3월'!D162+'4월'!D162+'5월'!D162+'6월'!D162+'7월'!D162+'8월'!D162+'9월'!D162+'10월'!D162+'11월'!D162+'12월'!D162</f>
        <v>0</v>
      </c>
      <c r="E162" s="45">
        <f>'1월'!E162+'2월'!E162+'3월'!E162+'4월'!E162+'5월'!E162+'6월'!E162+'7월'!E162+'8월'!E162+'9월'!E162+'10월'!E162+'11월'!E162+'12월'!E162</f>
        <v>0</v>
      </c>
      <c r="F162" s="45">
        <f>'1월'!F162+'2월'!F162+'3월'!F162+'4월'!F162+'5월'!F162+'6월'!F162+'7월'!F162+'8월'!F162+'9월'!F162+'10월'!F162+'11월'!F162+'12월'!F162</f>
        <v>0</v>
      </c>
      <c r="G162" s="45">
        <f>'1월'!H162+'2월'!G162+'3월'!G162+'4월'!G162+'5월'!G162+'6월'!G162+'7월'!G162+'8월'!G162+'9월'!G162+'10월'!G162+'11월'!G162+'12월'!G162</f>
        <v>0</v>
      </c>
      <c r="H162" s="45">
        <f>'1월'!J162+'2월'!H162+'3월'!H162+'4월'!H162+'5월'!H162+'6월'!H162+'7월'!H162+'8월'!H162+'9월'!H162+'10월'!H162+'11월'!H162+'12월'!H162</f>
        <v>0</v>
      </c>
      <c r="I162" s="45">
        <f>'1월'!K162+'2월'!I162+'3월'!I162+'4월'!I162+'5월'!I162+'6월'!I162+'7월'!I162+'8월'!I162+'9월'!I162+'10월'!I162+'11월'!I162+'12월'!I162</f>
        <v>0</v>
      </c>
      <c r="J162" s="45">
        <f>'1월'!L162+'2월'!J162+'3월'!J162+'4월'!J162+'5월'!J162+'6월'!J162+'7월'!J162+'8월'!J162+'9월'!J162+'10월'!J162+'11월'!J162+'12월'!J162</f>
        <v>0</v>
      </c>
      <c r="K162" s="45">
        <f>'1월'!M162+'2월'!K162+'3월'!K162+'4월'!K162+'5월'!K162+'6월'!K162+'7월'!K162+'8월'!K162+'9월'!K162+'10월'!K162+'11월'!K162+'12월'!K162</f>
        <v>0</v>
      </c>
      <c r="L162" s="45">
        <f>'1월'!N162+'2월'!L162+'3월'!L162+'4월'!L162+'5월'!L162+'6월'!L162+'7월'!L162+'8월'!L162+'9월'!L162+'10월'!L162+'11월'!L162+'12월'!L162</f>
        <v>0</v>
      </c>
      <c r="M162" s="45">
        <f>'1월'!O162+'2월'!M162+'3월'!M162+'4월'!M162+'5월'!M162+'6월'!M162+'7월'!M162+'8월'!M162+'9월'!M162+'10월'!M162+'11월'!M162+'12월'!M162</f>
        <v>0</v>
      </c>
      <c r="O162" s="45">
        <f>IFERROR(VLOOKUP($A162,[1]플랫폼1!$A:$B,2,FALSE),0)</f>
        <v>0</v>
      </c>
      <c r="P162" s="45">
        <f>IFERROR(VLOOKUP($A162,[1]플랫폼2!$A:$M,12,FALSE),0)+IFERROR(VLOOKUP($A162,[1]플랫폼2!$A:$M,13,FALSE),0)</f>
        <v>0</v>
      </c>
      <c r="Q162" s="45">
        <f>IFERROR(VLOOKUP($A162,[1]플랫폼2!$A:$M,7,FALSE),0)+IFERROR(VLOOKUP($A162,[1]플랫폼2!$A:$M,12,FALSE),0)</f>
        <v>0</v>
      </c>
      <c r="R162" s="45">
        <f>IFERROR(VLOOKUP($A162,[1]모바일!$A:$S,17,FALSE),0)</f>
        <v>0</v>
      </c>
      <c r="S162" s="45">
        <f>IFERROR(VLOOKUP($A162,[1]모바일!$A:$S,18,FALSE),0)</f>
        <v>0</v>
      </c>
      <c r="T162" s="54">
        <f>IFERROR(VLOOKUP(A162,[1]플랫폼2!$A:$O,15,0),0)</f>
        <v>0</v>
      </c>
      <c r="U162" s="83"/>
    </row>
    <row r="163" spans="1:21" s="1" customFormat="1" hidden="1" outlineLevel="1" collapsed="1" x14ac:dyDescent="0.45">
      <c r="A163" s="30" t="s">
        <v>200</v>
      </c>
      <c r="B163" s="46">
        <f>'1월'!B163+'2월'!B163+'3월'!B163+'4월'!B163+'5월'!B163+'6월'!B163+'7월'!B163+'8월'!B163+'9월'!B163+'10월'!B163+'11월'!B163+'12월'!B163</f>
        <v>0</v>
      </c>
      <c r="C163" s="46">
        <f>'1월'!C163+'2월'!C163+'3월'!C163+'4월'!C163+'5월'!C163+'6월'!C163+'7월'!C163+'8월'!C163+'9월'!C163+'10월'!C163+'11월'!C163+'12월'!C163</f>
        <v>0</v>
      </c>
      <c r="D163" s="46">
        <f>'1월'!D163+'2월'!D163+'3월'!D163+'4월'!D163+'5월'!D163+'6월'!D163+'7월'!D163+'8월'!D163+'9월'!D163+'10월'!D163+'11월'!D163+'12월'!D163</f>
        <v>0</v>
      </c>
      <c r="E163" s="46">
        <f>'1월'!E163+'2월'!E163+'3월'!E163+'4월'!E163+'5월'!E163+'6월'!E163+'7월'!E163+'8월'!E163+'9월'!E163+'10월'!E163+'11월'!E163+'12월'!E163</f>
        <v>0</v>
      </c>
      <c r="F163" s="46">
        <f>'1월'!F163+'2월'!F163+'3월'!F163+'4월'!F163+'5월'!F163+'6월'!F163+'7월'!F163+'8월'!F163+'9월'!F163+'10월'!F163+'11월'!F163+'12월'!F163</f>
        <v>0</v>
      </c>
      <c r="G163" s="46">
        <f>'1월'!H163+'2월'!G163+'3월'!G163+'4월'!G163+'5월'!G163+'6월'!G163+'7월'!G163+'8월'!G163+'9월'!G163+'10월'!G163+'11월'!G163+'12월'!G163</f>
        <v>0</v>
      </c>
      <c r="H163" s="46">
        <f>'1월'!J163+'2월'!H163+'3월'!H163+'4월'!H163+'5월'!H163+'6월'!H163+'7월'!H163+'8월'!H163+'9월'!H163+'10월'!H163+'11월'!H163+'12월'!H163</f>
        <v>0</v>
      </c>
      <c r="I163" s="46">
        <f>'1월'!K163+'2월'!I163+'3월'!I163+'4월'!I163+'5월'!I163+'6월'!I163+'7월'!I163+'8월'!I163+'9월'!I163+'10월'!I163+'11월'!I163+'12월'!I163</f>
        <v>0</v>
      </c>
      <c r="J163" s="46">
        <f>'1월'!L163+'2월'!J163+'3월'!J163+'4월'!J163+'5월'!J163+'6월'!J163+'7월'!J163+'8월'!J163+'9월'!J163+'10월'!J163+'11월'!J163+'12월'!J163</f>
        <v>0</v>
      </c>
      <c r="K163" s="46">
        <f>'1월'!M163+'2월'!K163+'3월'!K163+'4월'!K163+'5월'!K163+'6월'!K163+'7월'!K163+'8월'!K163+'9월'!K163+'10월'!K163+'11월'!K163+'12월'!K163</f>
        <v>0</v>
      </c>
      <c r="L163" s="46">
        <f>'1월'!N163+'2월'!L163+'3월'!L163+'4월'!L163+'5월'!L163+'6월'!L163+'7월'!L163+'8월'!L163+'9월'!L163+'10월'!L163+'11월'!L163+'12월'!L163</f>
        <v>0</v>
      </c>
      <c r="M163" s="46">
        <f>'1월'!O163+'2월'!M163+'3월'!M163+'4월'!M163+'5월'!M163+'6월'!M163+'7월'!M163+'8월'!M163+'9월'!M163+'10월'!M163+'11월'!M163+'12월'!M163</f>
        <v>0</v>
      </c>
      <c r="O163" s="46">
        <f>IFERROR(VLOOKUP($A163,[1]플랫폼1!$A:$B,2,FALSE),0)</f>
        <v>0</v>
      </c>
      <c r="P163" s="46">
        <f>IFERROR(VLOOKUP($A163,[1]플랫폼2!$A:$M,12,FALSE),0)+IFERROR(VLOOKUP($A163,[1]플랫폼2!$A:$M,13,FALSE),0)</f>
        <v>0</v>
      </c>
      <c r="Q163" s="46">
        <f>IFERROR(VLOOKUP($A163,[1]플랫폼2!$A:$M,7,FALSE),0)+IFERROR(VLOOKUP($A163,[1]플랫폼2!$A:$M,12,FALSE),0)</f>
        <v>0</v>
      </c>
      <c r="R163" s="46">
        <f>IFERROR(VLOOKUP($A163,[1]모바일!$A:$S,17,FALSE),0)</f>
        <v>0</v>
      </c>
      <c r="S163" s="46">
        <f>IFERROR(VLOOKUP($A163,[1]모바일!$A:$S,18,FALSE),0)</f>
        <v>0</v>
      </c>
      <c r="T163" s="199">
        <f>IFERROR(VLOOKUP(A163,[1]플랫폼2!$A:$O,15,0),0)</f>
        <v>0</v>
      </c>
      <c r="U163" s="83"/>
    </row>
    <row r="164" spans="1:21" collapsed="1" x14ac:dyDescent="0.45">
      <c r="A164" s="28" t="s">
        <v>78</v>
      </c>
      <c r="B164" s="43">
        <f>'1월'!B164+'2월'!B164+'3월'!B164+'4월'!B164+'5월'!B164+'6월'!B164+'7월'!B164+'8월'!B164+'9월'!B164+'10월'!B164+'11월'!B164+'12월'!B164</f>
        <v>4731244065</v>
      </c>
      <c r="C164" s="43">
        <f>'1월'!C164+'2월'!C164+'3월'!C164+'4월'!C164+'5월'!C164+'6월'!C164+'7월'!C164+'8월'!C164+'9월'!C164+'10월'!C164+'11월'!C164+'12월'!C164</f>
        <v>-549014582</v>
      </c>
      <c r="D164" s="43">
        <f>'1월'!D164+'2월'!D164+'3월'!D164+'4월'!D164+'5월'!D164+'6월'!D164+'7월'!D164+'8월'!D164+'9월'!D164+'10월'!D164+'11월'!D164+'12월'!D164</f>
        <v>1480989617</v>
      </c>
      <c r="E164" s="43">
        <f>'1월'!E164+'2월'!E164+'3월'!E164+'4월'!E164+'5월'!E164+'6월'!E164+'7월'!E164+'8월'!E164+'9월'!E164+'10월'!E164+'11월'!E164+'12월'!E164</f>
        <v>3799269030</v>
      </c>
      <c r="F164" s="43">
        <f>'1월'!F164+'2월'!F164+'3월'!F164+'4월'!F164+'5월'!F164+'6월'!F164+'7월'!F164+'8월'!F164+'9월'!F164+'10월'!F164+'11월'!F164+'12월'!F164</f>
        <v>1661084414</v>
      </c>
      <c r="G164" s="43">
        <f>'1월'!H164+'2월'!G164+'3월'!G164+'4월'!G164+'5월'!G164+'6월'!G164+'7월'!G164+'8월'!G164+'9월'!G164+'10월'!G164+'11월'!G164+'12월'!G164</f>
        <v>1022501549</v>
      </c>
      <c r="H164" s="43">
        <f>'1월'!J164+'2월'!H164+'3월'!H164+'4월'!H164+'5월'!H164+'6월'!H164+'7월'!H164+'8월'!H164+'9월'!H164+'10월'!H164+'11월'!H164+'12월'!H164</f>
        <v>659875634</v>
      </c>
      <c r="I164" s="43">
        <f>'1월'!K164+'2월'!I164+'3월'!I164+'4월'!I164+'5월'!I164+'6월'!I164+'7월'!I164+'8월'!I164+'9월'!I164+'10월'!I164+'11월'!I164+'12월'!I164</f>
        <v>15993847.800000001</v>
      </c>
      <c r="J164" s="43">
        <f>'1월'!L164+'2월'!J164+'3월'!J164+'4월'!J164+'5월'!J164+'6월'!J164+'7월'!J164+'8월'!J164+'9월'!J164+'10월'!J164+'11월'!J164+'12월'!J164</f>
        <v>17283550.199999999</v>
      </c>
      <c r="K164" s="43">
        <f>'1월'!M164+'2월'!K164+'3월'!K164+'4월'!K164+'5월'!K164+'6월'!K164+'7월'!K164+'8월'!K164+'9월'!K164+'10월'!K164+'11월'!K164+'12월'!K164</f>
        <v>-24468075</v>
      </c>
      <c r="L164" s="43">
        <f>'1월'!N164+'2월'!L164+'3월'!L164+'4월'!L164+'5월'!L164+'6월'!L164+'7월'!L164+'8월'!L164+'9월'!L164+'10월'!L164+'11월'!L164+'12월'!L164</f>
        <v>0</v>
      </c>
      <c r="M164" s="43">
        <f>'1월'!O164+'2월'!M164+'3월'!M164+'4월'!M164+'5월'!M164+'6월'!M164+'7월'!M164+'8월'!M164+'9월'!M164+'10월'!M164+'11월'!M164+'12월'!M164</f>
        <v>446998110</v>
      </c>
      <c r="O164" s="43">
        <f>IFERROR(VLOOKUP($A164,[1]플랫폼1!$A:$B,2,FALSE),0)</f>
        <v>367913925</v>
      </c>
      <c r="P164" s="43">
        <f>IFERROR(VLOOKUP($A164,[1]플랫폼2!$A:$M,12,FALSE),0)+IFERROR(VLOOKUP($A164,[1]플랫폼2!$A:$M,13,FALSE),0)</f>
        <v>20000</v>
      </c>
      <c r="Q164" s="43">
        <f>IFERROR(VLOOKUP($A164,[1]플랫폼2!$A:$M,7,FALSE),0)+IFERROR(VLOOKUP($A164,[1]플랫폼2!$A:$M,12,FALSE),0)</f>
        <v>62135934</v>
      </c>
      <c r="R164" s="43">
        <f>IFERROR(VLOOKUP($A164,[1]모바일!$A:$S,17,FALSE),0)</f>
        <v>11502138</v>
      </c>
      <c r="S164" s="43">
        <f>IFERROR(VLOOKUP($A164,[1]모바일!$A:$S,18,FALSE),0)</f>
        <v>4368113</v>
      </c>
      <c r="T164" s="43">
        <f>IFERROR(VLOOKUP(A164,[1]플랫폼2!$A:$O,15,0),0)</f>
        <v>1058000</v>
      </c>
      <c r="U164" s="83"/>
    </row>
    <row r="165" spans="1:21" hidden="1" outlineLevel="1" x14ac:dyDescent="0.45">
      <c r="A165" s="30" t="s">
        <v>201</v>
      </c>
      <c r="B165" s="46">
        <f>'1월'!B165+'2월'!B165+'3월'!B165+'4월'!B165+'5월'!B165+'6월'!B165+'7월'!B165+'8월'!B165+'9월'!B165+'10월'!B165+'11월'!B165+'12월'!B165</f>
        <v>0</v>
      </c>
      <c r="C165" s="46">
        <f>'1월'!C165+'2월'!C165+'3월'!C165+'4월'!C165+'5월'!C165+'6월'!C165+'7월'!C165+'8월'!C165+'9월'!C165+'10월'!C165+'11월'!C165+'12월'!C165</f>
        <v>0</v>
      </c>
      <c r="D165" s="46">
        <f>'1월'!D165+'2월'!D165+'3월'!D165+'4월'!D165+'5월'!D165+'6월'!D165+'7월'!D165+'8월'!D165+'9월'!D165+'10월'!D165+'11월'!D165+'12월'!D165</f>
        <v>0</v>
      </c>
      <c r="E165" s="46">
        <f>'1월'!E165+'2월'!E165+'3월'!E165+'4월'!E165+'5월'!E165+'6월'!E165+'7월'!E165+'8월'!E165+'9월'!E165+'10월'!E165+'11월'!E165+'12월'!E165</f>
        <v>0</v>
      </c>
      <c r="F165" s="46">
        <f>'1월'!F165+'2월'!F165+'3월'!F165+'4월'!F165+'5월'!F165+'6월'!F165+'7월'!F165+'8월'!F165+'9월'!F165+'10월'!F165+'11월'!F165+'12월'!F165</f>
        <v>0</v>
      </c>
      <c r="G165" s="46">
        <f>'1월'!H165+'2월'!G165+'3월'!G165+'4월'!G165+'5월'!G165+'6월'!G165+'7월'!G165+'8월'!G165+'9월'!G165+'10월'!G165+'11월'!G165+'12월'!G165</f>
        <v>0</v>
      </c>
      <c r="H165" s="46">
        <f>'1월'!J165+'2월'!H165+'3월'!H165+'4월'!H165+'5월'!H165+'6월'!H165+'7월'!H165+'8월'!H165+'9월'!H165+'10월'!H165+'11월'!H165+'12월'!H165</f>
        <v>0</v>
      </c>
      <c r="I165" s="46">
        <f>'1월'!K165+'2월'!I165+'3월'!I165+'4월'!I165+'5월'!I165+'6월'!I165+'7월'!I165+'8월'!I165+'9월'!I165+'10월'!I165+'11월'!I165+'12월'!I165</f>
        <v>0</v>
      </c>
      <c r="J165" s="46">
        <f>'1월'!L165+'2월'!J165+'3월'!J165+'4월'!J165+'5월'!J165+'6월'!J165+'7월'!J165+'8월'!J165+'9월'!J165+'10월'!J165+'11월'!J165+'12월'!J165</f>
        <v>0</v>
      </c>
      <c r="K165" s="46">
        <f>'1월'!M165+'2월'!K165+'3월'!K165+'4월'!K165+'5월'!K165+'6월'!K165+'7월'!K165+'8월'!K165+'9월'!K165+'10월'!K165+'11월'!K165+'12월'!K165</f>
        <v>0</v>
      </c>
      <c r="L165" s="46">
        <f>'1월'!N165+'2월'!L165+'3월'!L165+'4월'!L165+'5월'!L165+'6월'!L165+'7월'!L165+'8월'!L165+'9월'!L165+'10월'!L165+'11월'!L165+'12월'!L165</f>
        <v>0</v>
      </c>
      <c r="M165" s="46">
        <f>'1월'!O165+'2월'!M165+'3월'!M165+'4월'!M165+'5월'!M165+'6월'!M165+'7월'!M165+'8월'!M165+'9월'!M165+'10월'!M165+'11월'!M165+'12월'!M165</f>
        <v>0</v>
      </c>
      <c r="O165" s="46">
        <f>IFERROR(VLOOKUP($A165,[1]플랫폼1!$A:$B,2,FALSE),0)</f>
        <v>0</v>
      </c>
      <c r="P165" s="46">
        <f>IFERROR(VLOOKUP($A165,[1]플랫폼2!$A:$M,12,FALSE),0)+IFERROR(VLOOKUP($A165,[1]플랫폼2!$A:$M,13,FALSE),0)</f>
        <v>0</v>
      </c>
      <c r="Q165" s="46">
        <f>IFERROR(VLOOKUP($A165,[1]플랫폼2!$A:$M,7,FALSE),0)+IFERROR(VLOOKUP($A165,[1]플랫폼2!$A:$M,12,FALSE),0)</f>
        <v>0</v>
      </c>
      <c r="R165" s="46">
        <f>IFERROR(VLOOKUP($A165,[1]모바일!$A:$S,17,FALSE),0)</f>
        <v>0</v>
      </c>
      <c r="S165" s="46">
        <f>IFERROR(VLOOKUP($A165,[1]모바일!$A:$S,18,FALSE),0)</f>
        <v>0</v>
      </c>
      <c r="T165" s="199">
        <f>IFERROR(VLOOKUP(A165,[1]플랫폼2!$A:$O,15,0),0)</f>
        <v>0</v>
      </c>
      <c r="U165" s="83"/>
    </row>
    <row r="166" spans="1:21" hidden="1" outlineLevel="1" x14ac:dyDescent="0.45">
      <c r="A166" s="29" t="s">
        <v>79</v>
      </c>
      <c r="B166" s="44">
        <f>'1월'!B166+'2월'!B166+'3월'!B166+'4월'!B166+'5월'!B166+'6월'!B166+'7월'!B166+'8월'!B166+'9월'!B166+'10월'!B166+'11월'!B166+'12월'!B166</f>
        <v>4731244065</v>
      </c>
      <c r="C166" s="44">
        <f>'1월'!C166+'2월'!C166+'3월'!C166+'4월'!C166+'5월'!C166+'6월'!C166+'7월'!C166+'8월'!C166+'9월'!C166+'10월'!C166+'11월'!C166+'12월'!C166</f>
        <v>-549014582</v>
      </c>
      <c r="D166" s="44">
        <f>'1월'!D166+'2월'!D166+'3월'!D166+'4월'!D166+'5월'!D166+'6월'!D166+'7월'!D166+'8월'!D166+'9월'!D166+'10월'!D166+'11월'!D166+'12월'!D166</f>
        <v>1480989617</v>
      </c>
      <c r="E166" s="44">
        <f>'1월'!E166+'2월'!E166+'3월'!E166+'4월'!E166+'5월'!E166+'6월'!E166+'7월'!E166+'8월'!E166+'9월'!E166+'10월'!E166+'11월'!E166+'12월'!E166</f>
        <v>3799269030</v>
      </c>
      <c r="F166" s="44">
        <f>'1월'!F166+'2월'!F166+'3월'!F166+'4월'!F166+'5월'!F166+'6월'!F166+'7월'!F166+'8월'!F166+'9월'!F166+'10월'!F166+'11월'!F166+'12월'!F166</f>
        <v>1661084414</v>
      </c>
      <c r="G166" s="44">
        <f>'1월'!H166+'2월'!G166+'3월'!G166+'4월'!G166+'5월'!G166+'6월'!G166+'7월'!G166+'8월'!G166+'9월'!G166+'10월'!G166+'11월'!G166+'12월'!G166</f>
        <v>1022501549</v>
      </c>
      <c r="H166" s="44">
        <f>'1월'!J166+'2월'!H166+'3월'!H166+'4월'!H166+'5월'!H166+'6월'!H166+'7월'!H166+'8월'!H166+'9월'!H166+'10월'!H166+'11월'!H166+'12월'!H166</f>
        <v>659875634</v>
      </c>
      <c r="I166" s="44">
        <f>'1월'!K166+'2월'!I166+'3월'!I166+'4월'!I166+'5월'!I166+'6월'!I166+'7월'!I166+'8월'!I166+'9월'!I166+'10월'!I166+'11월'!I166+'12월'!I166</f>
        <v>15993847.800000001</v>
      </c>
      <c r="J166" s="44">
        <f>'1월'!L166+'2월'!J166+'3월'!J166+'4월'!J166+'5월'!J166+'6월'!J166+'7월'!J166+'8월'!J166+'9월'!J166+'10월'!J166+'11월'!J166+'12월'!J166</f>
        <v>17283550.199999999</v>
      </c>
      <c r="K166" s="44">
        <f>'1월'!M166+'2월'!K166+'3월'!K166+'4월'!K166+'5월'!K166+'6월'!K166+'7월'!K166+'8월'!K166+'9월'!K166+'10월'!K166+'11월'!K166+'12월'!K166</f>
        <v>-24468075</v>
      </c>
      <c r="L166" s="44">
        <f>'1월'!N166+'2월'!L166+'3월'!L166+'4월'!L166+'5월'!L166+'6월'!L166+'7월'!L166+'8월'!L166+'9월'!L166+'10월'!L166+'11월'!L166+'12월'!L166</f>
        <v>0</v>
      </c>
      <c r="M166" s="44">
        <f>'1월'!O166+'2월'!M166+'3월'!M166+'4월'!M166+'5월'!M166+'6월'!M166+'7월'!M166+'8월'!M166+'9월'!M166+'10월'!M166+'11월'!M166+'12월'!M166</f>
        <v>446998110</v>
      </c>
      <c r="O166" s="44">
        <f>IFERROR(VLOOKUP($A166,[1]플랫폼1!$A:$B,2,FALSE),0)</f>
        <v>367913925</v>
      </c>
      <c r="P166" s="44">
        <f>IFERROR(VLOOKUP($A166,[1]플랫폼2!$A:$M,12,FALSE),0)+IFERROR(VLOOKUP($A166,[1]플랫폼2!$A:$M,13,FALSE),0)</f>
        <v>20000</v>
      </c>
      <c r="Q166" s="44">
        <f>IFERROR(VLOOKUP($A166,[1]플랫폼2!$A:$M,7,FALSE),0)+IFERROR(VLOOKUP($A166,[1]플랫폼2!$A:$M,12,FALSE),0)</f>
        <v>62135934</v>
      </c>
      <c r="R166" s="44">
        <f>IFERROR(VLOOKUP($A166,[1]모바일!$A:$S,17,FALSE),0)</f>
        <v>11502138</v>
      </c>
      <c r="S166" s="44">
        <f>IFERROR(VLOOKUP($A166,[1]모바일!$A:$S,18,FALSE),0)</f>
        <v>4368113</v>
      </c>
      <c r="T166" s="43">
        <f>IFERROR(VLOOKUP(A166,[1]플랫폼2!$A:$O,15,0),0)</f>
        <v>1058000</v>
      </c>
      <c r="U166" s="83"/>
    </row>
    <row r="167" spans="1:21" hidden="1" outlineLevel="1" x14ac:dyDescent="0.45">
      <c r="A167" s="29" t="s">
        <v>202</v>
      </c>
      <c r="B167" s="44">
        <f>'1월'!B167+'2월'!B167+'3월'!B167+'4월'!B167+'5월'!B167+'6월'!B167+'7월'!B167+'8월'!B167+'9월'!B167+'10월'!B167+'11월'!B167+'12월'!B167</f>
        <v>0</v>
      </c>
      <c r="C167" s="44">
        <f>'1월'!C167+'2월'!C167+'3월'!C167+'4월'!C167+'5월'!C167+'6월'!C167+'7월'!C167+'8월'!C167+'9월'!C167+'10월'!C167+'11월'!C167+'12월'!C167</f>
        <v>0</v>
      </c>
      <c r="D167" s="44">
        <f>'1월'!D167+'2월'!D167+'3월'!D167+'4월'!D167+'5월'!D167+'6월'!D167+'7월'!D167+'8월'!D167+'9월'!D167+'10월'!D167+'11월'!D167+'12월'!D167</f>
        <v>0</v>
      </c>
      <c r="E167" s="44">
        <f>'1월'!E167+'2월'!E167+'3월'!E167+'4월'!E167+'5월'!E167+'6월'!E167+'7월'!E167+'8월'!E167+'9월'!E167+'10월'!E167+'11월'!E167+'12월'!E167</f>
        <v>0</v>
      </c>
      <c r="F167" s="44">
        <f>'1월'!F167+'2월'!F167+'3월'!F167+'4월'!F167+'5월'!F167+'6월'!F167+'7월'!F167+'8월'!F167+'9월'!F167+'10월'!F167+'11월'!F167+'12월'!F167</f>
        <v>0</v>
      </c>
      <c r="G167" s="44">
        <f>'1월'!H167+'2월'!G167+'3월'!G167+'4월'!G167+'5월'!G167+'6월'!G167+'7월'!G167+'8월'!G167+'9월'!G167+'10월'!G167+'11월'!G167+'12월'!G167</f>
        <v>0</v>
      </c>
      <c r="H167" s="44">
        <f>'1월'!J167+'2월'!H167+'3월'!H167+'4월'!H167+'5월'!H167+'6월'!H167+'7월'!H167+'8월'!H167+'9월'!H167+'10월'!H167+'11월'!H167+'12월'!H167</f>
        <v>0</v>
      </c>
      <c r="I167" s="44">
        <f>'1월'!K167+'2월'!I167+'3월'!I167+'4월'!I167+'5월'!I167+'6월'!I167+'7월'!I167+'8월'!I167+'9월'!I167+'10월'!I167+'11월'!I167+'12월'!I167</f>
        <v>0</v>
      </c>
      <c r="J167" s="44">
        <f>'1월'!L167+'2월'!J167+'3월'!J167+'4월'!J167+'5월'!J167+'6월'!J167+'7월'!J167+'8월'!J167+'9월'!J167+'10월'!J167+'11월'!J167+'12월'!J167</f>
        <v>0</v>
      </c>
      <c r="K167" s="44">
        <f>'1월'!M167+'2월'!K167+'3월'!K167+'4월'!K167+'5월'!K167+'6월'!K167+'7월'!K167+'8월'!K167+'9월'!K167+'10월'!K167+'11월'!K167+'12월'!K167</f>
        <v>0</v>
      </c>
      <c r="L167" s="44">
        <f>'1월'!N167+'2월'!L167+'3월'!L167+'4월'!L167+'5월'!L167+'6월'!L167+'7월'!L167+'8월'!L167+'9월'!L167+'10월'!L167+'11월'!L167+'12월'!L167</f>
        <v>0</v>
      </c>
      <c r="M167" s="44">
        <f>'1월'!O167+'2월'!M167+'3월'!M167+'4월'!M167+'5월'!M167+'6월'!M167+'7월'!M167+'8월'!M167+'9월'!M167+'10월'!M167+'11월'!M167+'12월'!M167</f>
        <v>0</v>
      </c>
      <c r="O167" s="44">
        <f>IFERROR(VLOOKUP($A167,[1]플랫폼1!$A:$B,2,FALSE),0)</f>
        <v>0</v>
      </c>
      <c r="P167" s="44">
        <f>IFERROR(VLOOKUP($A167,[1]플랫폼2!$A:$M,12,FALSE),0)+IFERROR(VLOOKUP($A167,[1]플랫폼2!$A:$M,13,FALSE),0)</f>
        <v>0</v>
      </c>
      <c r="Q167" s="44">
        <f>IFERROR(VLOOKUP($A167,[1]플랫폼2!$A:$M,7,FALSE),0)+IFERROR(VLOOKUP($A167,[1]플랫폼2!$A:$M,12,FALSE),0)</f>
        <v>0</v>
      </c>
      <c r="R167" s="44">
        <f>IFERROR(VLOOKUP($A167,[1]모바일!$A:$S,17,FALSE),0)</f>
        <v>0</v>
      </c>
      <c r="S167" s="44">
        <f>IFERROR(VLOOKUP($A167,[1]모바일!$A:$S,18,FALSE),0)</f>
        <v>0</v>
      </c>
      <c r="T167" s="43">
        <f>IFERROR(VLOOKUP(A167,[1]플랫폼2!$A:$O,15,0),0)</f>
        <v>0</v>
      </c>
      <c r="U167" s="83"/>
    </row>
    <row r="168" spans="1:21" hidden="1" outlineLevel="1" x14ac:dyDescent="0.45">
      <c r="A168" s="24" t="s">
        <v>203</v>
      </c>
      <c r="B168" s="45">
        <f>'1월'!B168+'2월'!B168+'3월'!B168+'4월'!B168+'5월'!B168+'6월'!B168+'7월'!B168+'8월'!B168+'9월'!B168+'10월'!B168+'11월'!B168+'12월'!B168</f>
        <v>0</v>
      </c>
      <c r="C168" s="45">
        <f>'1월'!C168+'2월'!C168+'3월'!C168+'4월'!C168+'5월'!C168+'6월'!C168+'7월'!C168+'8월'!C168+'9월'!C168+'10월'!C168+'11월'!C168+'12월'!C168</f>
        <v>0</v>
      </c>
      <c r="D168" s="45">
        <f>'1월'!D168+'2월'!D168+'3월'!D168+'4월'!D168+'5월'!D168+'6월'!D168+'7월'!D168+'8월'!D168+'9월'!D168+'10월'!D168+'11월'!D168+'12월'!D168</f>
        <v>0</v>
      </c>
      <c r="E168" s="45">
        <f>'1월'!E168+'2월'!E168+'3월'!E168+'4월'!E168+'5월'!E168+'6월'!E168+'7월'!E168+'8월'!E168+'9월'!E168+'10월'!E168+'11월'!E168+'12월'!E168</f>
        <v>0</v>
      </c>
      <c r="F168" s="45">
        <f>'1월'!F168+'2월'!F168+'3월'!F168+'4월'!F168+'5월'!F168+'6월'!F168+'7월'!F168+'8월'!F168+'9월'!F168+'10월'!F168+'11월'!F168+'12월'!F168</f>
        <v>0</v>
      </c>
      <c r="G168" s="45">
        <f>'1월'!H168+'2월'!G168+'3월'!G168+'4월'!G168+'5월'!G168+'6월'!G168+'7월'!G168+'8월'!G168+'9월'!G168+'10월'!G168+'11월'!G168+'12월'!G168</f>
        <v>0</v>
      </c>
      <c r="H168" s="45">
        <f>'1월'!J168+'2월'!H168+'3월'!H168+'4월'!H168+'5월'!H168+'6월'!H168+'7월'!H168+'8월'!H168+'9월'!H168+'10월'!H168+'11월'!H168+'12월'!H168</f>
        <v>0</v>
      </c>
      <c r="I168" s="45">
        <f>'1월'!K168+'2월'!I168+'3월'!I168+'4월'!I168+'5월'!I168+'6월'!I168+'7월'!I168+'8월'!I168+'9월'!I168+'10월'!I168+'11월'!I168+'12월'!I168</f>
        <v>0</v>
      </c>
      <c r="J168" s="45">
        <f>'1월'!L168+'2월'!J168+'3월'!J168+'4월'!J168+'5월'!J168+'6월'!J168+'7월'!J168+'8월'!J168+'9월'!J168+'10월'!J168+'11월'!J168+'12월'!J168</f>
        <v>0</v>
      </c>
      <c r="K168" s="45">
        <f>'1월'!M168+'2월'!K168+'3월'!K168+'4월'!K168+'5월'!K168+'6월'!K168+'7월'!K168+'8월'!K168+'9월'!K168+'10월'!K168+'11월'!K168+'12월'!K168</f>
        <v>0</v>
      </c>
      <c r="L168" s="45">
        <f>'1월'!N168+'2월'!L168+'3월'!L168+'4월'!L168+'5월'!L168+'6월'!L168+'7월'!L168+'8월'!L168+'9월'!L168+'10월'!L168+'11월'!L168+'12월'!L168</f>
        <v>0</v>
      </c>
      <c r="M168" s="45">
        <f>'1월'!O168+'2월'!M168+'3월'!M168+'4월'!M168+'5월'!M168+'6월'!M168+'7월'!M168+'8월'!M168+'9월'!M168+'10월'!M168+'11월'!M168+'12월'!M168</f>
        <v>0</v>
      </c>
      <c r="O168" s="45">
        <f>IFERROR(VLOOKUP($A168,[1]플랫폼1!$A:$B,2,FALSE),0)</f>
        <v>0</v>
      </c>
      <c r="P168" s="45">
        <f>IFERROR(VLOOKUP($A168,[1]플랫폼2!$A:$M,12,FALSE),0)+IFERROR(VLOOKUP($A168,[1]플랫폼2!$A:$M,13,FALSE),0)</f>
        <v>0</v>
      </c>
      <c r="Q168" s="45">
        <f>IFERROR(VLOOKUP($A168,[1]플랫폼2!$A:$M,7,FALSE),0)+IFERROR(VLOOKUP($A168,[1]플랫폼2!$A:$M,12,FALSE),0)</f>
        <v>0</v>
      </c>
      <c r="R168" s="45">
        <f>IFERROR(VLOOKUP($A168,[1]모바일!$A:$S,17,FALSE),0)</f>
        <v>0</v>
      </c>
      <c r="S168" s="45">
        <f>IFERROR(VLOOKUP($A168,[1]모바일!$A:$S,18,FALSE),0)</f>
        <v>0</v>
      </c>
      <c r="T168" s="54">
        <f>IFERROR(VLOOKUP(A168,[1]플랫폼2!$A:$O,15,0),0)</f>
        <v>0</v>
      </c>
      <c r="U168" s="83"/>
    </row>
    <row r="169" spans="1:21" hidden="1" outlineLevel="1" x14ac:dyDescent="0.45">
      <c r="A169" s="29" t="s">
        <v>204</v>
      </c>
      <c r="B169" s="44">
        <f>'1월'!B169+'2월'!B169+'3월'!B169+'4월'!B169+'5월'!B169+'6월'!B169+'7월'!B169+'8월'!B169+'9월'!B169+'10월'!B169+'11월'!B169+'12월'!B169</f>
        <v>0</v>
      </c>
      <c r="C169" s="44">
        <f>'1월'!C169+'2월'!C169+'3월'!C169+'4월'!C169+'5월'!C169+'6월'!C169+'7월'!C169+'8월'!C169+'9월'!C169+'10월'!C169+'11월'!C169+'12월'!C169</f>
        <v>0</v>
      </c>
      <c r="D169" s="44">
        <f>'1월'!D169+'2월'!D169+'3월'!D169+'4월'!D169+'5월'!D169+'6월'!D169+'7월'!D169+'8월'!D169+'9월'!D169+'10월'!D169+'11월'!D169+'12월'!D169</f>
        <v>0</v>
      </c>
      <c r="E169" s="44">
        <f>'1월'!E169+'2월'!E169+'3월'!E169+'4월'!E169+'5월'!E169+'6월'!E169+'7월'!E169+'8월'!E169+'9월'!E169+'10월'!E169+'11월'!E169+'12월'!E169</f>
        <v>0</v>
      </c>
      <c r="F169" s="44">
        <f>'1월'!F169+'2월'!F169+'3월'!F169+'4월'!F169+'5월'!F169+'6월'!F169+'7월'!F169+'8월'!F169+'9월'!F169+'10월'!F169+'11월'!F169+'12월'!F169</f>
        <v>0</v>
      </c>
      <c r="G169" s="44">
        <f>'1월'!H169+'2월'!G169+'3월'!G169+'4월'!G169+'5월'!G169+'6월'!G169+'7월'!G169+'8월'!G169+'9월'!G169+'10월'!G169+'11월'!G169+'12월'!G169</f>
        <v>0</v>
      </c>
      <c r="H169" s="44">
        <f>'1월'!J169+'2월'!H169+'3월'!H169+'4월'!H169+'5월'!H169+'6월'!H169+'7월'!H169+'8월'!H169+'9월'!H169+'10월'!H169+'11월'!H169+'12월'!H169</f>
        <v>0</v>
      </c>
      <c r="I169" s="44">
        <f>'1월'!K169+'2월'!I169+'3월'!I169+'4월'!I169+'5월'!I169+'6월'!I169+'7월'!I169+'8월'!I169+'9월'!I169+'10월'!I169+'11월'!I169+'12월'!I169</f>
        <v>0</v>
      </c>
      <c r="J169" s="44">
        <f>'1월'!L169+'2월'!J169+'3월'!J169+'4월'!J169+'5월'!J169+'6월'!J169+'7월'!J169+'8월'!J169+'9월'!J169+'10월'!J169+'11월'!J169+'12월'!J169</f>
        <v>0</v>
      </c>
      <c r="K169" s="44">
        <f>'1월'!M169+'2월'!K169+'3월'!K169+'4월'!K169+'5월'!K169+'6월'!K169+'7월'!K169+'8월'!K169+'9월'!K169+'10월'!K169+'11월'!K169+'12월'!K169</f>
        <v>0</v>
      </c>
      <c r="L169" s="44">
        <f>'1월'!N169+'2월'!L169+'3월'!L169+'4월'!L169+'5월'!L169+'6월'!L169+'7월'!L169+'8월'!L169+'9월'!L169+'10월'!L169+'11월'!L169+'12월'!L169</f>
        <v>0</v>
      </c>
      <c r="M169" s="44">
        <f>'1월'!O169+'2월'!M169+'3월'!M169+'4월'!M169+'5월'!M169+'6월'!M169+'7월'!M169+'8월'!M169+'9월'!M169+'10월'!M169+'11월'!M169+'12월'!M169</f>
        <v>0</v>
      </c>
      <c r="O169" s="44">
        <f>IFERROR(VLOOKUP($A169,[1]플랫폼1!$A:$B,2,FALSE),0)</f>
        <v>0</v>
      </c>
      <c r="P169" s="44">
        <f>IFERROR(VLOOKUP($A169,[1]플랫폼2!$A:$M,12,FALSE),0)+IFERROR(VLOOKUP($A169,[1]플랫폼2!$A:$M,13,FALSE),0)</f>
        <v>0</v>
      </c>
      <c r="Q169" s="44">
        <f>IFERROR(VLOOKUP($A169,[1]플랫폼2!$A:$M,7,FALSE),0)+IFERROR(VLOOKUP($A169,[1]플랫폼2!$A:$M,12,FALSE),0)</f>
        <v>0</v>
      </c>
      <c r="R169" s="44">
        <f>IFERROR(VLOOKUP($A169,[1]모바일!$A:$S,17,FALSE),0)</f>
        <v>0</v>
      </c>
      <c r="S169" s="44">
        <f>IFERROR(VLOOKUP($A169,[1]모바일!$A:$S,18,FALSE),0)</f>
        <v>0</v>
      </c>
      <c r="T169" s="43">
        <f>IFERROR(VLOOKUP(A169,[1]플랫폼2!$A:$O,15,0),0)</f>
        <v>0</v>
      </c>
      <c r="U169" s="83"/>
    </row>
    <row r="170" spans="1:21" s="1" customFormat="1" hidden="1" outlineLevel="1" collapsed="1" x14ac:dyDescent="0.45">
      <c r="A170" s="30" t="s">
        <v>205</v>
      </c>
      <c r="B170" s="46">
        <f>'1월'!B170+'2월'!B170+'3월'!B170+'4월'!B170+'5월'!B170+'6월'!B170+'7월'!B170+'8월'!B170+'9월'!B170+'10월'!B170+'11월'!B170+'12월'!B170</f>
        <v>0</v>
      </c>
      <c r="C170" s="46">
        <f>'1월'!C170+'2월'!C170+'3월'!C170+'4월'!C170+'5월'!C170+'6월'!C170+'7월'!C170+'8월'!C170+'9월'!C170+'10월'!C170+'11월'!C170+'12월'!C170</f>
        <v>0</v>
      </c>
      <c r="D170" s="46">
        <f>'1월'!D170+'2월'!D170+'3월'!D170+'4월'!D170+'5월'!D170+'6월'!D170+'7월'!D170+'8월'!D170+'9월'!D170+'10월'!D170+'11월'!D170+'12월'!D170</f>
        <v>0</v>
      </c>
      <c r="E170" s="46">
        <f>'1월'!E170+'2월'!E170+'3월'!E170+'4월'!E170+'5월'!E170+'6월'!E170+'7월'!E170+'8월'!E170+'9월'!E170+'10월'!E170+'11월'!E170+'12월'!E170</f>
        <v>0</v>
      </c>
      <c r="F170" s="46">
        <f>'1월'!F170+'2월'!F170+'3월'!F170+'4월'!F170+'5월'!F170+'6월'!F170+'7월'!F170+'8월'!F170+'9월'!F170+'10월'!F170+'11월'!F170+'12월'!F170</f>
        <v>0</v>
      </c>
      <c r="G170" s="46">
        <f>'1월'!H170+'2월'!G170+'3월'!G170+'4월'!G170+'5월'!G170+'6월'!G170+'7월'!G170+'8월'!G170+'9월'!G170+'10월'!G170+'11월'!G170+'12월'!G170</f>
        <v>0</v>
      </c>
      <c r="H170" s="46">
        <f>'1월'!J170+'2월'!H170+'3월'!H170+'4월'!H170+'5월'!H170+'6월'!H170+'7월'!H170+'8월'!H170+'9월'!H170+'10월'!H170+'11월'!H170+'12월'!H170</f>
        <v>0</v>
      </c>
      <c r="I170" s="46">
        <f>'1월'!K170+'2월'!I170+'3월'!I170+'4월'!I170+'5월'!I170+'6월'!I170+'7월'!I170+'8월'!I170+'9월'!I170+'10월'!I170+'11월'!I170+'12월'!I170</f>
        <v>0</v>
      </c>
      <c r="J170" s="46">
        <f>'1월'!L170+'2월'!J170+'3월'!J170+'4월'!J170+'5월'!J170+'6월'!J170+'7월'!J170+'8월'!J170+'9월'!J170+'10월'!J170+'11월'!J170+'12월'!J170</f>
        <v>0</v>
      </c>
      <c r="K170" s="46">
        <f>'1월'!M170+'2월'!K170+'3월'!K170+'4월'!K170+'5월'!K170+'6월'!K170+'7월'!K170+'8월'!K170+'9월'!K170+'10월'!K170+'11월'!K170+'12월'!K170</f>
        <v>0</v>
      </c>
      <c r="L170" s="46">
        <f>'1월'!N170+'2월'!L170+'3월'!L170+'4월'!L170+'5월'!L170+'6월'!L170+'7월'!L170+'8월'!L170+'9월'!L170+'10월'!L170+'11월'!L170+'12월'!L170</f>
        <v>0</v>
      </c>
      <c r="M170" s="46">
        <f>'1월'!O170+'2월'!M170+'3월'!M170+'4월'!M170+'5월'!M170+'6월'!M170+'7월'!M170+'8월'!M170+'9월'!M170+'10월'!M170+'11월'!M170+'12월'!M170</f>
        <v>0</v>
      </c>
      <c r="O170" s="46">
        <f>IFERROR(VLOOKUP($A170,[1]플랫폼1!$A:$B,2,FALSE),0)</f>
        <v>0</v>
      </c>
      <c r="P170" s="46">
        <f>IFERROR(VLOOKUP($A170,[1]플랫폼2!$A:$M,12,FALSE),0)+IFERROR(VLOOKUP($A170,[1]플랫폼2!$A:$M,13,FALSE),0)</f>
        <v>0</v>
      </c>
      <c r="Q170" s="46">
        <f>IFERROR(VLOOKUP($A170,[1]플랫폼2!$A:$M,7,FALSE),0)+IFERROR(VLOOKUP($A170,[1]플랫폼2!$A:$M,12,FALSE),0)</f>
        <v>0</v>
      </c>
      <c r="R170" s="46">
        <f>IFERROR(VLOOKUP($A170,[1]모바일!$A:$S,17,FALSE),0)</f>
        <v>0</v>
      </c>
      <c r="S170" s="46">
        <f>IFERROR(VLOOKUP($A170,[1]모바일!$A:$S,18,FALSE),0)</f>
        <v>0</v>
      </c>
      <c r="T170" s="199">
        <f>IFERROR(VLOOKUP(A170,[1]플랫폼2!$A:$O,15,0),0)</f>
        <v>0</v>
      </c>
      <c r="U170" s="83"/>
    </row>
    <row r="171" spans="1:21" collapsed="1" x14ac:dyDescent="0.45">
      <c r="A171" s="28" t="s">
        <v>80</v>
      </c>
      <c r="B171" s="43">
        <f>'1월'!B171+'2월'!B171+'3월'!B171+'4월'!B171+'5월'!B171+'6월'!B171+'7월'!B171+'8월'!B171+'9월'!B171+'10월'!B171+'11월'!B171+'12월'!B171</f>
        <v>863303433</v>
      </c>
      <c r="C171" s="43">
        <f>'1월'!C171+'2월'!C171+'3월'!C171+'4월'!C171+'5월'!C171+'6월'!C171+'7월'!C171+'8월'!C171+'9월'!C171+'10월'!C171+'11월'!C171+'12월'!C171</f>
        <v>231220829</v>
      </c>
      <c r="D171" s="43">
        <f>'1월'!D171+'2월'!D171+'3월'!D171+'4월'!D171+'5월'!D171+'6월'!D171+'7월'!D171+'8월'!D171+'9월'!D171+'10월'!D171+'11월'!D171+'12월'!D171</f>
        <v>20934308</v>
      </c>
      <c r="E171" s="43">
        <f>'1월'!E171+'2월'!E171+'3월'!E171+'4월'!E171+'5월'!E171+'6월'!E171+'7월'!E171+'8월'!E171+'9월'!E171+'10월'!E171+'11월'!E171+'12월'!E171</f>
        <v>611148296</v>
      </c>
      <c r="F171" s="43">
        <f>'1월'!F171+'2월'!F171+'3월'!F171+'4월'!F171+'5월'!F171+'6월'!F171+'7월'!F171+'8월'!F171+'9월'!F171+'10월'!F171+'11월'!F171+'12월'!F171</f>
        <v>372434845.88132763</v>
      </c>
      <c r="G171" s="43">
        <f>'1월'!H171+'2월'!G171+'3월'!G171+'4월'!G171+'5월'!G171+'6월'!G171+'7월'!G171+'8월'!G171+'9월'!G171+'10월'!G171+'11월'!G171+'12월'!G171</f>
        <v>159137425.11867237</v>
      </c>
      <c r="H171" s="43">
        <f>'1월'!J171+'2월'!H171+'3월'!H171+'4월'!H171+'5월'!H171+'6월'!H171+'7월'!H171+'8월'!H171+'9월'!H171+'10월'!H171+'11월'!H171+'12월'!H171</f>
        <v>47553545</v>
      </c>
      <c r="I171" s="43">
        <f>'1월'!K171+'2월'!I171+'3월'!I171+'4월'!I171+'5월'!I171+'6월'!I171+'7월'!I171+'8월'!I171+'9월'!I171+'10월'!I171+'11월'!I171+'12월'!I171</f>
        <v>0</v>
      </c>
      <c r="J171" s="43">
        <f>'1월'!L171+'2월'!J171+'3월'!J171+'4월'!J171+'5월'!J171+'6월'!J171+'7월'!J171+'8월'!J171+'9월'!J171+'10월'!J171+'11월'!J171+'12월'!J171</f>
        <v>0</v>
      </c>
      <c r="K171" s="43">
        <f>'1월'!M171+'2월'!K171+'3월'!K171+'4월'!K171+'5월'!K171+'6월'!K171+'7월'!K171+'8월'!K171+'9월'!K171+'10월'!K171+'11월'!K171+'12월'!K171</f>
        <v>0</v>
      </c>
      <c r="L171" s="43">
        <f>'1월'!N171+'2월'!L171+'3월'!L171+'4월'!L171+'5월'!L171+'6월'!L171+'7월'!L171+'8월'!L171+'9월'!L171+'10월'!L171+'11월'!L171+'12월'!L171</f>
        <v>27665752</v>
      </c>
      <c r="M171" s="43">
        <f>'1월'!O171+'2월'!M171+'3월'!M171+'4월'!M171+'5월'!M171+'6월'!M171+'7월'!M171+'8월'!M171+'9월'!M171+'10월'!M171+'11월'!M171+'12월'!M171</f>
        <v>4356728</v>
      </c>
      <c r="O171" s="43">
        <f>IFERROR(VLOOKUP($A171,[1]플랫폼1!$A:$B,2,FALSE),0)</f>
        <v>0</v>
      </c>
      <c r="P171" s="43">
        <f>IFERROR(VLOOKUP($A171,[1]플랫폼2!$A:$M,12,FALSE),0)+IFERROR(VLOOKUP($A171,[1]플랫폼2!$A:$M,13,FALSE),0)</f>
        <v>2000000</v>
      </c>
      <c r="Q171" s="43">
        <f>IFERROR(VLOOKUP($A171,[1]플랫폼2!$A:$M,7,FALSE),0)+IFERROR(VLOOKUP($A171,[1]플랫폼2!$A:$M,12,FALSE),0)</f>
        <v>2000000</v>
      </c>
      <c r="R171" s="43">
        <f>IFERROR(VLOOKUP($A171,[1]모바일!$A:$S,17,FALSE),0)</f>
        <v>0</v>
      </c>
      <c r="S171" s="43">
        <f>IFERROR(VLOOKUP($A171,[1]모바일!$A:$S,18,FALSE),0)</f>
        <v>0</v>
      </c>
      <c r="T171" s="43">
        <f>IFERROR(VLOOKUP(A171,[1]플랫폼2!$A:$O,15,0),0)</f>
        <v>356728</v>
      </c>
      <c r="U171" s="83"/>
    </row>
    <row r="172" spans="1:21" hidden="1" outlineLevel="1" x14ac:dyDescent="0.45">
      <c r="A172" s="29" t="s">
        <v>81</v>
      </c>
      <c r="B172" s="44">
        <f>'1월'!B172+'2월'!B172+'3월'!B172+'4월'!B172+'5월'!B172+'6월'!B172+'7월'!B172+'8월'!B172+'9월'!B172+'10월'!B172+'11월'!B172+'12월'!B172</f>
        <v>154719445</v>
      </c>
      <c r="C172" s="44">
        <f>'1월'!C172+'2월'!C172+'3월'!C172+'4월'!C172+'5월'!C172+'6월'!C172+'7월'!C172+'8월'!C172+'9월'!C172+'10월'!C172+'11월'!C172+'12월'!C172</f>
        <v>97181505</v>
      </c>
      <c r="D172" s="44">
        <f>'1월'!D172+'2월'!D172+'3월'!D172+'4월'!D172+'5월'!D172+'6월'!D172+'7월'!D172+'8월'!D172+'9월'!D172+'10월'!D172+'11월'!D172+'12월'!D172</f>
        <v>19724308</v>
      </c>
      <c r="E172" s="44">
        <f>'1월'!E172+'2월'!E172+'3월'!E172+'4월'!E172+'5월'!E172+'6월'!E172+'7월'!E172+'8월'!E172+'9월'!E172+'10월'!E172+'11월'!E172+'12월'!E172</f>
        <v>37813632</v>
      </c>
      <c r="F172" s="44">
        <f>'1월'!F172+'2월'!F172+'3월'!F172+'4월'!F172+'5월'!F172+'6월'!F172+'7월'!F172+'8월'!F172+'9월'!F172+'10월'!F172+'11월'!F172+'12월'!F172</f>
        <v>5471004</v>
      </c>
      <c r="G172" s="44">
        <f>'1월'!H172+'2월'!G172+'3월'!G172+'4월'!G172+'5월'!G172+'6월'!G172+'7월'!G172+'8월'!G172+'9월'!G172+'10월'!G172+'11월'!G172+'12월'!G172</f>
        <v>10617376</v>
      </c>
      <c r="H172" s="44">
        <f>'1월'!J172+'2월'!H172+'3월'!H172+'4월'!H172+'5월'!H172+'6월'!H172+'7월'!H172+'8월'!H172+'9월'!H172+'10월'!H172+'11월'!H172+'12월'!H172</f>
        <v>0</v>
      </c>
      <c r="I172" s="44">
        <f>'1월'!K172+'2월'!I172+'3월'!I172+'4월'!I172+'5월'!I172+'6월'!I172+'7월'!I172+'8월'!I172+'9월'!I172+'10월'!I172+'11월'!I172+'12월'!I172</f>
        <v>0</v>
      </c>
      <c r="J172" s="44">
        <f>'1월'!L172+'2월'!J172+'3월'!J172+'4월'!J172+'5월'!J172+'6월'!J172+'7월'!J172+'8월'!J172+'9월'!J172+'10월'!J172+'11월'!J172+'12월'!J172</f>
        <v>0</v>
      </c>
      <c r="K172" s="44">
        <f>'1월'!M172+'2월'!K172+'3월'!K172+'4월'!K172+'5월'!K172+'6월'!K172+'7월'!K172+'8월'!K172+'9월'!K172+'10월'!K172+'11월'!K172+'12월'!K172</f>
        <v>0</v>
      </c>
      <c r="L172" s="44">
        <f>'1월'!N172+'2월'!L172+'3월'!L172+'4월'!L172+'5월'!L172+'6월'!L172+'7월'!L172+'8월'!L172+'9월'!L172+'10월'!L172+'11월'!L172+'12월'!L172</f>
        <v>21725252</v>
      </c>
      <c r="M172" s="44">
        <f>'1월'!O172+'2월'!M172+'3월'!M172+'4월'!M172+'5월'!M172+'6월'!M172+'7월'!M172+'8월'!M172+'9월'!M172+'10월'!M172+'11월'!M172+'12월'!M172</f>
        <v>0</v>
      </c>
      <c r="O172" s="44">
        <f>IFERROR(VLOOKUP($A172,[1]플랫폼1!$A:$B,2,FALSE),0)</f>
        <v>0</v>
      </c>
      <c r="P172" s="44">
        <f>IFERROR(VLOOKUP($A172,[1]플랫폼2!$A:$M,12,FALSE),0)+IFERROR(VLOOKUP($A172,[1]플랫폼2!$A:$M,13,FALSE),0)</f>
        <v>0</v>
      </c>
      <c r="Q172" s="44">
        <f>IFERROR(VLOOKUP($A172,[1]플랫폼2!$A:$M,7,FALSE),0)+IFERROR(VLOOKUP($A172,[1]플랫폼2!$A:$M,12,FALSE),0)</f>
        <v>0</v>
      </c>
      <c r="R172" s="44">
        <f>IFERROR(VLOOKUP($A172,[1]모바일!$A:$S,17,FALSE),0)</f>
        <v>0</v>
      </c>
      <c r="S172" s="44">
        <f>IFERROR(VLOOKUP($A172,[1]모바일!$A:$S,18,FALSE),0)</f>
        <v>0</v>
      </c>
      <c r="T172" s="43">
        <f>IFERROR(VLOOKUP(A172,[1]플랫폼2!$A:$O,15,0),0)</f>
        <v>0</v>
      </c>
      <c r="U172" s="83"/>
    </row>
    <row r="173" spans="1:21" hidden="1" outlineLevel="1" x14ac:dyDescent="0.45">
      <c r="A173" s="29" t="s">
        <v>206</v>
      </c>
      <c r="B173" s="44">
        <f>'1월'!B173+'2월'!B173+'3월'!B173+'4월'!B173+'5월'!B173+'6월'!B173+'7월'!B173+'8월'!B173+'9월'!B173+'10월'!B173+'11월'!B173+'12월'!B173</f>
        <v>83928732</v>
      </c>
      <c r="C173" s="44">
        <f>'1월'!C173+'2월'!C173+'3월'!C173+'4월'!C173+'5월'!C173+'6월'!C173+'7월'!C173+'8월'!C173+'9월'!C173+'10월'!C173+'11월'!C173+'12월'!C173</f>
        <v>78318732</v>
      </c>
      <c r="D173" s="44">
        <f>'1월'!D173+'2월'!D173+'3월'!D173+'4월'!D173+'5월'!D173+'6월'!D173+'7월'!D173+'8월'!D173+'9월'!D173+'10월'!D173+'11월'!D173+'12월'!D173</f>
        <v>1210000</v>
      </c>
      <c r="E173" s="44">
        <f>'1월'!E173+'2월'!E173+'3월'!E173+'4월'!E173+'5월'!E173+'6월'!E173+'7월'!E173+'8월'!E173+'9월'!E173+'10월'!E173+'11월'!E173+'12월'!E173</f>
        <v>4400000</v>
      </c>
      <c r="F173" s="44">
        <f>'1월'!F173+'2월'!F173+'3월'!F173+'4월'!F173+'5월'!F173+'6월'!F173+'7월'!F173+'8월'!F173+'9월'!F173+'10월'!F173+'11월'!F173+'12월'!F173</f>
        <v>0</v>
      </c>
      <c r="G173" s="44">
        <f>'1월'!H173+'2월'!G173+'3월'!G173+'4월'!G173+'5월'!G173+'6월'!G173+'7월'!G173+'8월'!G173+'9월'!G173+'10월'!G173+'11월'!G173+'12월'!G173</f>
        <v>0</v>
      </c>
      <c r="H173" s="44">
        <f>'1월'!J173+'2월'!H173+'3월'!H173+'4월'!H173+'5월'!H173+'6월'!H173+'7월'!H173+'8월'!H173+'9월'!H173+'10월'!H173+'11월'!H173+'12월'!H173</f>
        <v>0</v>
      </c>
      <c r="I173" s="44">
        <f>'1월'!K173+'2월'!I173+'3월'!I173+'4월'!I173+'5월'!I173+'6월'!I173+'7월'!I173+'8월'!I173+'9월'!I173+'10월'!I173+'11월'!I173+'12월'!I173</f>
        <v>0</v>
      </c>
      <c r="J173" s="44">
        <f>'1월'!L173+'2월'!J173+'3월'!J173+'4월'!J173+'5월'!J173+'6월'!J173+'7월'!J173+'8월'!J173+'9월'!J173+'10월'!J173+'11월'!J173+'12월'!J173</f>
        <v>0</v>
      </c>
      <c r="K173" s="44">
        <f>'1월'!M173+'2월'!K173+'3월'!K173+'4월'!K173+'5월'!K173+'6월'!K173+'7월'!K173+'8월'!K173+'9월'!K173+'10월'!K173+'11월'!K173+'12월'!K173</f>
        <v>0</v>
      </c>
      <c r="L173" s="44">
        <f>'1월'!N173+'2월'!L173+'3월'!L173+'4월'!L173+'5월'!L173+'6월'!L173+'7월'!L173+'8월'!L173+'9월'!L173+'10월'!L173+'11월'!L173+'12월'!L173</f>
        <v>4400000</v>
      </c>
      <c r="M173" s="44">
        <f>'1월'!O173+'2월'!M173+'3월'!M173+'4월'!M173+'5월'!M173+'6월'!M173+'7월'!M173+'8월'!M173+'9월'!M173+'10월'!M173+'11월'!M173+'12월'!M173</f>
        <v>0</v>
      </c>
      <c r="O173" s="44">
        <f>IFERROR(VLOOKUP($A173,[1]플랫폼1!$A:$B,2,FALSE),0)</f>
        <v>0</v>
      </c>
      <c r="P173" s="44">
        <f>IFERROR(VLOOKUP($A173,[1]플랫폼2!$A:$M,12,FALSE),0)+IFERROR(VLOOKUP($A173,[1]플랫폼2!$A:$M,13,FALSE),0)</f>
        <v>0</v>
      </c>
      <c r="Q173" s="44">
        <f>IFERROR(VLOOKUP($A173,[1]플랫폼2!$A:$M,7,FALSE),0)+IFERROR(VLOOKUP($A173,[1]플랫폼2!$A:$M,12,FALSE),0)</f>
        <v>0</v>
      </c>
      <c r="R173" s="44">
        <f>IFERROR(VLOOKUP($A173,[1]모바일!$A:$S,17,FALSE),0)</f>
        <v>0</v>
      </c>
      <c r="S173" s="44">
        <f>IFERROR(VLOOKUP($A173,[1]모바일!$A:$S,18,FALSE),0)</f>
        <v>0</v>
      </c>
      <c r="T173" s="43">
        <f>IFERROR(VLOOKUP(A173,[1]플랫폼2!$A:$O,15,0),0)</f>
        <v>0</v>
      </c>
      <c r="U173" s="83"/>
    </row>
    <row r="174" spans="1:21" hidden="1" outlineLevel="1" x14ac:dyDescent="0.45">
      <c r="A174" s="29" t="s">
        <v>82</v>
      </c>
      <c r="B174" s="44">
        <f>'1월'!B174+'2월'!B174+'3월'!B174+'4월'!B174+'5월'!B174+'6월'!B174+'7월'!B174+'8월'!B174+'9월'!B174+'10월'!B174+'11월'!B174+'12월'!B174</f>
        <v>106598466</v>
      </c>
      <c r="C174" s="44">
        <f>'1월'!C174+'2월'!C174+'3월'!C174+'4월'!C174+'5월'!C174+'6월'!C174+'7월'!C174+'8월'!C174+'9월'!C174+'10월'!C174+'11월'!C174+'12월'!C174</f>
        <v>55720592</v>
      </c>
      <c r="D174" s="44">
        <f>'1월'!D174+'2월'!D174+'3월'!D174+'4월'!D174+'5월'!D174+'6월'!D174+'7월'!D174+'8월'!D174+'9월'!D174+'10월'!D174+'11월'!D174+'12월'!D174</f>
        <v>0</v>
      </c>
      <c r="E174" s="44">
        <f>'1월'!E174+'2월'!E174+'3월'!E174+'4월'!E174+'5월'!E174+'6월'!E174+'7월'!E174+'8월'!E174+'9월'!E174+'10월'!E174+'11월'!E174+'12월'!E174</f>
        <v>50877874</v>
      </c>
      <c r="F174" s="44">
        <f>'1월'!F174+'2월'!F174+'3월'!F174+'4월'!F174+'5월'!F174+'6월'!F174+'7월'!F174+'8월'!F174+'9월'!F174+'10월'!F174+'11월'!F174+'12월'!F174</f>
        <v>32753475.88132761</v>
      </c>
      <c r="G174" s="44">
        <f>'1월'!H174+'2월'!G174+'3월'!G174+'4월'!G174+'5월'!G174+'6월'!G174+'7월'!G174+'8월'!G174+'9월'!G174+'10월'!G174+'11월'!G174+'12월'!G174</f>
        <v>9949625.1186723895</v>
      </c>
      <c r="H174" s="44">
        <f>'1월'!J174+'2월'!H174+'3월'!H174+'4월'!H174+'5월'!H174+'6월'!H174+'7월'!H174+'8월'!H174+'9월'!H174+'10월'!H174+'11월'!H174+'12월'!H174</f>
        <v>6277545</v>
      </c>
      <c r="I174" s="44">
        <f>'1월'!K174+'2월'!I174+'3월'!I174+'4월'!I174+'5월'!I174+'6월'!I174+'7월'!I174+'8월'!I174+'9월'!I174+'10월'!I174+'11월'!I174+'12월'!I174</f>
        <v>0</v>
      </c>
      <c r="J174" s="44">
        <f>'1월'!L174+'2월'!J174+'3월'!J174+'4월'!J174+'5월'!J174+'6월'!J174+'7월'!J174+'8월'!J174+'9월'!J174+'10월'!J174+'11월'!J174+'12월'!J174</f>
        <v>0</v>
      </c>
      <c r="K174" s="44">
        <f>'1월'!M174+'2월'!K174+'3월'!K174+'4월'!K174+'5월'!K174+'6월'!K174+'7월'!K174+'8월'!K174+'9월'!K174+'10월'!K174+'11월'!K174+'12월'!K174</f>
        <v>0</v>
      </c>
      <c r="L174" s="44">
        <f>'1월'!N174+'2월'!L174+'3월'!L174+'4월'!L174+'5월'!L174+'6월'!L174+'7월'!L174+'8월'!L174+'9월'!L174+'10월'!L174+'11월'!L174+'12월'!L174</f>
        <v>1540500</v>
      </c>
      <c r="M174" s="44">
        <f>'1월'!O174+'2월'!M174+'3월'!M174+'4월'!M174+'5월'!M174+'6월'!M174+'7월'!M174+'8월'!M174+'9월'!M174+'10월'!M174+'11월'!M174+'12월'!M174</f>
        <v>356728</v>
      </c>
      <c r="O174" s="44">
        <f>IFERROR(VLOOKUP($A174,[1]플랫폼1!$A:$B,2,FALSE),0)</f>
        <v>0</v>
      </c>
      <c r="P174" s="44">
        <f>IFERROR(VLOOKUP($A174,[1]플랫폼2!$A:$M,12,FALSE),0)+IFERROR(VLOOKUP($A174,[1]플랫폼2!$A:$M,13,FALSE),0)</f>
        <v>0</v>
      </c>
      <c r="Q174" s="44">
        <f>IFERROR(VLOOKUP($A174,[1]플랫폼2!$A:$M,7,FALSE),0)+IFERROR(VLOOKUP($A174,[1]플랫폼2!$A:$M,12,FALSE),0)</f>
        <v>0</v>
      </c>
      <c r="R174" s="44">
        <f>IFERROR(VLOOKUP($A174,[1]모바일!$A:$S,17,FALSE),0)</f>
        <v>0</v>
      </c>
      <c r="S174" s="44">
        <f>IFERROR(VLOOKUP($A174,[1]모바일!$A:$S,18,FALSE),0)</f>
        <v>0</v>
      </c>
      <c r="T174" s="43">
        <v>356728</v>
      </c>
      <c r="U174" s="83"/>
    </row>
    <row r="175" spans="1:21" hidden="1" outlineLevel="1" x14ac:dyDescent="0.45">
      <c r="A175" s="24" t="s">
        <v>207</v>
      </c>
      <c r="B175" s="45">
        <f>'1월'!B175+'2월'!B175+'3월'!B175+'4월'!B175+'5월'!B175+'6월'!B175+'7월'!B175+'8월'!B175+'9월'!B175+'10월'!B175+'11월'!B175+'12월'!B175</f>
        <v>0</v>
      </c>
      <c r="C175" s="45">
        <f>'1월'!C175+'2월'!C175+'3월'!C175+'4월'!C175+'5월'!C175+'6월'!C175+'7월'!C175+'8월'!C175+'9월'!C175+'10월'!C175+'11월'!C175+'12월'!C175</f>
        <v>0</v>
      </c>
      <c r="D175" s="45">
        <f>'1월'!D175+'2월'!D175+'3월'!D175+'4월'!D175+'5월'!D175+'6월'!D175+'7월'!D175+'8월'!D175+'9월'!D175+'10월'!D175+'11월'!D175+'12월'!D175</f>
        <v>0</v>
      </c>
      <c r="E175" s="45">
        <f>'1월'!E175+'2월'!E175+'3월'!E175+'4월'!E175+'5월'!E175+'6월'!E175+'7월'!E175+'8월'!E175+'9월'!E175+'10월'!E175+'11월'!E175+'12월'!E175</f>
        <v>0</v>
      </c>
      <c r="F175" s="45">
        <f>'1월'!F175+'2월'!F175+'3월'!F175+'4월'!F175+'5월'!F175+'6월'!F175+'7월'!F175+'8월'!F175+'9월'!F175+'10월'!F175+'11월'!F175+'12월'!F175</f>
        <v>0</v>
      </c>
      <c r="G175" s="45">
        <f>'1월'!H175+'2월'!G175+'3월'!G175+'4월'!G175+'5월'!G175+'6월'!G175+'7월'!G175+'8월'!G175+'9월'!G175+'10월'!G175+'11월'!G175+'12월'!G175</f>
        <v>0</v>
      </c>
      <c r="H175" s="45">
        <f>'1월'!J175+'2월'!H175+'3월'!H175+'4월'!H175+'5월'!H175+'6월'!H175+'7월'!H175+'8월'!H175+'9월'!H175+'10월'!H175+'11월'!H175+'12월'!H175</f>
        <v>0</v>
      </c>
      <c r="I175" s="45">
        <f>'1월'!K175+'2월'!I175+'3월'!I175+'4월'!I175+'5월'!I175+'6월'!I175+'7월'!I175+'8월'!I175+'9월'!I175+'10월'!I175+'11월'!I175+'12월'!I175</f>
        <v>0</v>
      </c>
      <c r="J175" s="45">
        <f>'1월'!L175+'2월'!J175+'3월'!J175+'4월'!J175+'5월'!J175+'6월'!J175+'7월'!J175+'8월'!J175+'9월'!J175+'10월'!J175+'11월'!J175+'12월'!J175</f>
        <v>0</v>
      </c>
      <c r="K175" s="45">
        <f>'1월'!M175+'2월'!K175+'3월'!K175+'4월'!K175+'5월'!K175+'6월'!K175+'7월'!K175+'8월'!K175+'9월'!K175+'10월'!K175+'11월'!K175+'12월'!K175</f>
        <v>0</v>
      </c>
      <c r="L175" s="45">
        <f>'1월'!N175+'2월'!L175+'3월'!L175+'4월'!L175+'5월'!L175+'6월'!L175+'7월'!L175+'8월'!L175+'9월'!L175+'10월'!L175+'11월'!L175+'12월'!L175</f>
        <v>0</v>
      </c>
      <c r="M175" s="45">
        <f>'1월'!O175+'2월'!M175+'3월'!M175+'4월'!M175+'5월'!M175+'6월'!M175+'7월'!M175+'8월'!M175+'9월'!M175+'10월'!M175+'11월'!M175+'12월'!M175</f>
        <v>0</v>
      </c>
      <c r="O175" s="45">
        <f>IFERROR(VLOOKUP($A175,[1]플랫폼1!$A:$B,2,FALSE),0)</f>
        <v>0</v>
      </c>
      <c r="P175" s="45">
        <f>IFERROR(VLOOKUP($A175,[1]플랫폼2!$A:$M,12,FALSE),0)+IFERROR(VLOOKUP($A175,[1]플랫폼2!$A:$M,13,FALSE),0)</f>
        <v>0</v>
      </c>
      <c r="Q175" s="45">
        <f>IFERROR(VLOOKUP($A175,[1]플랫폼2!$A:$M,7,FALSE),0)+IFERROR(VLOOKUP($A175,[1]플랫폼2!$A:$M,12,FALSE),0)</f>
        <v>0</v>
      </c>
      <c r="R175" s="45">
        <f>IFERROR(VLOOKUP($A175,[1]모바일!$A:$S,17,FALSE),0)</f>
        <v>0</v>
      </c>
      <c r="S175" s="45">
        <f>IFERROR(VLOOKUP($A175,[1]모바일!$A:$S,18,FALSE),0)</f>
        <v>0</v>
      </c>
      <c r="T175" s="54">
        <f>IFERROR(VLOOKUP(A175,[1]플랫폼2!$A:$O,15,0),0)</f>
        <v>0</v>
      </c>
      <c r="U175" s="83"/>
    </row>
    <row r="176" spans="1:21" hidden="1" outlineLevel="1" x14ac:dyDescent="0.45">
      <c r="A176" s="29" t="s">
        <v>256</v>
      </c>
      <c r="B176" s="44">
        <f>'1월'!B176+'2월'!B176+'3월'!B176+'4월'!B176+'5월'!B176+'6월'!B176+'7월'!B176+'8월'!B176+'9월'!B176+'10월'!B176+'11월'!B176+'12월'!B176</f>
        <v>0</v>
      </c>
      <c r="C176" s="44">
        <f>'1월'!C176+'2월'!C176+'3월'!C176+'4월'!C176+'5월'!C176+'6월'!C176+'7월'!C176+'8월'!C176+'9월'!C176+'10월'!C176+'11월'!C176+'12월'!C176</f>
        <v>0</v>
      </c>
      <c r="D176" s="44">
        <f>'1월'!D176+'2월'!D176+'3월'!D176+'4월'!D176+'5월'!D176+'6월'!D176+'7월'!D176+'8월'!D176+'9월'!D176+'10월'!D176+'11월'!D176+'12월'!D176</f>
        <v>0</v>
      </c>
      <c r="E176" s="44">
        <f>'1월'!E176+'2월'!E176+'3월'!E176+'4월'!E176+'5월'!E176+'6월'!E176+'7월'!E176+'8월'!E176+'9월'!E176+'10월'!E176+'11월'!E176+'12월'!E176</f>
        <v>0</v>
      </c>
      <c r="F176" s="44">
        <f>'1월'!F176+'2월'!F176+'3월'!F176+'4월'!F176+'5월'!F176+'6월'!F176+'7월'!F176+'8월'!F176+'9월'!F176+'10월'!F176+'11월'!F176+'12월'!F176</f>
        <v>0</v>
      </c>
      <c r="G176" s="44">
        <f>'1월'!H176+'2월'!G176+'3월'!G176+'4월'!G176+'5월'!G176+'6월'!G176+'7월'!G176+'8월'!G176+'9월'!G176+'10월'!G176+'11월'!G176+'12월'!G176</f>
        <v>0</v>
      </c>
      <c r="H176" s="44">
        <f>'1월'!J176+'2월'!H176+'3월'!H176+'4월'!H176+'5월'!H176+'6월'!H176+'7월'!H176+'8월'!H176+'9월'!H176+'10월'!H176+'11월'!H176+'12월'!H176</f>
        <v>0</v>
      </c>
      <c r="I176" s="44">
        <f>'1월'!K176+'2월'!I176+'3월'!I176+'4월'!I176+'5월'!I176+'6월'!I176+'7월'!I176+'8월'!I176+'9월'!I176+'10월'!I176+'11월'!I176+'12월'!I176</f>
        <v>0</v>
      </c>
      <c r="J176" s="44">
        <f>'1월'!L176+'2월'!J176+'3월'!J176+'4월'!J176+'5월'!J176+'6월'!J176+'7월'!J176+'8월'!J176+'9월'!J176+'10월'!J176+'11월'!J176+'12월'!J176</f>
        <v>0</v>
      </c>
      <c r="K176" s="44">
        <f>'1월'!M176+'2월'!K176+'3월'!K176+'4월'!K176+'5월'!K176+'6월'!K176+'7월'!K176+'8월'!K176+'9월'!K176+'10월'!K176+'11월'!K176+'12월'!K176</f>
        <v>0</v>
      </c>
      <c r="L176" s="44">
        <f>'1월'!N176+'2월'!L176+'3월'!L176+'4월'!L176+'5월'!L176+'6월'!L176+'7월'!L176+'8월'!L176+'9월'!L176+'10월'!L176+'11월'!L176+'12월'!L176</f>
        <v>0</v>
      </c>
      <c r="M176" s="44">
        <f>'1월'!O176+'2월'!M176+'3월'!M176+'4월'!M176+'5월'!M176+'6월'!M176+'7월'!M176+'8월'!M176+'9월'!M176+'10월'!M176+'11월'!M176+'12월'!M176</f>
        <v>0</v>
      </c>
      <c r="O176" s="44">
        <f>IFERROR(VLOOKUP($A176,[1]플랫폼1!$A:$B,2,FALSE),0)</f>
        <v>0</v>
      </c>
      <c r="P176" s="44">
        <f>IFERROR(VLOOKUP($A176,[1]플랫폼2!$A:$M,12,FALSE),0)+IFERROR(VLOOKUP($A176,[1]플랫폼2!$A:$M,13,FALSE),0)</f>
        <v>0</v>
      </c>
      <c r="Q176" s="44">
        <f>IFERROR(VLOOKUP($A176,[1]플랫폼2!$A:$M,7,FALSE),0)+IFERROR(VLOOKUP($A176,[1]플랫폼2!$A:$M,12,FALSE),0)</f>
        <v>0</v>
      </c>
      <c r="R176" s="44">
        <f>IFERROR(VLOOKUP($A176,[1]모바일!$A:$S,17,FALSE),0)</f>
        <v>0</v>
      </c>
      <c r="S176" s="44">
        <f>IFERROR(VLOOKUP($A176,[1]모바일!$A:$S,18,FALSE),0)</f>
        <v>0</v>
      </c>
      <c r="T176" s="43">
        <f>IFERROR(VLOOKUP(A176,[1]플랫폼2!$A:$O,15,0),0)</f>
        <v>0</v>
      </c>
      <c r="U176" s="83"/>
    </row>
    <row r="177" spans="1:21" s="1" customFormat="1" hidden="1" outlineLevel="1" collapsed="1" x14ac:dyDescent="0.45">
      <c r="A177" s="29" t="s">
        <v>208</v>
      </c>
      <c r="B177" s="44">
        <f>'1월'!B177+'2월'!B177+'3월'!B177+'4월'!B177+'5월'!B177+'6월'!B177+'7월'!B177+'8월'!B177+'9월'!B177+'10월'!B177+'11월'!B177+'12월'!B177</f>
        <v>518056790</v>
      </c>
      <c r="C177" s="44">
        <f>'1월'!C177+'2월'!C177+'3월'!C177+'4월'!C177+'5월'!C177+'6월'!C177+'7월'!C177+'8월'!C177+'9월'!C177+'10월'!C177+'11월'!C177+'12월'!C177</f>
        <v>0</v>
      </c>
      <c r="D177" s="44">
        <f>'1월'!D177+'2월'!D177+'3월'!D177+'4월'!D177+'5월'!D177+'6월'!D177+'7월'!D177+'8월'!D177+'9월'!D177+'10월'!D177+'11월'!D177+'12월'!D177</f>
        <v>0</v>
      </c>
      <c r="E177" s="44">
        <f>'1월'!E177+'2월'!E177+'3월'!E177+'4월'!E177+'5월'!E177+'6월'!E177+'7월'!E177+'8월'!E177+'9월'!E177+'10월'!E177+'11월'!E177+'12월'!E177</f>
        <v>518056790</v>
      </c>
      <c r="F177" s="44">
        <f>'1월'!F177+'2월'!F177+'3월'!F177+'4월'!F177+'5월'!F177+'6월'!F177+'7월'!F177+'8월'!F177+'9월'!F177+'10월'!F177+'11월'!F177+'12월'!F177</f>
        <v>334210366</v>
      </c>
      <c r="G177" s="44">
        <f>'1월'!H177+'2월'!G177+'3월'!G177+'4월'!G177+'5월'!G177+'6월'!G177+'7월'!G177+'8월'!G177+'9월'!G177+'10월'!G177+'11월'!G177+'12월'!G177</f>
        <v>138570424</v>
      </c>
      <c r="H177" s="44">
        <f>'1월'!J177+'2월'!H177+'3월'!H177+'4월'!H177+'5월'!H177+'6월'!H177+'7월'!H177+'8월'!H177+'9월'!H177+'10월'!H177+'11월'!H177+'12월'!H177</f>
        <v>41276000</v>
      </c>
      <c r="I177" s="44">
        <f>'1월'!K177+'2월'!I177+'3월'!I177+'4월'!I177+'5월'!I177+'6월'!I177+'7월'!I177+'8월'!I177+'9월'!I177+'10월'!I177+'11월'!I177+'12월'!I177</f>
        <v>0</v>
      </c>
      <c r="J177" s="44">
        <f>'1월'!L177+'2월'!J177+'3월'!J177+'4월'!J177+'5월'!J177+'6월'!J177+'7월'!J177+'8월'!J177+'9월'!J177+'10월'!J177+'11월'!J177+'12월'!J177</f>
        <v>0</v>
      </c>
      <c r="K177" s="44">
        <f>'1월'!M177+'2월'!K177+'3월'!K177+'4월'!K177+'5월'!K177+'6월'!K177+'7월'!K177+'8월'!K177+'9월'!K177+'10월'!K177+'11월'!K177+'12월'!K177</f>
        <v>0</v>
      </c>
      <c r="L177" s="44">
        <f>'1월'!N177+'2월'!L177+'3월'!L177+'4월'!L177+'5월'!L177+'6월'!L177+'7월'!L177+'8월'!L177+'9월'!L177+'10월'!L177+'11월'!L177+'12월'!L177</f>
        <v>0</v>
      </c>
      <c r="M177" s="44">
        <f>'1월'!O177+'2월'!M177+'3월'!M177+'4월'!M177+'5월'!M177+'6월'!M177+'7월'!M177+'8월'!M177+'9월'!M177+'10월'!M177+'11월'!M177+'12월'!M177</f>
        <v>4000000</v>
      </c>
      <c r="O177" s="44">
        <f>IFERROR(VLOOKUP($A177,[1]플랫폼1!$A:$B,2,FALSE),0)</f>
        <v>0</v>
      </c>
      <c r="P177" s="44">
        <f>IFERROR(VLOOKUP($A177,[1]플랫폼2!$A:$M,12,FALSE),0)+IFERROR(VLOOKUP($A177,[1]플랫폼2!$A:$M,13,FALSE),0)</f>
        <v>2000000</v>
      </c>
      <c r="Q177" s="44">
        <f>IFERROR(VLOOKUP($A177,[1]플랫폼2!$A:$M,7,FALSE),0)+IFERROR(VLOOKUP($A177,[1]플랫폼2!$A:$M,12,FALSE),0)</f>
        <v>2000000</v>
      </c>
      <c r="R177" s="44">
        <f>IFERROR(VLOOKUP($A177,[1]모바일!$A:$S,17,FALSE),0)</f>
        <v>0</v>
      </c>
      <c r="S177" s="44">
        <f>IFERROR(VLOOKUP($A177,[1]모바일!$A:$S,18,FALSE),0)</f>
        <v>0</v>
      </c>
      <c r="T177" s="43">
        <f>IFERROR(VLOOKUP(A177,[1]플랫폼2!$A:$O,15,0),0)</f>
        <v>0</v>
      </c>
      <c r="U177" s="83"/>
    </row>
    <row r="178" spans="1:21" collapsed="1" x14ac:dyDescent="0.45">
      <c r="A178" s="28" t="s">
        <v>146</v>
      </c>
      <c r="B178" s="43">
        <f>'1월'!B178+'2월'!B178+'3월'!B178+'4월'!B178+'5월'!B178+'6월'!B178+'7월'!B178+'8월'!B178+'9월'!B178+'10월'!B178+'11월'!B178+'12월'!B178</f>
        <v>3249875</v>
      </c>
      <c r="C178" s="43">
        <f>'1월'!C178+'2월'!C178+'3월'!C178+'4월'!C178+'5월'!C178+'6월'!C178+'7월'!C178+'8월'!C178+'9월'!C178+'10월'!C178+'11월'!C178+'12월'!C178</f>
        <v>3091147</v>
      </c>
      <c r="D178" s="43">
        <f>'1월'!D178+'2월'!D178+'3월'!D178+'4월'!D178+'5월'!D178+'6월'!D178+'7월'!D178+'8월'!D178+'9월'!D178+'10월'!D178+'11월'!D178+'12월'!D178</f>
        <v>83455</v>
      </c>
      <c r="E178" s="43">
        <f>'1월'!E178+'2월'!E178+'3월'!E178+'4월'!E178+'5월'!E178+'6월'!E178+'7월'!E178+'8월'!E178+'9월'!E178+'10월'!E178+'11월'!E178+'12월'!E178</f>
        <v>75273.000000000015</v>
      </c>
      <c r="F178" s="43">
        <f>'1월'!F178+'2월'!F178+'3월'!F178+'4월'!F178+'5월'!F178+'6월'!F178+'7월'!F178+'8월'!F178+'9월'!F178+'10월'!F178+'11월'!F178+'12월'!F178</f>
        <v>67916.704130253245</v>
      </c>
      <c r="G178" s="43">
        <f>'1월'!H178+'2월'!G178+'3월'!G178+'4월'!G178+'5월'!G178+'6월'!G178+'7월'!G178+'8월'!G178+'9월'!G178+'10월'!G178+'11월'!G178+'12월'!G178</f>
        <v>7356.2958697467629</v>
      </c>
      <c r="H178" s="43">
        <f>'1월'!J178+'2월'!H178+'3월'!H178+'4월'!H178+'5월'!H178+'6월'!H178+'7월'!H178+'8월'!H178+'9월'!H178+'10월'!H178+'11월'!H178+'12월'!H178</f>
        <v>0</v>
      </c>
      <c r="I178" s="43">
        <f>'1월'!K178+'2월'!I178+'3월'!I178+'4월'!I178+'5월'!I178+'6월'!I178+'7월'!I178+'8월'!I178+'9월'!I178+'10월'!I178+'11월'!I178+'12월'!I178</f>
        <v>0</v>
      </c>
      <c r="J178" s="43">
        <f>'1월'!L178+'2월'!J178+'3월'!J178+'4월'!J178+'5월'!J178+'6월'!J178+'7월'!J178+'8월'!J178+'9월'!J178+'10월'!J178+'11월'!J178+'12월'!J178</f>
        <v>0</v>
      </c>
      <c r="K178" s="43">
        <f>'1월'!M178+'2월'!K178+'3월'!K178+'4월'!K178+'5월'!K178+'6월'!K178+'7월'!K178+'8월'!K178+'9월'!K178+'10월'!K178+'11월'!K178+'12월'!K178</f>
        <v>0</v>
      </c>
      <c r="L178" s="43">
        <f>'1월'!N178+'2월'!L178+'3월'!L178+'4월'!L178+'5월'!L178+'6월'!L178+'7월'!L178+'8월'!L178+'9월'!L178+'10월'!L178+'11월'!L178+'12월'!L178</f>
        <v>0</v>
      </c>
      <c r="M178" s="43">
        <f>'1월'!O178+'2월'!M178+'3월'!M178+'4월'!M178+'5월'!M178+'6월'!M178+'7월'!M178+'8월'!M178+'9월'!M178+'10월'!M178+'11월'!M178+'12월'!M178</f>
        <v>0</v>
      </c>
      <c r="O178" s="43">
        <f>IFERROR(VLOOKUP($A178,[1]플랫폼1!$A:$B,2,FALSE),0)</f>
        <v>0</v>
      </c>
      <c r="P178" s="43">
        <f>IFERROR(VLOOKUP($A178,[1]플랫폼2!$A:$M,12,FALSE),0)+IFERROR(VLOOKUP($A178,[1]플랫폼2!$A:$M,13,FALSE),0)</f>
        <v>0</v>
      </c>
      <c r="Q178" s="43">
        <f>IFERROR(VLOOKUP($A178,[1]플랫폼2!$A:$M,7,FALSE),0)+IFERROR(VLOOKUP($A178,[1]플랫폼2!$A:$M,12,FALSE),0)</f>
        <v>0</v>
      </c>
      <c r="R178" s="43">
        <f>IFERROR(VLOOKUP($A178,[1]모바일!$A:$S,17,FALSE),0)</f>
        <v>0</v>
      </c>
      <c r="S178" s="43">
        <f>IFERROR(VLOOKUP($A178,[1]모바일!$A:$S,18,FALSE),0)</f>
        <v>0</v>
      </c>
      <c r="T178" s="43">
        <f>IFERROR(VLOOKUP(A178,[1]플랫폼2!$A:$O,15,0),0)</f>
        <v>0</v>
      </c>
      <c r="U178" s="83"/>
    </row>
    <row r="179" spans="1:21" hidden="1" outlineLevel="1" x14ac:dyDescent="0.45">
      <c r="A179" s="29" t="s">
        <v>147</v>
      </c>
      <c r="B179" s="44">
        <f>'1월'!B179+'2월'!B179+'3월'!B179+'4월'!B179+'5월'!B179+'6월'!B179+'7월'!B179+'8월'!B179+'9월'!B179+'10월'!B179+'11월'!B179+'12월'!B179</f>
        <v>3031693</v>
      </c>
      <c r="C179" s="44">
        <f>'1월'!C179+'2월'!C179+'3월'!C179+'4월'!C179+'5월'!C179+'6월'!C179+'7월'!C179+'8월'!C179+'9월'!C179+'10월'!C179+'11월'!C179+'12월'!C179</f>
        <v>2872965</v>
      </c>
      <c r="D179" s="44">
        <f>'1월'!D179+'2월'!D179+'3월'!D179+'4월'!D179+'5월'!D179+'6월'!D179+'7월'!D179+'8월'!D179+'9월'!D179+'10월'!D179+'11월'!D179+'12월'!D179</f>
        <v>83455</v>
      </c>
      <c r="E179" s="44">
        <f>'1월'!E179+'2월'!E179+'3월'!E179+'4월'!E179+'5월'!E179+'6월'!E179+'7월'!E179+'8월'!E179+'9월'!E179+'10월'!E179+'11월'!E179+'12월'!E179</f>
        <v>75273.000000000015</v>
      </c>
      <c r="F179" s="44">
        <f>'1월'!F179+'2월'!F179+'3월'!F179+'4월'!F179+'5월'!F179+'6월'!F179+'7월'!F179+'8월'!F179+'9월'!F179+'10월'!F179+'11월'!F179+'12월'!F179</f>
        <v>67916.704130253245</v>
      </c>
      <c r="G179" s="44">
        <f>'1월'!H179+'2월'!G179+'3월'!G179+'4월'!G179+'5월'!G179+'6월'!G179+'7월'!G179+'8월'!G179+'9월'!G179+'10월'!G179+'11월'!G179+'12월'!G179</f>
        <v>7356.2958697467629</v>
      </c>
      <c r="H179" s="44">
        <f>'1월'!J179+'2월'!H179+'3월'!H179+'4월'!H179+'5월'!H179+'6월'!H179+'7월'!H179+'8월'!H179+'9월'!H179+'10월'!H179+'11월'!H179+'12월'!H179</f>
        <v>0</v>
      </c>
      <c r="I179" s="44">
        <f>'1월'!K179+'2월'!I179+'3월'!I179+'4월'!I179+'5월'!I179+'6월'!I179+'7월'!I179+'8월'!I179+'9월'!I179+'10월'!I179+'11월'!I179+'12월'!I179</f>
        <v>0</v>
      </c>
      <c r="J179" s="44">
        <f>'1월'!L179+'2월'!J179+'3월'!J179+'4월'!J179+'5월'!J179+'6월'!J179+'7월'!J179+'8월'!J179+'9월'!J179+'10월'!J179+'11월'!J179+'12월'!J179</f>
        <v>0</v>
      </c>
      <c r="K179" s="44">
        <f>'1월'!M179+'2월'!K179+'3월'!K179+'4월'!K179+'5월'!K179+'6월'!K179+'7월'!K179+'8월'!K179+'9월'!K179+'10월'!K179+'11월'!K179+'12월'!K179</f>
        <v>0</v>
      </c>
      <c r="L179" s="44">
        <f>'1월'!N179+'2월'!L179+'3월'!L179+'4월'!L179+'5월'!L179+'6월'!L179+'7월'!L179+'8월'!L179+'9월'!L179+'10월'!L179+'11월'!L179+'12월'!L179</f>
        <v>0</v>
      </c>
      <c r="M179" s="44">
        <f>'1월'!O179+'2월'!M179+'3월'!M179+'4월'!M179+'5월'!M179+'6월'!M179+'7월'!M179+'8월'!M179+'9월'!M179+'10월'!M179+'11월'!M179+'12월'!M179</f>
        <v>0</v>
      </c>
      <c r="O179" s="44">
        <f>IFERROR(VLOOKUP($A179,[1]플랫폼1!$A:$B,2,FALSE),0)</f>
        <v>0</v>
      </c>
      <c r="P179" s="44">
        <f>IFERROR(VLOOKUP($A179,[1]플랫폼2!$A:$M,12,FALSE),0)+IFERROR(VLOOKUP($A179,[1]플랫폼2!$A:$M,13,FALSE),0)</f>
        <v>0</v>
      </c>
      <c r="Q179" s="44">
        <f>IFERROR(VLOOKUP($A179,[1]플랫폼2!$A:$M,7,FALSE),0)+IFERROR(VLOOKUP($A179,[1]플랫폼2!$A:$M,12,FALSE),0)</f>
        <v>0</v>
      </c>
      <c r="R179" s="44">
        <f>IFERROR(VLOOKUP($A179,[1]모바일!$A:$S,17,FALSE),0)</f>
        <v>0</v>
      </c>
      <c r="S179" s="44">
        <f>IFERROR(VLOOKUP($A179,[1]모바일!$A:$S,18,FALSE),0)</f>
        <v>0</v>
      </c>
      <c r="T179" s="43">
        <f>IFERROR(VLOOKUP(A179,[1]플랫폼2!$A:$O,15,0),0)</f>
        <v>0</v>
      </c>
      <c r="U179" s="83"/>
    </row>
    <row r="180" spans="1:21" s="1" customFormat="1" hidden="1" outlineLevel="1" collapsed="1" x14ac:dyDescent="0.45">
      <c r="A180" s="29" t="s">
        <v>148</v>
      </c>
      <c r="B180" s="44">
        <f>'1월'!B180+'2월'!B180+'3월'!B180+'4월'!B180+'5월'!B180+'6월'!B180+'7월'!B180+'8월'!B180+'9월'!B180+'10월'!B180+'11월'!B180+'12월'!B180</f>
        <v>218182</v>
      </c>
      <c r="C180" s="44">
        <f>'1월'!C180+'2월'!C180+'3월'!C180+'4월'!C180+'5월'!C180+'6월'!C180+'7월'!C180+'8월'!C180+'9월'!C180+'10월'!C180+'11월'!C180+'12월'!C180</f>
        <v>218182</v>
      </c>
      <c r="D180" s="44">
        <f>'1월'!D180+'2월'!D180+'3월'!D180+'4월'!D180+'5월'!D180+'6월'!D180+'7월'!D180+'8월'!D180+'9월'!D180+'10월'!D180+'11월'!D180+'12월'!D180</f>
        <v>0</v>
      </c>
      <c r="E180" s="44">
        <f>'1월'!E180+'2월'!E180+'3월'!E180+'4월'!E180+'5월'!E180+'6월'!E180+'7월'!E180+'8월'!E180+'9월'!E180+'10월'!E180+'11월'!E180+'12월'!E180</f>
        <v>0</v>
      </c>
      <c r="F180" s="44">
        <f>'1월'!F180+'2월'!F180+'3월'!F180+'4월'!F180+'5월'!F180+'6월'!F180+'7월'!F180+'8월'!F180+'9월'!F180+'10월'!F180+'11월'!F180+'12월'!F180</f>
        <v>0</v>
      </c>
      <c r="G180" s="44">
        <f>'1월'!H180+'2월'!G180+'3월'!G180+'4월'!G180+'5월'!G180+'6월'!G180+'7월'!G180+'8월'!G180+'9월'!G180+'10월'!G180+'11월'!G180+'12월'!G180</f>
        <v>0</v>
      </c>
      <c r="H180" s="44">
        <f>'1월'!J180+'2월'!H180+'3월'!H180+'4월'!H180+'5월'!H180+'6월'!H180+'7월'!H180+'8월'!H180+'9월'!H180+'10월'!H180+'11월'!H180+'12월'!H180</f>
        <v>0</v>
      </c>
      <c r="I180" s="44">
        <f>'1월'!K180+'2월'!I180+'3월'!I180+'4월'!I180+'5월'!I180+'6월'!I180+'7월'!I180+'8월'!I180+'9월'!I180+'10월'!I180+'11월'!I180+'12월'!I180</f>
        <v>0</v>
      </c>
      <c r="J180" s="44">
        <f>'1월'!L180+'2월'!J180+'3월'!J180+'4월'!J180+'5월'!J180+'6월'!J180+'7월'!J180+'8월'!J180+'9월'!J180+'10월'!J180+'11월'!J180+'12월'!J180</f>
        <v>0</v>
      </c>
      <c r="K180" s="44">
        <f>'1월'!M180+'2월'!K180+'3월'!K180+'4월'!K180+'5월'!K180+'6월'!K180+'7월'!K180+'8월'!K180+'9월'!K180+'10월'!K180+'11월'!K180+'12월'!K180</f>
        <v>0</v>
      </c>
      <c r="L180" s="44">
        <f>'1월'!N180+'2월'!L180+'3월'!L180+'4월'!L180+'5월'!L180+'6월'!L180+'7월'!L180+'8월'!L180+'9월'!L180+'10월'!L180+'11월'!L180+'12월'!L180</f>
        <v>0</v>
      </c>
      <c r="M180" s="44">
        <f>'1월'!O180+'2월'!M180+'3월'!M180+'4월'!M180+'5월'!M180+'6월'!M180+'7월'!M180+'8월'!M180+'9월'!M180+'10월'!M180+'11월'!M180+'12월'!M180</f>
        <v>0</v>
      </c>
      <c r="O180" s="44">
        <f>IFERROR(VLOOKUP($A180,[1]플랫폼1!$A:$B,2,FALSE),0)</f>
        <v>0</v>
      </c>
      <c r="P180" s="44">
        <f>IFERROR(VLOOKUP($A180,[1]플랫폼2!$A:$M,12,FALSE),0)+IFERROR(VLOOKUP($A180,[1]플랫폼2!$A:$M,13,FALSE),0)</f>
        <v>0</v>
      </c>
      <c r="Q180" s="44">
        <f>IFERROR(VLOOKUP($A180,[1]플랫폼2!$A:$M,7,FALSE),0)+IFERROR(VLOOKUP($A180,[1]플랫폼2!$A:$M,12,FALSE),0)</f>
        <v>0</v>
      </c>
      <c r="R180" s="44">
        <f>IFERROR(VLOOKUP($A180,[1]모바일!$A:$S,17,FALSE),0)</f>
        <v>0</v>
      </c>
      <c r="S180" s="44">
        <f>IFERROR(VLOOKUP($A180,[1]모바일!$A:$S,18,FALSE),0)</f>
        <v>0</v>
      </c>
      <c r="T180" s="43">
        <f>IFERROR(VLOOKUP(A180,[1]플랫폼2!$A:$O,15,0),0)</f>
        <v>0</v>
      </c>
      <c r="U180" s="83"/>
    </row>
    <row r="181" spans="1:21" s="1" customFormat="1" collapsed="1" x14ac:dyDescent="0.45">
      <c r="A181" s="28" t="s">
        <v>83</v>
      </c>
      <c r="B181" s="43">
        <f>'1월'!B181+'2월'!B181+'3월'!B181+'4월'!B181+'5월'!B181+'6월'!B181+'7월'!B181+'8월'!B181+'9월'!B181+'10월'!B181+'11월'!B181+'12월'!B181</f>
        <v>6253192938</v>
      </c>
      <c r="C181" s="43">
        <f>'1월'!C181+'2월'!C181+'3월'!C181+'4월'!C181+'5월'!C181+'6월'!C181+'7월'!C181+'8월'!C181+'9월'!C181+'10월'!C181+'11월'!C181+'12월'!C181</f>
        <v>1517393479.8050997</v>
      </c>
      <c r="D181" s="43">
        <f>'1월'!D181+'2월'!D181+'3월'!D181+'4월'!D181+'5월'!D181+'6월'!D181+'7월'!D181+'8월'!D181+'9월'!D181+'10월'!D181+'11월'!D181+'12월'!D181</f>
        <v>253251678</v>
      </c>
      <c r="E181" s="43">
        <f>'1월'!E181+'2월'!E181+'3월'!E181+'4월'!E181+'5월'!E181+'6월'!E181+'7월'!E181+'8월'!E181+'9월'!E181+'10월'!E181+'11월'!E181+'12월'!E181</f>
        <v>4482547780.1949005</v>
      </c>
      <c r="F181" s="43">
        <f>'1월'!F181+'2월'!F181+'3월'!F181+'4월'!F181+'5월'!F181+'6월'!F181+'7월'!F181+'8월'!F181+'9월'!F181+'10월'!F181+'11월'!F181+'12월'!F181</f>
        <v>2537495345.7200427</v>
      </c>
      <c r="G181" s="43">
        <f>'1월'!H181+'2월'!G181+'3월'!G181+'4월'!G181+'5월'!G181+'6월'!G181+'7월'!G181+'8월'!G181+'9월'!G181+'10월'!G181+'11월'!G181+'12월'!G181</f>
        <v>925423318.16692698</v>
      </c>
      <c r="H181" s="43">
        <f>'1월'!J181+'2월'!H181+'3월'!H181+'4월'!H181+'5월'!H181+'6월'!H181+'7월'!H181+'8월'!H181+'9월'!H181+'10월'!H181+'11월'!H181+'12월'!H181</f>
        <v>217572234.13582495</v>
      </c>
      <c r="I181" s="43">
        <f>'1월'!K181+'2월'!I181+'3월'!I181+'4월'!I181+'5월'!I181+'6월'!I181+'7월'!I181+'8월'!I181+'9월'!I181+'10월'!I181+'11월'!I181+'12월'!I181</f>
        <v>30708608.355356272</v>
      </c>
      <c r="J181" s="43">
        <f>'1월'!L181+'2월'!J181+'3월'!J181+'4월'!J181+'5월'!J181+'6월'!J181+'7월'!J181+'8월'!J181+'9월'!J181+'10월'!J181+'11월'!J181+'12월'!J181</f>
        <v>27018299.521860622</v>
      </c>
      <c r="K181" s="43">
        <f>'1월'!M181+'2월'!K181+'3월'!K181+'4월'!K181+'5월'!K181+'6월'!K181+'7월'!K181+'8월'!K181+'9월'!K181+'10월'!K181+'11월'!K181+'12월'!K181</f>
        <v>126163474.28051086</v>
      </c>
      <c r="L181" s="43">
        <f>'1월'!N181+'2월'!L181+'3월'!L181+'4월'!L181+'5월'!L181+'6월'!L181+'7월'!L181+'8월'!L181+'9월'!L181+'10월'!L181+'11월'!L181+'12월'!L181</f>
        <v>453060658.01437789</v>
      </c>
      <c r="M181" s="43">
        <f>'1월'!O181+'2월'!M181+'3월'!M181+'4월'!M181+'5월'!M181+'6월'!M181+'7월'!M181+'8월'!M181+'9월'!M181+'10월'!M181+'11월'!M181+'12월'!M181</f>
        <v>165105842</v>
      </c>
      <c r="O181" s="43">
        <f>IFERROR(VLOOKUP($A181,[1]플랫폼1!$A:$B,2,FALSE),0)</f>
        <v>96883410</v>
      </c>
      <c r="P181" s="43">
        <f>IFERROR(VLOOKUP($A181,[1]플랫폼2!$A:$M,12,FALSE),0)+IFERROR(VLOOKUP($A181,[1]플랫폼2!$A:$M,13,FALSE),0)</f>
        <v>22343518</v>
      </c>
      <c r="Q181" s="43">
        <f>IFERROR(VLOOKUP($A181,[1]플랫폼2!$A:$M,7,FALSE),0)+IFERROR(VLOOKUP($A181,[1]플랫폼2!$A:$M,12,FALSE),0)</f>
        <v>24417391</v>
      </c>
      <c r="R181" s="43">
        <f>IFERROR(VLOOKUP($A181,[1]모바일!$A:$S,17,FALSE),0)</f>
        <v>1427137.5</v>
      </c>
      <c r="S181" s="43">
        <f>IFERROR(VLOOKUP($A181,[1]모바일!$A:$S,18,FALSE),0)</f>
        <v>1427137.5</v>
      </c>
      <c r="T181" s="43">
        <f>IFERROR(VLOOKUP(A181,[1]플랫폼2!$A:$O,15,0),0)</f>
        <v>18607248</v>
      </c>
      <c r="U181" s="83"/>
    </row>
    <row r="182" spans="1:21" hidden="1" outlineLevel="1" x14ac:dyDescent="0.45">
      <c r="A182" s="29" t="s">
        <v>84</v>
      </c>
      <c r="B182" s="44">
        <f>'1월'!B182+'2월'!B182+'3월'!B182+'4월'!B182+'5월'!B182+'6월'!B182+'7월'!B182+'8월'!B182+'9월'!B182+'10월'!B182+'11월'!B182+'12월'!B182</f>
        <v>799710564</v>
      </c>
      <c r="C182" s="44">
        <f>'1월'!C182+'2월'!C182+'3월'!C182+'4월'!C182+'5월'!C182+'6월'!C182+'7월'!C182+'8월'!C182+'9월'!C182+'10월'!C182+'11월'!C182+'12월'!C182</f>
        <v>17068449</v>
      </c>
      <c r="D182" s="44">
        <f>'1월'!D182+'2월'!D182+'3월'!D182+'4월'!D182+'5월'!D182+'6월'!D182+'7월'!D182+'8월'!D182+'9월'!D182+'10월'!D182+'11월'!D182+'12월'!D182</f>
        <v>5302486</v>
      </c>
      <c r="E182" s="44">
        <f>'1월'!E182+'2월'!E182+'3월'!E182+'4월'!E182+'5월'!E182+'6월'!E182+'7월'!E182+'8월'!E182+'9월'!E182+'10월'!E182+'11월'!E182+'12월'!E182</f>
        <v>777339629</v>
      </c>
      <c r="F182" s="44">
        <f>'1월'!F182+'2월'!F182+'3월'!F182+'4월'!F182+'5월'!F182+'6월'!F182+'7월'!F182+'8월'!F182+'9월'!F182+'10월'!F182+'11월'!F182+'12월'!F182</f>
        <v>532768026.45095396</v>
      </c>
      <c r="G182" s="44">
        <f>'1월'!H182+'2월'!G182+'3월'!G182+'4월'!G182+'5월'!G182+'6월'!G182+'7월'!G182+'8월'!G182+'9월'!G182+'10월'!G182+'11월'!G182+'12월'!G182</f>
        <v>126650590.54904604</v>
      </c>
      <c r="H182" s="44">
        <f>'1월'!J182+'2월'!H182+'3월'!H182+'4월'!H182+'5월'!H182+'6월'!H182+'7월'!H182+'8월'!H182+'9월'!H182+'10월'!H182+'11월'!H182+'12월'!H182</f>
        <v>45037051</v>
      </c>
      <c r="I182" s="44">
        <f>'1월'!K182+'2월'!I182+'3월'!I182+'4월'!I182+'5월'!I182+'6월'!I182+'7월'!I182+'8월'!I182+'9월'!I182+'10월'!I182+'11월'!I182+'12월'!I182</f>
        <v>3691237.5</v>
      </c>
      <c r="J182" s="44">
        <f>'1월'!L182+'2월'!J182+'3월'!J182+'4월'!J182+'5월'!J182+'6월'!J182+'7월'!J182+'8월'!J182+'9월'!J182+'10월'!J182+'11월'!J182+'12월'!J182</f>
        <v>3031853.5</v>
      </c>
      <c r="K182" s="44">
        <f>'1월'!M182+'2월'!K182+'3월'!K182+'4월'!K182+'5월'!K182+'6월'!K182+'7월'!K182+'8월'!K182+'9월'!K182+'10월'!K182+'11월'!K182+'12월'!K182</f>
        <v>23388687</v>
      </c>
      <c r="L182" s="44">
        <f>'1월'!N182+'2월'!L182+'3월'!L182+'4월'!L182+'5월'!L182+'6월'!L182+'7월'!L182+'8월'!L182+'9월'!L182+'10월'!L182+'11월'!L182+'12월'!L182</f>
        <v>41200639</v>
      </c>
      <c r="M182" s="44">
        <f>'1월'!O182+'2월'!M182+'3월'!M182+'4월'!M182+'5월'!M182+'6월'!M182+'7월'!M182+'8월'!M182+'9월'!M182+'10월'!M182+'11월'!M182+'12월'!M182</f>
        <v>1571544</v>
      </c>
      <c r="O182" s="44">
        <f>IFERROR(VLOOKUP($A182,[1]플랫폼1!$A:$B,2,FALSE),0)</f>
        <v>0</v>
      </c>
      <c r="P182" s="44">
        <f>IFERROR(VLOOKUP($A182,[1]플랫폼2!$A:$M,12,FALSE),0)+IFERROR(VLOOKUP($A182,[1]플랫폼2!$A:$M,13,FALSE),0)</f>
        <v>0</v>
      </c>
      <c r="Q182" s="44">
        <f>IFERROR(VLOOKUP($A182,[1]플랫폼2!$A:$M,7,FALSE),0)+IFERROR(VLOOKUP($A182,[1]플랫폼2!$A:$M,12,FALSE),0)</f>
        <v>0</v>
      </c>
      <c r="R182" s="44">
        <f>IFERROR(VLOOKUP($A182,[1]모바일!$A:$S,17,FALSE),0)</f>
        <v>0</v>
      </c>
      <c r="S182" s="44">
        <f>IFERROR(VLOOKUP($A182,[1]모바일!$A:$S,18,FALSE),0)</f>
        <v>0</v>
      </c>
      <c r="T182" s="43">
        <v>1571544</v>
      </c>
      <c r="U182" s="83"/>
    </row>
    <row r="183" spans="1:21" hidden="1" outlineLevel="1" x14ac:dyDescent="0.45">
      <c r="A183" s="29" t="s">
        <v>149</v>
      </c>
      <c r="B183" s="44">
        <f>'1월'!B183+'2월'!B183+'3월'!B183+'4월'!B183+'5월'!B183+'6월'!B183+'7월'!B183+'8월'!B183+'9월'!B183+'10월'!B183+'11월'!B183+'12월'!B183</f>
        <v>29239025</v>
      </c>
      <c r="C183" s="44">
        <f>'1월'!C183+'2월'!C183+'3월'!C183+'4월'!C183+'5월'!C183+'6월'!C183+'7월'!C183+'8월'!C183+'9월'!C183+'10월'!C183+'11월'!C183+'12월'!C183</f>
        <v>29239025</v>
      </c>
      <c r="D183" s="44">
        <f>'1월'!D183+'2월'!D183+'3월'!D183+'4월'!D183+'5월'!D183+'6월'!D183+'7월'!D183+'8월'!D183+'9월'!D183+'10월'!D183+'11월'!D183+'12월'!D183</f>
        <v>0</v>
      </c>
      <c r="E183" s="44">
        <f>'1월'!E183+'2월'!E183+'3월'!E183+'4월'!E183+'5월'!E183+'6월'!E183+'7월'!E183+'8월'!E183+'9월'!E183+'10월'!E183+'11월'!E183+'12월'!E183</f>
        <v>0</v>
      </c>
      <c r="F183" s="44">
        <f>'1월'!F183+'2월'!F183+'3월'!F183+'4월'!F183+'5월'!F183+'6월'!F183+'7월'!F183+'8월'!F183+'9월'!F183+'10월'!F183+'11월'!F183+'12월'!F183</f>
        <v>0</v>
      </c>
      <c r="G183" s="44">
        <f>'1월'!H183+'2월'!G183+'3월'!G183+'4월'!G183+'5월'!G183+'6월'!G183+'7월'!G183+'8월'!G183+'9월'!G183+'10월'!G183+'11월'!G183+'12월'!G183</f>
        <v>0</v>
      </c>
      <c r="H183" s="44">
        <f>'1월'!J183+'2월'!H183+'3월'!H183+'4월'!H183+'5월'!H183+'6월'!H183+'7월'!H183+'8월'!H183+'9월'!H183+'10월'!H183+'11월'!H183+'12월'!H183</f>
        <v>0</v>
      </c>
      <c r="I183" s="44">
        <f>'1월'!K183+'2월'!I183+'3월'!I183+'4월'!I183+'5월'!I183+'6월'!I183+'7월'!I183+'8월'!I183+'9월'!I183+'10월'!I183+'11월'!I183+'12월'!I183</f>
        <v>0</v>
      </c>
      <c r="J183" s="44">
        <f>'1월'!L183+'2월'!J183+'3월'!J183+'4월'!J183+'5월'!J183+'6월'!J183+'7월'!J183+'8월'!J183+'9월'!J183+'10월'!J183+'11월'!J183+'12월'!J183</f>
        <v>0</v>
      </c>
      <c r="K183" s="44">
        <f>'1월'!M183+'2월'!K183+'3월'!K183+'4월'!K183+'5월'!K183+'6월'!K183+'7월'!K183+'8월'!K183+'9월'!K183+'10월'!K183+'11월'!K183+'12월'!K183</f>
        <v>0</v>
      </c>
      <c r="L183" s="44">
        <f>'1월'!N183+'2월'!L183+'3월'!L183+'4월'!L183+'5월'!L183+'6월'!L183+'7월'!L183+'8월'!L183+'9월'!L183+'10월'!L183+'11월'!L183+'12월'!L183</f>
        <v>0</v>
      </c>
      <c r="M183" s="44">
        <f>'1월'!O183+'2월'!M183+'3월'!M183+'4월'!M183+'5월'!M183+'6월'!M183+'7월'!M183+'8월'!M183+'9월'!M183+'10월'!M183+'11월'!M183+'12월'!M183</f>
        <v>0</v>
      </c>
      <c r="O183" s="44">
        <f>IFERROR(VLOOKUP($A183,[1]플랫폼1!$A:$B,2,FALSE),0)</f>
        <v>0</v>
      </c>
      <c r="P183" s="44">
        <f>IFERROR(VLOOKUP($A183,[1]플랫폼2!$A:$M,12,FALSE),0)+IFERROR(VLOOKUP($A183,[1]플랫폼2!$A:$M,13,FALSE),0)</f>
        <v>0</v>
      </c>
      <c r="Q183" s="44">
        <f>IFERROR(VLOOKUP($A183,[1]플랫폼2!$A:$M,7,FALSE),0)+IFERROR(VLOOKUP($A183,[1]플랫폼2!$A:$M,12,FALSE),0)</f>
        <v>0</v>
      </c>
      <c r="R183" s="44">
        <f>IFERROR(VLOOKUP($A183,[1]모바일!$A:$S,17,FALSE),0)</f>
        <v>0</v>
      </c>
      <c r="S183" s="44">
        <f>IFERROR(VLOOKUP($A183,[1]모바일!$A:$S,18,FALSE),0)</f>
        <v>0</v>
      </c>
      <c r="T183" s="43">
        <f>IFERROR(VLOOKUP(A183,[1]플랫폼2!$A:$O,15,0),0)</f>
        <v>0</v>
      </c>
      <c r="U183" s="83"/>
    </row>
    <row r="184" spans="1:21" hidden="1" outlineLevel="1" x14ac:dyDescent="0.45">
      <c r="A184" s="29" t="s">
        <v>85</v>
      </c>
      <c r="B184" s="44">
        <f>'1월'!B184+'2월'!B184+'3월'!B184+'4월'!B184+'5월'!B184+'6월'!B184+'7월'!B184+'8월'!B184+'9월'!B184+'10월'!B184+'11월'!B184+'12월'!B184</f>
        <v>379171358</v>
      </c>
      <c r="C184" s="44">
        <f>'1월'!C184+'2월'!C184+'3월'!C184+'4월'!C184+'5월'!C184+'6월'!C184+'7월'!C184+'8월'!C184+'9월'!C184+'10월'!C184+'11월'!C184+'12월'!C184</f>
        <v>111809537.43541166</v>
      </c>
      <c r="D184" s="44">
        <f>'1월'!D184+'2월'!D184+'3월'!D184+'4월'!D184+'5월'!D184+'6월'!D184+'7월'!D184+'8월'!D184+'9월'!D184+'10월'!D184+'11월'!D184+'12월'!D184</f>
        <v>46862257</v>
      </c>
      <c r="E184" s="44">
        <f>'1월'!E184+'2월'!E184+'3월'!E184+'4월'!E184+'5월'!E184+'6월'!E184+'7월'!E184+'8월'!E184+'9월'!E184+'10월'!E184+'11월'!E184+'12월'!E184</f>
        <v>220499563.56458834</v>
      </c>
      <c r="F184" s="44">
        <f>'1월'!F184+'2월'!F184+'3월'!F184+'4월'!F184+'5월'!F184+'6월'!F184+'7월'!F184+'8월'!F184+'9월'!F184+'10월'!F184+'11월'!F184+'12월'!F184</f>
        <v>125061805.05869371</v>
      </c>
      <c r="G184" s="44">
        <f>'1월'!H184+'2월'!G184+'3월'!G184+'4월'!G184+'5월'!G184+'6월'!G184+'7월'!G184+'8월'!G184+'9월'!G184+'10월'!G184+'11월'!G184+'12월'!G184</f>
        <v>44144616.075184122</v>
      </c>
      <c r="H184" s="44">
        <f>'1월'!J184+'2월'!H184+'3월'!H184+'4월'!H184+'5월'!H184+'6월'!H184+'7월'!H184+'8월'!H184+'9월'!H184+'10월'!H184+'11월'!H184+'12월'!H184</f>
        <v>7621405.8661221499</v>
      </c>
      <c r="I184" s="44">
        <f>'1월'!K184+'2월'!I184+'3월'!I184+'4월'!I184+'5월'!I184+'6월'!I184+'7월'!I184+'8월'!I184+'9월'!I184+'10월'!I184+'11월'!I184+'12월'!I184</f>
        <v>2593224.0769072045</v>
      </c>
      <c r="J184" s="44">
        <f>'1월'!L184+'2월'!J184+'3월'!J184+'4월'!J184+'5월'!J184+'6월'!J184+'7월'!J184+'8월'!J184+'9월'!J184+'10월'!J184+'11월'!J184+'12월'!J184</f>
        <v>2766693.3707877374</v>
      </c>
      <c r="K184" s="44">
        <f>'1월'!M184+'2월'!K184+'3월'!K184+'4월'!K184+'5월'!K184+'6월'!K184+'7월'!K184+'8월'!K184+'9월'!K184+'10월'!K184+'11월'!K184+'12월'!K184</f>
        <v>8970039.7408135366</v>
      </c>
      <c r="L184" s="44">
        <f>'1월'!N184+'2월'!L184+'3월'!L184+'4월'!L184+'5월'!L184+'6월'!L184+'7월'!L184+'8월'!L184+'9월'!L184+'10월'!L184+'11월'!L184+'12월'!L184</f>
        <v>21915040.376079857</v>
      </c>
      <c r="M184" s="44">
        <f>'1월'!O184+'2월'!M184+'3월'!M184+'4월'!M184+'5월'!M184+'6월'!M184+'7월'!M184+'8월'!M184+'9월'!M184+'10월'!M184+'11월'!M184+'12월'!M184</f>
        <v>7426739</v>
      </c>
      <c r="O184" s="44">
        <f>IFERROR(VLOOKUP($A184,[1]플랫폼1!$A:$B,2,FALSE),0)</f>
        <v>3362793</v>
      </c>
      <c r="P184" s="44">
        <f>IFERROR(VLOOKUP($A184,[1]플랫폼2!$A:$M,12,FALSE),0)+IFERROR(VLOOKUP($A184,[1]플랫폼2!$A:$M,13,FALSE),0)</f>
        <v>1119859</v>
      </c>
      <c r="Q184" s="44">
        <f>IFERROR(VLOOKUP($A184,[1]플랫폼2!$A:$M,7,FALSE),0)+IFERROR(VLOOKUP($A184,[1]플랫폼2!$A:$M,12,FALSE),0)</f>
        <v>1119859</v>
      </c>
      <c r="R184" s="44">
        <f>IFERROR(VLOOKUP($A184,[1]모바일!$A:$S,17,FALSE),0)</f>
        <v>152019</v>
      </c>
      <c r="S184" s="44">
        <f>IFERROR(VLOOKUP($A184,[1]모바일!$A:$S,18,FALSE),0)</f>
        <v>152019</v>
      </c>
      <c r="T184" s="43">
        <f>IFERROR(VLOOKUP(A184,[1]플랫폼2!$A:$O,15,0),0)</f>
        <v>1520190</v>
      </c>
      <c r="U184" s="83"/>
    </row>
    <row r="185" spans="1:21" hidden="1" outlineLevel="1" x14ac:dyDescent="0.45">
      <c r="A185" s="29" t="s">
        <v>86</v>
      </c>
      <c r="B185" s="44">
        <f>'1월'!B185+'2월'!B185+'3월'!B185+'4월'!B185+'5월'!B185+'6월'!B185+'7월'!B185+'8월'!B185+'9월'!B185+'10월'!B185+'11월'!B185+'12월'!B185</f>
        <v>78535446</v>
      </c>
      <c r="C185" s="44">
        <f>'1월'!C185+'2월'!C185+'3월'!C185+'4월'!C185+'5월'!C185+'6월'!C185+'7월'!C185+'8월'!C185+'9월'!C185+'10월'!C185+'11월'!C185+'12월'!C185</f>
        <v>14373286</v>
      </c>
      <c r="D185" s="44">
        <f>'1월'!D185+'2월'!D185+'3월'!D185+'4월'!D185+'5월'!D185+'6월'!D185+'7월'!D185+'8월'!D185+'9월'!D185+'10월'!D185+'11월'!D185+'12월'!D185</f>
        <v>0</v>
      </c>
      <c r="E185" s="44">
        <f>'1월'!E185+'2월'!E185+'3월'!E185+'4월'!E185+'5월'!E185+'6월'!E185+'7월'!E185+'8월'!E185+'9월'!E185+'10월'!E185+'11월'!E185+'12월'!E185</f>
        <v>64162160</v>
      </c>
      <c r="F185" s="44">
        <f>'1월'!F185+'2월'!F185+'3월'!F185+'4월'!F185+'5월'!F185+'6월'!F185+'7월'!F185+'8월'!F185+'9월'!F185+'10월'!F185+'11월'!F185+'12월'!F185</f>
        <v>45772900</v>
      </c>
      <c r="G185" s="44">
        <f>'1월'!H185+'2월'!G185+'3월'!G185+'4월'!G185+'5월'!G185+'6월'!G185+'7월'!G185+'8월'!G185+'9월'!G185+'10월'!G185+'11월'!G185+'12월'!G185</f>
        <v>17832619</v>
      </c>
      <c r="H185" s="44">
        <f>'1월'!J185+'2월'!H185+'3월'!H185+'4월'!H185+'5월'!H185+'6월'!H185+'7월'!H185+'8월'!H185+'9월'!H185+'10월'!H185+'11월'!H185+'12월'!H185</f>
        <v>0</v>
      </c>
      <c r="I185" s="44">
        <f>'1월'!K185+'2월'!I185+'3월'!I185+'4월'!I185+'5월'!I185+'6월'!I185+'7월'!I185+'8월'!I185+'9월'!I185+'10월'!I185+'11월'!I185+'12월'!I185</f>
        <v>0</v>
      </c>
      <c r="J185" s="44">
        <f>'1월'!L185+'2월'!J185+'3월'!J185+'4월'!J185+'5월'!J185+'6월'!J185+'7월'!J185+'8월'!J185+'9월'!J185+'10월'!J185+'11월'!J185+'12월'!J185</f>
        <v>0</v>
      </c>
      <c r="K185" s="44">
        <f>'1월'!M185+'2월'!K185+'3월'!K185+'4월'!K185+'5월'!K185+'6월'!K185+'7월'!K185+'8월'!K185+'9월'!K185+'10월'!K185+'11월'!K185+'12월'!K185</f>
        <v>556641</v>
      </c>
      <c r="L185" s="44">
        <f>'1월'!N185+'2월'!L185+'3월'!L185+'4월'!L185+'5월'!L185+'6월'!L185+'7월'!L185+'8월'!L185+'9월'!L185+'10월'!L185+'11월'!L185+'12월'!L185</f>
        <v>0</v>
      </c>
      <c r="M185" s="44">
        <f>'1월'!O185+'2월'!M185+'3월'!M185+'4월'!M185+'5월'!M185+'6월'!M185+'7월'!M185+'8월'!M185+'9월'!M185+'10월'!M185+'11월'!M185+'12월'!M185</f>
        <v>0</v>
      </c>
      <c r="O185" s="44">
        <f>IFERROR(VLOOKUP($A185,[1]플랫폼1!$A:$B,2,FALSE),0)</f>
        <v>0</v>
      </c>
      <c r="P185" s="44">
        <f>IFERROR(VLOOKUP($A185,[1]플랫폼2!$A:$M,12,FALSE),0)+IFERROR(VLOOKUP($A185,[1]플랫폼2!$A:$M,13,FALSE),0)</f>
        <v>0</v>
      </c>
      <c r="Q185" s="44">
        <f>IFERROR(VLOOKUP($A185,[1]플랫폼2!$A:$M,7,FALSE),0)+IFERROR(VLOOKUP($A185,[1]플랫폼2!$A:$M,12,FALSE),0)</f>
        <v>0</v>
      </c>
      <c r="R185" s="44">
        <f>IFERROR(VLOOKUP($A185,[1]모바일!$A:$S,17,FALSE),0)</f>
        <v>0</v>
      </c>
      <c r="S185" s="44">
        <f>IFERROR(VLOOKUP($A185,[1]모바일!$A:$S,18,FALSE),0)</f>
        <v>0</v>
      </c>
      <c r="T185" s="43">
        <f>IFERROR(VLOOKUP(A185,[1]플랫폼2!$A:$O,15,0),0)</f>
        <v>0</v>
      </c>
      <c r="U185" s="83"/>
    </row>
    <row r="186" spans="1:21" s="1" customFormat="1" hidden="1" outlineLevel="1" x14ac:dyDescent="0.45">
      <c r="A186" s="29" t="s">
        <v>150</v>
      </c>
      <c r="B186" s="44">
        <f>'1월'!B186+'2월'!B186+'3월'!B186+'4월'!B186+'5월'!B186+'6월'!B186+'7월'!B186+'8월'!B186+'9월'!B186+'10월'!B186+'11월'!B186+'12월'!B186</f>
        <v>219697198</v>
      </c>
      <c r="C186" s="44">
        <f>'1월'!C186+'2월'!C186+'3월'!C186+'4월'!C186+'5월'!C186+'6월'!C186+'7월'!C186+'8월'!C186+'9월'!C186+'10월'!C186+'11월'!C186+'12월'!C186</f>
        <v>17873656</v>
      </c>
      <c r="D186" s="44">
        <f>'1월'!D186+'2월'!D186+'3월'!D186+'4월'!D186+'5월'!D186+'6월'!D186+'7월'!D186+'8월'!D186+'9월'!D186+'10월'!D186+'11월'!D186+'12월'!D186</f>
        <v>10007587</v>
      </c>
      <c r="E186" s="44">
        <f>'1월'!E186+'2월'!E186+'3월'!E186+'4월'!E186+'5월'!E186+'6월'!E186+'7월'!E186+'8월'!E186+'9월'!E186+'10월'!E186+'11월'!E186+'12월'!E186</f>
        <v>191815955</v>
      </c>
      <c r="F186" s="44">
        <f>'1월'!F186+'2월'!F186+'3월'!F186+'4월'!F186+'5월'!F186+'6월'!F186+'7월'!F186+'8월'!F186+'9월'!F186+'10월'!F186+'11월'!F186+'12월'!F186</f>
        <v>110257731.77285922</v>
      </c>
      <c r="G186" s="44">
        <f>'1월'!H186+'2월'!G186+'3월'!G186+'4월'!G186+'5월'!G186+'6월'!G186+'7월'!G186+'8월'!G186+'9월'!G186+'10월'!G186+'11월'!G186+'12월'!G186</f>
        <v>39238935.227140777</v>
      </c>
      <c r="H186" s="44">
        <f>'1월'!J186+'2월'!H186+'3월'!H186+'4월'!H186+'5월'!H186+'6월'!H186+'7월'!H186+'8월'!H186+'9월'!H186+'10월'!H186+'11월'!H186+'12월'!H186</f>
        <v>15896525</v>
      </c>
      <c r="I186" s="44">
        <f>'1월'!K186+'2월'!I186+'3월'!I186+'4월'!I186+'5월'!I186+'6월'!I186+'7월'!I186+'8월'!I186+'9월'!I186+'10월'!I186+'11월'!I186+'12월'!I186</f>
        <v>1551909.8</v>
      </c>
      <c r="J186" s="44">
        <f>'1월'!L186+'2월'!J186+'3월'!J186+'4월'!J186+'5월'!J186+'6월'!J186+'7월'!J186+'8월'!J186+'9월'!J186+'10월'!J186+'11월'!J186+'12월'!J186</f>
        <v>623818.19999999995</v>
      </c>
      <c r="K186" s="44">
        <f>'1월'!M186+'2월'!K186+'3월'!K186+'4월'!K186+'5월'!K186+'6월'!K186+'7월'!K186+'8월'!K186+'9월'!K186+'10월'!K186+'11월'!K186+'12월'!K186</f>
        <v>5890337</v>
      </c>
      <c r="L186" s="44">
        <f>'1월'!N186+'2월'!L186+'3월'!L186+'4월'!L186+'5월'!L186+'6월'!L186+'7월'!L186+'8월'!L186+'9월'!L186+'10월'!L186+'11월'!L186+'12월'!L186</f>
        <v>14421712</v>
      </c>
      <c r="M186" s="44">
        <f>'1월'!O186+'2월'!M186+'3월'!M186+'4월'!M186+'5월'!M186+'6월'!M186+'7월'!M186+'8월'!M186+'9월'!M186+'10월'!M186+'11월'!M186+'12월'!M186</f>
        <v>3934986</v>
      </c>
      <c r="O186" s="44">
        <f>IFERROR(VLOOKUP($A186,[1]플랫폼1!$A:$B,2,FALSE),0)</f>
        <v>1391709</v>
      </c>
      <c r="P186" s="44">
        <f>IFERROR(VLOOKUP($A186,[1]플랫폼2!$A:$M,12,FALSE),0)+IFERROR(VLOOKUP($A186,[1]플랫폼2!$A:$M,13,FALSE),0)</f>
        <v>960318</v>
      </c>
      <c r="Q186" s="44">
        <f>IFERROR(VLOOKUP($A186,[1]플랫폼2!$A:$M,7,FALSE),0)+IFERROR(VLOOKUP($A186,[1]플랫폼2!$A:$M,12,FALSE),0)</f>
        <v>960318</v>
      </c>
      <c r="R186" s="44">
        <f>IFERROR(VLOOKUP($A186,[1]모바일!$A:$S,17,FALSE),0)</f>
        <v>22727.25</v>
      </c>
      <c r="S186" s="44">
        <f>IFERROR(VLOOKUP($A186,[1]모바일!$A:$S,18,FALSE),0)</f>
        <v>22727.25</v>
      </c>
      <c r="T186" s="43">
        <f>IFERROR(VLOOKUP(A186,[1]플랫폼2!$A:$O,15,0),0)</f>
        <v>577186.5</v>
      </c>
      <c r="U186" s="83"/>
    </row>
    <row r="187" spans="1:21" hidden="1" outlineLevel="1" x14ac:dyDescent="0.45">
      <c r="A187" s="29" t="s">
        <v>87</v>
      </c>
      <c r="B187" s="44">
        <f>'1월'!B187+'2월'!B187+'3월'!B187+'4월'!B187+'5월'!B187+'6월'!B187+'7월'!B187+'8월'!B187+'9월'!B187+'10월'!B187+'11월'!B187+'12월'!B187</f>
        <v>148712838</v>
      </c>
      <c r="C187" s="44">
        <f>'1월'!C187+'2월'!C187+'3월'!C187+'4월'!C187+'5월'!C187+'6월'!C187+'7월'!C187+'8월'!C187+'9월'!C187+'10월'!C187+'11월'!C187+'12월'!C187</f>
        <v>5639954.9999999981</v>
      </c>
      <c r="D187" s="44">
        <f>'1월'!D187+'2월'!D187+'3월'!D187+'4월'!D187+'5월'!D187+'6월'!D187+'7월'!D187+'8월'!D187+'9월'!D187+'10월'!D187+'11월'!D187+'12월'!D187</f>
        <v>481818</v>
      </c>
      <c r="E187" s="44">
        <f>'1월'!E187+'2월'!E187+'3월'!E187+'4월'!E187+'5월'!E187+'6월'!E187+'7월'!E187+'8월'!E187+'9월'!E187+'10월'!E187+'11월'!E187+'12월'!E187</f>
        <v>142591065</v>
      </c>
      <c r="F187" s="44">
        <f>'1월'!F187+'2월'!F187+'3월'!F187+'4월'!F187+'5월'!F187+'6월'!F187+'7월'!F187+'8월'!F187+'9월'!F187+'10월'!F187+'11월'!F187+'12월'!F187</f>
        <v>88256419.081392527</v>
      </c>
      <c r="G187" s="44">
        <f>'1월'!H187+'2월'!G187+'3월'!G187+'4월'!G187+'5월'!G187+'6월'!G187+'7월'!G187+'8월'!G187+'9월'!G187+'10월'!G187+'11월'!G187+'12월'!G187</f>
        <v>32130402.918607481</v>
      </c>
      <c r="H187" s="44">
        <f>'1월'!J187+'2월'!H187+'3월'!H187+'4월'!H187+'5월'!H187+'6월'!H187+'7월'!H187+'8월'!H187+'9월'!H187+'10월'!H187+'11월'!H187+'12월'!H187</f>
        <v>7496878</v>
      </c>
      <c r="I187" s="44">
        <f>'1월'!K187+'2월'!I187+'3월'!I187+'4월'!I187+'5월'!I187+'6월'!I187+'7월'!I187+'8월'!I187+'9월'!I187+'10월'!I187+'11월'!I187+'12월'!I187</f>
        <v>1193019</v>
      </c>
      <c r="J187" s="44">
        <f>'1월'!L187+'2월'!J187+'3월'!J187+'4월'!J187+'5월'!J187+'6월'!J187+'7월'!J187+'8월'!J187+'9월'!J187+'10월'!J187+'11월'!J187+'12월'!J187</f>
        <v>270909</v>
      </c>
      <c r="K187" s="44">
        <f>'1월'!M187+'2월'!K187+'3월'!K187+'4월'!K187+'5월'!K187+'6월'!K187+'7월'!K187+'8월'!K187+'9월'!K187+'10월'!K187+'11월'!K187+'12월'!K187</f>
        <v>3507150</v>
      </c>
      <c r="L187" s="44">
        <f>'1월'!N187+'2월'!L187+'3월'!L187+'4월'!L187+'5월'!L187+'6월'!L187+'7월'!L187+'8월'!L187+'9월'!L187+'10월'!L187+'11월'!L187+'12월'!L187</f>
        <v>8257461</v>
      </c>
      <c r="M187" s="44">
        <f>'1월'!O187+'2월'!M187+'3월'!M187+'4월'!M187+'5월'!M187+'6월'!M187+'7월'!M187+'8월'!M187+'9월'!M187+'10월'!M187+'11월'!M187+'12월'!M187</f>
        <v>1478826</v>
      </c>
      <c r="O187" s="44">
        <f>IFERROR(VLOOKUP($A187,[1]플랫폼1!$A:$B,2,FALSE),0)</f>
        <v>249097</v>
      </c>
      <c r="P187" s="44">
        <f>IFERROR(VLOOKUP($A187,[1]플랫폼2!$A:$M,12,FALSE),0)+IFERROR(VLOOKUP($A187,[1]플랫폼2!$A:$M,13,FALSE),0)</f>
        <v>468185</v>
      </c>
      <c r="Q187" s="44">
        <f>IFERROR(VLOOKUP($A187,[1]플랫폼2!$A:$M,7,FALSE),0)+IFERROR(VLOOKUP($A187,[1]플랫폼2!$A:$M,12,FALSE),0)</f>
        <v>468185</v>
      </c>
      <c r="R187" s="44">
        <f>IFERROR(VLOOKUP($A187,[1]모바일!$A:$S,17,FALSE),0)</f>
        <v>24446.583333333332</v>
      </c>
      <c r="S187" s="44">
        <f>IFERROR(VLOOKUP($A187,[1]모바일!$A:$S,18,FALSE),0)</f>
        <v>24446.583333333332</v>
      </c>
      <c r="T187" s="43">
        <f>IFERROR(VLOOKUP(A187,[1]플랫폼2!$A:$O,15,0),0)</f>
        <v>244465.83333333331</v>
      </c>
      <c r="U187" s="83"/>
    </row>
    <row r="188" spans="1:21" hidden="1" outlineLevel="1" x14ac:dyDescent="0.45">
      <c r="A188" s="29" t="s">
        <v>88</v>
      </c>
      <c r="B188" s="44">
        <f>'1월'!B188+'2월'!B188+'3월'!B188+'4월'!B188+'5월'!B188+'6월'!B188+'7월'!B188+'8월'!B188+'9월'!B188+'10월'!B188+'11월'!B188+'12월'!B188</f>
        <v>2504563570</v>
      </c>
      <c r="C188" s="44">
        <f>'1월'!C188+'2월'!C188+'3월'!C188+'4월'!C188+'5월'!C188+'6월'!C188+'7월'!C188+'8월'!C188+'9월'!C188+'10월'!C188+'11월'!C188+'12월'!C188</f>
        <v>1158768553.3924828</v>
      </c>
      <c r="D188" s="44">
        <f>'1월'!D188+'2월'!D188+'3월'!D188+'4월'!D188+'5월'!D188+'6월'!D188+'7월'!D188+'8월'!D188+'9월'!D188+'10월'!D188+'11월'!D188+'12월'!D188</f>
        <v>188118083</v>
      </c>
      <c r="E188" s="44">
        <f>'1월'!E188+'2월'!E188+'3월'!E188+'4월'!E188+'5월'!E188+'6월'!E188+'7월'!E188+'8월'!E188+'9월'!E188+'10월'!E188+'11월'!E188+'12월'!E188</f>
        <v>1157676933.6075175</v>
      </c>
      <c r="F188" s="44">
        <f>'1월'!F188+'2월'!F188+'3월'!F188+'4월'!F188+'5월'!F188+'6월'!F188+'7월'!F188+'8월'!F188+'9월'!F188+'10월'!F188+'11월'!F188+'12월'!F188</f>
        <v>197692476.73806861</v>
      </c>
      <c r="G188" s="44">
        <f>'1월'!H188+'2월'!G188+'3월'!G188+'4월'!G188+'5월'!G188+'6월'!G188+'7월'!G188+'8월'!G188+'9월'!G188+'10월'!G188+'11월'!G188+'12월'!G188</f>
        <v>573049314.99222863</v>
      </c>
      <c r="H188" s="44">
        <f>'1월'!J188+'2월'!H188+'3월'!H188+'4월'!H188+'5월'!H188+'6월'!H188+'7월'!H188+'8월'!H188+'9월'!H188+'10월'!H188+'11월'!H188+'12월'!H188</f>
        <v>138236289.26970279</v>
      </c>
      <c r="I188" s="44">
        <f>'1월'!K188+'2월'!I188+'3월'!I188+'4월'!I188+'5월'!I188+'6월'!I188+'7월'!I188+'8월'!I188+'9월'!I188+'10월'!I188+'11월'!I188+'12월'!I188</f>
        <v>7736427.0784490705</v>
      </c>
      <c r="J188" s="44">
        <f>'1월'!L188+'2월'!J188+'3월'!J188+'4월'!J188+'5월'!J188+'6월'!J188+'7월'!J188+'8월'!J188+'9월'!J188+'10월'!J188+'11월'!J188+'12월'!J188</f>
        <v>8140864.351072886</v>
      </c>
      <c r="K188" s="44">
        <f>'1월'!M188+'2월'!K188+'3월'!K188+'4월'!K188+'5월'!K188+'6월'!K188+'7월'!K188+'8월'!K188+'9월'!K188+'10월'!K188+'11월'!K188+'12월'!K188</f>
        <v>47330843.539697312</v>
      </c>
      <c r="L188" s="44">
        <f>'1월'!N188+'2월'!L188+'3월'!L188+'4월'!L188+'5월'!L188+'6월'!L188+'7월'!L188+'8월'!L188+'9월'!L188+'10월'!L188+'11월'!L188+'12월'!L188</f>
        <v>64316920.638298124</v>
      </c>
      <c r="M188" s="44">
        <f>'1월'!O188+'2월'!M188+'3월'!M188+'4월'!M188+'5월'!M188+'6월'!M188+'7월'!M188+'8월'!M188+'9월'!M188+'10월'!M188+'11월'!M188+'12월'!M188</f>
        <v>121173797</v>
      </c>
      <c r="O188" s="44">
        <f>IFERROR(VLOOKUP($A188,[1]플랫폼1!$A:$B,2,FALSE),0)</f>
        <v>64755705</v>
      </c>
      <c r="P188" s="44">
        <f>IFERROR(VLOOKUP($A188,[1]플랫폼2!$A:$M,12,FALSE),0)+IFERROR(VLOOKUP($A188,[1]플랫폼2!$A:$M,13,FALSE),0)</f>
        <v>19749928.5</v>
      </c>
      <c r="Q188" s="44">
        <f>IFERROR(VLOOKUP($A188,[1]플랫폼2!$A:$M,7,FALSE),0)+IFERROR(VLOOKUP($A188,[1]플랫폼2!$A:$M,12,FALSE),0)</f>
        <v>21823801.5</v>
      </c>
      <c r="R188" s="44">
        <f>IFERROR(VLOOKUP($A188,[1]모바일!$A:$S,17,FALSE),0)</f>
        <v>1227944.6666666667</v>
      </c>
      <c r="S188" s="44">
        <f>IFERROR(VLOOKUP($A188,[1]모바일!$A:$S,18,FALSE),0)</f>
        <v>1227944.6666666667</v>
      </c>
      <c r="T188" s="43">
        <f>IFERROR(VLOOKUP(A188,[1]플랫폼2!$A:$O,15,0),0)</f>
        <v>12388472.666666668</v>
      </c>
      <c r="U188" s="83"/>
    </row>
    <row r="189" spans="1:21" hidden="1" outlineLevel="1" x14ac:dyDescent="0.45">
      <c r="A189" s="24" t="s">
        <v>89</v>
      </c>
      <c r="B189" s="45">
        <f>'1월'!B189+'2월'!B189+'3월'!B189+'4월'!B189+'5월'!B189+'6월'!B189+'7월'!B189+'8월'!B189+'9월'!B189+'10월'!B189+'11월'!B189+'12월'!B189</f>
        <v>2062449200</v>
      </c>
      <c r="C189" s="45">
        <f>'1월'!C189+'2월'!C189+'3월'!C189+'4월'!C189+'5월'!C189+'6월'!C189+'7월'!C189+'8월'!C189+'9월'!C189+'10월'!C189+'11월'!C189+'12월'!C189</f>
        <v>159596358.5958257</v>
      </c>
      <c r="D189" s="45">
        <f>'1월'!D189+'2월'!D189+'3월'!D189+'4월'!D189+'5월'!D189+'6월'!D189+'7월'!D189+'8월'!D189+'9월'!D189+'10월'!D189+'11월'!D189+'12월'!D189</f>
        <v>0</v>
      </c>
      <c r="E189" s="45">
        <f>'1월'!E189+'2월'!E189+'3월'!E189+'4월'!E189+'5월'!E189+'6월'!E189+'7월'!E189+'8월'!E189+'9월'!E189+'10월'!E189+'11월'!E189+'12월'!E189</f>
        <v>1902852841.4041743</v>
      </c>
      <c r="F189" s="45">
        <f>'1월'!F189+'2월'!F189+'3월'!F189+'4월'!F189+'5월'!F189+'6월'!F189+'7월'!F189+'8월'!F189+'9월'!F189+'10월'!F189+'11월'!F189+'12월'!F189</f>
        <v>1425849822.9994545</v>
      </c>
      <c r="G189" s="45">
        <f>'1월'!H189+'2월'!G189+'3월'!G189+'4월'!G189+'5월'!G189+'6월'!G189+'7월'!G189+'8월'!G189+'9월'!G189+'10월'!G189+'11월'!G189+'12월'!G189</f>
        <v>83066532.4047198</v>
      </c>
      <c r="H189" s="45">
        <f>'1월'!J189+'2월'!H189+'3월'!H189+'4월'!H189+'5월'!H189+'6월'!H189+'7월'!H189+'8월'!H189+'9월'!H189+'10월'!H189+'11월'!H189+'12월'!H189</f>
        <v>0</v>
      </c>
      <c r="I189" s="45">
        <f>'1월'!K189+'2월'!I189+'3월'!I189+'4월'!I189+'5월'!I189+'6월'!I189+'7월'!I189+'8월'!I189+'9월'!I189+'10월'!I189+'11월'!I189+'12월'!I189</f>
        <v>13942790.9</v>
      </c>
      <c r="J189" s="45">
        <f>'1월'!L189+'2월'!J189+'3월'!J189+'4월'!J189+'5월'!J189+'6월'!J189+'7월'!J189+'8월'!J189+'9월'!J189+'10월'!J189+'11월'!J189+'12월'!J189</f>
        <v>12184161.1</v>
      </c>
      <c r="K189" s="45">
        <f>'1월'!M189+'2월'!K189+'3월'!K189+'4월'!K189+'5월'!K189+'6월'!K189+'7월'!K189+'8월'!K189+'9월'!K189+'10월'!K189+'11월'!K189+'12월'!K189</f>
        <v>36519776</v>
      </c>
      <c r="L189" s="45">
        <f>'1월'!N189+'2월'!L189+'3월'!L189+'4월'!L189+'5월'!L189+'6월'!L189+'7월'!L189+'8월'!L189+'9월'!L189+'10월'!L189+'11월'!L189+'12월'!L189</f>
        <v>301769808</v>
      </c>
      <c r="M189" s="45">
        <f>'1월'!O189+'2월'!M189+'3월'!M189+'4월'!M189+'5월'!M189+'6월'!M189+'7월'!M189+'8월'!M189+'9월'!M189+'10월'!M189+'11월'!M189+'12월'!M189</f>
        <v>29519950</v>
      </c>
      <c r="O189" s="45">
        <f>IFERROR(VLOOKUP($A189,[1]플랫폼1!$A:$B,2,FALSE),0)</f>
        <v>27124106</v>
      </c>
      <c r="P189" s="45">
        <f>IFERROR(VLOOKUP($A189,[1]플랫폼2!$A:$M,12,FALSE),0)+IFERROR(VLOOKUP($A189,[1]플랫폼2!$A:$M,13,FALSE),0)</f>
        <v>45227.5</v>
      </c>
      <c r="Q189" s="45">
        <f>IFERROR(VLOOKUP($A189,[1]플랫폼2!$A:$M,7,FALSE),0)+IFERROR(VLOOKUP($A189,[1]플랫폼2!$A:$M,12,FALSE),0)</f>
        <v>45227.5</v>
      </c>
      <c r="R189" s="45">
        <f>IFERROR(VLOOKUP($A189,[1]모바일!$A:$S,17,FALSE),0)</f>
        <v>0</v>
      </c>
      <c r="S189" s="45">
        <f>IFERROR(VLOOKUP($A189,[1]모바일!$A:$S,18,FALSE),0)</f>
        <v>0</v>
      </c>
      <c r="T189" s="54">
        <f>IFERROR(VLOOKUP(A189,[1]플랫폼2!$A:$O,15,0),0)</f>
        <v>2305389</v>
      </c>
      <c r="U189" s="83"/>
    </row>
    <row r="190" spans="1:21" hidden="1" outlineLevel="1" x14ac:dyDescent="0.45">
      <c r="A190" s="29" t="s">
        <v>209</v>
      </c>
      <c r="B190" s="44">
        <f>'1월'!B190+'2월'!B190+'3월'!B190+'4월'!B190+'5월'!B190+'6월'!B190+'7월'!B190+'8월'!B190+'9월'!B190+'10월'!B190+'11월'!B190+'12월'!B190</f>
        <v>0</v>
      </c>
      <c r="C190" s="44">
        <f>'1월'!C190+'2월'!C190+'3월'!C190+'4월'!C190+'5월'!C190+'6월'!C190+'7월'!C190+'8월'!C190+'9월'!C190+'10월'!C190+'11월'!C190+'12월'!C190</f>
        <v>0</v>
      </c>
      <c r="D190" s="44">
        <f>'1월'!D190+'2월'!D190+'3월'!D190+'4월'!D190+'5월'!D190+'6월'!D190+'7월'!D190+'8월'!D190+'9월'!D190+'10월'!D190+'11월'!D190+'12월'!D190</f>
        <v>0</v>
      </c>
      <c r="E190" s="44">
        <f>'1월'!E190+'2월'!E190+'3월'!E190+'4월'!E190+'5월'!E190+'6월'!E190+'7월'!E190+'8월'!E190+'9월'!E190+'10월'!E190+'11월'!E190+'12월'!E190</f>
        <v>0</v>
      </c>
      <c r="F190" s="44">
        <f>'1월'!F190+'2월'!F190+'3월'!F190+'4월'!F190+'5월'!F190+'6월'!F190+'7월'!F190+'8월'!F190+'9월'!F190+'10월'!F190+'11월'!F190+'12월'!F190</f>
        <v>0</v>
      </c>
      <c r="G190" s="44">
        <f>'1월'!H190+'2월'!G190+'3월'!G190+'4월'!G190+'5월'!G190+'6월'!G190+'7월'!G190+'8월'!G190+'9월'!G190+'10월'!G190+'11월'!G190+'12월'!G190</f>
        <v>0</v>
      </c>
      <c r="H190" s="44">
        <f>'1월'!J190+'2월'!H190+'3월'!H190+'4월'!H190+'5월'!H190+'6월'!H190+'7월'!H190+'8월'!H190+'9월'!H190+'10월'!H190+'11월'!H190+'12월'!H190</f>
        <v>0</v>
      </c>
      <c r="I190" s="44">
        <f>'1월'!K190+'2월'!I190+'3월'!I190+'4월'!I190+'5월'!I190+'6월'!I190+'7월'!I190+'8월'!I190+'9월'!I190+'10월'!I190+'11월'!I190+'12월'!I190</f>
        <v>0</v>
      </c>
      <c r="J190" s="44">
        <f>'1월'!L190+'2월'!J190+'3월'!J190+'4월'!J190+'5월'!J190+'6월'!J190+'7월'!J190+'8월'!J190+'9월'!J190+'10월'!J190+'11월'!J190+'12월'!J190</f>
        <v>0</v>
      </c>
      <c r="K190" s="44">
        <f>'1월'!M190+'2월'!K190+'3월'!K190+'4월'!K190+'5월'!K190+'6월'!K190+'7월'!K190+'8월'!K190+'9월'!K190+'10월'!K190+'11월'!K190+'12월'!K190</f>
        <v>0</v>
      </c>
      <c r="L190" s="44">
        <f>'1월'!N190+'2월'!L190+'3월'!L190+'4월'!L190+'5월'!L190+'6월'!L190+'7월'!L190+'8월'!L190+'9월'!L190+'10월'!L190+'11월'!L190+'12월'!L190</f>
        <v>0</v>
      </c>
      <c r="M190" s="44">
        <f>'1월'!O190+'2월'!M190+'3월'!M190+'4월'!M190+'5월'!M190+'6월'!M190+'7월'!M190+'8월'!M190+'9월'!M190+'10월'!M190+'11월'!M190+'12월'!M190</f>
        <v>0</v>
      </c>
      <c r="O190" s="44">
        <f>IFERROR(VLOOKUP($A190,[1]플랫폼1!$A:$B,2,FALSE),0)</f>
        <v>0</v>
      </c>
      <c r="P190" s="44">
        <f>IFERROR(VLOOKUP($A190,[1]플랫폼2!$A:$M,12,FALSE),0)+IFERROR(VLOOKUP($A190,[1]플랫폼2!$A:$M,13,FALSE),0)</f>
        <v>0</v>
      </c>
      <c r="Q190" s="44">
        <f>IFERROR(VLOOKUP($A190,[1]플랫폼2!$A:$M,7,FALSE),0)+IFERROR(VLOOKUP($A190,[1]플랫폼2!$A:$M,12,FALSE),0)</f>
        <v>0</v>
      </c>
      <c r="R190" s="44">
        <f>IFERROR(VLOOKUP($A190,[1]모바일!$A:$S,17,FALSE),0)</f>
        <v>0</v>
      </c>
      <c r="S190" s="44">
        <f>IFERROR(VLOOKUP($A190,[1]모바일!$A:$S,18,FALSE),0)</f>
        <v>0</v>
      </c>
      <c r="T190" s="43">
        <f>IFERROR(VLOOKUP(A190,[1]플랫폼2!$A:$O,15,0),0)</f>
        <v>0</v>
      </c>
      <c r="U190" s="83"/>
    </row>
    <row r="191" spans="1:21" hidden="1" outlineLevel="1" x14ac:dyDescent="0.45">
      <c r="A191" s="29" t="s">
        <v>90</v>
      </c>
      <c r="B191" s="44">
        <f>'1월'!B191+'2월'!B191+'3월'!B191+'4월'!B191+'5월'!B191+'6월'!B191+'7월'!B191+'8월'!B191+'9월'!B191+'10월'!B191+'11월'!B191+'12월'!B191</f>
        <v>31113739</v>
      </c>
      <c r="C191" s="44">
        <f>'1월'!C191+'2월'!C191+'3월'!C191+'4월'!C191+'5월'!C191+'6월'!C191+'7월'!C191+'8월'!C191+'9월'!C191+'10월'!C191+'11월'!C191+'12월'!C191</f>
        <v>3024660</v>
      </c>
      <c r="D191" s="44">
        <f>'1월'!D191+'2월'!D191+'3월'!D191+'4월'!D191+'5월'!D191+'6월'!D191+'7월'!D191+'8월'!D191+'9월'!D191+'10월'!D191+'11월'!D191+'12월'!D191</f>
        <v>2479447</v>
      </c>
      <c r="E191" s="44">
        <f>'1월'!E191+'2월'!E191+'3월'!E191+'4월'!E191+'5월'!E191+'6월'!E191+'7월'!E191+'8월'!E191+'9월'!E191+'10월'!E191+'11월'!E191+'12월'!E191</f>
        <v>25609632</v>
      </c>
      <c r="F191" s="44">
        <f>'1월'!F191+'2월'!F191+'3월'!F191+'4월'!F191+'5월'!F191+'6월'!F191+'7월'!F191+'8월'!F191+'9월'!F191+'10월'!F191+'11월'!F191+'12월'!F191</f>
        <v>11836163</v>
      </c>
      <c r="G191" s="44">
        <f>'1월'!H191+'2월'!G191+'3월'!G191+'4월'!G191+'5월'!G191+'6월'!G191+'7월'!G191+'8월'!G191+'9월'!G191+'10월'!G191+'11월'!G191+'12월'!G191</f>
        <v>9310307</v>
      </c>
      <c r="H191" s="44">
        <f>'1월'!J191+'2월'!H191+'3월'!H191+'4월'!H191+'5월'!H191+'6월'!H191+'7월'!H191+'8월'!H191+'9월'!H191+'10월'!H191+'11월'!H191+'12월'!H191</f>
        <v>3284085</v>
      </c>
      <c r="I191" s="44">
        <f>'1월'!K191+'2월'!I191+'3월'!I191+'4월'!I191+'5월'!I191+'6월'!I191+'7월'!I191+'8월'!I191+'9월'!I191+'10월'!I191+'11월'!I191+'12월'!I191</f>
        <v>0</v>
      </c>
      <c r="J191" s="44">
        <f>'1월'!L191+'2월'!J191+'3월'!J191+'4월'!J191+'5월'!J191+'6월'!J191+'7월'!J191+'8월'!J191+'9월'!J191+'10월'!J191+'11월'!J191+'12월'!J191</f>
        <v>0</v>
      </c>
      <c r="K191" s="44">
        <f>'1월'!M191+'2월'!K191+'3월'!K191+'4월'!K191+'5월'!K191+'6월'!K191+'7월'!K191+'8월'!K191+'9월'!K191+'10월'!K191+'11월'!K191+'12월'!K191</f>
        <v>0</v>
      </c>
      <c r="L191" s="44">
        <f>'1월'!N191+'2월'!L191+'3월'!L191+'4월'!L191+'5월'!L191+'6월'!L191+'7월'!L191+'8월'!L191+'9월'!L191+'10월'!L191+'11월'!L191+'12월'!L191</f>
        <v>1179077</v>
      </c>
      <c r="M191" s="44">
        <f>'1월'!O191+'2월'!M191+'3월'!M191+'4월'!M191+'5월'!M191+'6월'!M191+'7월'!M191+'8월'!M191+'9월'!M191+'10월'!M191+'11월'!M191+'12월'!M191</f>
        <v>0</v>
      </c>
      <c r="O191" s="44">
        <f>IFERROR(VLOOKUP($A191,[1]플랫폼1!$A:$B,2,FALSE),0)</f>
        <v>0</v>
      </c>
      <c r="P191" s="44">
        <f>IFERROR(VLOOKUP($A191,[1]플랫폼2!$A:$M,12,FALSE),0)+IFERROR(VLOOKUP($A191,[1]플랫폼2!$A:$M,13,FALSE),0)</f>
        <v>0</v>
      </c>
      <c r="Q191" s="44">
        <f>IFERROR(VLOOKUP($A191,[1]플랫폼2!$A:$M,7,FALSE),0)+IFERROR(VLOOKUP($A191,[1]플랫폼2!$A:$M,12,FALSE),0)</f>
        <v>0</v>
      </c>
      <c r="R191" s="44">
        <f>IFERROR(VLOOKUP($A191,[1]모바일!$A:$S,17,FALSE),0)</f>
        <v>0</v>
      </c>
      <c r="S191" s="44">
        <f>IFERROR(VLOOKUP($A191,[1]모바일!$A:$S,18,FALSE),0)</f>
        <v>0</v>
      </c>
      <c r="T191" s="43">
        <f>IFERROR(VLOOKUP(A191,[1]플랫폼2!$A:$O,15,0),0)</f>
        <v>0</v>
      </c>
      <c r="U191" s="83"/>
    </row>
    <row r="192" spans="1:21" s="1" customFormat="1" hidden="1" outlineLevel="1" collapsed="1" x14ac:dyDescent="0.45">
      <c r="A192" s="30" t="s">
        <v>151</v>
      </c>
      <c r="B192" s="46">
        <f>'1월'!B192+'2월'!B192+'3월'!B192+'4월'!B192+'5월'!B192+'6월'!B192+'7월'!B192+'8월'!B192+'9월'!B192+'10월'!B192+'11월'!B192+'12월'!B192</f>
        <v>0</v>
      </c>
      <c r="C192" s="46">
        <f>'1월'!C192+'2월'!C192+'3월'!C192+'4월'!C192+'5월'!C192+'6월'!C192+'7월'!C192+'8월'!C192+'9월'!C192+'10월'!C192+'11월'!C192+'12월'!C192</f>
        <v>0</v>
      </c>
      <c r="D192" s="46">
        <f>'1월'!D192+'2월'!D192+'3월'!D192+'4월'!D192+'5월'!D192+'6월'!D192+'7월'!D192+'8월'!D192+'9월'!D192+'10월'!D192+'11월'!D192+'12월'!D192</f>
        <v>0</v>
      </c>
      <c r="E192" s="46">
        <f>'1월'!E192+'2월'!E192+'3월'!E192+'4월'!E192+'5월'!E192+'6월'!E192+'7월'!E192+'8월'!E192+'9월'!E192+'10월'!E192+'11월'!E192+'12월'!E192</f>
        <v>0</v>
      </c>
      <c r="F192" s="46">
        <f>'1월'!F192+'2월'!F192+'3월'!F192+'4월'!F192+'5월'!F192+'6월'!F192+'7월'!F192+'8월'!F192+'9월'!F192+'10월'!F192+'11월'!F192+'12월'!F192</f>
        <v>0</v>
      </c>
      <c r="G192" s="46">
        <f>'1월'!H192+'2월'!G192+'3월'!G192+'4월'!G192+'5월'!G192+'6월'!G192+'7월'!G192+'8월'!G192+'9월'!G192+'10월'!G192+'11월'!G192+'12월'!G192</f>
        <v>0</v>
      </c>
      <c r="H192" s="46">
        <f>'1월'!J192+'2월'!H192+'3월'!H192+'4월'!H192+'5월'!H192+'6월'!H192+'7월'!H192+'8월'!H192+'9월'!H192+'10월'!H192+'11월'!H192+'12월'!H192</f>
        <v>0</v>
      </c>
      <c r="I192" s="46">
        <f>'1월'!K192+'2월'!I192+'3월'!I192+'4월'!I192+'5월'!I192+'6월'!I192+'7월'!I192+'8월'!I192+'9월'!I192+'10월'!I192+'11월'!I192+'12월'!I192</f>
        <v>0</v>
      </c>
      <c r="J192" s="46">
        <f>'1월'!L192+'2월'!J192+'3월'!J192+'4월'!J192+'5월'!J192+'6월'!J192+'7월'!J192+'8월'!J192+'9월'!J192+'10월'!J192+'11월'!J192+'12월'!J192</f>
        <v>0</v>
      </c>
      <c r="K192" s="46">
        <f>'1월'!M192+'2월'!K192+'3월'!K192+'4월'!K192+'5월'!K192+'6월'!K192+'7월'!K192+'8월'!K192+'9월'!K192+'10월'!K192+'11월'!K192+'12월'!K192</f>
        <v>0</v>
      </c>
      <c r="L192" s="46">
        <f>'1월'!N192+'2월'!L192+'3월'!L192+'4월'!L192+'5월'!L192+'6월'!L192+'7월'!L192+'8월'!L192+'9월'!L192+'10월'!L192+'11월'!L192+'12월'!L192</f>
        <v>0</v>
      </c>
      <c r="M192" s="46">
        <f>'1월'!O192+'2월'!M192+'3월'!M192+'4월'!M192+'5월'!M192+'6월'!M192+'7월'!M192+'8월'!M192+'9월'!M192+'10월'!M192+'11월'!M192+'12월'!M192</f>
        <v>0</v>
      </c>
      <c r="O192" s="44">
        <f>IFERROR(VLOOKUP($A192,[1]플랫폼1!$A:$B,2,FALSE),0)</f>
        <v>0</v>
      </c>
      <c r="P192" s="44">
        <f>IFERROR(VLOOKUP($A192,[1]플랫폼2!$A:$M,12,FALSE),0)+IFERROR(VLOOKUP($A192,[1]플랫폼2!$A:$M,13,FALSE),0)</f>
        <v>0</v>
      </c>
      <c r="Q192" s="44">
        <f>IFERROR(VLOOKUP($A192,[1]플랫폼2!$A:$M,7,FALSE),0)+IFERROR(VLOOKUP($A192,[1]플랫폼2!$A:$M,12,FALSE),0)</f>
        <v>0</v>
      </c>
      <c r="R192" s="44">
        <f>IFERROR(VLOOKUP($A192,[1]모바일!$A:$S,17,FALSE),0)</f>
        <v>0</v>
      </c>
      <c r="S192" s="44">
        <f>IFERROR(VLOOKUP($A192,[1]모바일!$A:$S,18,FALSE),0)</f>
        <v>0</v>
      </c>
      <c r="T192" s="43">
        <f>IFERROR(VLOOKUP(A192,[1]플랫폼2!$A:$O,15,0),0)</f>
        <v>0</v>
      </c>
      <c r="U192" s="83"/>
    </row>
    <row r="193" spans="1:21" collapsed="1" x14ac:dyDescent="0.45">
      <c r="A193" s="28" t="s">
        <v>91</v>
      </c>
      <c r="B193" s="43">
        <f>'1월'!B193+'2월'!B193+'3월'!B193+'4월'!B193+'5월'!B193+'6월'!B193+'7월'!B193+'8월'!B193+'9월'!B193+'10월'!B193+'11월'!B193+'12월'!B193</f>
        <v>1449428556</v>
      </c>
      <c r="C193" s="43">
        <f>'1월'!C193+'2월'!C193+'3월'!C193+'4월'!C193+'5월'!C193+'6월'!C193+'7월'!C193+'8월'!C193+'9월'!C193+'10월'!C193+'11월'!C193+'12월'!C193</f>
        <v>211654094</v>
      </c>
      <c r="D193" s="43">
        <f>'1월'!D193+'2월'!D193+'3월'!D193+'4월'!D193+'5월'!D193+'6월'!D193+'7월'!D193+'8월'!D193+'9월'!D193+'10월'!D193+'11월'!D193+'12월'!D193</f>
        <v>31992697</v>
      </c>
      <c r="E193" s="43">
        <f>'1월'!E193+'2월'!E193+'3월'!E193+'4월'!E193+'5월'!E193+'6월'!E193+'7월'!E193+'8월'!E193+'9월'!E193+'10월'!E193+'11월'!E193+'12월'!E193</f>
        <v>1205781765</v>
      </c>
      <c r="F193" s="43">
        <f>'1월'!F193+'2월'!F193+'3월'!F193+'4월'!F193+'5월'!F193+'6월'!F193+'7월'!F193+'8월'!F193+'9월'!F193+'10월'!F193+'11월'!F193+'12월'!F193</f>
        <v>806895302.97869802</v>
      </c>
      <c r="G193" s="43">
        <f>'1월'!H193+'2월'!G193+'3월'!G193+'4월'!G193+'5월'!G193+'6월'!G193+'7월'!G193+'8월'!G193+'9월'!G193+'10월'!G193+'11월'!G193+'12월'!G193</f>
        <v>86111429.021302015</v>
      </c>
      <c r="H193" s="43">
        <f>'1월'!J193+'2월'!H193+'3월'!H193+'4월'!H193+'5월'!H193+'6월'!H193+'7월'!H193+'8월'!H193+'9월'!H193+'10월'!H193+'11월'!H193+'12월'!H193</f>
        <v>239793670</v>
      </c>
      <c r="I193" s="43">
        <f>'1월'!K193+'2월'!I193+'3월'!I193+'4월'!I193+'5월'!I193+'6월'!I193+'7월'!I193+'8월'!I193+'9월'!I193+'10월'!I193+'11월'!I193+'12월'!I193</f>
        <v>1509313.3</v>
      </c>
      <c r="J193" s="43">
        <f>'1월'!L193+'2월'!J193+'3월'!J193+'4월'!J193+'5월'!J193+'6월'!J193+'7월'!J193+'8월'!J193+'9월'!J193+'10월'!J193+'11월'!J193+'12월'!J193</f>
        <v>1196253.7</v>
      </c>
      <c r="K193" s="43">
        <f>'1월'!M193+'2월'!K193+'3월'!K193+'4월'!K193+'5월'!K193+'6월'!K193+'7월'!K193+'8월'!K193+'9월'!K193+'10월'!K193+'11월'!K193+'12월'!K193</f>
        <v>11782854</v>
      </c>
      <c r="L193" s="43">
        <f>'1월'!N193+'2월'!L193+'3월'!L193+'4월'!L193+'5월'!L193+'6월'!L193+'7월'!L193+'8월'!L193+'9월'!L193+'10월'!L193+'11월'!L193+'12월'!L193</f>
        <v>25256542</v>
      </c>
      <c r="M193" s="43">
        <f>'1월'!O193+'2월'!M193+'3월'!M193+'4월'!M193+'5월'!M193+'6월'!M193+'7월'!M193+'8월'!M193+'9월'!M193+'10월'!M193+'11월'!M193+'12월'!M193</f>
        <v>33236400</v>
      </c>
      <c r="O193" s="43">
        <f>IFERROR(VLOOKUP($A193,[1]플랫폼1!$A:$B,2,FALSE),0)</f>
        <v>1058101</v>
      </c>
      <c r="P193" s="43">
        <f>IFERROR(VLOOKUP($A193,[1]플랫폼2!$A:$M,12,FALSE),0)+IFERROR(VLOOKUP($A193,[1]플랫폼2!$A:$M,13,FALSE),0)</f>
        <v>60000</v>
      </c>
      <c r="Q193" s="43">
        <f>IFERROR(VLOOKUP($A193,[1]플랫폼2!$A:$M,7,FALSE),0)+IFERROR(VLOOKUP($A193,[1]플랫폼2!$A:$M,12,FALSE),0)</f>
        <v>6058840</v>
      </c>
      <c r="R193" s="43">
        <f>IFERROR(VLOOKUP($A193,[1]모바일!$A:$S,17,FALSE),0)</f>
        <v>2032926.9166666667</v>
      </c>
      <c r="S193" s="43">
        <f>IFERROR(VLOOKUP($A193,[1]모바일!$A:$S,18,FALSE),0)</f>
        <v>2032926.9166666667</v>
      </c>
      <c r="T193" s="43">
        <f>IFERROR(VLOOKUP(A193,[1]플랫폼2!$A:$O,15,0),0)</f>
        <v>21993605.166666668</v>
      </c>
      <c r="U193" s="83"/>
    </row>
    <row r="194" spans="1:21" hidden="1" outlineLevel="1" x14ac:dyDescent="0.45">
      <c r="A194" s="29" t="s">
        <v>92</v>
      </c>
      <c r="B194" s="44">
        <f>'1월'!B194+'2월'!B194+'3월'!B194+'4월'!B194+'5월'!B194+'6월'!B194+'7월'!B194+'8월'!B194+'9월'!B194+'10월'!B194+'11월'!B194+'12월'!B194</f>
        <v>457810940</v>
      </c>
      <c r="C194" s="44">
        <f>'1월'!C194+'2월'!C194+'3월'!C194+'4월'!C194+'5월'!C194+'6월'!C194+'7월'!C194+'8월'!C194+'9월'!C194+'10월'!C194+'11월'!C194+'12월'!C194</f>
        <v>54459813</v>
      </c>
      <c r="D194" s="44">
        <f>'1월'!D194+'2월'!D194+'3월'!D194+'4월'!D194+'5월'!D194+'6월'!D194+'7월'!D194+'8월'!D194+'9월'!D194+'10월'!D194+'11월'!D194+'12월'!D194</f>
        <v>7738130</v>
      </c>
      <c r="E194" s="44">
        <f>'1월'!E194+'2월'!E194+'3월'!E194+'4월'!E194+'5월'!E194+'6월'!E194+'7월'!E194+'8월'!E194+'9월'!E194+'10월'!E194+'11월'!E194+'12월'!E194</f>
        <v>395612997</v>
      </c>
      <c r="F194" s="44">
        <f>'1월'!F194+'2월'!F194+'3월'!F194+'4월'!F194+'5월'!F194+'6월'!F194+'7월'!F194+'8월'!F194+'9월'!F194+'10월'!F194+'11월'!F194+'12월'!F194</f>
        <v>319677679.22741681</v>
      </c>
      <c r="G194" s="44">
        <f>'1월'!H194+'2월'!G194+'3월'!G194+'4월'!G194+'5월'!G194+'6월'!G194+'7월'!G194+'8월'!G194+'9월'!G194+'10월'!G194+'11월'!G194+'12월'!G194</f>
        <v>50443120.772583224</v>
      </c>
      <c r="H194" s="44">
        <f>'1월'!J194+'2월'!H194+'3월'!H194+'4월'!H194+'5월'!H194+'6월'!H194+'7월'!H194+'8월'!H194+'9월'!H194+'10월'!H194+'11월'!H194+'12월'!H194</f>
        <v>4560710</v>
      </c>
      <c r="I194" s="44">
        <f>'1월'!K194+'2월'!I194+'3월'!I194+'4월'!I194+'5월'!I194+'6월'!I194+'7월'!I194+'8월'!I194+'9월'!I194+'10월'!I194+'11월'!I194+'12월'!I194</f>
        <v>425303</v>
      </c>
      <c r="J194" s="44">
        <f>'1월'!L194+'2월'!J194+'3월'!J194+'4월'!J194+'5월'!J194+'6월'!J194+'7월'!J194+'8월'!J194+'9월'!J194+'10월'!J194+'11월'!J194+'12월'!J194</f>
        <v>459147</v>
      </c>
      <c r="K194" s="44">
        <f>'1월'!M194+'2월'!K194+'3월'!K194+'4월'!K194+'5월'!K194+'6월'!K194+'7월'!K194+'8월'!K194+'9월'!K194+'10월'!K194+'11월'!K194+'12월'!K194</f>
        <v>4725825</v>
      </c>
      <c r="L194" s="44">
        <f>'1월'!N194+'2월'!L194+'3월'!L194+'4월'!L194+'5월'!L194+'6월'!L194+'7월'!L194+'8월'!L194+'9월'!L194+'10월'!L194+'11월'!L194+'12월'!L194</f>
        <v>14395242</v>
      </c>
      <c r="M194" s="44">
        <f>'1월'!O194+'2월'!M194+'3월'!M194+'4월'!M194+'5월'!M194+'6월'!M194+'7월'!M194+'8월'!M194+'9월'!M194+'10월'!M194+'11월'!M194+'12월'!M194</f>
        <v>925970</v>
      </c>
      <c r="O194" s="44">
        <f>IFERROR(VLOOKUP($A194,[1]플랫폼1!$A:$B,2,FALSE),0)</f>
        <v>0</v>
      </c>
      <c r="P194" s="44">
        <f>IFERROR(VLOOKUP($A194,[1]플랫폼2!$A:$M,12,FALSE),0)+IFERROR(VLOOKUP($A194,[1]플랫폼2!$A:$M,13,FALSE),0)</f>
        <v>0</v>
      </c>
      <c r="Q194" s="44">
        <f>IFERROR(VLOOKUP($A194,[1]플랫폼2!$A:$M,7,FALSE),0)+IFERROR(VLOOKUP($A194,[1]플랫폼2!$A:$M,12,FALSE),0)</f>
        <v>0</v>
      </c>
      <c r="R194" s="44">
        <f>IFERROR(VLOOKUP($A194,[1]모바일!$A:$S,17,FALSE),0)</f>
        <v>0</v>
      </c>
      <c r="S194" s="44">
        <f>IFERROR(VLOOKUP($A194,[1]모바일!$A:$S,18,FALSE),0)</f>
        <v>0</v>
      </c>
      <c r="T194" s="43">
        <v>925970</v>
      </c>
      <c r="U194" s="83"/>
    </row>
    <row r="195" spans="1:21" hidden="1" outlineLevel="1" x14ac:dyDescent="0.45">
      <c r="A195" s="29" t="s">
        <v>93</v>
      </c>
      <c r="B195" s="44">
        <f>'1월'!B195+'2월'!B195+'3월'!B195+'4월'!B195+'5월'!B195+'6월'!B195+'7월'!B195+'8월'!B195+'9월'!B195+'10월'!B195+'11월'!B195+'12월'!B195</f>
        <v>736730465</v>
      </c>
      <c r="C195" s="44">
        <f>'1월'!C195+'2월'!C195+'3월'!C195+'4월'!C195+'5월'!C195+'6월'!C195+'7월'!C195+'8월'!C195+'9월'!C195+'10월'!C195+'11월'!C195+'12월'!C195</f>
        <v>147107553</v>
      </c>
      <c r="D195" s="44">
        <f>'1월'!D195+'2월'!D195+'3월'!D195+'4월'!D195+'5월'!D195+'6월'!D195+'7월'!D195+'8월'!D195+'9월'!D195+'10월'!D195+'11월'!D195+'12월'!D195</f>
        <v>5003636</v>
      </c>
      <c r="E195" s="44">
        <f>'1월'!E195+'2월'!E195+'3월'!E195+'4월'!E195+'5월'!E195+'6월'!E195+'7월'!E195+'8월'!E195+'9월'!E195+'10월'!E195+'11월'!E195+'12월'!E195</f>
        <v>584619276</v>
      </c>
      <c r="F195" s="44">
        <f>'1월'!F195+'2월'!F195+'3월'!F195+'4월'!F195+'5월'!F195+'6월'!F195+'7월'!F195+'8월'!F195+'9월'!F195+'10월'!F195+'11월'!F195+'12월'!F195</f>
        <v>324096322</v>
      </c>
      <c r="G195" s="44">
        <f>'1월'!H195+'2월'!G195+'3월'!G195+'4월'!G195+'5월'!G195+'6월'!G195+'7월'!G195+'8월'!G195+'9월'!G195+'10월'!G195+'11월'!G195+'12월'!G195</f>
        <v>11030273</v>
      </c>
      <c r="H195" s="44">
        <f>'1월'!J195+'2월'!H195+'3월'!H195+'4월'!H195+'5월'!H195+'6월'!H195+'7월'!H195+'8월'!H195+'9월'!H195+'10월'!H195+'11월'!H195+'12월'!H195</f>
        <v>217203487</v>
      </c>
      <c r="I195" s="44">
        <f>'1월'!K195+'2월'!I195+'3월'!I195+'4월'!I195+'5월'!I195+'6월'!I195+'7월'!I195+'8월'!I195+'9월'!I195+'10월'!I195+'11월'!I195+'12월'!I195</f>
        <v>677696.8</v>
      </c>
      <c r="J195" s="44">
        <f>'1월'!L195+'2월'!J195+'3월'!J195+'4월'!J195+'5월'!J195+'6월'!J195+'7월'!J195+'8월'!J195+'9월'!J195+'10월'!J195+'11월'!J195+'12월'!J195</f>
        <v>716061.2</v>
      </c>
      <c r="K195" s="44">
        <f>'1월'!M195+'2월'!K195+'3월'!K195+'4월'!K195+'5월'!K195+'6월'!K195+'7월'!K195+'8월'!K195+'9월'!K195+'10월'!K195+'11월'!K195+'12월'!K195</f>
        <v>5317954</v>
      </c>
      <c r="L195" s="44">
        <f>'1월'!N195+'2월'!L195+'3월'!L195+'4월'!L195+'5월'!L195+'6월'!L195+'7월'!L195+'8월'!L195+'9월'!L195+'10월'!L195+'11월'!L195+'12월'!L195</f>
        <v>3548300</v>
      </c>
      <c r="M195" s="44">
        <f>'1월'!O195+'2월'!M195+'3월'!M195+'4월'!M195+'5월'!M195+'6월'!M195+'7월'!M195+'8월'!M195+'9월'!M195+'10월'!M195+'11월'!M195+'12월'!M195</f>
        <v>22029182</v>
      </c>
      <c r="O195" s="44">
        <f>IFERROR(VLOOKUP($A195,[1]플랫폼1!$A:$B,2,FALSE),0)</f>
        <v>0</v>
      </c>
      <c r="P195" s="44">
        <f>IFERROR(VLOOKUP($A195,[1]플랫폼2!$A:$M,12,FALSE),0)+IFERROR(VLOOKUP($A195,[1]플랫폼2!$A:$M,13,FALSE),0)</f>
        <v>0</v>
      </c>
      <c r="Q195" s="44">
        <f>IFERROR(VLOOKUP($A195,[1]플랫폼2!$A:$M,7,FALSE),0)+IFERROR(VLOOKUP($A195,[1]플랫폼2!$A:$M,12,FALSE),0)</f>
        <v>0</v>
      </c>
      <c r="R195" s="44">
        <f>IFERROR(VLOOKUP($A195,[1]모바일!$A:$S,17,FALSE),0)</f>
        <v>1814598.5</v>
      </c>
      <c r="S195" s="44">
        <f>IFERROR(VLOOKUP($A195,[1]모바일!$A:$S,18,FALSE),0)</f>
        <v>1814598.5</v>
      </c>
      <c r="T195" s="43">
        <v>18399985</v>
      </c>
      <c r="U195" s="83"/>
    </row>
    <row r="196" spans="1:21" hidden="1" outlineLevel="1" x14ac:dyDescent="0.45">
      <c r="A196" s="29" t="s">
        <v>94</v>
      </c>
      <c r="B196" s="44">
        <f>'1월'!B196+'2월'!B196+'3월'!B196+'4월'!B196+'5월'!B196+'6월'!B196+'7월'!B196+'8월'!B196+'9월'!B196+'10월'!B196+'11월'!B196+'12월'!B196</f>
        <v>233208019</v>
      </c>
      <c r="C196" s="44">
        <f>'1월'!C196+'2월'!C196+'3월'!C196+'4월'!C196+'5월'!C196+'6월'!C196+'7월'!C196+'8월'!C196+'9월'!C196+'10월'!C196+'11월'!C196+'12월'!C196</f>
        <v>13893050.000000002</v>
      </c>
      <c r="D196" s="44">
        <f>'1월'!D196+'2월'!D196+'3월'!D196+'4월'!D196+'5월'!D196+'6월'!D196+'7월'!D196+'8월'!D196+'9월'!D196+'10월'!D196+'11월'!D196+'12월'!D196</f>
        <v>14258204</v>
      </c>
      <c r="E196" s="44">
        <f>'1월'!E196+'2월'!E196+'3월'!E196+'4월'!E196+'5월'!E196+'6월'!E196+'7월'!E196+'8월'!E196+'9월'!E196+'10월'!E196+'11월'!E196+'12월'!E196</f>
        <v>205056765</v>
      </c>
      <c r="F196" s="44">
        <f>'1월'!F196+'2월'!F196+'3월'!F196+'4월'!F196+'5월'!F196+'6월'!F196+'7월'!F196+'8월'!F196+'9월'!F196+'10월'!F196+'11월'!F196+'12월'!F196</f>
        <v>158128574.7512812</v>
      </c>
      <c r="G196" s="44">
        <f>'1월'!H196+'2월'!G196+'3월'!G196+'4월'!G196+'5월'!G196+'6월'!G196+'7월'!G196+'8월'!G196+'9월'!G196+'10월'!G196+'11월'!G196+'12월'!G196</f>
        <v>24638035.248718791</v>
      </c>
      <c r="H196" s="44">
        <f>'1월'!J196+'2월'!H196+'3월'!H196+'4월'!H196+'5월'!H196+'6월'!H196+'7월'!H196+'8월'!H196+'9월'!H196+'10월'!H196+'11월'!H196+'12월'!H196</f>
        <v>2529473</v>
      </c>
      <c r="I196" s="44">
        <f>'1월'!K196+'2월'!I196+'3월'!I196+'4월'!I196+'5월'!I196+'6월'!I196+'7월'!I196+'8월'!I196+'9월'!I196+'10월'!I196+'11월'!I196+'12월'!I196</f>
        <v>406313.5</v>
      </c>
      <c r="J196" s="44">
        <f>'1월'!L196+'2월'!J196+'3월'!J196+'4월'!J196+'5월'!J196+'6월'!J196+'7월'!J196+'8월'!J196+'9월'!J196+'10월'!J196+'11월'!J196+'12월'!J196</f>
        <v>21045.5</v>
      </c>
      <c r="K196" s="44">
        <f>'1월'!M196+'2월'!K196+'3월'!K196+'4월'!K196+'5월'!K196+'6월'!K196+'7월'!K196+'8월'!K196+'9월'!K196+'10월'!K196+'11월'!K196+'12월'!K196</f>
        <v>1739075</v>
      </c>
      <c r="L196" s="44">
        <f>'1월'!N196+'2월'!L196+'3월'!L196+'4월'!L196+'5월'!L196+'6월'!L196+'7월'!L196+'8월'!L196+'9월'!L196+'10월'!L196+'11월'!L196+'12월'!L196</f>
        <v>7313000</v>
      </c>
      <c r="M196" s="44">
        <f>'1월'!O196+'2월'!M196+'3월'!M196+'4월'!M196+'5월'!M196+'6월'!M196+'7월'!M196+'8월'!M196+'9월'!M196+'10월'!M196+'11월'!M196+'12월'!M196</f>
        <v>10281248</v>
      </c>
      <c r="O196" s="44">
        <f>IFERROR(VLOOKUP($A196,[1]플랫폼1!$A:$B,2,FALSE),0)</f>
        <v>1058101</v>
      </c>
      <c r="P196" s="44">
        <f>IFERROR(VLOOKUP($A196,[1]플랫폼2!$A:$M,12,FALSE),0)+IFERROR(VLOOKUP($A196,[1]플랫폼2!$A:$M,13,FALSE),0)</f>
        <v>60000</v>
      </c>
      <c r="Q196" s="44">
        <f>IFERROR(VLOOKUP($A196,[1]플랫폼2!$A:$M,7,FALSE),0)+IFERROR(VLOOKUP($A196,[1]플랫폼2!$A:$M,12,FALSE),0)</f>
        <v>6058840</v>
      </c>
      <c r="R196" s="44">
        <f>IFERROR(VLOOKUP($A196,[1]모바일!$A:$S,17,FALSE),0)</f>
        <v>218328.41666666666</v>
      </c>
      <c r="S196" s="44">
        <f>IFERROR(VLOOKUP($A196,[1]모바일!$A:$S,18,FALSE),0)</f>
        <v>218328.41666666666</v>
      </c>
      <c r="T196" s="43">
        <f>IFERROR(VLOOKUP(A196,[1]플랫폼2!$A:$O,15,0),0)</f>
        <v>2667650.1666666665</v>
      </c>
      <c r="U196" s="83"/>
    </row>
    <row r="197" spans="1:21" s="1" customFormat="1" hidden="1" outlineLevel="1" x14ac:dyDescent="0.45">
      <c r="A197" s="29" t="s">
        <v>210</v>
      </c>
      <c r="B197" s="44">
        <f>'1월'!B197+'2월'!B197+'3월'!B197+'4월'!B197+'5월'!B197+'6월'!B197+'7월'!B197+'8월'!B197+'9월'!B197+'10월'!B197+'11월'!B197+'12월'!B197</f>
        <v>6179132</v>
      </c>
      <c r="C197" s="44">
        <f>'1월'!C197+'2월'!C197+'3월'!C197+'4월'!C197+'5월'!C197+'6월'!C197+'7월'!C197+'8월'!C197+'9월'!C197+'10월'!C197+'11월'!C197+'12월'!C197</f>
        <v>-3806322</v>
      </c>
      <c r="D197" s="44">
        <f>'1월'!D197+'2월'!D197+'3월'!D197+'4월'!D197+'5월'!D197+'6월'!D197+'7월'!D197+'8월'!D197+'9월'!D197+'10월'!D197+'11월'!D197+'12월'!D197</f>
        <v>4992727</v>
      </c>
      <c r="E197" s="44">
        <f>'1월'!E197+'2월'!E197+'3월'!E197+'4월'!E197+'5월'!E197+'6월'!E197+'7월'!E197+'8월'!E197+'9월'!E197+'10월'!E197+'11월'!E197+'12월'!E197</f>
        <v>4992727</v>
      </c>
      <c r="F197" s="44">
        <f>'1월'!F197+'2월'!F197+'3월'!F197+'4월'!F197+'5월'!F197+'6월'!F197+'7월'!F197+'8월'!F197+'9월'!F197+'10월'!F197+'11월'!F197+'12월'!F197</f>
        <v>4992727</v>
      </c>
      <c r="G197" s="44">
        <f>'1월'!H197+'2월'!G197+'3월'!G197+'4월'!G197+'5월'!G197+'6월'!G197+'7월'!G197+'8월'!G197+'9월'!G197+'10월'!G197+'11월'!G197+'12월'!G197</f>
        <v>0</v>
      </c>
      <c r="H197" s="44">
        <f>'1월'!J197+'2월'!H197+'3월'!H197+'4월'!H197+'5월'!H197+'6월'!H197+'7월'!H197+'8월'!H197+'9월'!H197+'10월'!H197+'11월'!H197+'12월'!H197</f>
        <v>0</v>
      </c>
      <c r="I197" s="44">
        <f>'1월'!K197+'2월'!I197+'3월'!I197+'4월'!I197+'5월'!I197+'6월'!I197+'7월'!I197+'8월'!I197+'9월'!I197+'10월'!I197+'11월'!I197+'12월'!I197</f>
        <v>0</v>
      </c>
      <c r="J197" s="44">
        <f>'1월'!L197+'2월'!J197+'3월'!J197+'4월'!J197+'5월'!J197+'6월'!J197+'7월'!J197+'8월'!J197+'9월'!J197+'10월'!J197+'11월'!J197+'12월'!J197</f>
        <v>0</v>
      </c>
      <c r="K197" s="44">
        <f>'1월'!M197+'2월'!K197+'3월'!K197+'4월'!K197+'5월'!K197+'6월'!K197+'7월'!K197+'8월'!K197+'9월'!K197+'10월'!K197+'11월'!K197+'12월'!K197</f>
        <v>0</v>
      </c>
      <c r="L197" s="44">
        <f>'1월'!N197+'2월'!L197+'3월'!L197+'4월'!L197+'5월'!L197+'6월'!L197+'7월'!L197+'8월'!L197+'9월'!L197+'10월'!L197+'11월'!L197+'12월'!L197</f>
        <v>0</v>
      </c>
      <c r="M197" s="44">
        <f>'1월'!O197+'2월'!M197+'3월'!M197+'4월'!M197+'5월'!M197+'6월'!M197+'7월'!M197+'8월'!M197+'9월'!M197+'10월'!M197+'11월'!M197+'12월'!M197</f>
        <v>0</v>
      </c>
      <c r="O197" s="44">
        <f>IFERROR(VLOOKUP($A197,[1]플랫폼1!$A:$B,2,FALSE),0)</f>
        <v>0</v>
      </c>
      <c r="P197" s="44">
        <f>IFERROR(VLOOKUP($A197,[1]플랫폼2!$A:$M,12,FALSE),0)+IFERROR(VLOOKUP($A197,[1]플랫폼2!$A:$M,13,FALSE),0)</f>
        <v>0</v>
      </c>
      <c r="Q197" s="44">
        <f>IFERROR(VLOOKUP($A197,[1]플랫폼2!$A:$M,7,FALSE),0)+IFERROR(VLOOKUP($A197,[1]플랫폼2!$A:$M,12,FALSE),0)</f>
        <v>0</v>
      </c>
      <c r="R197" s="44">
        <f>IFERROR(VLOOKUP($A197,[1]모바일!$A:$S,17,FALSE),0)</f>
        <v>0</v>
      </c>
      <c r="S197" s="44">
        <f>IFERROR(VLOOKUP($A197,[1]모바일!$A:$S,18,FALSE),0)</f>
        <v>0</v>
      </c>
      <c r="T197" s="43">
        <f>IFERROR(VLOOKUP(A197,[1]플랫폼2!$A:$O,15,0),0)</f>
        <v>0</v>
      </c>
      <c r="U197" s="83"/>
    </row>
    <row r="198" spans="1:21" s="1" customFormat="1" hidden="1" outlineLevel="1" collapsed="1" x14ac:dyDescent="0.45">
      <c r="A198" s="24" t="s">
        <v>211</v>
      </c>
      <c r="B198" s="45">
        <f>'1월'!B198+'2월'!B198+'3월'!B198+'4월'!B198+'5월'!B198+'6월'!B198+'7월'!B198+'8월'!B198+'9월'!B198+'10월'!B198+'11월'!B198+'12월'!B198</f>
        <v>15500000</v>
      </c>
      <c r="C198" s="45">
        <f>'1월'!C198+'2월'!C198+'3월'!C198+'4월'!C198+'5월'!C198+'6월'!C198+'7월'!C198+'8월'!C198+'9월'!C198+'10월'!C198+'11월'!C198+'12월'!C198</f>
        <v>0</v>
      </c>
      <c r="D198" s="45">
        <f>'1월'!D198+'2월'!D198+'3월'!D198+'4월'!D198+'5월'!D198+'6월'!D198+'7월'!D198+'8월'!D198+'9월'!D198+'10월'!D198+'11월'!D198+'12월'!D198</f>
        <v>0</v>
      </c>
      <c r="E198" s="45">
        <f>'1월'!E198+'2월'!E198+'3월'!E198+'4월'!E198+'5월'!E198+'6월'!E198+'7월'!E198+'8월'!E198+'9월'!E198+'10월'!E198+'11월'!E198+'12월'!E198</f>
        <v>15500000</v>
      </c>
      <c r="F198" s="45">
        <f>'1월'!F198+'2월'!F198+'3월'!F198+'4월'!F198+'5월'!F198+'6월'!F198+'7월'!F198+'8월'!F198+'9월'!F198+'10월'!F198+'11월'!F198+'12월'!F198</f>
        <v>0</v>
      </c>
      <c r="G198" s="45">
        <f>'1월'!H198+'2월'!G198+'3월'!G198+'4월'!G198+'5월'!G198+'6월'!G198+'7월'!G198+'8월'!G198+'9월'!G198+'10월'!G198+'11월'!G198+'12월'!G198</f>
        <v>0</v>
      </c>
      <c r="H198" s="45">
        <f>'1월'!J198+'2월'!H198+'3월'!H198+'4월'!H198+'5월'!H198+'6월'!H198+'7월'!H198+'8월'!H198+'9월'!H198+'10월'!H198+'11월'!H198+'12월'!H198</f>
        <v>15500000</v>
      </c>
      <c r="I198" s="45">
        <f>'1월'!K198+'2월'!I198+'3월'!I198+'4월'!I198+'5월'!I198+'6월'!I198+'7월'!I198+'8월'!I198+'9월'!I198+'10월'!I198+'11월'!I198+'12월'!I198</f>
        <v>0</v>
      </c>
      <c r="J198" s="45">
        <f>'1월'!L198+'2월'!J198+'3월'!J198+'4월'!J198+'5월'!J198+'6월'!J198+'7월'!J198+'8월'!J198+'9월'!J198+'10월'!J198+'11월'!J198+'12월'!J198</f>
        <v>0</v>
      </c>
      <c r="K198" s="45">
        <f>'1월'!M198+'2월'!K198+'3월'!K198+'4월'!K198+'5월'!K198+'6월'!K198+'7월'!K198+'8월'!K198+'9월'!K198+'10월'!K198+'11월'!K198+'12월'!K198</f>
        <v>0</v>
      </c>
      <c r="L198" s="45">
        <f>'1월'!N198+'2월'!L198+'3월'!L198+'4월'!L198+'5월'!L198+'6월'!L198+'7월'!L198+'8월'!L198+'9월'!L198+'10월'!L198+'11월'!L198+'12월'!L198</f>
        <v>0</v>
      </c>
      <c r="M198" s="45">
        <f>'1월'!O198+'2월'!M198+'3월'!M198+'4월'!M198+'5월'!M198+'6월'!M198+'7월'!M198+'8월'!M198+'9월'!M198+'10월'!M198+'11월'!M198+'12월'!M198</f>
        <v>0</v>
      </c>
      <c r="O198" s="45">
        <f>IFERROR(VLOOKUP($A198,[1]플랫폼1!$A:$B,2,FALSE),0)</f>
        <v>0</v>
      </c>
      <c r="P198" s="45">
        <f>IFERROR(VLOOKUP($A198,[1]플랫폼2!$A:$M,12,FALSE),0)+IFERROR(VLOOKUP($A198,[1]플랫폼2!$A:$M,13,FALSE),0)</f>
        <v>0</v>
      </c>
      <c r="Q198" s="45">
        <f>IFERROR(VLOOKUP($A198,[1]플랫폼2!$A:$M,7,FALSE),0)+IFERROR(VLOOKUP($A198,[1]플랫폼2!$A:$M,12,FALSE),0)</f>
        <v>0</v>
      </c>
      <c r="R198" s="45">
        <f>IFERROR(VLOOKUP($A198,[1]모바일!$A:$S,17,FALSE),0)</f>
        <v>0</v>
      </c>
      <c r="S198" s="45">
        <f>IFERROR(VLOOKUP($A198,[1]모바일!$A:$S,18,FALSE),0)</f>
        <v>0</v>
      </c>
      <c r="T198" s="54">
        <f>IFERROR(VLOOKUP(A198,[1]플랫폼2!$A:$O,15,0),0)</f>
        <v>0</v>
      </c>
      <c r="U198" s="83"/>
    </row>
    <row r="199" spans="1:21" collapsed="1" x14ac:dyDescent="0.45">
      <c r="A199" s="28" t="s">
        <v>95</v>
      </c>
      <c r="B199" s="43">
        <f>'1월'!B199+'2월'!B199+'3월'!B199+'4월'!B199+'5월'!B199+'6월'!B199+'7월'!B199+'8월'!B199+'9월'!B199+'10월'!B199+'11월'!B199+'12월'!B199</f>
        <v>20977909092</v>
      </c>
      <c r="C199" s="43">
        <f>'1월'!C199+'2월'!C199+'3월'!C199+'4월'!C199+'5월'!C199+'6월'!C199+'7월'!C199+'8월'!C199+'9월'!C199+'10월'!C199+'11월'!C199+'12월'!C199</f>
        <v>7081670910</v>
      </c>
      <c r="D199" s="43">
        <f>'1월'!D199+'2월'!D199+'3월'!D199+'4월'!D199+'5월'!D199+'6월'!D199+'7월'!D199+'8월'!D199+'9월'!D199+'10월'!D199+'11월'!D199+'12월'!D199</f>
        <v>1387851280</v>
      </c>
      <c r="E199" s="43">
        <f>'1월'!E199+'2월'!E199+'3월'!E199+'4월'!E199+'5월'!E199+'6월'!E199+'7월'!E199+'8월'!E199+'9월'!E199+'10월'!E199+'11월'!E199+'12월'!E199</f>
        <v>12508386902</v>
      </c>
      <c r="F199" s="43">
        <f>'1월'!F199+'2월'!F199+'3월'!F199+'4월'!F199+'5월'!F199+'6월'!F199+'7월'!F199+'8월'!F199+'9월'!F199+'10월'!F199+'11월'!F199+'12월'!F199</f>
        <v>1907640618.5964909</v>
      </c>
      <c r="G199" s="43">
        <f>'1월'!H199+'2월'!G199+'3월'!G199+'4월'!G199+'5월'!G199+'6월'!G199+'7월'!G199+'8월'!G199+'9월'!G199+'10월'!G199+'11월'!G199+'12월'!G199</f>
        <v>1238518439.4035091</v>
      </c>
      <c r="H199" s="43">
        <f>'1월'!J199+'2월'!H199+'3월'!H199+'4월'!H199+'5월'!H199+'6월'!H199+'7월'!H199+'8월'!H199+'9월'!H199+'10월'!H199+'11월'!H199+'12월'!H199</f>
        <v>4521770653</v>
      </c>
      <c r="I199" s="43">
        <f>'1월'!K199+'2월'!I199+'3월'!I199+'4월'!I199+'5월'!I199+'6월'!I199+'7월'!I199+'8월'!I199+'9월'!I199+'10월'!I199+'11월'!I199+'12월'!I199</f>
        <v>26949484.899999999</v>
      </c>
      <c r="J199" s="43">
        <f>'1월'!L199+'2월'!J199+'3월'!J199+'4월'!J199+'5월'!J199+'6월'!J199+'7월'!J199+'8월'!J199+'9월'!J199+'10월'!J199+'11월'!J199+'12월'!J199</f>
        <v>23582855.100000001</v>
      </c>
      <c r="K199" s="43">
        <f>'1월'!M199+'2월'!K199+'3월'!K199+'4월'!K199+'5월'!K199+'6월'!K199+'7월'!K199+'8월'!K199+'9월'!K199+'10월'!K199+'11월'!K199+'12월'!K199</f>
        <v>146585193</v>
      </c>
      <c r="L199" s="43">
        <f>'1월'!N199+'2월'!L199+'3월'!L199+'4월'!L199+'5월'!L199+'6월'!L199+'7월'!L199+'8월'!L199+'9월'!L199+'10월'!L199+'11월'!L199+'12월'!L199</f>
        <v>84939969</v>
      </c>
      <c r="M199" s="43">
        <f>'1월'!O199+'2월'!M199+'3월'!M199+'4월'!M199+'5월'!M199+'6월'!M199+'7월'!M199+'8월'!M199+'9월'!M199+'10월'!M199+'11월'!M199+'12월'!M199</f>
        <v>4558399689</v>
      </c>
      <c r="O199" s="43">
        <f>IFERROR(VLOOKUP($A199,[1]플랫폼1!$A:$B,2,FALSE),0)</f>
        <v>1859508712</v>
      </c>
      <c r="P199" s="43">
        <f>IFERROR(VLOOKUP($A199,[1]플랫폼2!$A:$M,12,FALSE),0)+IFERROR(VLOOKUP($A199,[1]플랫폼2!$A:$M,13,FALSE),0)</f>
        <v>1094501124</v>
      </c>
      <c r="Q199" s="43">
        <f>IFERROR(VLOOKUP($A199,[1]플랫폼2!$A:$M,7,FALSE),0)+IFERROR(VLOOKUP($A199,[1]플랫폼2!$A:$M,12,FALSE),0)</f>
        <v>826893116</v>
      </c>
      <c r="R199" s="43">
        <f>IFERROR(VLOOKUP($A199,[1]모바일!$A:$S,17,FALSE),0)</f>
        <v>234783206.5</v>
      </c>
      <c r="S199" s="43">
        <f>IFERROR(VLOOKUP($A199,[1]모바일!$A:$S,18,FALSE),0)</f>
        <v>95673409.5</v>
      </c>
      <c r="T199" s="43">
        <f>IFERROR(VLOOKUP(A199,[1]플랫폼2!$A:$O,15,0),0)</f>
        <v>447040121</v>
      </c>
      <c r="U199" s="83"/>
    </row>
    <row r="200" spans="1:21" hidden="1" outlineLevel="1" x14ac:dyDescent="0.45">
      <c r="A200" s="29" t="s">
        <v>152</v>
      </c>
      <c r="B200" s="44">
        <f>'1월'!B200+'2월'!B200+'3월'!B200+'4월'!B200+'5월'!B200+'6월'!B200+'7월'!B200+'8월'!B200+'9월'!B200+'10월'!B200+'11월'!B200+'12월'!B200</f>
        <v>4150621574</v>
      </c>
      <c r="C200" s="44">
        <f>'1월'!C200+'2월'!C200+'3월'!C200+'4월'!C200+'5월'!C200+'6월'!C200+'7월'!C200+'8월'!C200+'9월'!C200+'10월'!C200+'11월'!C200+'12월'!C200</f>
        <v>3833293548</v>
      </c>
      <c r="D200" s="44">
        <f>'1월'!D200+'2월'!D200+'3월'!D200+'4월'!D200+'5월'!D200+'6월'!D200+'7월'!D200+'8월'!D200+'9월'!D200+'10월'!D200+'11월'!D200+'12월'!D200</f>
        <v>0</v>
      </c>
      <c r="E200" s="44">
        <f>'1월'!E200+'2월'!E200+'3월'!E200+'4월'!E200+'5월'!E200+'6월'!E200+'7월'!E200+'8월'!E200+'9월'!E200+'10월'!E200+'11월'!E200+'12월'!E200</f>
        <v>317328026</v>
      </c>
      <c r="F200" s="44">
        <f>'1월'!F200+'2월'!F200+'3월'!F200+'4월'!F200+'5월'!F200+'6월'!F200+'7월'!F200+'8월'!F200+'9월'!F200+'10월'!F200+'11월'!F200+'12월'!F200</f>
        <v>0</v>
      </c>
      <c r="G200" s="44">
        <f>'1월'!H200+'2월'!G200+'3월'!G200+'4월'!G200+'5월'!G200+'6월'!G200+'7월'!G200+'8월'!G200+'9월'!G200+'10월'!G200+'11월'!G200+'12월'!G200</f>
        <v>0</v>
      </c>
      <c r="H200" s="44">
        <f>'1월'!J200+'2월'!H200+'3월'!H200+'4월'!H200+'5월'!H200+'6월'!H200+'7월'!H200+'8월'!H200+'9월'!H200+'10월'!H200+'11월'!H200+'12월'!H200</f>
        <v>0</v>
      </c>
      <c r="I200" s="44">
        <f>'1월'!K200+'2월'!I200+'3월'!I200+'4월'!I200+'5월'!I200+'6월'!I200+'7월'!I200+'8월'!I200+'9월'!I200+'10월'!I200+'11월'!I200+'12월'!I200</f>
        <v>0</v>
      </c>
      <c r="J200" s="44">
        <f>'1월'!L200+'2월'!J200+'3월'!J200+'4월'!J200+'5월'!J200+'6월'!J200+'7월'!J200+'8월'!J200+'9월'!J200+'10월'!J200+'11월'!J200+'12월'!J200</f>
        <v>0</v>
      </c>
      <c r="K200" s="44">
        <f>'1월'!M200+'2월'!K200+'3월'!K200+'4월'!K200+'5월'!K200+'6월'!K200+'7월'!K200+'8월'!K200+'9월'!K200+'10월'!K200+'11월'!K200+'12월'!K200</f>
        <v>0</v>
      </c>
      <c r="L200" s="44">
        <f>'1월'!N200+'2월'!L200+'3월'!L200+'4월'!L200+'5월'!L200+'6월'!L200+'7월'!L200+'8월'!L200+'9월'!L200+'10월'!L200+'11월'!L200+'12월'!L200</f>
        <v>0</v>
      </c>
      <c r="M200" s="44">
        <f>'1월'!O200+'2월'!M200+'3월'!M200+'4월'!M200+'5월'!M200+'6월'!M200+'7월'!M200+'8월'!M200+'9월'!M200+'10월'!M200+'11월'!M200+'12월'!M200</f>
        <v>317328026</v>
      </c>
      <c r="O200" s="44">
        <f>IFERROR(VLOOKUP($A200,[1]플랫폼1!$A:$B,2,FALSE),0)</f>
        <v>798000</v>
      </c>
      <c r="P200" s="44">
        <f>IFERROR(VLOOKUP($A200,[1]플랫폼2!$A:$M,12,FALSE),0)+IFERROR(VLOOKUP($A200,[1]플랫폼2!$A:$M,13,FALSE),0)</f>
        <v>5581059.5</v>
      </c>
      <c r="Q200" s="44">
        <f>IFERROR(VLOOKUP($A200,[1]플랫폼2!$A:$M,7,FALSE),0)+IFERROR(VLOOKUP($A200,[1]플랫폼2!$A:$M,12,FALSE),0)</f>
        <v>81059.5</v>
      </c>
      <c r="R200" s="44">
        <f>IFERROR(VLOOKUP($A200,[1]모바일!$A:$S,17,FALSE),0)</f>
        <v>30658.916666666668</v>
      </c>
      <c r="S200" s="44">
        <f>IFERROR(VLOOKUP($A200,[1]모바일!$A:$S,18,FALSE),0)</f>
        <v>30658.916666666668</v>
      </c>
      <c r="T200" s="43">
        <f>IFERROR(VLOOKUP(A200,[1]플랫폼2!$A:$O,15,0),0)</f>
        <v>310806589.16666669</v>
      </c>
      <c r="U200" s="83"/>
    </row>
    <row r="201" spans="1:21" hidden="1" outlineLevel="1" x14ac:dyDescent="0.45">
      <c r="A201" s="29" t="s">
        <v>153</v>
      </c>
      <c r="B201" s="44">
        <f>'1월'!B201+'2월'!B201+'3월'!B201+'4월'!B201+'5월'!B201+'6월'!B201+'7월'!B201+'8월'!B201+'9월'!B201+'10월'!B201+'11월'!B201+'12월'!B201</f>
        <v>6659982501</v>
      </c>
      <c r="C201" s="44">
        <f>'1월'!C201+'2월'!C201+'3월'!C201+'4월'!C201+'5월'!C201+'6월'!C201+'7월'!C201+'8월'!C201+'9월'!C201+'10월'!C201+'11월'!C201+'12월'!C201</f>
        <v>287017683</v>
      </c>
      <c r="D201" s="44">
        <f>'1월'!D201+'2월'!D201+'3월'!D201+'4월'!D201+'5월'!D201+'6월'!D201+'7월'!D201+'8월'!D201+'9월'!D201+'10월'!D201+'11월'!D201+'12월'!D201</f>
        <v>99318478</v>
      </c>
      <c r="E201" s="44">
        <f>'1월'!E201+'2월'!E201+'3월'!E201+'4월'!E201+'5월'!E201+'6월'!E201+'7월'!E201+'8월'!E201+'9월'!E201+'10월'!E201+'11월'!E201+'12월'!E201</f>
        <v>6273646340</v>
      </c>
      <c r="F201" s="44">
        <f>'1월'!F201+'2월'!F201+'3월'!F201+'4월'!F201+'5월'!F201+'6월'!F201+'7월'!F201+'8월'!F201+'9월'!F201+'10월'!F201+'11월'!F201+'12월'!F201</f>
        <v>55147983.753523901</v>
      </c>
      <c r="G201" s="44">
        <f>'1월'!H201+'2월'!G201+'3월'!G201+'4월'!G201+'5월'!G201+'6월'!G201+'7월'!G201+'8월'!G201+'9월'!G201+'10월'!G201+'11월'!G201+'12월'!G201</f>
        <v>50101548.246476099</v>
      </c>
      <c r="H201" s="44">
        <f>'1월'!J201+'2월'!H201+'3월'!H201+'4월'!H201+'5월'!H201+'6월'!H201+'7월'!H201+'8월'!H201+'9월'!H201+'10월'!H201+'11월'!H201+'12월'!H201</f>
        <v>2264175187</v>
      </c>
      <c r="I201" s="44">
        <f>'1월'!K201+'2월'!I201+'3월'!I201+'4월'!I201+'5월'!I201+'6월'!I201+'7월'!I201+'8월'!I201+'9월'!I201+'10월'!I201+'11월'!I201+'12월'!I201</f>
        <v>6015063.5999999996</v>
      </c>
      <c r="J201" s="44">
        <f>'1월'!L201+'2월'!J201+'3월'!J201+'4월'!J201+'5월'!J201+'6월'!J201+'7월'!J201+'8월'!J201+'9월'!J201+'10월'!J201+'11월'!J201+'12월'!J201</f>
        <v>891475.4</v>
      </c>
      <c r="K201" s="44">
        <f>'1월'!M201+'2월'!K201+'3월'!K201+'4월'!K201+'5월'!K201+'6월'!K201+'7월'!K201+'8월'!K201+'9월'!K201+'10월'!K201+'11월'!K201+'12월'!K201</f>
        <v>26365592</v>
      </c>
      <c r="L201" s="44">
        <f>'1월'!N201+'2월'!L201+'3월'!L201+'4월'!L201+'5월'!L201+'6월'!L201+'7월'!L201+'8월'!L201+'9월'!L201+'10월'!L201+'11월'!L201+'12월'!L201</f>
        <v>42348827</v>
      </c>
      <c r="M201" s="44">
        <f>'1월'!O201+'2월'!M201+'3월'!M201+'4월'!M201+'5월'!M201+'6월'!M201+'7월'!M201+'8월'!M201+'9월'!M201+'10월'!M201+'11월'!M201+'12월'!M201</f>
        <v>3828600663</v>
      </c>
      <c r="O201" s="44">
        <f>IFERROR(VLOOKUP($A201,[1]플랫폼1!$A:$B,2,FALSE),0)</f>
        <v>1858550712</v>
      </c>
      <c r="P201" s="44">
        <f>IFERROR(VLOOKUP($A201,[1]플랫폼2!$A:$M,12,FALSE),0)+IFERROR(VLOOKUP($A201,[1]플랫폼2!$A:$M,13,FALSE),0)</f>
        <v>785794489</v>
      </c>
      <c r="Q201" s="44">
        <f>IFERROR(VLOOKUP($A201,[1]플랫폼2!$A:$M,7,FALSE),0)+IFERROR(VLOOKUP($A201,[1]플랫폼2!$A:$M,12,FALSE),0)</f>
        <v>817188516</v>
      </c>
      <c r="R201" s="44">
        <f>IFERROR(VLOOKUP($A201,[1]모바일!$A:$S,17,FALSE),0)</f>
        <v>226672380.91666666</v>
      </c>
      <c r="S201" s="44">
        <f>IFERROR(VLOOKUP($A201,[1]모바일!$A:$S,18,FALSE),0)</f>
        <v>86762583.916666672</v>
      </c>
      <c r="T201" s="43">
        <f>IFERROR(VLOOKUP(A201,[1]플랫폼2!$A:$O,15,0),0)</f>
        <v>53631981.166666672</v>
      </c>
      <c r="U201" s="83"/>
    </row>
    <row r="202" spans="1:21" hidden="1" outlineLevel="1" x14ac:dyDescent="0.45">
      <c r="A202" s="29" t="s">
        <v>117</v>
      </c>
      <c r="B202" s="44">
        <f>'1월'!B202+'2월'!B202+'3월'!B202+'4월'!B202+'5월'!B202+'6월'!B202+'7월'!B202+'8월'!B202+'9월'!B202+'10월'!B202+'11월'!B202+'12월'!B202</f>
        <v>846760046</v>
      </c>
      <c r="C202" s="44">
        <f>'1월'!C202+'2월'!C202+'3월'!C202+'4월'!C202+'5월'!C202+'6월'!C202+'7월'!C202+'8월'!C202+'9월'!C202+'10월'!C202+'11월'!C202+'12월'!C202</f>
        <v>829314636</v>
      </c>
      <c r="D202" s="44">
        <f>'1월'!D202+'2월'!D202+'3월'!D202+'4월'!D202+'5월'!D202+'6월'!D202+'7월'!D202+'8월'!D202+'9월'!D202+'10월'!D202+'11월'!D202+'12월'!D202</f>
        <v>517600</v>
      </c>
      <c r="E202" s="44">
        <f>'1월'!E202+'2월'!E202+'3월'!E202+'4월'!E202+'5월'!E202+'6월'!E202+'7월'!E202+'8월'!E202+'9월'!E202+'10월'!E202+'11월'!E202+'12월'!E202</f>
        <v>16927810</v>
      </c>
      <c r="F202" s="44">
        <f>'1월'!F202+'2월'!F202+'3월'!F202+'4월'!F202+'5월'!F202+'6월'!F202+'7월'!F202+'8월'!F202+'9월'!F202+'10월'!F202+'11월'!F202+'12월'!F202</f>
        <v>0</v>
      </c>
      <c r="G202" s="44">
        <f>'1월'!H202+'2월'!G202+'3월'!G202+'4월'!G202+'5월'!G202+'6월'!G202+'7월'!G202+'8월'!G202+'9월'!G202+'10월'!G202+'11월'!G202+'12월'!G202</f>
        <v>15662020</v>
      </c>
      <c r="H202" s="44">
        <f>'1월'!J202+'2월'!H202+'3월'!H202+'4월'!H202+'5월'!H202+'6월'!H202+'7월'!H202+'8월'!H202+'9월'!H202+'10월'!H202+'11월'!H202+'12월'!H202</f>
        <v>300000</v>
      </c>
      <c r="I202" s="44">
        <f>'1월'!K202+'2월'!I202+'3월'!I202+'4월'!I202+'5월'!I202+'6월'!I202+'7월'!I202+'8월'!I202+'9월'!I202+'10월'!I202+'11월'!I202+'12월'!I202</f>
        <v>0</v>
      </c>
      <c r="J202" s="44">
        <f>'1월'!L202+'2월'!J202+'3월'!J202+'4월'!J202+'5월'!J202+'6월'!J202+'7월'!J202+'8월'!J202+'9월'!J202+'10월'!J202+'11월'!J202+'12월'!J202</f>
        <v>0</v>
      </c>
      <c r="K202" s="44">
        <f>'1월'!M202+'2월'!K202+'3월'!K202+'4월'!K202+'5월'!K202+'6월'!K202+'7월'!K202+'8월'!K202+'9월'!K202+'10월'!K202+'11월'!K202+'12월'!K202</f>
        <v>214200</v>
      </c>
      <c r="L202" s="44">
        <f>'1월'!N202+'2월'!L202+'3월'!L202+'4월'!L202+'5월'!L202+'6월'!L202+'7월'!L202+'8월'!L202+'9월'!L202+'10월'!L202+'11월'!L202+'12월'!L202</f>
        <v>0</v>
      </c>
      <c r="M202" s="44">
        <f>'1월'!O202+'2월'!M202+'3월'!M202+'4월'!M202+'5월'!M202+'6월'!M202+'7월'!M202+'8월'!M202+'9월'!M202+'10월'!M202+'11월'!M202+'12월'!M202</f>
        <v>751590</v>
      </c>
      <c r="O202" s="44">
        <f>IFERROR(VLOOKUP($A202,[1]플랫폼1!$A:$B,2,FALSE),0)</f>
        <v>0</v>
      </c>
      <c r="P202" s="44">
        <f>IFERROR(VLOOKUP($A202,[1]플랫폼2!$A:$M,12,FALSE),0)+IFERROR(VLOOKUP($A202,[1]플랫폼2!$A:$M,13,FALSE),0)</f>
        <v>0</v>
      </c>
      <c r="Q202" s="44">
        <f>IFERROR(VLOOKUP($A202,[1]플랫폼2!$A:$M,7,FALSE),0)+IFERROR(VLOOKUP($A202,[1]플랫폼2!$A:$M,12,FALSE),0)</f>
        <v>0</v>
      </c>
      <c r="R202" s="44">
        <f>IFERROR(VLOOKUP($A202,[1]모바일!$A:$S,17,FALSE),0)</f>
        <v>0</v>
      </c>
      <c r="S202" s="44">
        <f>IFERROR(VLOOKUP($A202,[1]모바일!$A:$S,18,FALSE),0)</f>
        <v>0</v>
      </c>
      <c r="T202" s="43">
        <v>751590</v>
      </c>
      <c r="U202" s="83"/>
    </row>
    <row r="203" spans="1:21" hidden="1" outlineLevel="1" x14ac:dyDescent="0.45">
      <c r="A203" s="29" t="s">
        <v>154</v>
      </c>
      <c r="B203" s="44">
        <f>'1월'!B203+'2월'!B203+'3월'!B203+'4월'!B203+'5월'!B203+'6월'!B203+'7월'!B203+'8월'!B203+'9월'!B203+'10월'!B203+'11월'!B203+'12월'!B203</f>
        <v>1209534</v>
      </c>
      <c r="C203" s="44">
        <f>'1월'!C203+'2월'!C203+'3월'!C203+'4월'!C203+'5월'!C203+'6월'!C203+'7월'!C203+'8월'!C203+'9월'!C203+'10월'!C203+'11월'!C203+'12월'!C203</f>
        <v>1131300</v>
      </c>
      <c r="D203" s="44">
        <f>'1월'!D203+'2월'!D203+'3월'!D203+'4월'!D203+'5월'!D203+'6월'!D203+'7월'!D203+'8월'!D203+'9월'!D203+'10월'!D203+'11월'!D203+'12월'!D203</f>
        <v>78234</v>
      </c>
      <c r="E203" s="44">
        <f>'1월'!E203+'2월'!E203+'3월'!E203+'4월'!E203+'5월'!E203+'6월'!E203+'7월'!E203+'8월'!E203+'9월'!E203+'10월'!E203+'11월'!E203+'12월'!E203</f>
        <v>0</v>
      </c>
      <c r="F203" s="44">
        <f>'1월'!F203+'2월'!F203+'3월'!F203+'4월'!F203+'5월'!F203+'6월'!F203+'7월'!F203+'8월'!F203+'9월'!F203+'10월'!F203+'11월'!F203+'12월'!F203</f>
        <v>0</v>
      </c>
      <c r="G203" s="44">
        <f>'1월'!H203+'2월'!G203+'3월'!G203+'4월'!G203+'5월'!G203+'6월'!G203+'7월'!G203+'8월'!G203+'9월'!G203+'10월'!G203+'11월'!G203+'12월'!G203</f>
        <v>0</v>
      </c>
      <c r="H203" s="44">
        <f>'1월'!J203+'2월'!H203+'3월'!H203+'4월'!H203+'5월'!H203+'6월'!H203+'7월'!H203+'8월'!H203+'9월'!H203+'10월'!H203+'11월'!H203+'12월'!H203</f>
        <v>0</v>
      </c>
      <c r="I203" s="44">
        <f>'1월'!K203+'2월'!I203+'3월'!I203+'4월'!I203+'5월'!I203+'6월'!I203+'7월'!I203+'8월'!I203+'9월'!I203+'10월'!I203+'11월'!I203+'12월'!I203</f>
        <v>0</v>
      </c>
      <c r="J203" s="44">
        <f>'1월'!L203+'2월'!J203+'3월'!J203+'4월'!J203+'5월'!J203+'6월'!J203+'7월'!J203+'8월'!J203+'9월'!J203+'10월'!J203+'11월'!J203+'12월'!J203</f>
        <v>0</v>
      </c>
      <c r="K203" s="44">
        <f>'1월'!M203+'2월'!K203+'3월'!K203+'4월'!K203+'5월'!K203+'6월'!K203+'7월'!K203+'8월'!K203+'9월'!K203+'10월'!K203+'11월'!K203+'12월'!K203</f>
        <v>0</v>
      </c>
      <c r="L203" s="44">
        <f>'1월'!N203+'2월'!L203+'3월'!L203+'4월'!L203+'5월'!L203+'6월'!L203+'7월'!L203+'8월'!L203+'9월'!L203+'10월'!L203+'11월'!L203+'12월'!L203</f>
        <v>0</v>
      </c>
      <c r="M203" s="44">
        <f>'1월'!O203+'2월'!M203+'3월'!M203+'4월'!M203+'5월'!M203+'6월'!M203+'7월'!M203+'8월'!M203+'9월'!M203+'10월'!M203+'11월'!M203+'12월'!M203</f>
        <v>0</v>
      </c>
      <c r="O203" s="44">
        <f>IFERROR(VLOOKUP($A203,[1]플랫폼1!$A:$B,2,FALSE),0)</f>
        <v>0</v>
      </c>
      <c r="P203" s="44">
        <f>IFERROR(VLOOKUP($A203,[1]플랫폼2!$A:$M,12,FALSE),0)+IFERROR(VLOOKUP($A203,[1]플랫폼2!$A:$M,13,FALSE),0)</f>
        <v>0</v>
      </c>
      <c r="Q203" s="44">
        <f>IFERROR(VLOOKUP($A203,[1]플랫폼2!$A:$M,7,FALSE),0)+IFERROR(VLOOKUP($A203,[1]플랫폼2!$A:$M,12,FALSE),0)</f>
        <v>0</v>
      </c>
      <c r="R203" s="44">
        <f>IFERROR(VLOOKUP($A203,[1]모바일!$A:$S,17,FALSE),0)</f>
        <v>0</v>
      </c>
      <c r="S203" s="44">
        <f>IFERROR(VLOOKUP($A203,[1]모바일!$A:$S,18,FALSE),0)</f>
        <v>0</v>
      </c>
      <c r="T203" s="43">
        <f>IFERROR(VLOOKUP(A203,[1]플랫폼2!$A:$O,15,0),0)</f>
        <v>0</v>
      </c>
      <c r="U203" s="83"/>
    </row>
    <row r="204" spans="1:21" hidden="1" outlineLevel="1" x14ac:dyDescent="0.45">
      <c r="A204" s="29" t="s">
        <v>96</v>
      </c>
      <c r="B204" s="44">
        <f>'1월'!B204+'2월'!B204+'3월'!B204+'4월'!B204+'5월'!B204+'6월'!B204+'7월'!B204+'8월'!B204+'9월'!B204+'10월'!B204+'11월'!B204+'12월'!B204</f>
        <v>306684701</v>
      </c>
      <c r="C204" s="44">
        <f>'1월'!C204+'2월'!C204+'3월'!C204+'4월'!C204+'5월'!C204+'6월'!C204+'7월'!C204+'8월'!C204+'9월'!C204+'10월'!C204+'11월'!C204+'12월'!C204</f>
        <v>7737499.9999999963</v>
      </c>
      <c r="D204" s="44">
        <f>'1월'!D204+'2월'!D204+'3월'!D204+'4월'!D204+'5월'!D204+'6월'!D204+'7월'!D204+'8월'!D204+'9월'!D204+'10월'!D204+'11월'!D204+'12월'!D204</f>
        <v>11462000</v>
      </c>
      <c r="E204" s="44">
        <f>'1월'!E204+'2월'!E204+'3월'!E204+'4월'!E204+'5월'!E204+'6월'!E204+'7월'!E204+'8월'!E204+'9월'!E204+'10월'!E204+'11월'!E204+'12월'!E204</f>
        <v>287485201</v>
      </c>
      <c r="F204" s="44">
        <f>'1월'!F204+'2월'!F204+'3월'!F204+'4월'!F204+'5월'!F204+'6월'!F204+'7월'!F204+'8월'!F204+'9월'!F204+'10월'!F204+'11월'!F204+'12월'!F204</f>
        <v>242707557.98541918</v>
      </c>
      <c r="G204" s="44">
        <f>'1월'!H204+'2월'!G204+'3월'!G204+'4월'!G204+'5월'!G204+'6월'!G204+'7월'!G204+'8월'!G204+'9월'!G204+'10월'!G204+'11월'!G204+'12월'!G204</f>
        <v>40023906.014580786</v>
      </c>
      <c r="H204" s="44">
        <f>'1월'!J204+'2월'!H204+'3월'!H204+'4월'!H204+'5월'!H204+'6월'!H204+'7월'!H204+'8월'!H204+'9월'!H204+'10월'!H204+'11월'!H204+'12월'!H204</f>
        <v>0</v>
      </c>
      <c r="I204" s="44">
        <f>'1월'!K204+'2월'!I204+'3월'!I204+'4월'!I204+'5월'!I204+'6월'!I204+'7월'!I204+'8월'!I204+'9월'!I204+'10월'!I204+'11월'!I204+'12월'!I204</f>
        <v>0</v>
      </c>
      <c r="J204" s="44">
        <f>'1월'!L204+'2월'!J204+'3월'!J204+'4월'!J204+'5월'!J204+'6월'!J204+'7월'!J204+'8월'!J204+'9월'!J204+'10월'!J204+'11월'!J204+'12월'!J204</f>
        <v>0</v>
      </c>
      <c r="K204" s="44">
        <f>'1월'!M204+'2월'!K204+'3월'!K204+'4월'!K204+'5월'!K204+'6월'!K204+'7월'!K204+'8월'!K204+'9월'!K204+'10월'!K204+'11월'!K204+'12월'!K204</f>
        <v>2184285</v>
      </c>
      <c r="L204" s="44">
        <f>'1월'!N204+'2월'!L204+'3월'!L204+'4월'!L204+'5월'!L204+'6월'!L204+'7월'!L204+'8월'!L204+'9월'!L204+'10월'!L204+'11월'!L204+'12월'!L204</f>
        <v>1745258</v>
      </c>
      <c r="M204" s="44">
        <f>'1월'!O204+'2월'!M204+'3월'!M204+'4월'!M204+'5월'!M204+'6월'!M204+'7월'!M204+'8월'!M204+'9월'!M204+'10월'!M204+'11월'!M204+'12월'!M204</f>
        <v>824194</v>
      </c>
      <c r="O204" s="44">
        <f>IFERROR(VLOOKUP($A204,[1]플랫폼1!$A:$B,2,FALSE),0)</f>
        <v>0</v>
      </c>
      <c r="P204" s="44">
        <f>IFERROR(VLOOKUP($A204,[1]플랫폼2!$A:$M,12,FALSE),0)+IFERROR(VLOOKUP($A204,[1]플랫폼2!$A:$M,13,FALSE),0)</f>
        <v>0</v>
      </c>
      <c r="Q204" s="44">
        <f>IFERROR(VLOOKUP($A204,[1]플랫폼2!$A:$M,7,FALSE),0)+IFERROR(VLOOKUP($A204,[1]플랫폼2!$A:$M,12,FALSE),0)</f>
        <v>0</v>
      </c>
      <c r="R204" s="44">
        <f>IFERROR(VLOOKUP($A204,[1]모바일!$A:$S,17,FALSE),0)</f>
        <v>0</v>
      </c>
      <c r="S204" s="44">
        <f>IFERROR(VLOOKUP($A204,[1]모바일!$A:$S,18,FALSE),0)</f>
        <v>0</v>
      </c>
      <c r="T204" s="43">
        <v>824194</v>
      </c>
      <c r="U204" s="83"/>
    </row>
    <row r="205" spans="1:21" hidden="1" outlineLevel="1" x14ac:dyDescent="0.45">
      <c r="A205" s="29" t="s">
        <v>97</v>
      </c>
      <c r="B205" s="44">
        <f>'1월'!B205+'2월'!B205+'3월'!B205+'4월'!B205+'5월'!B205+'6월'!B205+'7월'!B205+'8월'!B205+'9월'!B205+'10월'!B205+'11월'!B205+'12월'!B205</f>
        <v>860400</v>
      </c>
      <c r="C205" s="44">
        <f>'1월'!C205+'2월'!C205+'3월'!C205+'4월'!C205+'5월'!C205+'6월'!C205+'7월'!C205+'8월'!C205+'9월'!C205+'10월'!C205+'11월'!C205+'12월'!C205</f>
        <v>513000</v>
      </c>
      <c r="D205" s="44">
        <f>'1월'!D205+'2월'!D205+'3월'!D205+'4월'!D205+'5월'!D205+'6월'!D205+'7월'!D205+'8월'!D205+'9월'!D205+'10월'!D205+'11월'!D205+'12월'!D205</f>
        <v>0</v>
      </c>
      <c r="E205" s="44">
        <f>'1월'!E205+'2월'!E205+'3월'!E205+'4월'!E205+'5월'!E205+'6월'!E205+'7월'!E205+'8월'!E205+'9월'!E205+'10월'!E205+'11월'!E205+'12월'!E205</f>
        <v>347400</v>
      </c>
      <c r="F205" s="44">
        <f>'1월'!F205+'2월'!F205+'3월'!F205+'4월'!F205+'5월'!F205+'6월'!F205+'7월'!F205+'8월'!F205+'9월'!F205+'10월'!F205+'11월'!F205+'12월'!F205</f>
        <v>347400</v>
      </c>
      <c r="G205" s="44">
        <f>'1월'!H205+'2월'!G205+'3월'!G205+'4월'!G205+'5월'!G205+'6월'!G205+'7월'!G205+'8월'!G205+'9월'!G205+'10월'!G205+'11월'!G205+'12월'!G205</f>
        <v>0</v>
      </c>
      <c r="H205" s="44">
        <f>'1월'!J205+'2월'!H205+'3월'!H205+'4월'!H205+'5월'!H205+'6월'!H205+'7월'!H205+'8월'!H205+'9월'!H205+'10월'!H205+'11월'!H205+'12월'!H205</f>
        <v>0</v>
      </c>
      <c r="I205" s="44">
        <f>'1월'!K205+'2월'!I205+'3월'!I205+'4월'!I205+'5월'!I205+'6월'!I205+'7월'!I205+'8월'!I205+'9월'!I205+'10월'!I205+'11월'!I205+'12월'!I205</f>
        <v>0</v>
      </c>
      <c r="J205" s="44">
        <f>'1월'!L205+'2월'!J205+'3월'!J205+'4월'!J205+'5월'!J205+'6월'!J205+'7월'!J205+'8월'!J205+'9월'!J205+'10월'!J205+'11월'!J205+'12월'!J205</f>
        <v>0</v>
      </c>
      <c r="K205" s="44">
        <f>'1월'!M205+'2월'!K205+'3월'!K205+'4월'!K205+'5월'!K205+'6월'!K205+'7월'!K205+'8월'!K205+'9월'!K205+'10월'!K205+'11월'!K205+'12월'!K205</f>
        <v>0</v>
      </c>
      <c r="L205" s="44">
        <f>'1월'!N205+'2월'!L205+'3월'!L205+'4월'!L205+'5월'!L205+'6월'!L205+'7월'!L205+'8월'!L205+'9월'!L205+'10월'!L205+'11월'!L205+'12월'!L205</f>
        <v>0</v>
      </c>
      <c r="M205" s="44">
        <f>'1월'!O205+'2월'!M205+'3월'!M205+'4월'!M205+'5월'!M205+'6월'!M205+'7월'!M205+'8월'!M205+'9월'!M205+'10월'!M205+'11월'!M205+'12월'!M205</f>
        <v>0</v>
      </c>
      <c r="O205" s="44">
        <f>IFERROR(VLOOKUP($A205,[1]플랫폼1!$A:$B,2,FALSE),0)</f>
        <v>0</v>
      </c>
      <c r="P205" s="44">
        <f>IFERROR(VLOOKUP($A205,[1]플랫폼2!$A:$M,12,FALSE),0)+IFERROR(VLOOKUP($A205,[1]플랫폼2!$A:$M,13,FALSE),0)</f>
        <v>0</v>
      </c>
      <c r="Q205" s="44">
        <f>IFERROR(VLOOKUP($A205,[1]플랫폼2!$A:$M,7,FALSE),0)+IFERROR(VLOOKUP($A205,[1]플랫폼2!$A:$M,12,FALSE),0)</f>
        <v>0</v>
      </c>
      <c r="R205" s="44">
        <f>IFERROR(VLOOKUP($A205,[1]모바일!$A:$S,17,FALSE),0)</f>
        <v>0</v>
      </c>
      <c r="S205" s="44">
        <f>IFERROR(VLOOKUP($A205,[1]모바일!$A:$S,18,FALSE),0)</f>
        <v>0</v>
      </c>
      <c r="T205" s="43">
        <f>IFERROR(VLOOKUP(A205,[1]플랫폼2!$A:$O,15,0),0)</f>
        <v>0</v>
      </c>
      <c r="U205" s="83"/>
    </row>
    <row r="206" spans="1:21" hidden="1" outlineLevel="1" x14ac:dyDescent="0.45">
      <c r="A206" s="29" t="s">
        <v>98</v>
      </c>
      <c r="B206" s="44">
        <f>'1월'!B206+'2월'!B206+'3월'!B206+'4월'!B206+'5월'!B206+'6월'!B206+'7월'!B206+'8월'!B206+'9월'!B206+'10월'!B206+'11월'!B206+'12월'!B206</f>
        <v>2893526537</v>
      </c>
      <c r="C206" s="44">
        <f>'1월'!C206+'2월'!C206+'3월'!C206+'4월'!C206+'5월'!C206+'6월'!C206+'7월'!C206+'8월'!C206+'9월'!C206+'10월'!C206+'11월'!C206+'12월'!C206</f>
        <v>1331454941</v>
      </c>
      <c r="D206" s="44">
        <f>'1월'!D206+'2월'!D206+'3월'!D206+'4월'!D206+'5월'!D206+'6월'!D206+'7월'!D206+'8월'!D206+'9월'!D206+'10월'!D206+'11월'!D206+'12월'!D206</f>
        <v>75990000</v>
      </c>
      <c r="E206" s="44">
        <f>'1월'!E206+'2월'!E206+'3월'!E206+'4월'!E206+'5월'!E206+'6월'!E206+'7월'!E206+'8월'!E206+'9월'!E206+'10월'!E206+'11월'!E206+'12월'!E206</f>
        <v>1486081596</v>
      </c>
      <c r="F206" s="44">
        <f>'1월'!F206+'2월'!F206+'3월'!F206+'4월'!F206+'5월'!F206+'6월'!F206+'7월'!F206+'8월'!F206+'9월'!F206+'10월'!F206+'11월'!F206+'12월'!F206</f>
        <v>270498765</v>
      </c>
      <c r="G206" s="44">
        <f>'1월'!H206+'2월'!G206+'3월'!G206+'4월'!G206+'5월'!G206+'6월'!G206+'7월'!G206+'8월'!G206+'9월'!G206+'10월'!G206+'11월'!G206+'12월'!G206</f>
        <v>1038142000</v>
      </c>
      <c r="H206" s="44">
        <f>'1월'!J206+'2월'!H206+'3월'!H206+'4월'!H206+'5월'!H206+'6월'!H206+'7월'!H206+'8월'!H206+'9월'!H206+'10월'!H206+'11월'!H206+'12월'!H206</f>
        <v>0</v>
      </c>
      <c r="I206" s="44">
        <f>'1월'!K206+'2월'!I206+'3월'!I206+'4월'!I206+'5월'!I206+'6월'!I206+'7월'!I206+'8월'!I206+'9월'!I206+'10월'!I206+'11월'!I206+'12월'!I206</f>
        <v>0</v>
      </c>
      <c r="J206" s="44">
        <f>'1월'!L206+'2월'!J206+'3월'!J206+'4월'!J206+'5월'!J206+'6월'!J206+'7월'!J206+'8월'!J206+'9월'!J206+'10월'!J206+'11월'!J206+'12월'!J206</f>
        <v>0</v>
      </c>
      <c r="K206" s="44">
        <f>'1월'!M206+'2월'!K206+'3월'!K206+'4월'!K206+'5월'!K206+'6월'!K206+'7월'!K206+'8월'!K206+'9월'!K206+'10월'!K206+'11월'!K206+'12월'!K206</f>
        <v>40038831</v>
      </c>
      <c r="L206" s="44">
        <f>'1월'!N206+'2월'!L206+'3월'!L206+'4월'!L206+'5월'!L206+'6월'!L206+'7월'!L206+'8월'!L206+'9월'!L206+'10월'!L206+'11월'!L206+'12월'!L206</f>
        <v>39430000</v>
      </c>
      <c r="M206" s="44">
        <f>'1월'!O206+'2월'!M206+'3월'!M206+'4월'!M206+'5월'!M206+'6월'!M206+'7월'!M206+'8월'!M206+'9월'!M206+'10월'!M206+'11월'!M206+'12월'!M206</f>
        <v>97972000</v>
      </c>
      <c r="O206" s="44">
        <f>IFERROR(VLOOKUP($A206,[1]플랫폼1!$A:$B,2,FALSE),0)</f>
        <v>0</v>
      </c>
      <c r="P206" s="44">
        <f>IFERROR(VLOOKUP($A206,[1]플랫폼2!$A:$M,12,FALSE),0)+IFERROR(VLOOKUP($A206,[1]플랫폼2!$A:$M,13,FALSE),0)</f>
        <v>550000</v>
      </c>
      <c r="Q206" s="44">
        <f>IFERROR(VLOOKUP($A206,[1]플랫폼2!$A:$M,7,FALSE),0)+IFERROR(VLOOKUP($A206,[1]플랫폼2!$A:$M,12,FALSE),0)</f>
        <v>550000</v>
      </c>
      <c r="R206" s="44">
        <f>IFERROR(VLOOKUP($A206,[1]모바일!$A:$S,17,FALSE),0)</f>
        <v>8072666.666666667</v>
      </c>
      <c r="S206" s="44">
        <f>IFERROR(VLOOKUP($A206,[1]모바일!$A:$S,18,FALSE),0)</f>
        <v>8072666.666666667</v>
      </c>
      <c r="T206" s="43">
        <f>IFERROR(VLOOKUP(A206,[1]플랫폼2!$A:$O,15,0),0)</f>
        <v>80726666.666666672</v>
      </c>
      <c r="U206" s="83"/>
    </row>
    <row r="207" spans="1:21" hidden="1" outlineLevel="1" x14ac:dyDescent="0.45">
      <c r="A207" s="29" t="s">
        <v>99</v>
      </c>
      <c r="B207" s="44">
        <f>'1월'!B207+'2월'!B207+'3월'!B207+'4월'!B207+'5월'!B207+'6월'!B207+'7월'!B207+'8월'!B207+'9월'!B207+'10월'!B207+'11월'!B207+'12월'!B207</f>
        <v>3272683111</v>
      </c>
      <c r="C207" s="44">
        <f>'1월'!C207+'2월'!C207+'3월'!C207+'4월'!C207+'5월'!C207+'6월'!C207+'7월'!C207+'8월'!C207+'9월'!C207+'10월'!C207+'11월'!C207+'12월'!C207</f>
        <v>1036766668</v>
      </c>
      <c r="D207" s="44">
        <f>'1월'!D207+'2월'!D207+'3월'!D207+'4월'!D207+'5월'!D207+'6월'!D207+'7월'!D207+'8월'!D207+'9월'!D207+'10월'!D207+'11월'!D207+'12월'!D207</f>
        <v>1182948</v>
      </c>
      <c r="E207" s="44">
        <f>'1월'!E207+'2월'!E207+'3월'!E207+'4월'!E207+'5월'!E207+'6월'!E207+'7월'!E207+'8월'!E207+'9월'!E207+'10월'!E207+'11월'!E207+'12월'!E207</f>
        <v>2234733495</v>
      </c>
      <c r="F207" s="44">
        <f>'1월'!F207+'2월'!F207+'3월'!F207+'4월'!F207+'5월'!F207+'6월'!F207+'7월'!F207+'8월'!F207+'9월'!F207+'10월'!F207+'11월'!F207+'12월'!F207</f>
        <v>463547133.53356546</v>
      </c>
      <c r="G207" s="44">
        <f>'1월'!H207+'2월'!G207+'3월'!G207+'4월'!G207+'5월'!G207+'6월'!G207+'7월'!G207+'8월'!G207+'9월'!G207+'10월'!G207+'11월'!G207+'12월'!G207</f>
        <v>60329284.466434486</v>
      </c>
      <c r="H207" s="44">
        <f>'1월'!J207+'2월'!H207+'3월'!H207+'4월'!H207+'5월'!H207+'6월'!H207+'7월'!H207+'8월'!H207+'9월'!H207+'10월'!H207+'11월'!H207+'12월'!H207</f>
        <v>1389814098</v>
      </c>
      <c r="I207" s="44">
        <f>'1월'!K207+'2월'!I207+'3월'!I207+'4월'!I207+'5월'!I207+'6월'!I207+'7월'!I207+'8월'!I207+'9월'!I207+'10월'!I207+'11월'!I207+'12월'!I207</f>
        <v>0</v>
      </c>
      <c r="J207" s="44">
        <f>'1월'!L207+'2월'!J207+'3월'!J207+'4월'!J207+'5월'!J207+'6월'!J207+'7월'!J207+'8월'!J207+'9월'!J207+'10월'!J207+'11월'!J207+'12월'!J207</f>
        <v>4700000</v>
      </c>
      <c r="K207" s="44">
        <f>'1월'!M207+'2월'!K207+'3월'!K207+'4월'!K207+'5월'!K207+'6월'!K207+'7월'!K207+'8월'!K207+'9월'!K207+'10월'!K207+'11월'!K207+'12월'!K207</f>
        <v>18721609</v>
      </c>
      <c r="L207" s="44">
        <f>'1월'!N207+'2월'!L207+'3월'!L207+'4월'!L207+'5월'!L207+'6월'!L207+'7월'!L207+'8월'!L207+'9월'!L207+'10월'!L207+'11월'!L207+'12월'!L207</f>
        <v>1415884</v>
      </c>
      <c r="M207" s="44">
        <f>'1월'!O207+'2월'!M207+'3월'!M207+'4월'!M207+'5월'!M207+'6월'!M207+'7월'!M207+'8월'!M207+'9월'!M207+'10월'!M207+'11월'!M207+'12월'!M207</f>
        <v>296205486</v>
      </c>
      <c r="O207" s="44">
        <f>IFERROR(VLOOKUP($A207,[1]플랫폼1!$A:$B,2,FALSE),0)</f>
        <v>160000</v>
      </c>
      <c r="P207" s="44">
        <f>IFERROR(VLOOKUP($A207,[1]플랫폼2!$A:$M,12,FALSE),0)+IFERROR(VLOOKUP($A207,[1]플랫폼2!$A:$M,13,FALSE),0)</f>
        <v>294216710.5</v>
      </c>
      <c r="Q207" s="44">
        <f>IFERROR(VLOOKUP($A207,[1]플랫폼2!$A:$M,7,FALSE),0)+IFERROR(VLOOKUP($A207,[1]플랫폼2!$A:$M,12,FALSE),0)</f>
        <v>714675.5</v>
      </c>
      <c r="R207" s="44">
        <f>IFERROR(VLOOKUP($A207,[1]모바일!$A:$S,17,FALSE),0)</f>
        <v>7500</v>
      </c>
      <c r="S207" s="44">
        <f>IFERROR(VLOOKUP($A207,[1]모바일!$A:$S,18,FALSE),0)</f>
        <v>807500</v>
      </c>
      <c r="T207" s="43">
        <f>IFERROR(VLOOKUP(A207,[1]플랫폼2!$A:$O,15,0),0)</f>
        <v>299100</v>
      </c>
      <c r="U207" s="83"/>
    </row>
    <row r="208" spans="1:21" hidden="1" outlineLevel="1" x14ac:dyDescent="0.45">
      <c r="A208" s="29" t="s">
        <v>155</v>
      </c>
      <c r="B208" s="44">
        <f>'1월'!B208+'2월'!B208+'3월'!B208+'4월'!B208+'5월'!B208+'6월'!B208+'7월'!B208+'8월'!B208+'9월'!B208+'10월'!B208+'11월'!B208+'12월'!B208</f>
        <v>106500033</v>
      </c>
      <c r="C208" s="44">
        <f>'1월'!C208+'2월'!C208+'3월'!C208+'4월'!C208+'5월'!C208+'6월'!C208+'7월'!C208+'8월'!C208+'9월'!C208+'10월'!C208+'11월'!C208+'12월'!C208</f>
        <v>106500033</v>
      </c>
      <c r="D208" s="44">
        <f>'1월'!D208+'2월'!D208+'3월'!D208+'4월'!D208+'5월'!D208+'6월'!D208+'7월'!D208+'8월'!D208+'9월'!D208+'10월'!D208+'11월'!D208+'12월'!D208</f>
        <v>0</v>
      </c>
      <c r="E208" s="44">
        <f>'1월'!E208+'2월'!E208+'3월'!E208+'4월'!E208+'5월'!E208+'6월'!E208+'7월'!E208+'8월'!E208+'9월'!E208+'10월'!E208+'11월'!E208+'12월'!E208</f>
        <v>0</v>
      </c>
      <c r="F208" s="44">
        <f>'1월'!F208+'2월'!F208+'3월'!F208+'4월'!F208+'5월'!F208+'6월'!F208+'7월'!F208+'8월'!F208+'9월'!F208+'10월'!F208+'11월'!F208+'12월'!F208</f>
        <v>0</v>
      </c>
      <c r="G208" s="44">
        <f>'1월'!H208+'2월'!G208+'3월'!G208+'4월'!G208+'5월'!G208+'6월'!G208+'7월'!G208+'8월'!G208+'9월'!G208+'10월'!G208+'11월'!G208+'12월'!G208</f>
        <v>0</v>
      </c>
      <c r="H208" s="44">
        <f>'1월'!J208+'2월'!H208+'3월'!H208+'4월'!H208+'5월'!H208+'6월'!H208+'7월'!H208+'8월'!H208+'9월'!H208+'10월'!H208+'11월'!H208+'12월'!H208</f>
        <v>0</v>
      </c>
      <c r="I208" s="44">
        <f>'1월'!K208+'2월'!I208+'3월'!I208+'4월'!I208+'5월'!I208+'6월'!I208+'7월'!I208+'8월'!I208+'9월'!I208+'10월'!I208+'11월'!I208+'12월'!I208</f>
        <v>0</v>
      </c>
      <c r="J208" s="44">
        <f>'1월'!L208+'2월'!J208+'3월'!J208+'4월'!J208+'5월'!J208+'6월'!J208+'7월'!J208+'8월'!J208+'9월'!J208+'10월'!J208+'11월'!J208+'12월'!J208</f>
        <v>0</v>
      </c>
      <c r="K208" s="44">
        <f>'1월'!M208+'2월'!K208+'3월'!K208+'4월'!K208+'5월'!K208+'6월'!K208+'7월'!K208+'8월'!K208+'9월'!K208+'10월'!K208+'11월'!K208+'12월'!K208</f>
        <v>0</v>
      </c>
      <c r="L208" s="44">
        <f>'1월'!N208+'2월'!L208+'3월'!L208+'4월'!L208+'5월'!L208+'6월'!L208+'7월'!L208+'8월'!L208+'9월'!L208+'10월'!L208+'11월'!L208+'12월'!L208</f>
        <v>0</v>
      </c>
      <c r="M208" s="44">
        <f>'1월'!O208+'2월'!M208+'3월'!M208+'4월'!M208+'5월'!M208+'6월'!M208+'7월'!M208+'8월'!M208+'9월'!M208+'10월'!M208+'11월'!M208+'12월'!M208</f>
        <v>0</v>
      </c>
      <c r="O208" s="44">
        <f>IFERROR(VLOOKUP($A208,[1]플랫폼1!$A:$B,2,FALSE),0)</f>
        <v>0</v>
      </c>
      <c r="P208" s="44">
        <f>IFERROR(VLOOKUP($A208,[1]플랫폼2!$A:$M,12,FALSE),0)+IFERROR(VLOOKUP($A208,[1]플랫폼2!$A:$M,13,FALSE),0)</f>
        <v>0</v>
      </c>
      <c r="Q208" s="44">
        <f>IFERROR(VLOOKUP($A208,[1]플랫폼2!$A:$M,7,FALSE),0)+IFERROR(VLOOKUP($A208,[1]플랫폼2!$A:$M,12,FALSE),0)</f>
        <v>0</v>
      </c>
      <c r="R208" s="44">
        <f>IFERROR(VLOOKUP($A208,[1]모바일!$A:$S,17,FALSE),0)</f>
        <v>0</v>
      </c>
      <c r="S208" s="44">
        <f>IFERROR(VLOOKUP($A208,[1]모바일!$A:$S,18,FALSE),0)</f>
        <v>0</v>
      </c>
      <c r="T208" s="43">
        <f>IFERROR(VLOOKUP(A208,[1]플랫폼2!$A:$O,15,0),0)</f>
        <v>0</v>
      </c>
      <c r="U208" s="83"/>
    </row>
    <row r="209" spans="1:21" hidden="1" outlineLevel="1" x14ac:dyDescent="0.45">
      <c r="A209" s="29" t="s">
        <v>100</v>
      </c>
      <c r="B209" s="44">
        <f>'1월'!B209+'2월'!B209+'3월'!B209+'4월'!B209+'5월'!B209+'6월'!B209+'7월'!B209+'8월'!B209+'9월'!B209+'10월'!B209+'11월'!B209+'12월'!B209</f>
        <v>2732402318</v>
      </c>
      <c r="C209" s="44">
        <f>'1월'!C209+'2월'!C209+'3월'!C209+'4월'!C209+'5월'!C209+'6월'!C209+'7월'!C209+'8월'!C209+'9월'!C209+'10월'!C209+'11월'!C209+'12월'!C209</f>
        <v>-354576199</v>
      </c>
      <c r="D209" s="44">
        <f>'1월'!D209+'2월'!D209+'3월'!D209+'4월'!D209+'5월'!D209+'6월'!D209+'7월'!D209+'8월'!D209+'9월'!D209+'10월'!D209+'11월'!D209+'12월'!D209</f>
        <v>1199302020</v>
      </c>
      <c r="E209" s="44">
        <f>'1월'!E209+'2월'!E209+'3월'!E209+'4월'!E209+'5월'!E209+'6월'!E209+'7월'!E209+'8월'!E209+'9월'!E209+'10월'!E209+'11월'!E209+'12월'!E209</f>
        <v>1887676497</v>
      </c>
      <c r="F209" s="44">
        <f>'1월'!F209+'2월'!F209+'3월'!F209+'4월'!F209+'5월'!F209+'6월'!F209+'7월'!F209+'8월'!F209+'9월'!F209+'10월'!F209+'11월'!F209+'12월'!F209</f>
        <v>875391778.32398224</v>
      </c>
      <c r="G209" s="44">
        <f>'1월'!H209+'2월'!G209+'3월'!G209+'4월'!G209+'5월'!G209+'6월'!G209+'7월'!G209+'8월'!G209+'9월'!G209+'10월'!G209+'11월'!G209+'12월'!G209</f>
        <v>34259680.676017709</v>
      </c>
      <c r="H209" s="44">
        <f>'1월'!J209+'2월'!H209+'3월'!H209+'4월'!H209+'5월'!H209+'6월'!H209+'7월'!H209+'8월'!H209+'9월'!H209+'10월'!H209+'11월'!H209+'12월'!H209</f>
        <v>867132277</v>
      </c>
      <c r="I209" s="44">
        <f>'1월'!K209+'2월'!I209+'3월'!I209+'4월'!I209+'5월'!I209+'6월'!I209+'7월'!I209+'8월'!I209+'9월'!I209+'10월'!I209+'11월'!I209+'12월'!I209</f>
        <v>20934421.300000001</v>
      </c>
      <c r="J209" s="44">
        <f>'1월'!L209+'2월'!J209+'3월'!J209+'4월'!J209+'5월'!J209+'6월'!J209+'7월'!J209+'8월'!J209+'9월'!J209+'10월'!J209+'11월'!J209+'12월'!J209</f>
        <v>17991379.699999999</v>
      </c>
      <c r="K209" s="44">
        <f>'1월'!M209+'2월'!K209+'3월'!K209+'4월'!K209+'5월'!K209+'6월'!K209+'7월'!K209+'8월'!K209+'9월'!K209+'10월'!K209+'11월'!K209+'12월'!K209</f>
        <v>55249230</v>
      </c>
      <c r="L209" s="44">
        <f>'1월'!N209+'2월'!L209+'3월'!L209+'4월'!L209+'5월'!L209+'6월'!L209+'7월'!L209+'8월'!L209+'9월'!L209+'10월'!L209+'11월'!L209+'12월'!L209</f>
        <v>0</v>
      </c>
      <c r="M209" s="44">
        <f>'1월'!O209+'2월'!M209+'3월'!M209+'4월'!M209+'5월'!M209+'6월'!M209+'7월'!M209+'8월'!M209+'9월'!M209+'10월'!M209+'11월'!M209+'12월'!M209</f>
        <v>16717730</v>
      </c>
      <c r="O209" s="44">
        <f>IFERROR(VLOOKUP($A209,[1]플랫폼1!$A:$B,2,FALSE),0)</f>
        <v>0</v>
      </c>
      <c r="P209" s="44">
        <f>IFERROR(VLOOKUP($A209,[1]플랫폼2!$A:$M,12,FALSE),0)+IFERROR(VLOOKUP($A209,[1]플랫폼2!$A:$M,13,FALSE),0)</f>
        <v>8358865</v>
      </c>
      <c r="Q209" s="44">
        <f>IFERROR(VLOOKUP($A209,[1]플랫폼2!$A:$M,7,FALSE),0)+IFERROR(VLOOKUP($A209,[1]플랫폼2!$A:$M,12,FALSE),0)</f>
        <v>8358865</v>
      </c>
      <c r="R209" s="44">
        <f>IFERROR(VLOOKUP($A209,[1]모바일!$A:$S,17,FALSE),0)</f>
        <v>0</v>
      </c>
      <c r="S209" s="44">
        <f>IFERROR(VLOOKUP($A209,[1]모바일!$A:$S,18,FALSE),0)</f>
        <v>0</v>
      </c>
      <c r="T209" s="43">
        <f>IFERROR(VLOOKUP(A209,[1]플랫폼2!$A:$O,15,0),0)</f>
        <v>0</v>
      </c>
      <c r="U209" s="83"/>
    </row>
    <row r="210" spans="1:21" hidden="1" outlineLevel="1" x14ac:dyDescent="0.45">
      <c r="A210" s="24" t="s">
        <v>212</v>
      </c>
      <c r="B210" s="45">
        <f>'1월'!B210+'2월'!B210+'3월'!B210+'4월'!B210+'5월'!B210+'6월'!B210+'7월'!B210+'8월'!B210+'9월'!B210+'10월'!B210+'11월'!B210+'12월'!B210</f>
        <v>0</v>
      </c>
      <c r="C210" s="45">
        <f>'1월'!C210+'2월'!C210+'3월'!C210+'4월'!C210+'5월'!C210+'6월'!C210+'7월'!C210+'8월'!C210+'9월'!C210+'10월'!C210+'11월'!C210+'12월'!C210</f>
        <v>0</v>
      </c>
      <c r="D210" s="45">
        <f>'1월'!D210+'2월'!D210+'3월'!D210+'4월'!D210+'5월'!D210+'6월'!D210+'7월'!D210+'8월'!D210+'9월'!D210+'10월'!D210+'11월'!D210+'12월'!D210</f>
        <v>0</v>
      </c>
      <c r="E210" s="45">
        <f>'1월'!E210+'2월'!E210+'3월'!E210+'4월'!E210+'5월'!E210+'6월'!E210+'7월'!E210+'8월'!E210+'9월'!E210+'10월'!E210+'11월'!E210+'12월'!E210</f>
        <v>0</v>
      </c>
      <c r="F210" s="45">
        <f>'1월'!F210+'2월'!F210+'3월'!F210+'4월'!F210+'5월'!F210+'6월'!F210+'7월'!F210+'8월'!F210+'9월'!F210+'10월'!F210+'11월'!F210+'12월'!F210</f>
        <v>0</v>
      </c>
      <c r="G210" s="45">
        <f>'1월'!H210+'2월'!G210+'3월'!G210+'4월'!G210+'5월'!G210+'6월'!G210+'7월'!G210+'8월'!G210+'9월'!G210+'10월'!G210+'11월'!G210+'12월'!G210</f>
        <v>0</v>
      </c>
      <c r="H210" s="45">
        <f>'1월'!J210+'2월'!H210+'3월'!H210+'4월'!H210+'5월'!H210+'6월'!H210+'7월'!H210+'8월'!H210+'9월'!H210+'10월'!H210+'11월'!H210+'12월'!H210</f>
        <v>0</v>
      </c>
      <c r="I210" s="45">
        <f>'1월'!K210+'2월'!I210+'3월'!I210+'4월'!I210+'5월'!I210+'6월'!I210+'7월'!I210+'8월'!I210+'9월'!I210+'10월'!I210+'11월'!I210+'12월'!I210</f>
        <v>0</v>
      </c>
      <c r="J210" s="45">
        <f>'1월'!L210+'2월'!J210+'3월'!J210+'4월'!J210+'5월'!J210+'6월'!J210+'7월'!J210+'8월'!J210+'9월'!J210+'10월'!J210+'11월'!J210+'12월'!J210</f>
        <v>0</v>
      </c>
      <c r="K210" s="45">
        <f>'1월'!M210+'2월'!K210+'3월'!K210+'4월'!K210+'5월'!K210+'6월'!K210+'7월'!K210+'8월'!K210+'9월'!K210+'10월'!K210+'11월'!K210+'12월'!K210</f>
        <v>0</v>
      </c>
      <c r="L210" s="45">
        <f>'1월'!N210+'2월'!L210+'3월'!L210+'4월'!L210+'5월'!L210+'6월'!L210+'7월'!L210+'8월'!L210+'9월'!L210+'10월'!L210+'11월'!L210+'12월'!L210</f>
        <v>0</v>
      </c>
      <c r="M210" s="45">
        <f>'1월'!O210+'2월'!M210+'3월'!M210+'4월'!M210+'5월'!M210+'6월'!M210+'7월'!M210+'8월'!M210+'9월'!M210+'10월'!M210+'11월'!M210+'12월'!M210</f>
        <v>0</v>
      </c>
      <c r="O210" s="45">
        <f>IFERROR(VLOOKUP($A210,[1]플랫폼1!$A:$B,2,FALSE),0)</f>
        <v>0</v>
      </c>
      <c r="P210" s="45">
        <f>IFERROR(VLOOKUP($A210,[1]플랫폼2!$A:$M,12,FALSE),0)+IFERROR(VLOOKUP($A210,[1]플랫폼2!$A:$M,13,FALSE),0)</f>
        <v>0</v>
      </c>
      <c r="Q210" s="45">
        <f>IFERROR(VLOOKUP($A210,[1]플랫폼2!$A:$M,7,FALSE),0)+IFERROR(VLOOKUP($A210,[1]플랫폼2!$A:$M,12,FALSE),0)</f>
        <v>0</v>
      </c>
      <c r="R210" s="45">
        <f>IFERROR(VLOOKUP($A210,[1]모바일!$A:$S,17,FALSE),0)</f>
        <v>0</v>
      </c>
      <c r="S210" s="45">
        <f>IFERROR(VLOOKUP($A210,[1]모바일!$A:$S,18,FALSE),0)</f>
        <v>0</v>
      </c>
      <c r="T210" s="54">
        <f>IFERROR(VLOOKUP(A210,[1]플랫폼2!$A:$O,15,0),0)</f>
        <v>0</v>
      </c>
      <c r="U210" s="83"/>
    </row>
    <row r="211" spans="1:21" hidden="1" outlineLevel="1" x14ac:dyDescent="0.45">
      <c r="A211" s="29" t="s">
        <v>213</v>
      </c>
      <c r="B211" s="44">
        <f>'1월'!B211+'2월'!B211+'3월'!B211+'4월'!B211+'5월'!B211+'6월'!B211+'7월'!B211+'8월'!B211+'9월'!B211+'10월'!B211+'11월'!B211+'12월'!B211</f>
        <v>0</v>
      </c>
      <c r="C211" s="44">
        <f>'1월'!C211+'2월'!C211+'3월'!C211+'4월'!C211+'5월'!C211+'6월'!C211+'7월'!C211+'8월'!C211+'9월'!C211+'10월'!C211+'11월'!C211+'12월'!C211</f>
        <v>0</v>
      </c>
      <c r="D211" s="44">
        <f>'1월'!D211+'2월'!D211+'3월'!D211+'4월'!D211+'5월'!D211+'6월'!D211+'7월'!D211+'8월'!D211+'9월'!D211+'10월'!D211+'11월'!D211+'12월'!D211</f>
        <v>0</v>
      </c>
      <c r="E211" s="44">
        <f>'1월'!E211+'2월'!E211+'3월'!E211+'4월'!E211+'5월'!E211+'6월'!E211+'7월'!E211+'8월'!E211+'9월'!E211+'10월'!E211+'11월'!E211+'12월'!E211</f>
        <v>0</v>
      </c>
      <c r="F211" s="44">
        <f>'1월'!F211+'2월'!F211+'3월'!F211+'4월'!F211+'5월'!F211+'6월'!F211+'7월'!F211+'8월'!F211+'9월'!F211+'10월'!F211+'11월'!F211+'12월'!F211</f>
        <v>0</v>
      </c>
      <c r="G211" s="44">
        <f>'1월'!H211+'2월'!G211+'3월'!G211+'4월'!G211+'5월'!G211+'6월'!G211+'7월'!G211+'8월'!G211+'9월'!G211+'10월'!G211+'11월'!G211+'12월'!G211</f>
        <v>0</v>
      </c>
      <c r="H211" s="44">
        <f>'1월'!J211+'2월'!H211+'3월'!H211+'4월'!H211+'5월'!H211+'6월'!H211+'7월'!H211+'8월'!H211+'9월'!H211+'10월'!H211+'11월'!H211+'12월'!H211</f>
        <v>0</v>
      </c>
      <c r="I211" s="44">
        <f>'1월'!K211+'2월'!I211+'3월'!I211+'4월'!I211+'5월'!I211+'6월'!I211+'7월'!I211+'8월'!I211+'9월'!I211+'10월'!I211+'11월'!I211+'12월'!I211</f>
        <v>0</v>
      </c>
      <c r="J211" s="44">
        <f>'1월'!L211+'2월'!J211+'3월'!J211+'4월'!J211+'5월'!J211+'6월'!J211+'7월'!J211+'8월'!J211+'9월'!J211+'10월'!J211+'11월'!J211+'12월'!J211</f>
        <v>0</v>
      </c>
      <c r="K211" s="44">
        <f>'1월'!M211+'2월'!K211+'3월'!K211+'4월'!K211+'5월'!K211+'6월'!K211+'7월'!K211+'8월'!K211+'9월'!K211+'10월'!K211+'11월'!K211+'12월'!K211</f>
        <v>0</v>
      </c>
      <c r="L211" s="44">
        <f>'1월'!N211+'2월'!L211+'3월'!L211+'4월'!L211+'5월'!L211+'6월'!L211+'7월'!L211+'8월'!L211+'9월'!L211+'10월'!L211+'11월'!L211+'12월'!L211</f>
        <v>0</v>
      </c>
      <c r="M211" s="44">
        <f>'1월'!O211+'2월'!M211+'3월'!M211+'4월'!M211+'5월'!M211+'6월'!M211+'7월'!M211+'8월'!M211+'9월'!M211+'10월'!M211+'11월'!M211+'12월'!M211</f>
        <v>0</v>
      </c>
      <c r="O211" s="44">
        <f>IFERROR(VLOOKUP($A211,[1]플랫폼1!$A:$B,2,FALSE),0)</f>
        <v>0</v>
      </c>
      <c r="P211" s="44">
        <f>IFERROR(VLOOKUP($A211,[1]플랫폼2!$A:$M,12,FALSE),0)+IFERROR(VLOOKUP($A211,[1]플랫폼2!$A:$M,13,FALSE),0)</f>
        <v>0</v>
      </c>
      <c r="Q211" s="44">
        <f>IFERROR(VLOOKUP($A211,[1]플랫폼2!$A:$M,7,FALSE),0)+IFERROR(VLOOKUP($A211,[1]플랫폼2!$A:$M,12,FALSE),0)</f>
        <v>0</v>
      </c>
      <c r="R211" s="44">
        <f>IFERROR(VLOOKUP($A211,[1]모바일!$A:$S,17,FALSE),0)</f>
        <v>0</v>
      </c>
      <c r="S211" s="44">
        <f>IFERROR(VLOOKUP($A211,[1]모바일!$A:$S,18,FALSE),0)</f>
        <v>0</v>
      </c>
      <c r="T211" s="43">
        <f>IFERROR(VLOOKUP(A211,[1]플랫폼2!$A:$O,15,0),0)</f>
        <v>0</v>
      </c>
      <c r="U211" s="83"/>
    </row>
    <row r="212" spans="1:21" hidden="1" outlineLevel="1" x14ac:dyDescent="0.45">
      <c r="A212" s="24" t="s">
        <v>214</v>
      </c>
      <c r="B212" s="45">
        <f>'1월'!B212+'2월'!B212+'3월'!B212+'4월'!B212+'5월'!B212+'6월'!B212+'7월'!B212+'8월'!B212+'9월'!B212+'10월'!B212+'11월'!B212+'12월'!B212</f>
        <v>349091</v>
      </c>
      <c r="C212" s="45">
        <f>'1월'!C212+'2월'!C212+'3월'!C212+'4월'!C212+'5월'!C212+'6월'!C212+'7월'!C212+'8월'!C212+'9월'!C212+'10월'!C212+'11월'!C212+'12월'!C212</f>
        <v>0</v>
      </c>
      <c r="D212" s="45">
        <f>'1월'!D212+'2월'!D212+'3월'!D212+'4월'!D212+'5월'!D212+'6월'!D212+'7월'!D212+'8월'!D212+'9월'!D212+'10월'!D212+'11월'!D212+'12월'!D212</f>
        <v>0</v>
      </c>
      <c r="E212" s="45">
        <f>'1월'!E212+'2월'!E212+'3월'!E212+'4월'!E212+'5월'!E212+'6월'!E212+'7월'!E212+'8월'!E212+'9월'!E212+'10월'!E212+'11월'!E212+'12월'!E212</f>
        <v>349091</v>
      </c>
      <c r="F212" s="45">
        <f>'1월'!F212+'2월'!F212+'3월'!F212+'4월'!F212+'5월'!F212+'6월'!F212+'7월'!F212+'8월'!F212+'9월'!F212+'10월'!F212+'11월'!F212+'12월'!F212</f>
        <v>0</v>
      </c>
      <c r="G212" s="45">
        <f>'1월'!H212+'2월'!G212+'3월'!G212+'4월'!G212+'5월'!G212+'6월'!G212+'7월'!G212+'8월'!G212+'9월'!G212+'10월'!G212+'11월'!G212+'12월'!G212</f>
        <v>0</v>
      </c>
      <c r="H212" s="45">
        <f>'1월'!J212+'2월'!H212+'3월'!H212+'4월'!H212+'5월'!H212+'6월'!H212+'7월'!H212+'8월'!H212+'9월'!H212+'10월'!H212+'11월'!H212+'12월'!H212</f>
        <v>349091</v>
      </c>
      <c r="I212" s="45">
        <f>'1월'!K212+'2월'!I212+'3월'!I212+'4월'!I212+'5월'!I212+'6월'!I212+'7월'!I212+'8월'!I212+'9월'!I212+'10월'!I212+'11월'!I212+'12월'!I212</f>
        <v>0</v>
      </c>
      <c r="J212" s="45">
        <f>'1월'!L212+'2월'!J212+'3월'!J212+'4월'!J212+'5월'!J212+'6월'!J212+'7월'!J212+'8월'!J212+'9월'!J212+'10월'!J212+'11월'!J212+'12월'!J212</f>
        <v>0</v>
      </c>
      <c r="K212" s="45">
        <f>'1월'!M212+'2월'!K212+'3월'!K212+'4월'!K212+'5월'!K212+'6월'!K212+'7월'!K212+'8월'!K212+'9월'!K212+'10월'!K212+'11월'!K212+'12월'!K212</f>
        <v>0</v>
      </c>
      <c r="L212" s="45">
        <f>'1월'!N212+'2월'!L212+'3월'!L212+'4월'!L212+'5월'!L212+'6월'!L212+'7월'!L212+'8월'!L212+'9월'!L212+'10월'!L212+'11월'!L212+'12월'!L212</f>
        <v>0</v>
      </c>
      <c r="M212" s="45">
        <f>'1월'!O212+'2월'!M212+'3월'!M212+'4월'!M212+'5월'!M212+'6월'!M212+'7월'!M212+'8월'!M212+'9월'!M212+'10월'!M212+'11월'!M212+'12월'!M212</f>
        <v>0</v>
      </c>
      <c r="O212" s="45">
        <f>IFERROR(VLOOKUP($A212,[1]플랫폼1!$A:$B,2,FALSE),0)</f>
        <v>0</v>
      </c>
      <c r="P212" s="45">
        <f>IFERROR(VLOOKUP($A212,[1]플랫폼2!$A:$M,12,FALSE),0)+IFERROR(VLOOKUP($A212,[1]플랫폼2!$A:$M,13,FALSE),0)</f>
        <v>0</v>
      </c>
      <c r="Q212" s="45">
        <f>IFERROR(VLOOKUP($A212,[1]플랫폼2!$A:$M,7,FALSE),0)+IFERROR(VLOOKUP($A212,[1]플랫폼2!$A:$M,12,FALSE),0)</f>
        <v>0</v>
      </c>
      <c r="R212" s="45">
        <f>IFERROR(VLOOKUP($A212,[1]모바일!$A:$S,17,FALSE),0)</f>
        <v>0</v>
      </c>
      <c r="S212" s="45">
        <f>IFERROR(VLOOKUP($A212,[1]모바일!$A:$S,18,FALSE),0)</f>
        <v>0</v>
      </c>
      <c r="T212" s="54">
        <f>IFERROR(VLOOKUP(A212,[1]플랫폼2!$A:$O,15,0),0)</f>
        <v>0</v>
      </c>
      <c r="U212" s="83"/>
    </row>
    <row r="213" spans="1:21" hidden="1" outlineLevel="1" x14ac:dyDescent="0.45">
      <c r="A213" s="29" t="s">
        <v>215</v>
      </c>
      <c r="B213" s="44">
        <f>'1월'!B213+'2월'!B213+'3월'!B213+'4월'!B213+'5월'!B213+'6월'!B213+'7월'!B213+'8월'!B213+'9월'!B213+'10월'!B213+'11월'!B213+'12월'!B213</f>
        <v>2517800</v>
      </c>
      <c r="C213" s="44">
        <f>'1월'!C213+'2월'!C213+'3월'!C213+'4월'!C213+'5월'!C213+'6월'!C213+'7월'!C213+'8월'!C213+'9월'!C213+'10월'!C213+'11월'!C213+'12월'!C213</f>
        <v>2517800</v>
      </c>
      <c r="D213" s="44">
        <f>'1월'!D213+'2월'!D213+'3월'!D213+'4월'!D213+'5월'!D213+'6월'!D213+'7월'!D213+'8월'!D213+'9월'!D213+'10월'!D213+'11월'!D213+'12월'!D213</f>
        <v>0</v>
      </c>
      <c r="E213" s="44">
        <f>'1월'!E213+'2월'!E213+'3월'!E213+'4월'!E213+'5월'!E213+'6월'!E213+'7월'!E213+'8월'!E213+'9월'!E213+'10월'!E213+'11월'!E213+'12월'!E213</f>
        <v>0</v>
      </c>
      <c r="F213" s="44">
        <f>'1월'!F213+'2월'!F213+'3월'!F213+'4월'!F213+'5월'!F213+'6월'!F213+'7월'!F213+'8월'!F213+'9월'!F213+'10월'!F213+'11월'!F213+'12월'!F213</f>
        <v>0</v>
      </c>
      <c r="G213" s="44">
        <f>'1월'!H213+'2월'!G213+'3월'!G213+'4월'!G213+'5월'!G213+'6월'!G213+'7월'!G213+'8월'!G213+'9월'!G213+'10월'!G213+'11월'!G213+'12월'!G213</f>
        <v>0</v>
      </c>
      <c r="H213" s="44">
        <f>'1월'!J213+'2월'!H213+'3월'!H213+'4월'!H213+'5월'!H213+'6월'!H213+'7월'!H213+'8월'!H213+'9월'!H213+'10월'!H213+'11월'!H213+'12월'!H213</f>
        <v>0</v>
      </c>
      <c r="I213" s="44">
        <f>'1월'!K213+'2월'!I213+'3월'!I213+'4월'!I213+'5월'!I213+'6월'!I213+'7월'!I213+'8월'!I213+'9월'!I213+'10월'!I213+'11월'!I213+'12월'!I213</f>
        <v>0</v>
      </c>
      <c r="J213" s="44">
        <f>'1월'!L213+'2월'!J213+'3월'!J213+'4월'!J213+'5월'!J213+'6월'!J213+'7월'!J213+'8월'!J213+'9월'!J213+'10월'!J213+'11월'!J213+'12월'!J213</f>
        <v>0</v>
      </c>
      <c r="K213" s="44">
        <f>'1월'!M213+'2월'!K213+'3월'!K213+'4월'!K213+'5월'!K213+'6월'!K213+'7월'!K213+'8월'!K213+'9월'!K213+'10월'!K213+'11월'!K213+'12월'!K213</f>
        <v>0</v>
      </c>
      <c r="L213" s="44">
        <f>'1월'!N213+'2월'!L213+'3월'!L213+'4월'!L213+'5월'!L213+'6월'!L213+'7월'!L213+'8월'!L213+'9월'!L213+'10월'!L213+'11월'!L213+'12월'!L213</f>
        <v>0</v>
      </c>
      <c r="M213" s="44">
        <f>'1월'!O213+'2월'!M213+'3월'!M213+'4월'!M213+'5월'!M213+'6월'!M213+'7월'!M213+'8월'!M213+'9월'!M213+'10월'!M213+'11월'!M213+'12월'!M213</f>
        <v>0</v>
      </c>
      <c r="O213" s="44">
        <f>IFERROR(VLOOKUP($A213,[1]플랫폼1!$A:$B,2,FALSE),0)</f>
        <v>0</v>
      </c>
      <c r="P213" s="44">
        <f>IFERROR(VLOOKUP($A213,[1]플랫폼2!$A:$M,12,FALSE),0)+IFERROR(VLOOKUP($A213,[1]플랫폼2!$A:$M,13,FALSE),0)</f>
        <v>0</v>
      </c>
      <c r="Q213" s="44">
        <f>IFERROR(VLOOKUP($A213,[1]플랫폼2!$A:$M,7,FALSE),0)+IFERROR(VLOOKUP($A213,[1]플랫폼2!$A:$M,12,FALSE),0)</f>
        <v>0</v>
      </c>
      <c r="R213" s="44">
        <f>IFERROR(VLOOKUP($A213,[1]모바일!$A:$S,17,FALSE),0)</f>
        <v>0</v>
      </c>
      <c r="S213" s="44">
        <f>IFERROR(VLOOKUP($A213,[1]모바일!$A:$S,18,FALSE),0)</f>
        <v>0</v>
      </c>
      <c r="T213" s="43">
        <f>IFERROR(VLOOKUP(A213,[1]플랫폼2!$A:$O,15,0),0)</f>
        <v>0</v>
      </c>
      <c r="U213" s="83"/>
    </row>
    <row r="214" spans="1:21" s="1" customFormat="1" hidden="1" outlineLevel="1" collapsed="1" x14ac:dyDescent="0.45">
      <c r="A214" s="29" t="s">
        <v>257</v>
      </c>
      <c r="B214" s="44">
        <f>'1월'!B214+'2월'!B214+'3월'!B214+'4월'!B214+'5월'!B214+'6월'!B214+'7월'!B214+'8월'!B214+'9월'!B214+'10월'!B214+'11월'!B214+'12월'!B214</f>
        <v>3811446</v>
      </c>
      <c r="C214" s="44">
        <f>'1월'!C214+'2월'!C214+'3월'!C214+'4월'!C214+'5월'!C214+'6월'!C214+'7월'!C214+'8월'!C214+'9월'!C214+'10월'!C214+'11월'!C214+'12월'!C214</f>
        <v>0</v>
      </c>
      <c r="D214" s="44">
        <f>'1월'!D214+'2월'!D214+'3월'!D214+'4월'!D214+'5월'!D214+'6월'!D214+'7월'!D214+'8월'!D214+'9월'!D214+'10월'!D214+'11월'!D214+'12월'!D214</f>
        <v>0</v>
      </c>
      <c r="E214" s="44">
        <f>'1월'!E214+'2월'!E214+'3월'!E214+'4월'!E214+'5월'!E214+'6월'!E214+'7월'!E214+'8월'!E214+'9월'!E214+'10월'!E214+'11월'!E214+'12월'!E214</f>
        <v>3811446</v>
      </c>
      <c r="F214" s="44">
        <f>'1월'!F214+'2월'!F214+'3월'!F214+'4월'!F214+'5월'!F214+'6월'!F214+'7월'!F214+'8월'!F214+'9월'!F214+'10월'!F214+'11월'!F214+'12월'!F214</f>
        <v>0</v>
      </c>
      <c r="G214" s="44">
        <f>'1월'!H214+'2월'!G214+'3월'!G214+'4월'!G214+'5월'!G214+'6월'!G214+'7월'!G214+'8월'!G214+'9월'!G214+'10월'!G214+'11월'!G214+'12월'!G214</f>
        <v>0</v>
      </c>
      <c r="H214" s="44">
        <f>'1월'!J214+'2월'!H214+'3월'!H214+'4월'!H214+'5월'!H214+'6월'!H214+'7월'!H214+'8월'!H214+'9월'!H214+'10월'!H214+'11월'!H214+'12월'!H214</f>
        <v>0</v>
      </c>
      <c r="I214" s="44">
        <f>'1월'!K214+'2월'!I214+'3월'!I214+'4월'!I214+'5월'!I214+'6월'!I214+'7월'!I214+'8월'!I214+'9월'!I214+'10월'!I214+'11월'!I214+'12월'!I214</f>
        <v>0</v>
      </c>
      <c r="J214" s="44">
        <f>'1월'!L214+'2월'!J214+'3월'!J214+'4월'!J214+'5월'!J214+'6월'!J214+'7월'!J214+'8월'!J214+'9월'!J214+'10월'!J214+'11월'!J214+'12월'!J214</f>
        <v>0</v>
      </c>
      <c r="K214" s="44">
        <f>'1월'!M214+'2월'!K214+'3월'!K214+'4월'!K214+'5월'!K214+'6월'!K214+'7월'!K214+'8월'!K214+'9월'!K214+'10월'!K214+'11월'!K214+'12월'!K214</f>
        <v>3811446</v>
      </c>
      <c r="L214" s="44">
        <f>'1월'!N214+'2월'!L214+'3월'!L214+'4월'!L214+'5월'!L214+'6월'!L214+'7월'!L214+'8월'!L214+'9월'!L214+'10월'!L214+'11월'!L214+'12월'!L214</f>
        <v>0</v>
      </c>
      <c r="M214" s="44">
        <f>'1월'!O214+'2월'!M214+'3월'!M214+'4월'!M214+'5월'!M214+'6월'!M214+'7월'!M214+'8월'!M214+'9월'!M214+'10월'!M214+'11월'!M214+'12월'!M214</f>
        <v>0</v>
      </c>
      <c r="O214" s="44">
        <f>IFERROR(VLOOKUP($A214,[1]플랫폼1!$A:$B,2,FALSE),0)</f>
        <v>0</v>
      </c>
      <c r="P214" s="44">
        <f>IFERROR(VLOOKUP($A214,[1]플랫폼2!$A:$M,12,FALSE),0)+IFERROR(VLOOKUP($A214,[1]플랫폼2!$A:$M,13,FALSE),0)</f>
        <v>0</v>
      </c>
      <c r="Q214" s="44">
        <f>IFERROR(VLOOKUP($A214,[1]플랫폼2!$A:$M,7,FALSE),0)+IFERROR(VLOOKUP($A214,[1]플랫폼2!$A:$M,12,FALSE),0)</f>
        <v>0</v>
      </c>
      <c r="R214" s="44">
        <f>IFERROR(VLOOKUP($A214,[1]모바일!$A:$S,17,FALSE),0)</f>
        <v>0</v>
      </c>
      <c r="S214" s="44">
        <f>IFERROR(VLOOKUP($A214,[1]모바일!$A:$S,18,FALSE),0)</f>
        <v>0</v>
      </c>
      <c r="T214" s="43">
        <f>IFERROR(VLOOKUP(A214,[1]플랫폼2!$A:$O,15,0),0)</f>
        <v>0</v>
      </c>
      <c r="U214" s="83"/>
    </row>
    <row r="215" spans="1:21" collapsed="1" x14ac:dyDescent="0.45">
      <c r="A215" s="28" t="s">
        <v>156</v>
      </c>
      <c r="B215" s="43">
        <f>'1월'!B215+'2월'!B215+'3월'!B215+'4월'!B215+'5월'!B215+'6월'!B215+'7월'!B215+'8월'!B215+'9월'!B215+'10월'!B215+'11월'!B215+'12월'!B215</f>
        <v>621818735</v>
      </c>
      <c r="C215" s="43">
        <f>'1월'!C215+'2월'!C215+'3월'!C215+'4월'!C215+'5월'!C215+'6월'!C215+'7월'!C215+'8월'!C215+'9월'!C215+'10월'!C215+'11월'!C215+'12월'!C215</f>
        <v>28350000</v>
      </c>
      <c r="D215" s="43">
        <f>'1월'!D215+'2월'!D215+'3월'!D215+'4월'!D215+'5월'!D215+'6월'!D215+'7월'!D215+'8월'!D215+'9월'!D215+'10월'!D215+'11월'!D215+'12월'!D215</f>
        <v>0</v>
      </c>
      <c r="E215" s="43">
        <f>'1월'!E215+'2월'!E215+'3월'!E215+'4월'!E215+'5월'!E215+'6월'!E215+'7월'!E215+'8월'!E215+'9월'!E215+'10월'!E215+'11월'!E215+'12월'!E215</f>
        <v>593468735</v>
      </c>
      <c r="F215" s="43">
        <f>'1월'!F215+'2월'!F215+'3월'!F215+'4월'!F215+'5월'!F215+'6월'!F215+'7월'!F215+'8월'!F215+'9월'!F215+'10월'!F215+'11월'!F215+'12월'!F215</f>
        <v>213701818</v>
      </c>
      <c r="G215" s="43">
        <f>'1월'!H215+'2월'!G215+'3월'!G215+'4월'!G215+'5월'!G215+'6월'!G215+'7월'!G215+'8월'!G215+'9월'!G215+'10월'!G215+'11월'!G215+'12월'!G215</f>
        <v>0</v>
      </c>
      <c r="H215" s="43">
        <f>'1월'!J215+'2월'!H215+'3월'!H215+'4월'!H215+'5월'!H215+'6월'!H215+'7월'!H215+'8월'!H215+'9월'!H215+'10월'!H215+'11월'!H215+'12월'!H215</f>
        <v>379766917</v>
      </c>
      <c r="I215" s="43">
        <f>'1월'!K215+'2월'!I215+'3월'!I215+'4월'!I215+'5월'!I215+'6월'!I215+'7월'!I215+'8월'!I215+'9월'!I215+'10월'!I215+'11월'!I215+'12월'!I215</f>
        <v>0</v>
      </c>
      <c r="J215" s="43">
        <f>'1월'!L215+'2월'!J215+'3월'!J215+'4월'!J215+'5월'!J215+'6월'!J215+'7월'!J215+'8월'!J215+'9월'!J215+'10월'!J215+'11월'!J215+'12월'!J215</f>
        <v>0</v>
      </c>
      <c r="K215" s="43">
        <f>'1월'!M215+'2월'!K215+'3월'!K215+'4월'!K215+'5월'!K215+'6월'!K215+'7월'!K215+'8월'!K215+'9월'!K215+'10월'!K215+'11월'!K215+'12월'!K215</f>
        <v>0</v>
      </c>
      <c r="L215" s="43">
        <f>'1월'!N215+'2월'!L215+'3월'!L215+'4월'!L215+'5월'!L215+'6월'!L215+'7월'!L215+'8월'!L215+'9월'!L215+'10월'!L215+'11월'!L215+'12월'!L215</f>
        <v>0</v>
      </c>
      <c r="M215" s="43">
        <f>'1월'!O215+'2월'!M215+'3월'!M215+'4월'!M215+'5월'!M215+'6월'!M215+'7월'!M215+'8월'!M215+'9월'!M215+'10월'!M215+'11월'!M215+'12월'!M215</f>
        <v>0</v>
      </c>
      <c r="O215" s="43">
        <f>IFERROR(VLOOKUP($A215,[1]플랫폼1!$A:$B,2,FALSE),0)</f>
        <v>0</v>
      </c>
      <c r="P215" s="43">
        <f>IFERROR(VLOOKUP($A215,[1]플랫폼2!$A:$M,12,FALSE),0)+IFERROR(VLOOKUP($A215,[1]플랫폼2!$A:$M,13,FALSE),0)</f>
        <v>0</v>
      </c>
      <c r="Q215" s="43">
        <f>IFERROR(VLOOKUP($A215,[1]플랫폼2!$A:$M,7,FALSE),0)+IFERROR(VLOOKUP($A215,[1]플랫폼2!$A:$M,12,FALSE),0)</f>
        <v>0</v>
      </c>
      <c r="R215" s="43">
        <f>IFERROR(VLOOKUP($A215,[1]모바일!$A:$S,17,FALSE),0)</f>
        <v>0</v>
      </c>
      <c r="S215" s="43">
        <f>IFERROR(VLOOKUP($A215,[1]모바일!$A:$S,18,FALSE),0)</f>
        <v>0</v>
      </c>
      <c r="T215" s="43">
        <f>IFERROR(VLOOKUP(A215,[1]플랫폼2!$A:$O,15,0),0)</f>
        <v>0</v>
      </c>
      <c r="U215" s="83"/>
    </row>
    <row r="216" spans="1:21" s="1" customFormat="1" hidden="1" outlineLevel="1" collapsed="1" x14ac:dyDescent="0.45">
      <c r="A216" s="29" t="s">
        <v>157</v>
      </c>
      <c r="B216" s="44">
        <f>'1월'!B216+'2월'!B216+'3월'!B216+'4월'!B216+'5월'!B216+'6월'!B216+'7월'!B216+'8월'!B216+'9월'!B216+'10월'!B216+'11월'!B216+'12월'!B216</f>
        <v>621818735</v>
      </c>
      <c r="C216" s="44">
        <f>'1월'!C216+'2월'!C216+'3월'!C216+'4월'!C216+'5월'!C216+'6월'!C216+'7월'!C216+'8월'!C216+'9월'!C216+'10월'!C216+'11월'!C216+'12월'!C216</f>
        <v>28350000</v>
      </c>
      <c r="D216" s="44">
        <f>'1월'!D216+'2월'!D216+'3월'!D216+'4월'!D216+'5월'!D216+'6월'!D216+'7월'!D216+'8월'!D216+'9월'!D216+'10월'!D216+'11월'!D216+'12월'!D216</f>
        <v>0</v>
      </c>
      <c r="E216" s="44">
        <f>'1월'!E216+'2월'!E216+'3월'!E216+'4월'!E216+'5월'!E216+'6월'!E216+'7월'!E216+'8월'!E216+'9월'!E216+'10월'!E216+'11월'!E216+'12월'!E216</f>
        <v>593468735</v>
      </c>
      <c r="F216" s="44">
        <f>'1월'!F216+'2월'!F216+'3월'!F216+'4월'!F216+'5월'!F216+'6월'!F216+'7월'!F216+'8월'!F216+'9월'!F216+'10월'!F216+'11월'!F216+'12월'!F216</f>
        <v>213701818</v>
      </c>
      <c r="G216" s="44">
        <f>'1월'!H216+'2월'!G216+'3월'!G216+'4월'!G216+'5월'!G216+'6월'!G216+'7월'!G216+'8월'!G216+'9월'!G216+'10월'!G216+'11월'!G216+'12월'!G216</f>
        <v>0</v>
      </c>
      <c r="H216" s="44">
        <f>'1월'!J216+'2월'!H216+'3월'!H216+'4월'!H216+'5월'!H216+'6월'!H216+'7월'!H216+'8월'!H216+'9월'!H216+'10월'!H216+'11월'!H216+'12월'!H216</f>
        <v>379766917</v>
      </c>
      <c r="I216" s="44">
        <f>'1월'!K216+'2월'!I216+'3월'!I216+'4월'!I216+'5월'!I216+'6월'!I216+'7월'!I216+'8월'!I216+'9월'!I216+'10월'!I216+'11월'!I216+'12월'!I216</f>
        <v>0</v>
      </c>
      <c r="J216" s="44">
        <f>'1월'!L216+'2월'!J216+'3월'!J216+'4월'!J216+'5월'!J216+'6월'!J216+'7월'!J216+'8월'!J216+'9월'!J216+'10월'!J216+'11월'!J216+'12월'!J216</f>
        <v>0</v>
      </c>
      <c r="K216" s="44">
        <f>'1월'!M216+'2월'!K216+'3월'!K216+'4월'!K216+'5월'!K216+'6월'!K216+'7월'!K216+'8월'!K216+'9월'!K216+'10월'!K216+'11월'!K216+'12월'!K216</f>
        <v>0</v>
      </c>
      <c r="L216" s="44">
        <f>'1월'!N216+'2월'!L216+'3월'!L216+'4월'!L216+'5월'!L216+'6월'!L216+'7월'!L216+'8월'!L216+'9월'!L216+'10월'!L216+'11월'!L216+'12월'!L216</f>
        <v>0</v>
      </c>
      <c r="M216" s="44">
        <f>'1월'!O216+'2월'!M216+'3월'!M216+'4월'!M216+'5월'!M216+'6월'!M216+'7월'!M216+'8월'!M216+'9월'!M216+'10월'!M216+'11월'!M216+'12월'!M216</f>
        <v>0</v>
      </c>
      <c r="O216" s="44">
        <f>IFERROR(VLOOKUP($A216,[1]플랫폼1!$A:$B,2,FALSE),0)</f>
        <v>0</v>
      </c>
      <c r="P216" s="44">
        <f>IFERROR(VLOOKUP($A216,[1]플랫폼2!$A:$M,12,FALSE),0)+IFERROR(VLOOKUP($A216,[1]플랫폼2!$A:$M,13,FALSE),0)</f>
        <v>0</v>
      </c>
      <c r="Q216" s="44">
        <f>IFERROR(VLOOKUP($A216,[1]플랫폼2!$A:$M,7,FALSE),0)+IFERROR(VLOOKUP($A216,[1]플랫폼2!$A:$M,12,FALSE),0)</f>
        <v>0</v>
      </c>
      <c r="R216" s="44">
        <f>IFERROR(VLOOKUP($A216,[1]모바일!$A:$S,17,FALSE),0)</f>
        <v>0</v>
      </c>
      <c r="S216" s="44">
        <f>IFERROR(VLOOKUP($A216,[1]모바일!$A:$S,18,FALSE),0)</f>
        <v>0</v>
      </c>
      <c r="T216" s="43">
        <f>IFERROR(VLOOKUP(A216,[1]플랫폼2!$A:$O,15,0),0)</f>
        <v>0</v>
      </c>
      <c r="U216" s="83"/>
    </row>
    <row r="217" spans="1:21" s="1" customFormat="1" collapsed="1" x14ac:dyDescent="0.45">
      <c r="A217" s="28" t="s">
        <v>101</v>
      </c>
      <c r="B217" s="43">
        <f>'1월'!B217+'2월'!B217+'3월'!B217+'4월'!B217+'5월'!B217+'6월'!B217+'7월'!B217+'8월'!B217+'9월'!B217+'10월'!B217+'11월'!B217+'12월'!B217</f>
        <v>28784001075</v>
      </c>
      <c r="C217" s="43">
        <f>'1월'!C217+'2월'!C217+'3월'!C217+'4월'!C217+'5월'!C217+'6월'!C217+'7월'!C217+'8월'!C217+'9월'!C217+'10월'!C217+'11월'!C217+'12월'!C217</f>
        <v>-22914646750</v>
      </c>
      <c r="D217" s="43">
        <f>'1월'!D217+'2월'!D217+'3월'!D217+'4월'!D217+'5월'!D217+'6월'!D217+'7월'!D217+'8월'!D217+'9월'!D217+'10월'!D217+'11월'!D217+'12월'!D217</f>
        <v>116583690</v>
      </c>
      <c r="E217" s="43">
        <f>'1월'!E217+'2월'!E217+'3월'!E217+'4월'!E217+'5월'!E217+'6월'!E217+'7월'!E217+'8월'!E217+'9월'!E217+'10월'!E217+'11월'!E217+'12월'!E217</f>
        <v>51582064135</v>
      </c>
      <c r="F217" s="43">
        <f>'1월'!F217+'2월'!F217+'3월'!F217+'4월'!F217+'5월'!F217+'6월'!F217+'7월'!F217+'8월'!F217+'9월'!F217+'10월'!F217+'11월'!F217+'12월'!F217</f>
        <v>23543596660.927856</v>
      </c>
      <c r="G217" s="43">
        <f>'1월'!H217+'2월'!G217+'3월'!G217+'4월'!G217+'5월'!G217+'6월'!G217+'7월'!G217+'8월'!G217+'9월'!G217+'10월'!G217+'11월'!G217+'12월'!G217</f>
        <v>612196394.07214272</v>
      </c>
      <c r="H217" s="43">
        <f>'1월'!J217+'2월'!H217+'3월'!H217+'4월'!H217+'5월'!H217+'6월'!H217+'7월'!H217+'8월'!H217+'9월'!H217+'10월'!H217+'11월'!H217+'12월'!H217</f>
        <v>18098187113</v>
      </c>
      <c r="I217" s="43">
        <f>'1월'!K217+'2월'!I217+'3월'!I217+'4월'!I217+'5월'!I217+'6월'!I217+'7월'!I217+'8월'!I217+'9월'!I217+'10월'!I217+'11월'!I217+'12월'!I217</f>
        <v>275012922.5</v>
      </c>
      <c r="J217" s="43">
        <f>'1월'!L217+'2월'!J217+'3월'!J217+'4월'!J217+'5월'!J217+'6월'!J217+'7월'!J217+'8월'!J217+'9월'!J217+'10월'!J217+'11월'!J217+'12월'!J217</f>
        <v>82580648.49999997</v>
      </c>
      <c r="K217" s="43">
        <f>'1월'!M217+'2월'!K217+'3월'!K217+'4월'!K217+'5월'!K217+'6월'!K217+'7월'!K217+'8월'!K217+'9월'!K217+'10월'!K217+'11월'!K217+'12월'!K217</f>
        <v>1109280557</v>
      </c>
      <c r="L217" s="43">
        <f>'1월'!N217+'2월'!L217+'3월'!L217+'4월'!L217+'5월'!L217+'6월'!L217+'7월'!L217+'8월'!L217+'9월'!L217+'10월'!L217+'11월'!L217+'12월'!L217</f>
        <v>7408500027</v>
      </c>
      <c r="M217" s="43">
        <f>'1월'!O217+'2월'!M217+'3월'!M217+'4월'!M217+'5월'!M217+'6월'!M217+'7월'!M217+'8월'!M217+'9월'!M217+'10월'!M217+'11월'!M217+'12월'!M217</f>
        <v>452709812</v>
      </c>
      <c r="O217" s="43">
        <f>IFERROR(VLOOKUP($A217,[1]플랫폼1!$A:$B,2,FALSE),0)</f>
        <v>142022820</v>
      </c>
      <c r="P217" s="43">
        <f>IFERROR(VLOOKUP($A217,[1]플랫폼2!$A:$M,12,FALSE),0)+IFERROR(VLOOKUP($A217,[1]플랫폼2!$A:$M,13,FALSE),0)</f>
        <v>138023550.5</v>
      </c>
      <c r="Q217" s="43">
        <f>IFERROR(VLOOKUP($A217,[1]플랫폼2!$A:$M,7,FALSE),0)+IFERROR(VLOOKUP($A217,[1]플랫폼2!$A:$M,12,FALSE),0)</f>
        <v>141179930.5</v>
      </c>
      <c r="R217" s="43">
        <f>IFERROR(VLOOKUP($A217,[1]모바일!$A:$S,17,FALSE),0)</f>
        <v>2167737</v>
      </c>
      <c r="S217" s="43">
        <f>IFERROR(VLOOKUP($A217,[1]모바일!$A:$S,18,FALSE),0)</f>
        <v>2167737</v>
      </c>
      <c r="T217" s="43">
        <f>IFERROR(VLOOKUP(A217,[1]플랫폼2!$A:$O,15,0),0)</f>
        <v>27148037</v>
      </c>
      <c r="U217" s="83"/>
    </row>
    <row r="218" spans="1:21" hidden="1" outlineLevel="1" x14ac:dyDescent="0.45">
      <c r="A218" s="28" t="s">
        <v>166</v>
      </c>
      <c r="B218" s="43">
        <f>'1월'!B218+'2월'!B218+'3월'!B218+'4월'!B218+'5월'!B218+'6월'!B218+'7월'!B218+'8월'!B218+'9월'!B218+'10월'!B218+'11월'!B218+'12월'!B218</f>
        <v>0</v>
      </c>
      <c r="C218" s="43">
        <f>'1월'!C218+'2월'!C218+'3월'!C218+'4월'!C218+'5월'!C218+'6월'!C218+'7월'!C218+'8월'!C218+'9월'!C218+'10월'!C218+'11월'!C218+'12월'!C218</f>
        <v>-7539819187</v>
      </c>
      <c r="D218" s="43">
        <f>'1월'!D218+'2월'!D218+'3월'!D218+'4월'!D218+'5월'!D218+'6월'!D218+'7월'!D218+'8월'!D218+'9월'!D218+'10월'!D218+'11월'!D218+'12월'!D218</f>
        <v>0</v>
      </c>
      <c r="E218" s="43">
        <f>'1월'!E218+'2월'!E218+'3월'!E218+'4월'!E218+'5월'!E218+'6월'!E218+'7월'!E218+'8월'!E218+'9월'!E218+'10월'!E218+'11월'!E218+'12월'!E218</f>
        <v>7539819187</v>
      </c>
      <c r="F218" s="43">
        <f>'1월'!F218+'2월'!F218+'3월'!F218+'4월'!F218+'5월'!F218+'6월'!F218+'7월'!F218+'8월'!F218+'9월'!F218+'10월'!F218+'11월'!F218+'12월'!F218</f>
        <v>6747716815</v>
      </c>
      <c r="G218" s="43">
        <f>'1월'!H218+'2월'!G218+'3월'!G218+'4월'!G218+'5월'!G218+'6월'!G218+'7월'!G218+'8월'!G218+'9월'!G218+'10월'!G218+'11월'!G218+'12월'!G218</f>
        <v>0</v>
      </c>
      <c r="H218" s="43">
        <f>'1월'!J218+'2월'!H218+'3월'!H218+'4월'!H218+'5월'!H218+'6월'!H218+'7월'!H218+'8월'!H218+'9월'!H218+'10월'!H218+'11월'!H218+'12월'!H218</f>
        <v>71589300</v>
      </c>
      <c r="I218" s="43">
        <f>'1월'!K218+'2월'!I218+'3월'!I218+'4월'!I218+'5월'!I218+'6월'!I218+'7월'!I218+'8월'!I218+'9월'!I218+'10월'!I218+'11월'!I218+'12월'!I218</f>
        <v>26972050</v>
      </c>
      <c r="J218" s="43">
        <f>'1월'!L218+'2월'!J218+'3월'!J218+'4월'!J218+'5월'!J218+'6월'!J218+'7월'!J218+'8월'!J218+'9월'!J218+'10월'!J218+'11월'!J218+'12월'!J218</f>
        <v>9404639</v>
      </c>
      <c r="K218" s="43">
        <f>'1월'!M218+'2월'!K218+'3월'!K218+'4월'!K218+'5월'!K218+'6월'!K218+'7월'!K218+'8월'!K218+'9월'!K218+'10월'!K218+'11월'!K218+'12월'!K218</f>
        <v>563562923</v>
      </c>
      <c r="L218" s="43">
        <f>'1월'!N218+'2월'!L218+'3월'!L218+'4월'!L218+'5월'!L218+'6월'!L218+'7월'!L218+'8월'!L218+'9월'!L218+'10월'!L218+'11월'!L218+'12월'!L218</f>
        <v>120573460</v>
      </c>
      <c r="M218" s="43">
        <f>'1월'!O218+'2월'!M218+'3월'!M218+'4월'!M218+'5월'!M218+'6월'!M218+'7월'!M218+'8월'!M218+'9월'!M218+'10월'!M218+'11월'!M218+'12월'!M218</f>
        <v>0</v>
      </c>
      <c r="O218" s="43">
        <f>IFERROR(VLOOKUP($A218,[1]플랫폼1!$A:$B,2,FALSE),0)</f>
        <v>0</v>
      </c>
      <c r="P218" s="43">
        <f>IFERROR(VLOOKUP($A218,[1]플랫폼2!$A:$M,12,FALSE),0)+IFERROR(VLOOKUP($A218,[1]플랫폼2!$A:$M,13,FALSE),0)</f>
        <v>0</v>
      </c>
      <c r="Q218" s="43">
        <f>IFERROR(VLOOKUP($A218,[1]플랫폼2!$A:$M,7,FALSE),0)+IFERROR(VLOOKUP($A218,[1]플랫폼2!$A:$M,12,FALSE),0)</f>
        <v>0</v>
      </c>
      <c r="R218" s="43">
        <f>IFERROR(VLOOKUP($A218,[1]모바일!$A:$S,17,FALSE),0)</f>
        <v>0</v>
      </c>
      <c r="S218" s="43">
        <f>IFERROR(VLOOKUP($A218,[1]모바일!$A:$S,18,FALSE),0)</f>
        <v>0</v>
      </c>
      <c r="T218" s="43">
        <f>IFERROR(VLOOKUP(A218,[1]플랫폼2!$A:$O,15,0),0)</f>
        <v>0</v>
      </c>
      <c r="U218" s="83"/>
    </row>
    <row r="219" spans="1:21" hidden="1" outlineLevel="1" x14ac:dyDescent="0.45">
      <c r="A219" s="29" t="s">
        <v>216</v>
      </c>
      <c r="B219" s="44">
        <f>'1월'!B219+'2월'!B219+'3월'!B219+'4월'!B219+'5월'!B219+'6월'!B219+'7월'!B219+'8월'!B219+'9월'!B219+'10월'!B219+'11월'!B219+'12월'!B219</f>
        <v>0</v>
      </c>
      <c r="C219" s="44">
        <f>'1월'!C219+'2월'!C219+'3월'!C219+'4월'!C219+'5월'!C219+'6월'!C219+'7월'!C219+'8월'!C219+'9월'!C219+'10월'!C219+'11월'!C219+'12월'!C219</f>
        <v>0</v>
      </c>
      <c r="D219" s="44">
        <f>'1월'!D219+'2월'!D219+'3월'!D219+'4월'!D219+'5월'!D219+'6월'!D219+'7월'!D219+'8월'!D219+'9월'!D219+'10월'!D219+'11월'!D219+'12월'!D219</f>
        <v>0</v>
      </c>
      <c r="E219" s="44">
        <f>'1월'!E219+'2월'!E219+'3월'!E219+'4월'!E219+'5월'!E219+'6월'!E219+'7월'!E219+'8월'!E219+'9월'!E219+'10월'!E219+'11월'!E219+'12월'!E219</f>
        <v>0</v>
      </c>
      <c r="F219" s="44">
        <f>'1월'!F219+'2월'!F219+'3월'!F219+'4월'!F219+'5월'!F219+'6월'!F219+'7월'!F219+'8월'!F219+'9월'!F219+'10월'!F219+'11월'!F219+'12월'!F219</f>
        <v>0</v>
      </c>
      <c r="G219" s="44">
        <f>'1월'!H219+'2월'!G219+'3월'!G219+'4월'!G219+'5월'!G219+'6월'!G219+'7월'!G219+'8월'!G219+'9월'!G219+'10월'!G219+'11월'!G219+'12월'!G219</f>
        <v>0</v>
      </c>
      <c r="H219" s="44">
        <f>'1월'!J219+'2월'!H219+'3월'!H219+'4월'!H219+'5월'!H219+'6월'!H219+'7월'!H219+'8월'!H219+'9월'!H219+'10월'!H219+'11월'!H219+'12월'!H219</f>
        <v>0</v>
      </c>
      <c r="I219" s="44">
        <f>'1월'!K219+'2월'!I219+'3월'!I219+'4월'!I219+'5월'!I219+'6월'!I219+'7월'!I219+'8월'!I219+'9월'!I219+'10월'!I219+'11월'!I219+'12월'!I219</f>
        <v>0</v>
      </c>
      <c r="J219" s="44">
        <f>'1월'!L219+'2월'!J219+'3월'!J219+'4월'!J219+'5월'!J219+'6월'!J219+'7월'!J219+'8월'!J219+'9월'!J219+'10월'!J219+'11월'!J219+'12월'!J219</f>
        <v>0</v>
      </c>
      <c r="K219" s="44">
        <f>'1월'!M219+'2월'!K219+'3월'!K219+'4월'!K219+'5월'!K219+'6월'!K219+'7월'!K219+'8월'!K219+'9월'!K219+'10월'!K219+'11월'!K219+'12월'!K219</f>
        <v>0</v>
      </c>
      <c r="L219" s="44">
        <f>'1월'!N219+'2월'!L219+'3월'!L219+'4월'!L219+'5월'!L219+'6월'!L219+'7월'!L219+'8월'!L219+'9월'!L219+'10월'!L219+'11월'!L219+'12월'!L219</f>
        <v>0</v>
      </c>
      <c r="M219" s="44">
        <f>'1월'!O219+'2월'!M219+'3월'!M219+'4월'!M219+'5월'!M219+'6월'!M219+'7월'!M219+'8월'!M219+'9월'!M219+'10월'!M219+'11월'!M219+'12월'!M219</f>
        <v>0</v>
      </c>
      <c r="O219" s="44">
        <f>IFERROR(VLOOKUP($A219,[1]플랫폼1!$A:$B,2,FALSE),0)</f>
        <v>0</v>
      </c>
      <c r="P219" s="44">
        <f>IFERROR(VLOOKUP($A219,[1]플랫폼2!$A:$M,12,FALSE),0)+IFERROR(VLOOKUP($A219,[1]플랫폼2!$A:$M,13,FALSE),0)</f>
        <v>0</v>
      </c>
      <c r="Q219" s="44">
        <f>IFERROR(VLOOKUP($A219,[1]플랫폼2!$A:$M,7,FALSE),0)+IFERROR(VLOOKUP($A219,[1]플랫폼2!$A:$M,12,FALSE),0)</f>
        <v>0</v>
      </c>
      <c r="R219" s="44">
        <f>IFERROR(VLOOKUP($A219,[1]모바일!$A:$S,17,FALSE),0)</f>
        <v>0</v>
      </c>
      <c r="S219" s="44">
        <f>IFERROR(VLOOKUP($A219,[1]모바일!$A:$S,18,FALSE),0)</f>
        <v>0</v>
      </c>
      <c r="T219" s="43">
        <f>IFERROR(VLOOKUP(A219,[1]플랫폼2!$A:$O,15,0),0)</f>
        <v>0</v>
      </c>
      <c r="U219" s="83"/>
    </row>
    <row r="220" spans="1:21" hidden="1" outlineLevel="1" x14ac:dyDescent="0.45">
      <c r="A220" s="29" t="s">
        <v>102</v>
      </c>
      <c r="B220" s="44">
        <f>'1월'!B220+'2월'!B220+'3월'!B220+'4월'!B220+'5월'!B220+'6월'!B220+'7월'!B220+'8월'!B220+'9월'!B220+'10월'!B220+'11월'!B220+'12월'!B220</f>
        <v>57100547</v>
      </c>
      <c r="C220" s="44">
        <f>'1월'!C220+'2월'!C220+'3월'!C220+'4월'!C220+'5월'!C220+'6월'!C220+'7월'!C220+'8월'!C220+'9월'!C220+'10월'!C220+'11월'!C220+'12월'!C220</f>
        <v>-43536600</v>
      </c>
      <c r="D220" s="44">
        <f>'1월'!D220+'2월'!D220+'3월'!D220+'4월'!D220+'5월'!D220+'6월'!D220+'7월'!D220+'8월'!D220+'9월'!D220+'10월'!D220+'11월'!D220+'12월'!D220</f>
        <v>43536600</v>
      </c>
      <c r="E220" s="44">
        <f>'1월'!E220+'2월'!E220+'3월'!E220+'4월'!E220+'5월'!E220+'6월'!E220+'7월'!E220+'8월'!E220+'9월'!E220+'10월'!E220+'11월'!E220+'12월'!E220</f>
        <v>57100547</v>
      </c>
      <c r="F220" s="44">
        <f>'1월'!F220+'2월'!F220+'3월'!F220+'4월'!F220+'5월'!F220+'6월'!F220+'7월'!F220+'8월'!F220+'9월'!F220+'10월'!F220+'11월'!F220+'12월'!F220</f>
        <v>43536600</v>
      </c>
      <c r="G220" s="44">
        <f>'1월'!H220+'2월'!G220+'3월'!G220+'4월'!G220+'5월'!G220+'6월'!G220+'7월'!G220+'8월'!G220+'9월'!G220+'10월'!G220+'11월'!G220+'12월'!G220</f>
        <v>13123447</v>
      </c>
      <c r="H220" s="44">
        <f>'1월'!J220+'2월'!H220+'3월'!H220+'4월'!H220+'5월'!H220+'6월'!H220+'7월'!H220+'8월'!H220+'9월'!H220+'10월'!H220+'11월'!H220+'12월'!H220</f>
        <v>0</v>
      </c>
      <c r="I220" s="44">
        <f>'1월'!K220+'2월'!I220+'3월'!I220+'4월'!I220+'5월'!I220+'6월'!I220+'7월'!I220+'8월'!I220+'9월'!I220+'10월'!I220+'11월'!I220+'12월'!I220</f>
        <v>0</v>
      </c>
      <c r="J220" s="44">
        <f>'1월'!L220+'2월'!J220+'3월'!J220+'4월'!J220+'5월'!J220+'6월'!J220+'7월'!J220+'8월'!J220+'9월'!J220+'10월'!J220+'11월'!J220+'12월'!J220</f>
        <v>0</v>
      </c>
      <c r="K220" s="44">
        <f>'1월'!M220+'2월'!K220+'3월'!K220+'4월'!K220+'5월'!K220+'6월'!K220+'7월'!K220+'8월'!K220+'9월'!K220+'10월'!K220+'11월'!K220+'12월'!K220</f>
        <v>440500</v>
      </c>
      <c r="L220" s="44">
        <f>'1월'!N220+'2월'!L220+'3월'!L220+'4월'!L220+'5월'!L220+'6월'!L220+'7월'!L220+'8월'!L220+'9월'!L220+'10월'!L220+'11월'!L220+'12월'!L220</f>
        <v>0</v>
      </c>
      <c r="M220" s="44">
        <f>'1월'!O220+'2월'!M220+'3월'!M220+'4월'!M220+'5월'!M220+'6월'!M220+'7월'!M220+'8월'!M220+'9월'!M220+'10월'!M220+'11월'!M220+'12월'!M220</f>
        <v>0</v>
      </c>
      <c r="O220" s="44">
        <f>IFERROR(VLOOKUP($A220,[1]플랫폼1!$A:$B,2,FALSE),0)</f>
        <v>0</v>
      </c>
      <c r="P220" s="44">
        <f>IFERROR(VLOOKUP($A220,[1]플랫폼2!$A:$M,12,FALSE),0)+IFERROR(VLOOKUP($A220,[1]플랫폼2!$A:$M,13,FALSE),0)</f>
        <v>0</v>
      </c>
      <c r="Q220" s="44">
        <f>IFERROR(VLOOKUP($A220,[1]플랫폼2!$A:$M,7,FALSE),0)+IFERROR(VLOOKUP($A220,[1]플랫폼2!$A:$M,12,FALSE),0)</f>
        <v>0</v>
      </c>
      <c r="R220" s="44">
        <f>IFERROR(VLOOKUP($A220,[1]모바일!$A:$S,17,FALSE),0)</f>
        <v>0</v>
      </c>
      <c r="S220" s="44">
        <f>IFERROR(VLOOKUP($A220,[1]모바일!$A:$S,18,FALSE),0)</f>
        <v>0</v>
      </c>
      <c r="T220" s="43">
        <f>IFERROR(VLOOKUP(A220,[1]플랫폼2!$A:$O,15,0),0)</f>
        <v>0</v>
      </c>
      <c r="U220" s="83"/>
    </row>
    <row r="221" spans="1:21" s="1" customFormat="1" hidden="1" outlineLevel="1" x14ac:dyDescent="0.45">
      <c r="A221" s="29" t="s">
        <v>103</v>
      </c>
      <c r="B221" s="44">
        <f>'1월'!B221+'2월'!B221+'3월'!B221+'4월'!B221+'5월'!B221+'6월'!B221+'7월'!B221+'8월'!B221+'9월'!B221+'10월'!B221+'11월'!B221+'12월'!B221</f>
        <v>284150496</v>
      </c>
      <c r="C221" s="44">
        <f>'1월'!C221+'2월'!C221+'3월'!C221+'4월'!C221+'5월'!C221+'6월'!C221+'7월'!C221+'8월'!C221+'9월'!C221+'10월'!C221+'11월'!C221+'12월'!C221</f>
        <v>32387515</v>
      </c>
      <c r="D221" s="44">
        <f>'1월'!D221+'2월'!D221+'3월'!D221+'4월'!D221+'5월'!D221+'6월'!D221+'7월'!D221+'8월'!D221+'9월'!D221+'10월'!D221+'11월'!D221+'12월'!D221</f>
        <v>0</v>
      </c>
      <c r="E221" s="44">
        <f>'1월'!E221+'2월'!E221+'3월'!E221+'4월'!E221+'5월'!E221+'6월'!E221+'7월'!E221+'8월'!E221+'9월'!E221+'10월'!E221+'11월'!E221+'12월'!E221</f>
        <v>251762981</v>
      </c>
      <c r="F221" s="44">
        <f>'1월'!F221+'2월'!F221+'3월'!F221+'4월'!F221+'5월'!F221+'6월'!F221+'7월'!F221+'8월'!F221+'9월'!F221+'10월'!F221+'11월'!F221+'12월'!F221</f>
        <v>242338669.05454728</v>
      </c>
      <c r="G221" s="44">
        <f>'1월'!H221+'2월'!G221+'3월'!G221+'4월'!G221+'5월'!G221+'6월'!G221+'7월'!G221+'8월'!G221+'9월'!G221+'10월'!G221+'11월'!G221+'12월'!G221</f>
        <v>2252365.9454527283</v>
      </c>
      <c r="H221" s="44">
        <f>'1월'!J221+'2월'!H221+'3월'!H221+'4월'!H221+'5월'!H221+'6월'!H221+'7월'!H221+'8월'!H221+'9월'!H221+'10월'!H221+'11월'!H221+'12월'!H221</f>
        <v>4211300</v>
      </c>
      <c r="I221" s="44">
        <f>'1월'!K221+'2월'!I221+'3월'!I221+'4월'!I221+'5월'!I221+'6월'!I221+'7월'!I221+'8월'!I221+'9월'!I221+'10월'!I221+'11월'!I221+'12월'!I221</f>
        <v>0</v>
      </c>
      <c r="J221" s="44">
        <f>'1월'!L221+'2월'!J221+'3월'!J221+'4월'!J221+'5월'!J221+'6월'!J221+'7월'!J221+'8월'!J221+'9월'!J221+'10월'!J221+'11월'!J221+'12월'!J221</f>
        <v>619745</v>
      </c>
      <c r="K221" s="44">
        <f>'1월'!M221+'2월'!K221+'3월'!K221+'4월'!K221+'5월'!K221+'6월'!K221+'7월'!K221+'8월'!K221+'9월'!K221+'10월'!K221+'11월'!K221+'12월'!K221</f>
        <v>186000</v>
      </c>
      <c r="L221" s="44">
        <f>'1월'!N221+'2월'!L221+'3월'!L221+'4월'!L221+'5월'!L221+'6월'!L221+'7월'!L221+'8월'!L221+'9월'!L221+'10월'!L221+'11월'!L221+'12월'!L221</f>
        <v>2154901</v>
      </c>
      <c r="M221" s="44">
        <f>'1월'!O221+'2월'!M221+'3월'!M221+'4월'!M221+'5월'!M221+'6월'!M221+'7월'!M221+'8월'!M221+'9월'!M221+'10월'!M221+'11월'!M221+'12월'!M221</f>
        <v>0</v>
      </c>
      <c r="O221" s="44">
        <f>IFERROR(VLOOKUP($A221,[1]플랫폼1!$A:$B,2,FALSE),0)</f>
        <v>0</v>
      </c>
      <c r="P221" s="44">
        <f>IFERROR(VLOOKUP($A221,[1]플랫폼2!$A:$M,12,FALSE),0)+IFERROR(VLOOKUP($A221,[1]플랫폼2!$A:$M,13,FALSE),0)</f>
        <v>0</v>
      </c>
      <c r="Q221" s="44">
        <f>IFERROR(VLOOKUP($A221,[1]플랫폼2!$A:$M,7,FALSE),0)+IFERROR(VLOOKUP($A221,[1]플랫폼2!$A:$M,12,FALSE),0)</f>
        <v>0</v>
      </c>
      <c r="R221" s="44">
        <f>IFERROR(VLOOKUP($A221,[1]모바일!$A:$S,17,FALSE),0)</f>
        <v>0</v>
      </c>
      <c r="S221" s="44">
        <f>IFERROR(VLOOKUP($A221,[1]모바일!$A:$S,18,FALSE),0)</f>
        <v>0</v>
      </c>
      <c r="T221" s="43">
        <f>IFERROR(VLOOKUP(A221,[1]플랫폼2!$A:$O,15,0),0)</f>
        <v>0</v>
      </c>
      <c r="U221" s="83"/>
    </row>
    <row r="222" spans="1:21" hidden="1" outlineLevel="1" x14ac:dyDescent="0.45">
      <c r="A222" s="28" t="s">
        <v>104</v>
      </c>
      <c r="B222" s="43">
        <f>'1월'!B222+'2월'!B222+'3월'!B222+'4월'!B222+'5월'!B222+'6월'!B222+'7월'!B222+'8월'!B222+'9월'!B222+'10월'!B222+'11월'!B222+'12월'!B222</f>
        <v>0</v>
      </c>
      <c r="C222" s="43">
        <f>'1월'!C222+'2월'!C222+'3월'!C222+'4월'!C222+'5월'!C222+'6월'!C222+'7월'!C222+'8월'!C222+'9월'!C222+'10월'!C222+'11월'!C222+'12월'!C222</f>
        <v>-18094882213</v>
      </c>
      <c r="D222" s="43">
        <f>'1월'!D222+'2월'!D222+'3월'!D222+'4월'!D222+'5월'!D222+'6월'!D222+'7월'!D222+'8월'!D222+'9월'!D222+'10월'!D222+'11월'!D222+'12월'!D222</f>
        <v>0</v>
      </c>
      <c r="E222" s="43">
        <f>'1월'!E222+'2월'!E222+'3월'!E222+'4월'!E222+'5월'!E222+'6월'!E222+'7월'!E222+'8월'!E222+'9월'!E222+'10월'!E222+'11월'!E222+'12월'!E222</f>
        <v>18094882213</v>
      </c>
      <c r="F222" s="43">
        <f>'1월'!F222+'2월'!F222+'3월'!F222+'4월'!F222+'5월'!F222+'6월'!F222+'7월'!F222+'8월'!F222+'9월'!F222+'10월'!F222+'11월'!F222+'12월'!F222</f>
        <v>12547887070</v>
      </c>
      <c r="G222" s="43">
        <f>'1월'!H222+'2월'!G222+'3월'!G222+'4월'!G222+'5월'!G222+'6월'!G222+'7월'!G222+'8월'!G222+'9월'!G222+'10월'!G222+'11월'!G222+'12월'!G222</f>
        <v>0</v>
      </c>
      <c r="H222" s="43">
        <f>'1월'!J222+'2월'!H222+'3월'!H222+'4월'!H222+'5월'!H222+'6월'!H222+'7월'!H222+'8월'!H222+'9월'!H222+'10월'!H222+'11월'!H222+'12월'!H222</f>
        <v>855000</v>
      </c>
      <c r="I222" s="43">
        <f>'1월'!K222+'2월'!I222+'3월'!I222+'4월'!I222+'5월'!I222+'6월'!I222+'7월'!I222+'8월'!I222+'9월'!I222+'10월'!I222+'11월'!I222+'12월'!I222</f>
        <v>0</v>
      </c>
      <c r="J222" s="43">
        <f>'1월'!L222+'2월'!J222+'3월'!J222+'4월'!J222+'5월'!J222+'6월'!J222+'7월'!J222+'8월'!J222+'9월'!J222+'10월'!J222+'11월'!J222+'12월'!J222</f>
        <v>0</v>
      </c>
      <c r="K222" s="43">
        <f>'1월'!M222+'2월'!K222+'3월'!K222+'4월'!K222+'5월'!K222+'6월'!K222+'7월'!K222+'8월'!K222+'9월'!K222+'10월'!K222+'11월'!K222+'12월'!K222</f>
        <v>0</v>
      </c>
      <c r="L222" s="43">
        <f>'1월'!N222+'2월'!L222+'3월'!L222+'4월'!L222+'5월'!L222+'6월'!L222+'7월'!L222+'8월'!L222+'9월'!L222+'10월'!L222+'11월'!L222+'12월'!L222</f>
        <v>5546140143</v>
      </c>
      <c r="M222" s="43">
        <f>'1월'!O222+'2월'!M222+'3월'!M222+'4월'!M222+'5월'!M222+'6월'!M222+'7월'!M222+'8월'!M222+'9월'!M222+'10월'!M222+'11월'!M222+'12월'!M222</f>
        <v>0</v>
      </c>
      <c r="O222" s="43">
        <f>IFERROR(VLOOKUP($A222,[1]플랫폼1!$A:$B,2,FALSE),0)</f>
        <v>0</v>
      </c>
      <c r="P222" s="43">
        <f>IFERROR(VLOOKUP($A222,[1]플랫폼2!$A:$M,12,FALSE),0)+IFERROR(VLOOKUP($A222,[1]플랫폼2!$A:$M,13,FALSE),0)</f>
        <v>0</v>
      </c>
      <c r="Q222" s="43">
        <f>IFERROR(VLOOKUP($A222,[1]플랫폼2!$A:$M,7,FALSE),0)+IFERROR(VLOOKUP($A222,[1]플랫폼2!$A:$M,12,FALSE),0)</f>
        <v>0</v>
      </c>
      <c r="R222" s="43">
        <f>IFERROR(VLOOKUP($A222,[1]모바일!$A:$S,17,FALSE),0)</f>
        <v>0</v>
      </c>
      <c r="S222" s="43">
        <f>IFERROR(VLOOKUP($A222,[1]모바일!$A:$S,18,FALSE),0)</f>
        <v>0</v>
      </c>
      <c r="T222" s="43">
        <f>IFERROR(VLOOKUP(A222,[1]플랫폼2!$A:$O,15,0),0)</f>
        <v>0</v>
      </c>
      <c r="U222" s="83"/>
    </row>
    <row r="223" spans="1:21" hidden="1" outlineLevel="1" x14ac:dyDescent="0.45">
      <c r="A223" s="29" t="s">
        <v>116</v>
      </c>
      <c r="B223" s="44">
        <f>'1월'!B223+'2월'!B223+'3월'!B223+'4월'!B223+'5월'!B223+'6월'!B223+'7월'!B223+'8월'!B223+'9월'!B223+'10월'!B223+'11월'!B223+'12월'!B223</f>
        <v>1578011692</v>
      </c>
      <c r="C223" s="44">
        <f>'1월'!C223+'2월'!C223+'3월'!C223+'4월'!C223+'5월'!C223+'6월'!C223+'7월'!C223+'8월'!C223+'9월'!C223+'10월'!C223+'11월'!C223+'12월'!C223</f>
        <v>526147720</v>
      </c>
      <c r="D223" s="44">
        <f>'1월'!D223+'2월'!D223+'3월'!D223+'4월'!D223+'5월'!D223+'6월'!D223+'7월'!D223+'8월'!D223+'9월'!D223+'10월'!D223+'11월'!D223+'12월'!D223</f>
        <v>35912546</v>
      </c>
      <c r="E223" s="44">
        <f>'1월'!E223+'2월'!E223+'3월'!E223+'4월'!E223+'5월'!E223+'6월'!E223+'7월'!E223+'8월'!E223+'9월'!E223+'10월'!E223+'11월'!E223+'12월'!E223</f>
        <v>1015951426</v>
      </c>
      <c r="F223" s="44">
        <f>'1월'!F223+'2월'!F223+'3월'!F223+'4월'!F223+'5월'!F223+'6월'!F223+'7월'!F223+'8월'!F223+'9월'!F223+'10월'!F223+'11월'!F223+'12월'!F223</f>
        <v>153271181</v>
      </c>
      <c r="G223" s="44">
        <f>'1월'!H223+'2월'!G223+'3월'!G223+'4월'!G223+'5월'!G223+'6월'!G223+'7월'!G223+'8월'!G223+'9월'!G223+'10월'!G223+'11월'!G223+'12월'!G223</f>
        <v>577159780</v>
      </c>
      <c r="H223" s="44">
        <f>'1월'!J223+'2월'!H223+'3월'!H223+'4월'!H223+'5월'!H223+'6월'!H223+'7월'!H223+'8월'!H223+'9월'!H223+'10월'!H223+'11월'!H223+'12월'!H223</f>
        <v>0</v>
      </c>
      <c r="I223" s="44">
        <f>'1월'!K223+'2월'!I223+'3월'!I223+'4월'!I223+'5월'!I223+'6월'!I223+'7월'!I223+'8월'!I223+'9월'!I223+'10월'!I223+'11월'!I223+'12월'!I223</f>
        <v>1000000</v>
      </c>
      <c r="J223" s="44">
        <f>'1월'!L223+'2월'!J223+'3월'!J223+'4월'!J223+'5월'!J223+'6월'!J223+'7월'!J223+'8월'!J223+'9월'!J223+'10월'!J223+'11월'!J223+'12월'!J223</f>
        <v>0</v>
      </c>
      <c r="K223" s="44">
        <f>'1월'!M223+'2월'!K223+'3월'!K223+'4월'!K223+'5월'!K223+'6월'!K223+'7월'!K223+'8월'!K223+'9월'!K223+'10월'!K223+'11월'!K223+'12월'!K223</f>
        <v>0</v>
      </c>
      <c r="L223" s="44">
        <f>'1월'!N223+'2월'!L223+'3월'!L223+'4월'!L223+'5월'!L223+'6월'!L223+'7월'!L223+'8월'!L223+'9월'!L223+'10월'!L223+'11월'!L223+'12월'!L223</f>
        <v>18065578</v>
      </c>
      <c r="M223" s="44">
        <f>'1월'!O223+'2월'!M223+'3월'!M223+'4월'!M223+'5월'!M223+'6월'!M223+'7월'!M223+'8월'!M223+'9월'!M223+'10월'!M223+'11월'!M223+'12월'!M223</f>
        <v>266454887</v>
      </c>
      <c r="O223" s="44">
        <f>IFERROR(VLOOKUP($A223,[1]플랫폼1!$A:$B,2,FALSE),0)</f>
        <v>36884936</v>
      </c>
      <c r="P223" s="44">
        <f>IFERROR(VLOOKUP($A223,[1]플랫폼2!$A:$M,12,FALSE),0)+IFERROR(VLOOKUP($A223,[1]플랫폼2!$A:$M,13,FALSE),0)</f>
        <v>90411459.5</v>
      </c>
      <c r="Q223" s="44">
        <f>IFERROR(VLOOKUP($A223,[1]플랫폼2!$A:$M,7,FALSE),0)+IFERROR(VLOOKUP($A223,[1]플랫폼2!$A:$M,12,FALSE),0)</f>
        <v>108440930.5</v>
      </c>
      <c r="R223" s="44">
        <f>IFERROR(VLOOKUP($A223,[1]모바일!$A:$S,17,FALSE),0)</f>
        <v>2167737</v>
      </c>
      <c r="S223" s="44">
        <f>IFERROR(VLOOKUP($A223,[1]모바일!$A:$S,18,FALSE),0)</f>
        <v>2167737</v>
      </c>
      <c r="T223" s="43">
        <f>IFERROR(VLOOKUP(A223,[1]플랫폼2!$A:$O,15,0),0)</f>
        <v>26382087</v>
      </c>
      <c r="U223" s="83"/>
    </row>
    <row r="224" spans="1:21" hidden="1" outlineLevel="1" x14ac:dyDescent="0.45">
      <c r="A224" s="29" t="s">
        <v>105</v>
      </c>
      <c r="B224" s="44">
        <f>'1월'!B224+'2월'!B224+'3월'!B224+'4월'!B224+'5월'!B224+'6월'!B224+'7월'!B224+'8월'!B224+'9월'!B224+'10월'!B224+'11월'!B224+'12월'!B224</f>
        <v>26824162565</v>
      </c>
      <c r="C224" s="44">
        <f>'1월'!C224+'2월'!C224+'3월'!C224+'4월'!C224+'5월'!C224+'6월'!C224+'7월'!C224+'8월'!C224+'9월'!C224+'10월'!C224+'11월'!C224+'12월'!C224</f>
        <v>2205056015</v>
      </c>
      <c r="D224" s="44">
        <f>'1월'!D224+'2월'!D224+'3월'!D224+'4월'!D224+'5월'!D224+'6월'!D224+'7월'!D224+'8월'!D224+'9월'!D224+'10월'!D224+'11월'!D224+'12월'!D224</f>
        <v>37134544</v>
      </c>
      <c r="E224" s="44">
        <f>'1월'!E224+'2월'!E224+'3월'!E224+'4월'!E224+'5월'!E224+'6월'!E224+'7월'!E224+'8월'!E224+'9월'!E224+'10월'!E224+'11월'!E224+'12월'!E224</f>
        <v>24581972006</v>
      </c>
      <c r="F224" s="44">
        <f>'1월'!F224+'2월'!F224+'3월'!F224+'4월'!F224+'5월'!F224+'6월'!F224+'7월'!F224+'8월'!F224+'9월'!F224+'10월'!F224+'11월'!F224+'12월'!F224</f>
        <v>3808846325.8733101</v>
      </c>
      <c r="G224" s="44">
        <f>'1월'!H224+'2월'!G224+'3월'!G224+'4월'!G224+'5월'!G224+'6월'!G224+'7월'!G224+'8월'!G224+'9월'!G224+'10월'!G224+'11월'!G224+'12월'!G224</f>
        <v>19660801.126689963</v>
      </c>
      <c r="H224" s="44">
        <f>'1월'!J224+'2월'!H224+'3월'!H224+'4월'!H224+'5월'!H224+'6월'!H224+'7월'!H224+'8월'!H224+'9월'!H224+'10월'!H224+'11월'!H224+'12월'!H224</f>
        <v>18021531513</v>
      </c>
      <c r="I224" s="44">
        <f>'1월'!K224+'2월'!I224+'3월'!I224+'4월'!I224+'5월'!I224+'6월'!I224+'7월'!I224+'8월'!I224+'9월'!I224+'10월'!I224+'11월'!I224+'12월'!I224</f>
        <v>247040872.50000003</v>
      </c>
      <c r="J224" s="44">
        <f>'1월'!L224+'2월'!J224+'3월'!J224+'4월'!J224+'5월'!J224+'6월'!J224+'7월'!J224+'8월'!J224+'9월'!J224+'10월'!J224+'11월'!J224+'12월'!J224</f>
        <v>72556264.49999997</v>
      </c>
      <c r="K224" s="44">
        <f>'1월'!M224+'2월'!K224+'3월'!K224+'4월'!K224+'5월'!K224+'6월'!K224+'7월'!K224+'8월'!K224+'9월'!K224+'10월'!K224+'11월'!K224+'12월'!K224</f>
        <v>545091134</v>
      </c>
      <c r="L224" s="44">
        <f>'1월'!N224+'2월'!L224+'3월'!L224+'4월'!L224+'5월'!L224+'6월'!L224+'7월'!L224+'8월'!L224+'9월'!L224+'10월'!L224+'11월'!L224+'12월'!L224</f>
        <v>1680990170</v>
      </c>
      <c r="M224" s="44">
        <f>'1월'!O224+'2월'!M224+'3월'!M224+'4월'!M224+'5월'!M224+'6월'!M224+'7월'!M224+'8월'!M224+'9월'!M224+'10월'!M224+'11월'!M224+'12월'!M224</f>
        <v>186254925</v>
      </c>
      <c r="O224" s="44">
        <f>IFERROR(VLOOKUP($A224,[1]플랫폼1!$A:$B,2,FALSE),0)</f>
        <v>105137884</v>
      </c>
      <c r="P224" s="44">
        <f>IFERROR(VLOOKUP($A224,[1]플랫폼2!$A:$M,12,FALSE),0)+IFERROR(VLOOKUP($A224,[1]플랫폼2!$A:$M,13,FALSE),0)</f>
        <v>47612091</v>
      </c>
      <c r="Q224" s="44">
        <f>IFERROR(VLOOKUP($A224,[1]플랫폼2!$A:$M,7,FALSE),0)+IFERROR(VLOOKUP($A224,[1]플랫폼2!$A:$M,12,FALSE),0)</f>
        <v>32739000</v>
      </c>
      <c r="R224" s="44">
        <f>IFERROR(VLOOKUP($A224,[1]모바일!$A:$S,17,FALSE),0)</f>
        <v>0</v>
      </c>
      <c r="S224" s="44">
        <f>IFERROR(VLOOKUP($A224,[1]모바일!$A:$S,18,FALSE),0)</f>
        <v>0</v>
      </c>
      <c r="T224" s="43">
        <f>IFERROR(VLOOKUP(A224,[1]플랫폼2!$A:$O,15,0),0)</f>
        <v>765950</v>
      </c>
      <c r="U224" s="83"/>
    </row>
    <row r="225" spans="1:21" hidden="1" outlineLevel="1" x14ac:dyDescent="0.45">
      <c r="A225" s="29" t="s">
        <v>217</v>
      </c>
      <c r="B225" s="44">
        <f>'1월'!B225+'2월'!B225+'3월'!B225+'4월'!B225+'5월'!B225+'6월'!B225+'7월'!B225+'8월'!B225+'9월'!B225+'10월'!B225+'11월'!B225+'12월'!B225</f>
        <v>0</v>
      </c>
      <c r="C225" s="44">
        <f>'1월'!C225+'2월'!C225+'3월'!C225+'4월'!C225+'5월'!C225+'6월'!C225+'7월'!C225+'8월'!C225+'9월'!C225+'10월'!C225+'11월'!C225+'12월'!C225</f>
        <v>0</v>
      </c>
      <c r="D225" s="44">
        <f>'1월'!D225+'2월'!D225+'3월'!D225+'4월'!D225+'5월'!D225+'6월'!D225+'7월'!D225+'8월'!D225+'9월'!D225+'10월'!D225+'11월'!D225+'12월'!D225</f>
        <v>0</v>
      </c>
      <c r="E225" s="44">
        <f>'1월'!E225+'2월'!E225+'3월'!E225+'4월'!E225+'5월'!E225+'6월'!E225+'7월'!E225+'8월'!E225+'9월'!E225+'10월'!E225+'11월'!E225+'12월'!E225</f>
        <v>0</v>
      </c>
      <c r="F225" s="44">
        <f>'1월'!F225+'2월'!F225+'3월'!F225+'4월'!F225+'5월'!F225+'6월'!F225+'7월'!F225+'8월'!F225+'9월'!F225+'10월'!F225+'11월'!F225+'12월'!F225</f>
        <v>0</v>
      </c>
      <c r="G225" s="44">
        <f>'1월'!H225+'2월'!G225+'3월'!G225+'4월'!G225+'5월'!G225+'6월'!G225+'7월'!G225+'8월'!G225+'9월'!G225+'10월'!G225+'11월'!G225+'12월'!G225</f>
        <v>0</v>
      </c>
      <c r="H225" s="44">
        <f>'1월'!J225+'2월'!H225+'3월'!H225+'4월'!H225+'5월'!H225+'6월'!H225+'7월'!H225+'8월'!H225+'9월'!H225+'10월'!H225+'11월'!H225+'12월'!H225</f>
        <v>0</v>
      </c>
      <c r="I225" s="44">
        <f>'1월'!K225+'2월'!I225+'3월'!I225+'4월'!I225+'5월'!I225+'6월'!I225+'7월'!I225+'8월'!I225+'9월'!I225+'10월'!I225+'11월'!I225+'12월'!I225</f>
        <v>0</v>
      </c>
      <c r="J225" s="44">
        <f>'1월'!L225+'2월'!J225+'3월'!J225+'4월'!J225+'5월'!J225+'6월'!J225+'7월'!J225+'8월'!J225+'9월'!J225+'10월'!J225+'11월'!J225+'12월'!J225</f>
        <v>0</v>
      </c>
      <c r="K225" s="44">
        <f>'1월'!M225+'2월'!K225+'3월'!K225+'4월'!K225+'5월'!K225+'6월'!K225+'7월'!K225+'8월'!K225+'9월'!K225+'10월'!K225+'11월'!K225+'12월'!K225</f>
        <v>0</v>
      </c>
      <c r="L225" s="44">
        <f>'1월'!N225+'2월'!L225+'3월'!L225+'4월'!L225+'5월'!L225+'6월'!L225+'7월'!L225+'8월'!L225+'9월'!L225+'10월'!L225+'11월'!L225+'12월'!L225</f>
        <v>0</v>
      </c>
      <c r="M225" s="44">
        <f>'1월'!O225+'2월'!M225+'3월'!M225+'4월'!M225+'5월'!M225+'6월'!M225+'7월'!M225+'8월'!M225+'9월'!M225+'10월'!M225+'11월'!M225+'12월'!M225</f>
        <v>0</v>
      </c>
      <c r="O225" s="44">
        <f>IFERROR(VLOOKUP($A225,[1]플랫폼1!$A:$B,2,FALSE),0)</f>
        <v>0</v>
      </c>
      <c r="P225" s="44">
        <f>IFERROR(VLOOKUP($A225,[1]플랫폼2!$A:$M,12,FALSE),0)+IFERROR(VLOOKUP($A225,[1]플랫폼2!$A:$M,13,FALSE),0)</f>
        <v>0</v>
      </c>
      <c r="Q225" s="44">
        <f>IFERROR(VLOOKUP($A225,[1]플랫폼2!$A:$M,7,FALSE),0)+IFERROR(VLOOKUP($A225,[1]플랫폼2!$A:$M,12,FALSE),0)</f>
        <v>0</v>
      </c>
      <c r="R225" s="44">
        <f>IFERROR(VLOOKUP($A225,[1]모바일!$A:$S,17,FALSE),0)</f>
        <v>0</v>
      </c>
      <c r="S225" s="44">
        <f>IFERROR(VLOOKUP($A225,[1]모바일!$A:$S,18,FALSE),0)</f>
        <v>0</v>
      </c>
      <c r="T225" s="43">
        <f>IFERROR(VLOOKUP(A225,[1]플랫폼2!$A:$O,15,0),0)</f>
        <v>0</v>
      </c>
      <c r="U225" s="83"/>
    </row>
    <row r="226" spans="1:21" s="1" customFormat="1" hidden="1" outlineLevel="1" x14ac:dyDescent="0.45">
      <c r="A226" s="29" t="s">
        <v>106</v>
      </c>
      <c r="B226" s="44">
        <f>'1월'!B226+'2월'!B226+'3월'!B226+'4월'!B226+'5월'!B226+'6월'!B226+'7월'!B226+'8월'!B226+'9월'!B226+'10월'!B226+'11월'!B226+'12월'!B226</f>
        <v>40575775</v>
      </c>
      <c r="C226" s="44">
        <f>'1월'!C226+'2월'!C226+'3월'!C226+'4월'!C226+'5월'!C226+'6월'!C226+'7월'!C226+'8월'!C226+'9월'!C226+'10월'!C226+'11월'!C226+'12월'!C226</f>
        <v>0</v>
      </c>
      <c r="D226" s="44">
        <f>'1월'!D226+'2월'!D226+'3월'!D226+'4월'!D226+'5월'!D226+'6월'!D226+'7월'!D226+'8월'!D226+'9월'!D226+'10월'!D226+'11월'!D226+'12월'!D226</f>
        <v>0</v>
      </c>
      <c r="E226" s="44">
        <f>'1월'!E226+'2월'!E226+'3월'!E226+'4월'!E226+'5월'!E226+'6월'!E226+'7월'!E226+'8월'!E226+'9월'!E226+'10월'!E226+'11월'!E226+'12월'!E226</f>
        <v>40575775</v>
      </c>
      <c r="F226" s="44">
        <f>'1월'!F226+'2월'!F226+'3월'!F226+'4월'!F226+'5월'!F226+'6월'!F226+'7월'!F226+'8월'!F226+'9월'!F226+'10월'!F226+'11월'!F226+'12월'!F226</f>
        <v>0</v>
      </c>
      <c r="G226" s="44">
        <f>'1월'!H226+'2월'!G226+'3월'!G226+'4월'!G226+'5월'!G226+'6월'!G226+'7월'!G226+'8월'!G226+'9월'!G226+'10월'!G226+'11월'!G226+'12월'!G226</f>
        <v>0</v>
      </c>
      <c r="H226" s="44">
        <f>'1월'!J226+'2월'!H226+'3월'!H226+'4월'!H226+'5월'!H226+'6월'!H226+'7월'!H226+'8월'!H226+'9월'!H226+'10월'!H226+'11월'!H226+'12월'!H226</f>
        <v>0</v>
      </c>
      <c r="I226" s="44">
        <f>'1월'!K226+'2월'!I226+'3월'!I226+'4월'!I226+'5월'!I226+'6월'!I226+'7월'!I226+'8월'!I226+'9월'!I226+'10월'!I226+'11월'!I226+'12월'!I226</f>
        <v>0</v>
      </c>
      <c r="J226" s="44">
        <f>'1월'!L226+'2월'!J226+'3월'!J226+'4월'!J226+'5월'!J226+'6월'!J226+'7월'!J226+'8월'!J226+'9월'!J226+'10월'!J226+'11월'!J226+'12월'!J226</f>
        <v>0</v>
      </c>
      <c r="K226" s="44">
        <f>'1월'!M226+'2월'!K226+'3월'!K226+'4월'!K226+'5월'!K226+'6월'!K226+'7월'!K226+'8월'!K226+'9월'!K226+'10월'!K226+'11월'!K226+'12월'!K226</f>
        <v>0</v>
      </c>
      <c r="L226" s="44">
        <f>'1월'!N226+'2월'!L226+'3월'!L226+'4월'!L226+'5월'!L226+'6월'!L226+'7월'!L226+'8월'!L226+'9월'!L226+'10월'!L226+'11월'!L226+'12월'!L226</f>
        <v>40575775</v>
      </c>
      <c r="M226" s="44">
        <f>'1월'!O226+'2월'!M226+'3월'!M226+'4월'!M226+'5월'!M226+'6월'!M226+'7월'!M226+'8월'!M226+'9월'!M226+'10월'!M226+'11월'!M226+'12월'!M226</f>
        <v>0</v>
      </c>
      <c r="O226" s="44">
        <f>IFERROR(VLOOKUP($A226,[1]플랫폼1!$A:$B,2,FALSE),0)</f>
        <v>0</v>
      </c>
      <c r="P226" s="44">
        <f>IFERROR(VLOOKUP($A226,[1]플랫폼2!$A:$M,12,FALSE),0)+IFERROR(VLOOKUP($A226,[1]플랫폼2!$A:$M,13,FALSE),0)</f>
        <v>0</v>
      </c>
      <c r="Q226" s="44">
        <f>IFERROR(VLOOKUP($A226,[1]플랫폼2!$A:$M,7,FALSE),0)+IFERROR(VLOOKUP($A226,[1]플랫폼2!$A:$M,12,FALSE),0)</f>
        <v>0</v>
      </c>
      <c r="R226" s="44">
        <f>IFERROR(VLOOKUP($A226,[1]모바일!$A:$S,17,FALSE),0)</f>
        <v>0</v>
      </c>
      <c r="S226" s="44">
        <f>IFERROR(VLOOKUP($A226,[1]모바일!$A:$S,18,FALSE),0)</f>
        <v>0</v>
      </c>
      <c r="T226" s="43">
        <f>IFERROR(VLOOKUP(A226,[1]플랫폼2!$A:$O,15,0),0)</f>
        <v>0</v>
      </c>
      <c r="U226" s="83"/>
    </row>
    <row r="227" spans="1:21" s="1" customFormat="1" hidden="1" outlineLevel="1" x14ac:dyDescent="0.45">
      <c r="A227" s="28" t="s">
        <v>260</v>
      </c>
      <c r="B227" s="43">
        <f>'1월'!B227+'2월'!B227+'3월'!B227+'4월'!B227+'5월'!B227+'6월'!B227+'7월'!B227+'8월'!B227+'9월'!B227+'10월'!B227+'11월'!B227+'12월'!B227</f>
        <v>0</v>
      </c>
      <c r="C227" s="43">
        <f>'1월'!C227+'2월'!C227+'3월'!C227+'4월'!C227+'5월'!C227+'6월'!C227+'7월'!C227+'8월'!C227+'9월'!C227+'10월'!C227+'11월'!C227+'12월'!C227</f>
        <v>0</v>
      </c>
      <c r="D227" s="43">
        <f>'1월'!D227+'2월'!D227+'3월'!D227+'4월'!D227+'5월'!D227+'6월'!D227+'7월'!D227+'8월'!D227+'9월'!D227+'10월'!D227+'11월'!D227+'12월'!D227</f>
        <v>0</v>
      </c>
      <c r="E227" s="43">
        <f>'1월'!E227+'2월'!E227+'3월'!E227+'4월'!E227+'5월'!E227+'6월'!E227+'7월'!E227+'8월'!E227+'9월'!E227+'10월'!E227+'11월'!E227+'12월'!E227</f>
        <v>0</v>
      </c>
      <c r="F227" s="43">
        <f>'1월'!F227+'2월'!F227+'3월'!F227+'4월'!F227+'5월'!F227+'6월'!F227+'7월'!F227+'8월'!F227+'9월'!F227+'10월'!F227+'11월'!F227+'12월'!F227</f>
        <v>0</v>
      </c>
      <c r="G227" s="43">
        <f>'1월'!H227+'2월'!G227+'3월'!G227+'4월'!G227+'5월'!G227+'6월'!G227+'7월'!G227+'8월'!G227+'9월'!G227+'10월'!G227+'11월'!G227+'12월'!G227</f>
        <v>0</v>
      </c>
      <c r="H227" s="43">
        <f>'1월'!J227+'2월'!H227+'3월'!H227+'4월'!H227+'5월'!H227+'6월'!H227+'7월'!H227+'8월'!H227+'9월'!H227+'10월'!H227+'11월'!H227+'12월'!H227</f>
        <v>0</v>
      </c>
      <c r="I227" s="43">
        <f>'1월'!K227+'2월'!I227+'3월'!I227+'4월'!I227+'5월'!I227+'6월'!I227+'7월'!I227+'8월'!I227+'9월'!I227+'10월'!I227+'11월'!I227+'12월'!I227</f>
        <v>0</v>
      </c>
      <c r="J227" s="43">
        <f>'1월'!L227+'2월'!J227+'3월'!J227+'4월'!J227+'5월'!J227+'6월'!J227+'7월'!J227+'8월'!J227+'9월'!J227+'10월'!J227+'11월'!J227+'12월'!J227</f>
        <v>0</v>
      </c>
      <c r="K227" s="43">
        <f>'1월'!M227+'2월'!K227+'3월'!K227+'4월'!K227+'5월'!K227+'6월'!K227+'7월'!K227+'8월'!K227+'9월'!K227+'10월'!K227+'11월'!K227+'12월'!K227</f>
        <v>0</v>
      </c>
      <c r="L227" s="43">
        <f>'1월'!N227+'2월'!L227+'3월'!L227+'4월'!L227+'5월'!L227+'6월'!L227+'7월'!L227+'8월'!L227+'9월'!L227+'10월'!L227+'11월'!L227+'12월'!L227</f>
        <v>0</v>
      </c>
      <c r="M227" s="43">
        <f>'1월'!O227+'2월'!M227+'3월'!M227+'4월'!M227+'5월'!M227+'6월'!M227+'7월'!M227+'8월'!M227+'9월'!M227+'10월'!M227+'11월'!M227+'12월'!M227</f>
        <v>0</v>
      </c>
      <c r="O227" s="43">
        <f>IFERROR(VLOOKUP($A227,[1]플랫폼1!$A:$B,2,FALSE),0)</f>
        <v>0</v>
      </c>
      <c r="P227" s="43">
        <f>IFERROR(VLOOKUP($A227,[1]플랫폼2!$A:$M,12,FALSE),0)+IFERROR(VLOOKUP($A227,[1]플랫폼2!$A:$M,13,FALSE),0)</f>
        <v>0</v>
      </c>
      <c r="Q227" s="43">
        <f>IFERROR(VLOOKUP($A227,[1]플랫폼2!$A:$M,7,FALSE),0)+IFERROR(VLOOKUP($A227,[1]플랫폼2!$A:$M,12,FALSE),0)</f>
        <v>0</v>
      </c>
      <c r="R227" s="43">
        <f>IFERROR(VLOOKUP($A227,[1]모바일!$A:$S,17,FALSE),0)</f>
        <v>0</v>
      </c>
      <c r="S227" s="43">
        <f>IFERROR(VLOOKUP($A227,[1]모바일!$A:$S,18,FALSE),0)</f>
        <v>0</v>
      </c>
      <c r="T227" s="43">
        <f>IFERROR(VLOOKUP(A227,[1]플랫폼2!$A:$O,15,0),0)</f>
        <v>0</v>
      </c>
      <c r="U227" s="83"/>
    </row>
    <row r="228" spans="1:21" s="1" customFormat="1" collapsed="1" x14ac:dyDescent="0.45">
      <c r="A228" s="28" t="s">
        <v>218</v>
      </c>
      <c r="B228" s="43">
        <f>'1월'!B228+'2월'!B228+'3월'!B228+'4월'!B228+'5월'!B228+'6월'!B228+'7월'!B228+'8월'!B228+'9월'!B228+'10월'!B228+'11월'!B228+'12월'!B228</f>
        <v>0</v>
      </c>
      <c r="C228" s="43">
        <f>'1월'!C228+'2월'!C228+'3월'!C228+'4월'!C228+'5월'!C228+'6월'!C228+'7월'!C228+'8월'!C228+'9월'!C228+'10월'!C228+'11월'!C228+'12월'!C228</f>
        <v>0</v>
      </c>
      <c r="D228" s="43">
        <f>'1월'!D228+'2월'!D228+'3월'!D228+'4월'!D228+'5월'!D228+'6월'!D228+'7월'!D228+'8월'!D228+'9월'!D228+'10월'!D228+'11월'!D228+'12월'!D228</f>
        <v>0</v>
      </c>
      <c r="E228" s="43">
        <f>'1월'!E228+'2월'!E228+'3월'!E228+'4월'!E228+'5월'!E228+'6월'!E228+'7월'!E228+'8월'!E228+'9월'!E228+'10월'!E228+'11월'!E228+'12월'!E228</f>
        <v>0</v>
      </c>
      <c r="F228" s="43">
        <f>'1월'!F228+'2월'!F228+'3월'!F228+'4월'!F228+'5월'!F228+'6월'!F228+'7월'!F228+'8월'!F228+'9월'!F228+'10월'!F228+'11월'!F228+'12월'!F228</f>
        <v>0</v>
      </c>
      <c r="G228" s="43">
        <f>'1월'!H228+'2월'!G228+'3월'!G228+'4월'!G228+'5월'!G228+'6월'!G228+'7월'!G228+'8월'!G228+'9월'!G228+'10월'!G228+'11월'!G228+'12월'!G228</f>
        <v>0</v>
      </c>
      <c r="H228" s="43">
        <f>'1월'!J228+'2월'!H228+'3월'!H228+'4월'!H228+'5월'!H228+'6월'!H228+'7월'!H228+'8월'!H228+'9월'!H228+'10월'!H228+'11월'!H228+'12월'!H228</f>
        <v>0</v>
      </c>
      <c r="I228" s="43">
        <f>'1월'!K228+'2월'!I228+'3월'!I228+'4월'!I228+'5월'!I228+'6월'!I228+'7월'!I228+'8월'!I228+'9월'!I228+'10월'!I228+'11월'!I228+'12월'!I228</f>
        <v>0</v>
      </c>
      <c r="J228" s="43">
        <f>'1월'!L228+'2월'!J228+'3월'!J228+'4월'!J228+'5월'!J228+'6월'!J228+'7월'!J228+'8월'!J228+'9월'!J228+'10월'!J228+'11월'!J228+'12월'!J228</f>
        <v>0</v>
      </c>
      <c r="K228" s="43">
        <f>'1월'!M228+'2월'!K228+'3월'!K228+'4월'!K228+'5월'!K228+'6월'!K228+'7월'!K228+'8월'!K228+'9월'!K228+'10월'!K228+'11월'!K228+'12월'!K228</f>
        <v>0</v>
      </c>
      <c r="L228" s="43">
        <f>'1월'!N228+'2월'!L228+'3월'!L228+'4월'!L228+'5월'!L228+'6월'!L228+'7월'!L228+'8월'!L228+'9월'!L228+'10월'!L228+'11월'!L228+'12월'!L228</f>
        <v>0</v>
      </c>
      <c r="M228" s="43">
        <f>'1월'!O228+'2월'!M228+'3월'!M228+'4월'!M228+'5월'!M228+'6월'!M228+'7월'!M228+'8월'!M228+'9월'!M228+'10월'!M228+'11월'!M228+'12월'!M228</f>
        <v>0</v>
      </c>
      <c r="O228" s="43">
        <f>IFERROR(VLOOKUP($A228,[1]플랫폼1!$A:$B,2,FALSE),0)</f>
        <v>0</v>
      </c>
      <c r="P228" s="43">
        <f>IFERROR(VLOOKUP($A228,[1]플랫폼2!$A:$M,12,FALSE),0)+IFERROR(VLOOKUP($A228,[1]플랫폼2!$A:$M,13,FALSE),0)</f>
        <v>0</v>
      </c>
      <c r="Q228" s="43">
        <f>IFERROR(VLOOKUP($A228,[1]플랫폼2!$A:$M,7,FALSE),0)+IFERROR(VLOOKUP($A228,[1]플랫폼2!$A:$M,12,FALSE),0)</f>
        <v>0</v>
      </c>
      <c r="R228" s="43">
        <f>IFERROR(VLOOKUP($A228,[1]모바일!$A:$S,17,FALSE),0)</f>
        <v>0</v>
      </c>
      <c r="S228" s="43">
        <f>IFERROR(VLOOKUP($A228,[1]모바일!$A:$S,18,FALSE),0)</f>
        <v>0</v>
      </c>
      <c r="T228" s="43">
        <f>IFERROR(VLOOKUP(A228,[1]플랫폼2!$A:$O,15,0),0)</f>
        <v>0</v>
      </c>
      <c r="U228" s="83"/>
    </row>
    <row r="229" spans="1:21" x14ac:dyDescent="0.45">
      <c r="A229" s="28" t="s">
        <v>107</v>
      </c>
      <c r="B229" s="43">
        <f>'1월'!B229+'2월'!B229+'3월'!B229+'4월'!B229+'5월'!B229+'6월'!B229+'7월'!B229+'8월'!B229+'9월'!B229+'10월'!B229+'11월'!B229+'12월'!B229</f>
        <v>15427885715</v>
      </c>
      <c r="C229" s="43">
        <f>'1월'!C229+'2월'!C229+'3월'!C229+'4월'!C229+'5월'!C229+'6월'!C229+'7월'!C229+'8월'!C229+'9월'!C229+'10월'!C229+'11월'!C229+'12월'!C229</f>
        <v>-687577778</v>
      </c>
      <c r="D229" s="43">
        <f>'1월'!D229+'2월'!D229+'3월'!D229+'4월'!D229+'5월'!D229+'6월'!D229+'7월'!D229+'8월'!D229+'9월'!D229+'10월'!D229+'11월'!D229+'12월'!D229</f>
        <v>198814603</v>
      </c>
      <c r="E229" s="43">
        <f>'1월'!E229+'2월'!E229+'3월'!E229+'4월'!E229+'5월'!E229+'6월'!E229+'7월'!E229+'8월'!E229+'9월'!E229+'10월'!E229+'11월'!E229+'12월'!E229</f>
        <v>15916648890</v>
      </c>
      <c r="F229" s="43">
        <f>'1월'!F229+'2월'!F229+'3월'!F229+'4월'!F229+'5월'!F229+'6월'!F229+'7월'!F229+'8월'!F229+'9월'!F229+'10월'!F229+'11월'!F229+'12월'!F229</f>
        <v>-34413.445008528419</v>
      </c>
      <c r="G229" s="43">
        <f>'1월'!H229+'2월'!G229+'3월'!G229+'4월'!G229+'5월'!G229+'6월'!G229+'7월'!G229+'8월'!G229+'9월'!G229+'10월'!G229+'11월'!G229+'12월'!G229</f>
        <v>139156253.44500852</v>
      </c>
      <c r="H229" s="43">
        <f>'1월'!J229+'2월'!H229+'3월'!H229+'4월'!H229+'5월'!H229+'6월'!H229+'7월'!H229+'8월'!H229+'9월'!H229+'10월'!H229+'11월'!H229+'12월'!H229</f>
        <v>470137631</v>
      </c>
      <c r="I229" s="43">
        <f>'1월'!K229+'2월'!I229+'3월'!I229+'4월'!I229+'5월'!I229+'6월'!I229+'7월'!I229+'8월'!I229+'9월'!I229+'10월'!I229+'11월'!I229+'12월'!I229</f>
        <v>3646843625.1999998</v>
      </c>
      <c r="J229" s="43">
        <f>'1월'!L229+'2월'!J229+'3월'!J229+'4월'!J229+'5월'!J229+'6월'!J229+'7월'!J229+'8월'!J229+'9월'!J229+'10월'!J229+'11월'!J229+'12월'!J229</f>
        <v>8911779654.7999992</v>
      </c>
      <c r="K229" s="43">
        <f>'1월'!M229+'2월'!K229+'3월'!K229+'4월'!K229+'5월'!K229+'6월'!K229+'7월'!K229+'8월'!K229+'9월'!K229+'10월'!K229+'11월'!K229+'12월'!K229</f>
        <v>2204332747</v>
      </c>
      <c r="L229" s="43">
        <f>'1월'!N229+'2월'!L229+'3월'!L229+'4월'!L229+'5월'!L229+'6월'!L229+'7월'!L229+'8월'!L229+'9월'!L229+'10월'!L229+'11월'!L229+'12월'!L229</f>
        <v>544433392</v>
      </c>
      <c r="M229" s="43">
        <f>'1월'!O229+'2월'!M229+'3월'!M229+'4월'!M229+'5월'!M229+'6월'!M229+'7월'!M229+'8월'!M229+'9월'!M229+'10월'!M229+'11월'!M229+'12월'!M229</f>
        <v>0</v>
      </c>
      <c r="O229" s="43">
        <f>IFERROR(VLOOKUP($A229,[1]플랫폼1!$A:$B,2,FALSE),0)</f>
        <v>0</v>
      </c>
      <c r="P229" s="43">
        <f>IFERROR(VLOOKUP($A229,[1]플랫폼2!$A:$M,12,FALSE),0)+IFERROR(VLOOKUP($A229,[1]플랫폼2!$A:$M,13,FALSE),0)</f>
        <v>0</v>
      </c>
      <c r="Q229" s="43">
        <f>IFERROR(VLOOKUP($A229,[1]플랫폼2!$A:$M,7,FALSE),0)+IFERROR(VLOOKUP($A229,[1]플랫폼2!$A:$M,12,FALSE),0)</f>
        <v>0</v>
      </c>
      <c r="R229" s="43">
        <f>IFERROR(VLOOKUP($A229,[1]모바일!$A:$S,17,FALSE),0)</f>
        <v>0</v>
      </c>
      <c r="S229" s="43">
        <f>IFERROR(VLOOKUP($A229,[1]모바일!$A:$S,18,FALSE),0)</f>
        <v>0</v>
      </c>
      <c r="T229" s="43">
        <f>IFERROR(VLOOKUP(A229,[1]플랫폼2!$A:$O,15,0),0)</f>
        <v>0</v>
      </c>
      <c r="U229" s="83"/>
    </row>
    <row r="230" spans="1:21" hidden="1" outlineLevel="1" x14ac:dyDescent="0.45">
      <c r="A230" s="29" t="s">
        <v>158</v>
      </c>
      <c r="B230" s="44">
        <f>'1월'!B230+'2월'!B230+'3월'!B230+'4월'!B230+'5월'!B230+'6월'!B230+'7월'!B230+'8월'!B230+'9월'!B230+'10월'!B230+'11월'!B230+'12월'!B230</f>
        <v>0</v>
      </c>
      <c r="C230" s="44">
        <f>'1월'!C230+'2월'!C230+'3월'!C230+'4월'!C230+'5월'!C230+'6월'!C230+'7월'!C230+'8월'!C230+'9월'!C230+'10월'!C230+'11월'!C230+'12월'!C230</f>
        <v>0</v>
      </c>
      <c r="D230" s="44">
        <f>'1월'!D230+'2월'!D230+'3월'!D230+'4월'!D230+'5월'!D230+'6월'!D230+'7월'!D230+'8월'!D230+'9월'!D230+'10월'!D230+'11월'!D230+'12월'!D230</f>
        <v>0</v>
      </c>
      <c r="E230" s="44">
        <f>'1월'!E230+'2월'!E230+'3월'!E230+'4월'!E230+'5월'!E230+'6월'!E230+'7월'!E230+'8월'!E230+'9월'!E230+'10월'!E230+'11월'!E230+'12월'!E230</f>
        <v>0</v>
      </c>
      <c r="F230" s="44">
        <f>'1월'!F230+'2월'!F230+'3월'!F230+'4월'!F230+'5월'!F230+'6월'!F230+'7월'!F230+'8월'!F230+'9월'!F230+'10월'!F230+'11월'!F230+'12월'!F230</f>
        <v>0</v>
      </c>
      <c r="G230" s="44">
        <f>'1월'!H230+'2월'!G230+'3월'!G230+'4월'!G230+'5월'!G230+'6월'!G230+'7월'!G230+'8월'!G230+'9월'!G230+'10월'!G230+'11월'!G230+'12월'!G230</f>
        <v>0</v>
      </c>
      <c r="H230" s="44">
        <f>'1월'!J230+'2월'!H230+'3월'!H230+'4월'!H230+'5월'!H230+'6월'!H230+'7월'!H230+'8월'!H230+'9월'!H230+'10월'!H230+'11월'!H230+'12월'!H230</f>
        <v>0</v>
      </c>
      <c r="I230" s="44">
        <f>'1월'!K230+'2월'!I230+'3월'!I230+'4월'!I230+'5월'!I230+'6월'!I230+'7월'!I230+'8월'!I230+'9월'!I230+'10월'!I230+'11월'!I230+'12월'!I230</f>
        <v>0</v>
      </c>
      <c r="J230" s="44">
        <f>'1월'!L230+'2월'!J230+'3월'!J230+'4월'!J230+'5월'!J230+'6월'!J230+'7월'!J230+'8월'!J230+'9월'!J230+'10월'!J230+'11월'!J230+'12월'!J230</f>
        <v>0</v>
      </c>
      <c r="K230" s="44">
        <f>'1월'!M230+'2월'!K230+'3월'!K230+'4월'!K230+'5월'!K230+'6월'!K230+'7월'!K230+'8월'!K230+'9월'!K230+'10월'!K230+'11월'!K230+'12월'!K230</f>
        <v>0</v>
      </c>
      <c r="L230" s="44">
        <f>'1월'!N230+'2월'!L230+'3월'!L230+'4월'!L230+'5월'!L230+'6월'!L230+'7월'!L230+'8월'!L230+'9월'!L230+'10월'!L230+'11월'!L230+'12월'!L230</f>
        <v>0</v>
      </c>
      <c r="M230" s="44">
        <f>'1월'!O230+'2월'!M230+'3월'!M230+'4월'!M230+'5월'!M230+'6월'!M230+'7월'!M230+'8월'!M230+'9월'!M230+'10월'!M230+'11월'!M230+'12월'!M230</f>
        <v>0</v>
      </c>
      <c r="O230" s="44">
        <f>IFERROR(VLOOKUP($A230,[1]플랫폼1!$A:$B,2,FALSE),0)</f>
        <v>0</v>
      </c>
      <c r="P230" s="44">
        <f>IFERROR(VLOOKUP($A230,[1]플랫폼2!$A:$M,12,FALSE),0)+IFERROR(VLOOKUP($A230,[1]플랫폼2!$A:$M,13,FALSE),0)</f>
        <v>0</v>
      </c>
      <c r="Q230" s="44">
        <f>IFERROR(VLOOKUP($A230,[1]플랫폼2!$A:$M,7,FALSE),0)+IFERROR(VLOOKUP($A230,[1]플랫폼2!$A:$M,12,FALSE),0)</f>
        <v>0</v>
      </c>
      <c r="R230" s="44">
        <f>IFERROR(VLOOKUP($A230,[1]모바일!$A:$S,17,FALSE),0)</f>
        <v>0</v>
      </c>
      <c r="S230" s="44">
        <f>IFERROR(VLOOKUP($A230,[1]모바일!$A:$S,18,FALSE),0)</f>
        <v>0</v>
      </c>
      <c r="T230" s="43">
        <f>IFERROR(VLOOKUP(A230,[1]플랫폼2!$A:$O,15,0),0)</f>
        <v>0</v>
      </c>
      <c r="U230" s="83"/>
    </row>
    <row r="231" spans="1:21" hidden="1" outlineLevel="1" x14ac:dyDescent="0.45">
      <c r="A231" s="29" t="s">
        <v>219</v>
      </c>
      <c r="B231" s="44">
        <f>'1월'!B231+'2월'!B231+'3월'!B231+'4월'!B231+'5월'!B231+'6월'!B231+'7월'!B231+'8월'!B231+'9월'!B231+'10월'!B231+'11월'!B231+'12월'!B231</f>
        <v>0</v>
      </c>
      <c r="C231" s="44">
        <f>'1월'!C231+'2월'!C231+'3월'!C231+'4월'!C231+'5월'!C231+'6월'!C231+'7월'!C231+'8월'!C231+'9월'!C231+'10월'!C231+'11월'!C231+'12월'!C231</f>
        <v>0</v>
      </c>
      <c r="D231" s="44">
        <f>'1월'!D231+'2월'!D231+'3월'!D231+'4월'!D231+'5월'!D231+'6월'!D231+'7월'!D231+'8월'!D231+'9월'!D231+'10월'!D231+'11월'!D231+'12월'!D231</f>
        <v>0</v>
      </c>
      <c r="E231" s="44">
        <f>'1월'!E231+'2월'!E231+'3월'!E231+'4월'!E231+'5월'!E231+'6월'!E231+'7월'!E231+'8월'!E231+'9월'!E231+'10월'!E231+'11월'!E231+'12월'!E231</f>
        <v>0</v>
      </c>
      <c r="F231" s="44">
        <f>'1월'!F231+'2월'!F231+'3월'!F231+'4월'!F231+'5월'!F231+'6월'!F231+'7월'!F231+'8월'!F231+'9월'!F231+'10월'!F231+'11월'!F231+'12월'!F231</f>
        <v>0</v>
      </c>
      <c r="G231" s="44">
        <f>'1월'!H231+'2월'!G231+'3월'!G231+'4월'!G231+'5월'!G231+'6월'!G231+'7월'!G231+'8월'!G231+'9월'!G231+'10월'!G231+'11월'!G231+'12월'!G231</f>
        <v>0</v>
      </c>
      <c r="H231" s="44">
        <f>'1월'!J231+'2월'!H231+'3월'!H231+'4월'!H231+'5월'!H231+'6월'!H231+'7월'!H231+'8월'!H231+'9월'!H231+'10월'!H231+'11월'!H231+'12월'!H231</f>
        <v>0</v>
      </c>
      <c r="I231" s="44">
        <f>'1월'!K231+'2월'!I231+'3월'!I231+'4월'!I231+'5월'!I231+'6월'!I231+'7월'!I231+'8월'!I231+'9월'!I231+'10월'!I231+'11월'!I231+'12월'!I231</f>
        <v>0</v>
      </c>
      <c r="J231" s="44">
        <f>'1월'!L231+'2월'!J231+'3월'!J231+'4월'!J231+'5월'!J231+'6월'!J231+'7월'!J231+'8월'!J231+'9월'!J231+'10월'!J231+'11월'!J231+'12월'!J231</f>
        <v>0</v>
      </c>
      <c r="K231" s="44">
        <f>'1월'!M231+'2월'!K231+'3월'!K231+'4월'!K231+'5월'!K231+'6월'!K231+'7월'!K231+'8월'!K231+'9월'!K231+'10월'!K231+'11월'!K231+'12월'!K231</f>
        <v>0</v>
      </c>
      <c r="L231" s="44">
        <f>'1월'!N231+'2월'!L231+'3월'!L231+'4월'!L231+'5월'!L231+'6월'!L231+'7월'!L231+'8월'!L231+'9월'!L231+'10월'!L231+'11월'!L231+'12월'!L231</f>
        <v>0</v>
      </c>
      <c r="M231" s="44">
        <f>'1월'!O231+'2월'!M231+'3월'!M231+'4월'!M231+'5월'!M231+'6월'!M231+'7월'!M231+'8월'!M231+'9월'!M231+'10월'!M231+'11월'!M231+'12월'!M231</f>
        <v>0</v>
      </c>
      <c r="O231" s="44">
        <f>IFERROR(VLOOKUP($A231,[1]플랫폼1!$A:$B,2,FALSE),0)</f>
        <v>0</v>
      </c>
      <c r="P231" s="44">
        <f>IFERROR(VLOOKUP($A231,[1]플랫폼2!$A:$M,12,FALSE),0)+IFERROR(VLOOKUP($A231,[1]플랫폼2!$A:$M,13,FALSE),0)</f>
        <v>0</v>
      </c>
      <c r="Q231" s="44">
        <f>IFERROR(VLOOKUP($A231,[1]플랫폼2!$A:$M,7,FALSE),0)+IFERROR(VLOOKUP($A231,[1]플랫폼2!$A:$M,12,FALSE),0)</f>
        <v>0</v>
      </c>
      <c r="R231" s="44">
        <f>IFERROR(VLOOKUP($A231,[1]모바일!$A:$S,17,FALSE),0)</f>
        <v>0</v>
      </c>
      <c r="S231" s="44">
        <f>IFERROR(VLOOKUP($A231,[1]모바일!$A:$S,18,FALSE),0)</f>
        <v>0</v>
      </c>
      <c r="T231" s="43">
        <f>IFERROR(VLOOKUP(A231,[1]플랫폼2!$A:$O,15,0),0)</f>
        <v>0</v>
      </c>
      <c r="U231" s="83"/>
    </row>
    <row r="232" spans="1:21" hidden="1" outlineLevel="1" x14ac:dyDescent="0.45">
      <c r="A232" s="29" t="s">
        <v>230</v>
      </c>
      <c r="B232" s="44">
        <f>'1월'!B232+'2월'!B232+'3월'!B232+'4월'!B232+'5월'!B232+'6월'!B232+'7월'!B232+'8월'!B232+'9월'!B232+'10월'!B232+'11월'!B232+'12월'!B232</f>
        <v>15229809294</v>
      </c>
      <c r="C232" s="44">
        <f>'1월'!C232+'2월'!C232+'3월'!C232+'4월'!C232+'5월'!C232+'6월'!C232+'7월'!C232+'8월'!C232+'9월'!C232+'10월'!C232+'11월'!C232+'12월'!C232</f>
        <v>952000</v>
      </c>
      <c r="D232" s="44">
        <f>'1월'!D232+'2월'!D232+'3월'!D232+'4월'!D232+'5월'!D232+'6월'!D232+'7월'!D232+'8월'!D232+'9월'!D232+'10월'!D232+'11월'!D232+'12월'!D232</f>
        <v>0</v>
      </c>
      <c r="E232" s="44">
        <f>'1월'!E232+'2월'!E232+'3월'!E232+'4월'!E232+'5월'!E232+'6월'!E232+'7월'!E232+'8월'!E232+'9월'!E232+'10월'!E232+'11월'!E232+'12월'!E232</f>
        <v>15228857294</v>
      </c>
      <c r="F232" s="44">
        <f>'1월'!F232+'2월'!F232+'3월'!F232+'4월'!F232+'5월'!F232+'6월'!F232+'7월'!F232+'8월'!F232+'9월'!F232+'10월'!F232+'11월'!F232+'12월'!F232</f>
        <v>0</v>
      </c>
      <c r="G232" s="44">
        <f>'1월'!H232+'2월'!G232+'3월'!G232+'4월'!G232+'5월'!G232+'6월'!G232+'7월'!G232+'8월'!G232+'9월'!G232+'10월'!G232+'11월'!G232+'12월'!G232</f>
        <v>0</v>
      </c>
      <c r="H232" s="44">
        <f>'1월'!J232+'2월'!H232+'3월'!H232+'4월'!H232+'5월'!H232+'6월'!H232+'7월'!H232+'8월'!H232+'9월'!H232+'10월'!H232+'11월'!H232+'12월'!H232</f>
        <v>465901267</v>
      </c>
      <c r="I232" s="44">
        <f>'1월'!K232+'2월'!I232+'3월'!I232+'4월'!I232+'5월'!I232+'6월'!I232+'7월'!I232+'8월'!I232+'9월'!I232+'10월'!I232+'11월'!I232+'12월'!I232</f>
        <v>3646843625.1999998</v>
      </c>
      <c r="J232" s="44">
        <f>'1월'!L232+'2월'!J232+'3월'!J232+'4월'!J232+'5월'!J232+'6월'!J232+'7월'!J232+'8월'!J232+'9월'!J232+'10월'!J232+'11월'!J232+'12월'!J232</f>
        <v>8911779654.7999992</v>
      </c>
      <c r="K232" s="44">
        <f>'1월'!M232+'2월'!K232+'3월'!K232+'4월'!K232+'5월'!K232+'6월'!K232+'7월'!K232+'8월'!K232+'9월'!K232+'10월'!K232+'11월'!K232+'12월'!K232</f>
        <v>2204332747</v>
      </c>
      <c r="L232" s="44">
        <f>'1월'!N232+'2월'!L232+'3월'!L232+'4월'!L232+'5월'!L232+'6월'!L232+'7월'!L232+'8월'!L232+'9월'!L232+'10월'!L232+'11월'!L232+'12월'!L232</f>
        <v>0</v>
      </c>
      <c r="M232" s="44">
        <f>'1월'!O232+'2월'!M232+'3월'!M232+'4월'!M232+'5월'!M232+'6월'!M232+'7월'!M232+'8월'!M232+'9월'!M232+'10월'!M232+'11월'!M232+'12월'!M232</f>
        <v>0</v>
      </c>
      <c r="O232" s="44">
        <f>IFERROR(VLOOKUP($A232,[1]플랫폼1!$A:$B,2,FALSE),0)</f>
        <v>0</v>
      </c>
      <c r="P232" s="44">
        <f>IFERROR(VLOOKUP($A232,[1]플랫폼2!$A:$M,12,FALSE),0)+IFERROR(VLOOKUP($A232,[1]플랫폼2!$A:$M,13,FALSE),0)</f>
        <v>0</v>
      </c>
      <c r="Q232" s="44">
        <f>IFERROR(VLOOKUP($A232,[1]플랫폼2!$A:$M,7,FALSE),0)+IFERROR(VLOOKUP($A232,[1]플랫폼2!$A:$M,12,FALSE),0)</f>
        <v>0</v>
      </c>
      <c r="R232" s="44">
        <f>IFERROR(VLOOKUP($A232,[1]모바일!$A:$S,17,FALSE),0)</f>
        <v>0</v>
      </c>
      <c r="S232" s="44">
        <f>IFERROR(VLOOKUP($A232,[1]모바일!$A:$S,18,FALSE),0)</f>
        <v>0</v>
      </c>
      <c r="T232" s="43">
        <f>IFERROR(VLOOKUP(A232,[1]플랫폼2!$A:$O,15,0),0)</f>
        <v>0</v>
      </c>
      <c r="U232" s="83"/>
    </row>
    <row r="233" spans="1:21" s="1" customFormat="1" hidden="1" outlineLevel="1" collapsed="1" x14ac:dyDescent="0.45">
      <c r="A233" s="29" t="s">
        <v>220</v>
      </c>
      <c r="B233" s="44">
        <f>'1월'!B233+'2월'!B233+'3월'!B233+'4월'!B233+'5월'!B233+'6월'!B233+'7월'!B233+'8월'!B233+'9월'!B233+'10월'!B233+'11월'!B233+'12월'!B233</f>
        <v>0</v>
      </c>
      <c r="C233" s="44">
        <f>'1월'!C233+'2월'!C233+'3월'!C233+'4월'!C233+'5월'!C233+'6월'!C233+'7월'!C233+'8월'!C233+'9월'!C233+'10월'!C233+'11월'!C233+'12월'!C233</f>
        <v>0</v>
      </c>
      <c r="D233" s="44">
        <f>'1월'!D233+'2월'!D233+'3월'!D233+'4월'!D233+'5월'!D233+'6월'!D233+'7월'!D233+'8월'!D233+'9월'!D233+'10월'!D233+'11월'!D233+'12월'!D233</f>
        <v>0</v>
      </c>
      <c r="E233" s="44">
        <f>'1월'!E233+'2월'!E233+'3월'!E233+'4월'!E233+'5월'!E233+'6월'!E233+'7월'!E233+'8월'!E233+'9월'!E233+'10월'!E233+'11월'!E233+'12월'!E233</f>
        <v>0</v>
      </c>
      <c r="F233" s="44">
        <f>'1월'!F233+'2월'!F233+'3월'!F233+'4월'!F233+'5월'!F233+'6월'!F233+'7월'!F233+'8월'!F233+'9월'!F233+'10월'!F233+'11월'!F233+'12월'!F233</f>
        <v>0</v>
      </c>
      <c r="G233" s="44">
        <f>'1월'!H233+'2월'!G233+'3월'!G233+'4월'!G233+'5월'!G233+'6월'!G233+'7월'!G233+'8월'!G233+'9월'!G233+'10월'!G233+'11월'!G233+'12월'!G233</f>
        <v>0</v>
      </c>
      <c r="H233" s="44">
        <f>'1월'!J233+'2월'!H233+'3월'!H233+'4월'!H233+'5월'!H233+'6월'!H233+'7월'!H233+'8월'!H233+'9월'!H233+'10월'!H233+'11월'!H233+'12월'!H233</f>
        <v>0</v>
      </c>
      <c r="I233" s="44">
        <f>'1월'!K233+'2월'!I233+'3월'!I233+'4월'!I233+'5월'!I233+'6월'!I233+'7월'!I233+'8월'!I233+'9월'!I233+'10월'!I233+'11월'!I233+'12월'!I233</f>
        <v>0</v>
      </c>
      <c r="J233" s="44">
        <f>'1월'!L233+'2월'!J233+'3월'!J233+'4월'!J233+'5월'!J233+'6월'!J233+'7월'!J233+'8월'!J233+'9월'!J233+'10월'!J233+'11월'!J233+'12월'!J233</f>
        <v>0</v>
      </c>
      <c r="K233" s="44">
        <f>'1월'!M233+'2월'!K233+'3월'!K233+'4월'!K233+'5월'!K233+'6월'!K233+'7월'!K233+'8월'!K233+'9월'!K233+'10월'!K233+'11월'!K233+'12월'!K233</f>
        <v>0</v>
      </c>
      <c r="L233" s="44">
        <f>'1월'!N233+'2월'!L233+'3월'!L233+'4월'!L233+'5월'!L233+'6월'!L233+'7월'!L233+'8월'!L233+'9월'!L233+'10월'!L233+'11월'!L233+'12월'!L233</f>
        <v>0</v>
      </c>
      <c r="M233" s="44">
        <f>'1월'!O233+'2월'!M233+'3월'!M233+'4월'!M233+'5월'!M233+'6월'!M233+'7월'!M233+'8월'!M233+'9월'!M233+'10월'!M233+'11월'!M233+'12월'!M233</f>
        <v>0</v>
      </c>
      <c r="O233" s="44">
        <f>IFERROR(VLOOKUP($A233,[1]플랫폼1!$A:$B,2,FALSE),0)</f>
        <v>0</v>
      </c>
      <c r="P233" s="44">
        <f>IFERROR(VLOOKUP($A233,[1]플랫폼2!$A:$M,12,FALSE),0)+IFERROR(VLOOKUP($A233,[1]플랫폼2!$A:$M,13,FALSE),0)</f>
        <v>0</v>
      </c>
      <c r="Q233" s="44">
        <f>IFERROR(VLOOKUP($A233,[1]플랫폼2!$A:$M,7,FALSE),0)+IFERROR(VLOOKUP($A233,[1]플랫폼2!$A:$M,12,FALSE),0)</f>
        <v>0</v>
      </c>
      <c r="R233" s="44">
        <f>IFERROR(VLOOKUP($A233,[1]모바일!$A:$S,17,FALSE),0)</f>
        <v>0</v>
      </c>
      <c r="S233" s="44">
        <f>IFERROR(VLOOKUP($A233,[1]모바일!$A:$S,18,FALSE),0)</f>
        <v>0</v>
      </c>
      <c r="T233" s="43">
        <f>IFERROR(VLOOKUP(A233,[1]플랫폼2!$A:$O,15,0),0)</f>
        <v>0</v>
      </c>
      <c r="U233" s="83"/>
    </row>
    <row r="234" spans="1:21" hidden="1" outlineLevel="1" x14ac:dyDescent="0.45">
      <c r="A234" s="28" t="s">
        <v>108</v>
      </c>
      <c r="B234" s="43">
        <f>'1월'!B234+'2월'!B234+'3월'!B234+'4월'!B234+'5월'!B234+'6월'!B234+'7월'!B234+'8월'!B234+'9월'!B234+'10월'!B234+'11월'!B234+'12월'!B234</f>
        <v>0</v>
      </c>
      <c r="C234" s="43">
        <f>'1월'!C234+'2월'!C234+'3월'!C234+'4월'!C234+'5월'!C234+'6월'!C234+'7월'!C234+'8월'!C234+'9월'!C234+'10월'!C234+'11월'!C234+'12월'!C234</f>
        <v>-130294493</v>
      </c>
      <c r="D234" s="43">
        <f>'1월'!D234+'2월'!D234+'3월'!D234+'4월'!D234+'5월'!D234+'6월'!D234+'7월'!D234+'8월'!D234+'9월'!D234+'10월'!D234+'11월'!D234+'12월'!D234</f>
        <v>0</v>
      </c>
      <c r="E234" s="43">
        <f>'1월'!E234+'2월'!E234+'3월'!E234+'4월'!E234+'5월'!E234+'6월'!E234+'7월'!E234+'8월'!E234+'9월'!E234+'10월'!E234+'11월'!E234+'12월'!E234</f>
        <v>130294493</v>
      </c>
      <c r="F234" s="43">
        <f>'1월'!F234+'2월'!F234+'3월'!F234+'4월'!F234+'5월'!F234+'6월'!F234+'7월'!F234+'8월'!F234+'9월'!F234+'10월'!F234+'11월'!F234+'12월'!F234</f>
        <v>0</v>
      </c>
      <c r="G234" s="43">
        <f>'1월'!H234+'2월'!G234+'3월'!G234+'4월'!G234+'5월'!G234+'6월'!G234+'7월'!G234+'8월'!G234+'9월'!G234+'10월'!G234+'11월'!G234+'12월'!G234</f>
        <v>130294493</v>
      </c>
      <c r="H234" s="43">
        <f>'1월'!J234+'2월'!H234+'3월'!H234+'4월'!H234+'5월'!H234+'6월'!H234+'7월'!H234+'8월'!H234+'9월'!H234+'10월'!H234+'11월'!H234+'12월'!H234</f>
        <v>0</v>
      </c>
      <c r="I234" s="43">
        <f>'1월'!K234+'2월'!I234+'3월'!I234+'4월'!I234+'5월'!I234+'6월'!I234+'7월'!I234+'8월'!I234+'9월'!I234+'10월'!I234+'11월'!I234+'12월'!I234</f>
        <v>0</v>
      </c>
      <c r="J234" s="43">
        <f>'1월'!L234+'2월'!J234+'3월'!J234+'4월'!J234+'5월'!J234+'6월'!J234+'7월'!J234+'8월'!J234+'9월'!J234+'10월'!J234+'11월'!J234+'12월'!J234</f>
        <v>0</v>
      </c>
      <c r="K234" s="43">
        <f>'1월'!M234+'2월'!K234+'3월'!K234+'4월'!K234+'5월'!K234+'6월'!K234+'7월'!K234+'8월'!K234+'9월'!K234+'10월'!K234+'11월'!K234+'12월'!K234</f>
        <v>0</v>
      </c>
      <c r="L234" s="43">
        <f>'1월'!N234+'2월'!L234+'3월'!L234+'4월'!L234+'5월'!L234+'6월'!L234+'7월'!L234+'8월'!L234+'9월'!L234+'10월'!L234+'11월'!L234+'12월'!L234</f>
        <v>0</v>
      </c>
      <c r="M234" s="43">
        <f>'1월'!O234+'2월'!M234+'3월'!M234+'4월'!M234+'5월'!M234+'6월'!M234+'7월'!M234+'8월'!M234+'9월'!M234+'10월'!M234+'11월'!M234+'12월'!M234</f>
        <v>0</v>
      </c>
      <c r="O234" s="43">
        <f>IFERROR(VLOOKUP($A234,[1]플랫폼1!$A:$B,2,FALSE),0)</f>
        <v>0</v>
      </c>
      <c r="P234" s="43">
        <f>IFERROR(VLOOKUP($A234,[1]플랫폼2!$A:$M,12,FALSE),0)+IFERROR(VLOOKUP($A234,[1]플랫폼2!$A:$M,13,FALSE),0)</f>
        <v>0</v>
      </c>
      <c r="Q234" s="43">
        <f>IFERROR(VLOOKUP($A234,[1]플랫폼2!$A:$M,7,FALSE),0)+IFERROR(VLOOKUP($A234,[1]플랫폼2!$A:$M,12,FALSE),0)</f>
        <v>0</v>
      </c>
      <c r="R234" s="43">
        <f>IFERROR(VLOOKUP($A234,[1]모바일!$A:$S,17,FALSE),0)</f>
        <v>0</v>
      </c>
      <c r="S234" s="43">
        <f>IFERROR(VLOOKUP($A234,[1]모바일!$A:$S,18,FALSE),0)</f>
        <v>0</v>
      </c>
      <c r="T234" s="43">
        <f>IFERROR(VLOOKUP(A234,[1]플랫폼2!$A:$O,15,0),0)</f>
        <v>0</v>
      </c>
      <c r="U234" s="83"/>
    </row>
    <row r="235" spans="1:21" hidden="1" outlineLevel="1" x14ac:dyDescent="0.45">
      <c r="A235" s="29" t="s">
        <v>221</v>
      </c>
      <c r="B235" s="44">
        <f>'1월'!B235+'2월'!B235+'3월'!B235+'4월'!B235+'5월'!B235+'6월'!B235+'7월'!B235+'8월'!B235+'9월'!B235+'10월'!B235+'11월'!B235+'12월'!B235</f>
        <v>0</v>
      </c>
      <c r="C235" s="44">
        <f>'1월'!C235+'2월'!C235+'3월'!C235+'4월'!C235+'5월'!C235+'6월'!C235+'7월'!C235+'8월'!C235+'9월'!C235+'10월'!C235+'11월'!C235+'12월'!C235</f>
        <v>0</v>
      </c>
      <c r="D235" s="44">
        <f>'1월'!D235+'2월'!D235+'3월'!D235+'4월'!D235+'5월'!D235+'6월'!D235+'7월'!D235+'8월'!D235+'9월'!D235+'10월'!D235+'11월'!D235+'12월'!D235</f>
        <v>0</v>
      </c>
      <c r="E235" s="44">
        <f>'1월'!E235+'2월'!E235+'3월'!E235+'4월'!E235+'5월'!E235+'6월'!E235+'7월'!E235+'8월'!E235+'9월'!E235+'10월'!E235+'11월'!E235+'12월'!E235</f>
        <v>0</v>
      </c>
      <c r="F235" s="44">
        <f>'1월'!F235+'2월'!F235+'3월'!F235+'4월'!F235+'5월'!F235+'6월'!F235+'7월'!F235+'8월'!F235+'9월'!F235+'10월'!F235+'11월'!F235+'12월'!F235</f>
        <v>0</v>
      </c>
      <c r="G235" s="44">
        <f>'1월'!H235+'2월'!G235+'3월'!G235+'4월'!G235+'5월'!G235+'6월'!G235+'7월'!G235+'8월'!G235+'9월'!G235+'10월'!G235+'11월'!G235+'12월'!G235</f>
        <v>0</v>
      </c>
      <c r="H235" s="44">
        <f>'1월'!J235+'2월'!H235+'3월'!H235+'4월'!H235+'5월'!H235+'6월'!H235+'7월'!H235+'8월'!H235+'9월'!H235+'10월'!H235+'11월'!H235+'12월'!H235</f>
        <v>0</v>
      </c>
      <c r="I235" s="44">
        <f>'1월'!K235+'2월'!I235+'3월'!I235+'4월'!I235+'5월'!I235+'6월'!I235+'7월'!I235+'8월'!I235+'9월'!I235+'10월'!I235+'11월'!I235+'12월'!I235</f>
        <v>0</v>
      </c>
      <c r="J235" s="44">
        <f>'1월'!L235+'2월'!J235+'3월'!J235+'4월'!J235+'5월'!J235+'6월'!J235+'7월'!J235+'8월'!J235+'9월'!J235+'10월'!J235+'11월'!J235+'12월'!J235</f>
        <v>0</v>
      </c>
      <c r="K235" s="44">
        <f>'1월'!M235+'2월'!K235+'3월'!K235+'4월'!K235+'5월'!K235+'6월'!K235+'7월'!K235+'8월'!K235+'9월'!K235+'10월'!K235+'11월'!K235+'12월'!K235</f>
        <v>0</v>
      </c>
      <c r="L235" s="44">
        <f>'1월'!N235+'2월'!L235+'3월'!L235+'4월'!L235+'5월'!L235+'6월'!L235+'7월'!L235+'8월'!L235+'9월'!L235+'10월'!L235+'11월'!L235+'12월'!L235</f>
        <v>0</v>
      </c>
      <c r="M235" s="44">
        <f>'1월'!O235+'2월'!M235+'3월'!M235+'4월'!M235+'5월'!M235+'6월'!M235+'7월'!M235+'8월'!M235+'9월'!M235+'10월'!M235+'11월'!M235+'12월'!M235</f>
        <v>0</v>
      </c>
      <c r="O235" s="44">
        <f>IFERROR(VLOOKUP($A235,[1]플랫폼1!$A:$B,2,FALSE),0)</f>
        <v>0</v>
      </c>
      <c r="P235" s="44">
        <f>IFERROR(VLOOKUP($A235,[1]플랫폼2!$A:$M,12,FALSE),0)+IFERROR(VLOOKUP($A235,[1]플랫폼2!$A:$M,13,FALSE),0)</f>
        <v>0</v>
      </c>
      <c r="Q235" s="44">
        <f>IFERROR(VLOOKUP($A235,[1]플랫폼2!$A:$M,7,FALSE),0)+IFERROR(VLOOKUP($A235,[1]플랫폼2!$A:$M,12,FALSE),0)</f>
        <v>0</v>
      </c>
      <c r="R235" s="44">
        <f>IFERROR(VLOOKUP($A235,[1]모바일!$A:$S,17,FALSE),0)</f>
        <v>0</v>
      </c>
      <c r="S235" s="44">
        <f>IFERROR(VLOOKUP($A235,[1]모바일!$A:$S,18,FALSE),0)</f>
        <v>0</v>
      </c>
      <c r="T235" s="43">
        <f>IFERROR(VLOOKUP(A235,[1]플랫폼2!$A:$O,15,0),0)</f>
        <v>0</v>
      </c>
      <c r="U235" s="83"/>
    </row>
    <row r="236" spans="1:21" s="1" customFormat="1" hidden="1" outlineLevel="1" collapsed="1" x14ac:dyDescent="0.45">
      <c r="A236" s="29" t="s">
        <v>222</v>
      </c>
      <c r="B236" s="44">
        <f>'1월'!B236+'2월'!B236+'3월'!B236+'4월'!B236+'5월'!B236+'6월'!B236+'7월'!B236+'8월'!B236+'9월'!B236+'10월'!B236+'11월'!B236+'12월'!B236</f>
        <v>198076421</v>
      </c>
      <c r="C236" s="44">
        <f>'1월'!C236+'2월'!C236+'3월'!C236+'4월'!C236+'5월'!C236+'6월'!C236+'7월'!C236+'8월'!C236+'9월'!C236+'10월'!C236+'11월'!C236+'12월'!C236</f>
        <v>0</v>
      </c>
      <c r="D236" s="44">
        <f>'1월'!D236+'2월'!D236+'3월'!D236+'4월'!D236+'5월'!D236+'6월'!D236+'7월'!D236+'8월'!D236+'9월'!D236+'10월'!D236+'11월'!D236+'12월'!D236</f>
        <v>198814603</v>
      </c>
      <c r="E236" s="44">
        <f>'1월'!E236+'2월'!E236+'3월'!E236+'4월'!E236+'5월'!E236+'6월'!E236+'7월'!E236+'8월'!E236+'9월'!E236+'10월'!E236+'11월'!E236+'12월'!E236</f>
        <v>-738182</v>
      </c>
      <c r="F236" s="44">
        <f>'1월'!F236+'2월'!F236+'3월'!F236+'4월'!F236+'5월'!F236+'6월'!F236+'7월'!F236+'8월'!F236+'9월'!F236+'10월'!F236+'11월'!F236+'12월'!F236</f>
        <v>-738182</v>
      </c>
      <c r="G236" s="44">
        <f>'1월'!H236+'2월'!G236+'3월'!G236+'4월'!G236+'5월'!G236+'6월'!G236+'7월'!G236+'8월'!G236+'9월'!G236+'10월'!G236+'11월'!G236+'12월'!G236</f>
        <v>0</v>
      </c>
      <c r="H236" s="44">
        <f>'1월'!J236+'2월'!H236+'3월'!H236+'4월'!H236+'5월'!H236+'6월'!H236+'7월'!H236+'8월'!H236+'9월'!H236+'10월'!H236+'11월'!H236+'12월'!H236</f>
        <v>0</v>
      </c>
      <c r="I236" s="44">
        <f>'1월'!K236+'2월'!I236+'3월'!I236+'4월'!I236+'5월'!I236+'6월'!I236+'7월'!I236+'8월'!I236+'9월'!I236+'10월'!I236+'11월'!I236+'12월'!I236</f>
        <v>0</v>
      </c>
      <c r="J236" s="44">
        <f>'1월'!L236+'2월'!J236+'3월'!J236+'4월'!J236+'5월'!J236+'6월'!J236+'7월'!J236+'8월'!J236+'9월'!J236+'10월'!J236+'11월'!J236+'12월'!J236</f>
        <v>0</v>
      </c>
      <c r="K236" s="44">
        <f>'1월'!M236+'2월'!K236+'3월'!K236+'4월'!K236+'5월'!K236+'6월'!K236+'7월'!K236+'8월'!K236+'9월'!K236+'10월'!K236+'11월'!K236+'12월'!K236</f>
        <v>0</v>
      </c>
      <c r="L236" s="44">
        <f>'1월'!N236+'2월'!L236+'3월'!L236+'4월'!L236+'5월'!L236+'6월'!L236+'7월'!L236+'8월'!L236+'9월'!L236+'10월'!L236+'11월'!L236+'12월'!L236</f>
        <v>0</v>
      </c>
      <c r="M236" s="44">
        <f>'1월'!O236+'2월'!M236+'3월'!M236+'4월'!M236+'5월'!M236+'6월'!M236+'7월'!M236+'8월'!M236+'9월'!M236+'10월'!M236+'11월'!M236+'12월'!M236</f>
        <v>0</v>
      </c>
      <c r="O236" s="44">
        <f>IFERROR(VLOOKUP($A236,[1]플랫폼1!$A:$B,2,FALSE),0)</f>
        <v>0</v>
      </c>
      <c r="P236" s="44">
        <f>IFERROR(VLOOKUP($A236,[1]플랫폼2!$A:$M,12,FALSE),0)+IFERROR(VLOOKUP($A236,[1]플랫폼2!$A:$M,13,FALSE),0)</f>
        <v>0</v>
      </c>
      <c r="Q236" s="44">
        <f>IFERROR(VLOOKUP($A236,[1]플랫폼2!$A:$M,7,FALSE),0)+IFERROR(VLOOKUP($A236,[1]플랫폼2!$A:$M,12,FALSE),0)</f>
        <v>0</v>
      </c>
      <c r="R236" s="44">
        <f>IFERROR(VLOOKUP($A236,[1]모바일!$A:$S,17,FALSE),0)</f>
        <v>0</v>
      </c>
      <c r="S236" s="44">
        <f>IFERROR(VLOOKUP($A236,[1]모바일!$A:$S,18,FALSE),0)</f>
        <v>0</v>
      </c>
      <c r="T236" s="43">
        <f>IFERROR(VLOOKUP(A236,[1]플랫폼2!$A:$O,15,0),0)</f>
        <v>0</v>
      </c>
      <c r="U236" s="83"/>
    </row>
    <row r="237" spans="1:21" s="1" customFormat="1" hidden="1" outlineLevel="1" x14ac:dyDescent="0.45">
      <c r="A237" s="28" t="s">
        <v>109</v>
      </c>
      <c r="B237" s="43">
        <f>'1월'!B237+'2월'!B237+'3월'!B237+'4월'!B237+'5월'!B237+'6월'!B237+'7월'!B237+'8월'!B237+'9월'!B237+'10월'!B237+'11월'!B237+'12월'!B237</f>
        <v>0</v>
      </c>
      <c r="C237" s="43">
        <f>'1월'!C237+'2월'!C237+'3월'!C237+'4월'!C237+'5월'!C237+'6월'!C237+'7월'!C237+'8월'!C237+'9월'!C237+'10월'!C237+'11월'!C237+'12월'!C237</f>
        <v>-558235285</v>
      </c>
      <c r="D237" s="43">
        <f>'1월'!D237+'2월'!D237+'3월'!D237+'4월'!D237+'5월'!D237+'6월'!D237+'7월'!D237+'8월'!D237+'9월'!D237+'10월'!D237+'11월'!D237+'12월'!D237</f>
        <v>0</v>
      </c>
      <c r="E237" s="43">
        <f>'1월'!E237+'2월'!E237+'3월'!E237+'4월'!E237+'5월'!E237+'6월'!E237+'7월'!E237+'8월'!E237+'9월'!E237+'10월'!E237+'11월'!E237+'12월'!E237</f>
        <v>558235285</v>
      </c>
      <c r="F237" s="43">
        <f>'1월'!F237+'2월'!F237+'3월'!F237+'4월'!F237+'5월'!F237+'6월'!F237+'7월'!F237+'8월'!F237+'9월'!F237+'10월'!F237+'11월'!F237+'12월'!F237</f>
        <v>703768.55499147158</v>
      </c>
      <c r="G237" s="43">
        <f>'1월'!H237+'2월'!G237+'3월'!G237+'4월'!G237+'5월'!G237+'6월'!G237+'7월'!G237+'8월'!G237+'9월'!G237+'10월'!G237+'11월'!G237+'12월'!G237</f>
        <v>8861760.4450085275</v>
      </c>
      <c r="H237" s="43">
        <f>'1월'!J237+'2월'!H237+'3월'!H237+'4월'!H237+'5월'!H237+'6월'!H237+'7월'!H237+'8월'!H237+'9월'!H237+'10월'!H237+'11월'!H237+'12월'!H237</f>
        <v>4236364</v>
      </c>
      <c r="I237" s="43">
        <f>'1월'!K237+'2월'!I237+'3월'!I237+'4월'!I237+'5월'!I237+'6월'!I237+'7월'!I237+'8월'!I237+'9월'!I237+'10월'!I237+'11월'!I237+'12월'!I237</f>
        <v>0</v>
      </c>
      <c r="J237" s="43">
        <f>'1월'!L237+'2월'!J237+'3월'!J237+'4월'!J237+'5월'!J237+'6월'!J237+'7월'!J237+'8월'!J237+'9월'!J237+'10월'!J237+'11월'!J237+'12월'!J237</f>
        <v>0</v>
      </c>
      <c r="K237" s="43">
        <f>'1월'!M237+'2월'!K237+'3월'!K237+'4월'!K237+'5월'!K237+'6월'!K237+'7월'!K237+'8월'!K237+'9월'!K237+'10월'!K237+'11월'!K237+'12월'!K237</f>
        <v>0</v>
      </c>
      <c r="L237" s="43">
        <f>'1월'!N237+'2월'!L237+'3월'!L237+'4월'!L237+'5월'!L237+'6월'!L237+'7월'!L237+'8월'!L237+'9월'!L237+'10월'!L237+'11월'!L237+'12월'!L237</f>
        <v>544433392</v>
      </c>
      <c r="M237" s="43">
        <f>'1월'!O237+'2월'!M237+'3월'!M237+'4월'!M237+'5월'!M237+'6월'!M237+'7월'!M237+'8월'!M237+'9월'!M237+'10월'!M237+'11월'!M237+'12월'!M237</f>
        <v>0</v>
      </c>
      <c r="O237" s="43">
        <f>IFERROR(VLOOKUP($A237,[1]플랫폼1!$A:$B,2,FALSE),0)</f>
        <v>0</v>
      </c>
      <c r="P237" s="43">
        <f>IFERROR(VLOOKUP($A237,[1]플랫폼2!$A:$M,12,FALSE),0)+IFERROR(VLOOKUP($A237,[1]플랫폼2!$A:$M,13,FALSE),0)</f>
        <v>0</v>
      </c>
      <c r="Q237" s="43">
        <f>IFERROR(VLOOKUP($A237,[1]플랫폼2!$A:$M,7,FALSE),0)+IFERROR(VLOOKUP($A237,[1]플랫폼2!$A:$M,12,FALSE),0)</f>
        <v>0</v>
      </c>
      <c r="R237" s="43">
        <f>IFERROR(VLOOKUP($A237,[1]모바일!$A:$S,17,FALSE),0)</f>
        <v>0</v>
      </c>
      <c r="S237" s="43">
        <f>IFERROR(VLOOKUP($A237,[1]모바일!$A:$S,18,FALSE),0)</f>
        <v>0</v>
      </c>
      <c r="T237" s="43">
        <f>IFERROR(VLOOKUP(A237,[1]플랫폼2!$A:$O,15,0),0)</f>
        <v>0</v>
      </c>
      <c r="U237" s="83"/>
    </row>
    <row r="238" spans="1:21" s="1" customFormat="1" collapsed="1" x14ac:dyDescent="0.45">
      <c r="A238" s="28" t="s">
        <v>110</v>
      </c>
      <c r="B238" s="43">
        <f>'1월'!B238+'2월'!B238+'3월'!B238+'4월'!B238+'5월'!B238+'6월'!B238+'7월'!B238+'8월'!B238+'9월'!B238+'10월'!B238+'11월'!B238+'12월'!B238</f>
        <v>248004620</v>
      </c>
      <c r="C238" s="43">
        <f>'1월'!C238+'2월'!C238+'3월'!C238+'4월'!C238+'5월'!C238+'6월'!C238+'7월'!C238+'8월'!C238+'9월'!C238+'10월'!C238+'11월'!C238+'12월'!C238</f>
        <v>217280620</v>
      </c>
      <c r="D238" s="43">
        <f>'1월'!D238+'2월'!D238+'3월'!D238+'4월'!D238+'5월'!D238+'6월'!D238+'7월'!D238+'8월'!D238+'9월'!D238+'10월'!D238+'11월'!D238+'12월'!D238</f>
        <v>0</v>
      </c>
      <c r="E238" s="43">
        <f>'1월'!E238+'2월'!E238+'3월'!E238+'4월'!E238+'5월'!E238+'6월'!E238+'7월'!E238+'8월'!E238+'9월'!E238+'10월'!E238+'11월'!E238+'12월'!E238</f>
        <v>30724000</v>
      </c>
      <c r="F238" s="43">
        <f>'1월'!F238+'2월'!F238+'3월'!F238+'4월'!F238+'5월'!F238+'6월'!F238+'7월'!F238+'8월'!F238+'9월'!F238+'10월'!F238+'11월'!F238+'12월'!F238</f>
        <v>724000</v>
      </c>
      <c r="G238" s="43">
        <f>'1월'!H238+'2월'!G238+'3월'!G238+'4월'!G238+'5월'!G238+'6월'!G238+'7월'!G238+'8월'!G238+'9월'!G238+'10월'!G238+'11월'!G238+'12월'!G238</f>
        <v>0</v>
      </c>
      <c r="H238" s="43">
        <f>'1월'!J238+'2월'!H238+'3월'!H238+'4월'!H238+'5월'!H238+'6월'!H238+'7월'!H238+'8월'!H238+'9월'!H238+'10월'!H238+'11월'!H238+'12월'!H238</f>
        <v>0</v>
      </c>
      <c r="I238" s="43">
        <f>'1월'!K238+'2월'!I238+'3월'!I238+'4월'!I238+'5월'!I238+'6월'!I238+'7월'!I238+'8월'!I238+'9월'!I238+'10월'!I238+'11월'!I238+'12월'!I238</f>
        <v>0</v>
      </c>
      <c r="J238" s="43">
        <f>'1월'!L238+'2월'!J238+'3월'!J238+'4월'!J238+'5월'!J238+'6월'!J238+'7월'!J238+'8월'!J238+'9월'!J238+'10월'!J238+'11월'!J238+'12월'!J238</f>
        <v>0</v>
      </c>
      <c r="K238" s="43">
        <f>'1월'!M238+'2월'!K238+'3월'!K238+'4월'!K238+'5월'!K238+'6월'!K238+'7월'!K238+'8월'!K238+'9월'!K238+'10월'!K238+'11월'!K238+'12월'!K238</f>
        <v>0</v>
      </c>
      <c r="L238" s="43">
        <f>'1월'!N238+'2월'!L238+'3월'!L238+'4월'!L238+'5월'!L238+'6월'!L238+'7월'!L238+'8월'!L238+'9월'!L238+'10월'!L238+'11월'!L238+'12월'!L238</f>
        <v>0</v>
      </c>
      <c r="M238" s="43">
        <f>'1월'!O238+'2월'!M238+'3월'!M238+'4월'!M238+'5월'!M238+'6월'!M238+'7월'!M238+'8월'!M238+'9월'!M238+'10월'!M238+'11월'!M238+'12월'!M238</f>
        <v>30000000</v>
      </c>
      <c r="O238" s="43">
        <f>IFERROR(VLOOKUP($A238,[1]플랫폼1!$A:$B,2,FALSE),0)</f>
        <v>30000000</v>
      </c>
      <c r="P238" s="43">
        <f>IFERROR(VLOOKUP($A238,[1]플랫폼2!$A:$M,12,FALSE),0)+IFERROR(VLOOKUP($A238,[1]플랫폼2!$A:$M,13,FALSE),0)</f>
        <v>0</v>
      </c>
      <c r="Q238" s="43">
        <f>IFERROR(VLOOKUP($A238,[1]플랫폼2!$A:$M,7,FALSE),0)+IFERROR(VLOOKUP($A238,[1]플랫폼2!$A:$M,12,FALSE),0)</f>
        <v>0</v>
      </c>
      <c r="R238" s="43">
        <f>IFERROR(VLOOKUP($A238,[1]모바일!$A:$S,17,FALSE),0)</f>
        <v>0</v>
      </c>
      <c r="S238" s="43">
        <f>IFERROR(VLOOKUP($A238,[1]모바일!$A:$S,18,FALSE),0)</f>
        <v>0</v>
      </c>
      <c r="T238" s="43">
        <f>IFERROR(VLOOKUP(A238,[1]플랫폼2!$A:$O,15,0),0)</f>
        <v>0</v>
      </c>
      <c r="U238" s="83"/>
    </row>
    <row r="239" spans="1:21" s="1" customFormat="1" x14ac:dyDescent="0.45">
      <c r="A239" s="27" t="s">
        <v>231</v>
      </c>
      <c r="B239" s="42">
        <f>'1월'!B239+'2월'!B239+'3월'!B239+'4월'!B239+'5월'!B239+'6월'!B239+'7월'!B239+'8월'!B239+'9월'!B239+'10월'!B239+'11월'!B239+'12월'!B239</f>
        <v>16341415248</v>
      </c>
      <c r="C239" s="42">
        <f>'1월'!C239+'2월'!C239+'3월'!C239+'4월'!C239+'5월'!C239+'6월'!C239+'7월'!C239+'8월'!C239+'9월'!C239+'10월'!C239+'11월'!C239+'12월'!C239</f>
        <v>-21850078330.92054</v>
      </c>
      <c r="D239" s="42">
        <f>'1월'!D239+'2월'!D239+'3월'!D239+'4월'!D239+'5월'!D239+'6월'!D239+'7월'!D239+'8월'!D239+'9월'!D239+'10월'!D239+'11월'!D239+'12월'!D239</f>
        <v>-5384430761</v>
      </c>
      <c r="E239" s="42">
        <f>'1월'!E239+'2월'!E239+'3월'!E239+'4월'!E239+'5월'!E239+'6월'!E239+'7월'!E239+'8월'!E239+'9월'!E239+'10월'!E239+'11월'!E239+'12월'!E239</f>
        <v>43575924339.92054</v>
      </c>
      <c r="F239" s="42">
        <f>'1월'!F239+'2월'!F239+'3월'!F239+'4월'!F239+'5월'!F239+'6월'!F239+'7월'!F239+'8월'!F239+'9월'!F239+'10월'!F239+'11월'!F239+'12월'!F239</f>
        <v>18642254856.236614</v>
      </c>
      <c r="G239" s="42">
        <f>'1월'!H239+'2월'!G239+'3월'!G239+'4월'!G239+'5월'!G239+'6월'!G239+'7월'!G239+'8월'!G239+'9월'!G239+'10월'!G239+'11월'!G239+'12월'!G239</f>
        <v>12920522442.619471</v>
      </c>
      <c r="H239" s="42">
        <f>'1월'!J239+'2월'!H239+'3월'!H239+'4월'!H239+'5월'!H239+'6월'!H239+'7월'!H239+'8월'!H239+'9월'!H239+'10월'!H239+'11월'!H239+'12월'!H239</f>
        <v>8114465669.0091839</v>
      </c>
      <c r="I239" s="42">
        <f>'1월'!K239+'2월'!I239+'3월'!I239+'4월'!I239+'5월'!I239+'6월'!I239+'7월'!I239+'8월'!I239+'9월'!I239+'10월'!I239+'11월'!I239+'12월'!I239</f>
        <v>542323794.4263587</v>
      </c>
      <c r="J239" s="42">
        <f>'1월'!L239+'2월'!J239+'3월'!J239+'4월'!J239+'5월'!J239+'6월'!J239+'7월'!J239+'8월'!J239+'9월'!J239+'10월'!J239+'11월'!J239+'12월'!J239</f>
        <v>997442286.59452701</v>
      </c>
      <c r="K239" s="42">
        <f>'1월'!M239+'2월'!K239+'3월'!K239+'4월'!K239+'5월'!K239+'6월'!K239+'7월'!K239+'8월'!K239+'9월'!K239+'10월'!K239+'11월'!K239+'12월'!K239</f>
        <v>1028877744.5225267</v>
      </c>
      <c r="L239" s="42">
        <f>'1월'!N239+'2월'!L239+'3월'!L239+'4월'!L239+'5월'!L239+'6월'!L239+'7월'!L239+'8월'!L239+'9월'!L239+'10월'!L239+'11월'!L239+'12월'!L239</f>
        <v>-4264824592.4881454</v>
      </c>
      <c r="M239" s="42">
        <f>'1월'!O239+'2월'!M239+'3월'!M239+'4월'!M239+'5월'!M239+'6월'!M239+'7월'!M239+'8월'!M239+'9월'!M239+'10월'!M239+'11월'!M239+'12월'!M239</f>
        <v>5594862139</v>
      </c>
      <c r="O239" s="42">
        <v>-298277290</v>
      </c>
      <c r="P239" s="42">
        <v>407022377</v>
      </c>
      <c r="Q239" s="42">
        <v>5861799116</v>
      </c>
      <c r="R239" s="42">
        <v>45481029.166666664</v>
      </c>
      <c r="S239" s="42">
        <v>269542749.16666669</v>
      </c>
      <c r="T239" s="42">
        <v>-690720704.33333337</v>
      </c>
      <c r="U239" s="83"/>
    </row>
    <row r="240" spans="1:21" x14ac:dyDescent="0.45">
      <c r="A240" s="28" t="s">
        <v>268</v>
      </c>
      <c r="B240" s="43">
        <f>'1월'!B240+'2월'!B240+'3월'!B240+'4월'!B240+'5월'!B240+'6월'!B240+'7월'!B240+'8월'!B240+'9월'!B240+'10월'!B240+'11월'!B240+'12월'!B240</f>
        <v>3771658305</v>
      </c>
      <c r="C240" s="43">
        <f>'1월'!C240+'2월'!C240+'3월'!C240+'4월'!C240+'5월'!C240+'6월'!C240+'7월'!C240+'8월'!C240+'9월'!C240+'10월'!C240+'11월'!C240+'12월'!C240</f>
        <v>3579235066</v>
      </c>
      <c r="D240" s="43">
        <f>'1월'!D240+'2월'!D240+'3월'!D240+'4월'!D240+'5월'!D240+'6월'!D240+'7월'!D240+'8월'!D240+'9월'!D240+'10월'!D240+'11월'!D240+'12월'!D240</f>
        <v>2997738</v>
      </c>
      <c r="E240" s="43">
        <f>'1월'!E240+'2월'!E240+'3월'!E240+'4월'!E240+'5월'!E240+'6월'!E240+'7월'!E240+'8월'!E240+'9월'!E240+'10월'!E240+'11월'!E240+'12월'!E240</f>
        <v>189425501</v>
      </c>
      <c r="F240" s="43">
        <f>'1월'!F240+'2월'!F240+'3월'!F240+'4월'!F240+'5월'!F240+'6월'!F240+'7월'!F240+'8월'!F240+'9월'!F240+'10월'!F240+'11월'!F240+'12월'!F240</f>
        <v>2997738</v>
      </c>
      <c r="G240" s="43">
        <f>'1월'!H240+'2월'!G240+'3월'!G240+'4월'!G240+'5월'!G240+'6월'!G240+'7월'!G240+'8월'!G240+'9월'!G240+'10월'!G240+'11월'!G240+'12월'!G240</f>
        <v>41721718</v>
      </c>
      <c r="H240" s="43">
        <f>'1월'!J240+'2월'!H240+'3월'!H240+'4월'!H240+'5월'!H240+'6월'!H240+'7월'!H240+'8월'!H240+'9월'!H240+'10월'!H240+'11월'!H240+'12월'!H240</f>
        <v>0</v>
      </c>
      <c r="I240" s="43">
        <f>'1월'!K240+'2월'!I240+'3월'!I240+'4월'!I240+'5월'!I240+'6월'!I240+'7월'!I240+'8월'!I240+'9월'!I240+'10월'!I240+'11월'!I240+'12월'!I240</f>
        <v>0</v>
      </c>
      <c r="J240" s="43">
        <f>'1월'!L240+'2월'!J240+'3월'!J240+'4월'!J240+'5월'!J240+'6월'!J240+'7월'!J240+'8월'!J240+'9월'!J240+'10월'!J240+'11월'!J240+'12월'!J240</f>
        <v>0</v>
      </c>
      <c r="K240" s="43">
        <f>'1월'!M240+'2월'!K240+'3월'!K240+'4월'!K240+'5월'!K240+'6월'!K240+'7월'!K240+'8월'!K240+'9월'!K240+'10월'!K240+'11월'!K240+'12월'!K240</f>
        <v>144706025</v>
      </c>
      <c r="L240" s="43">
        <f>'1월'!N240+'2월'!L240+'3월'!L240+'4월'!L240+'5월'!L240+'6월'!L240+'7월'!L240+'8월'!L240+'9월'!L240+'10월'!L240+'11월'!L240+'12월'!L240</f>
        <v>0</v>
      </c>
      <c r="M240" s="43">
        <f>'1월'!O240+'2월'!M240+'3월'!M240+'4월'!M240+'5월'!M240+'6월'!M240+'7월'!M240+'8월'!M240+'9월'!M240+'10월'!M240+'11월'!M240+'12월'!M240</f>
        <v>20</v>
      </c>
      <c r="O240" s="43">
        <f>IFERROR(VLOOKUP($A240,[1]플랫폼1!$A:$B,2,FALSE),0)</f>
        <v>0</v>
      </c>
      <c r="P240" s="43">
        <f>IFERROR(VLOOKUP($A240,[1]플랫폼2!$A:$M,12,FALSE),0)+IFERROR(VLOOKUP($A240,[1]플랫폼2!$A:$M,13,FALSE),0)</f>
        <v>20</v>
      </c>
      <c r="Q240" s="43">
        <f>IFERROR(VLOOKUP($A240,[1]플랫폼2!$A:$M,7,FALSE),0)+IFERROR(VLOOKUP($A240,[1]플랫폼2!$A:$M,12,FALSE),0)</f>
        <v>0</v>
      </c>
      <c r="R240" s="43">
        <f>IFERROR(VLOOKUP($A240,[1]모바일!$A:$S,17,FALSE),0)</f>
        <v>0</v>
      </c>
      <c r="S240" s="43">
        <f>IFERROR(VLOOKUP($A240,[1]모바일!$A:$S,18,FALSE),0)</f>
        <v>0</v>
      </c>
      <c r="T240" s="43">
        <f>IFERROR(VLOOKUP(A240,[1]플랫폼2!$A:$O,15,0),0)</f>
        <v>0</v>
      </c>
      <c r="U240" s="83"/>
    </row>
    <row r="241" spans="1:21" hidden="1" outlineLevel="1" x14ac:dyDescent="0.45">
      <c r="A241" s="29" t="s">
        <v>159</v>
      </c>
      <c r="B241" s="44">
        <f>'1월'!B241+'2월'!B241+'3월'!B241+'4월'!B241+'5월'!B241+'6월'!B241+'7월'!B241+'8월'!B241+'9월'!B241+'10월'!B241+'11월'!B241+'12월'!B241</f>
        <v>1567001602</v>
      </c>
      <c r="C241" s="44">
        <f>'1월'!C241+'2월'!C241+'3월'!C241+'4월'!C241+'5월'!C241+'6월'!C241+'7월'!C241+'8월'!C241+'9월'!C241+'10월'!C241+'11월'!C241+'12월'!C241</f>
        <v>1567001602</v>
      </c>
      <c r="D241" s="44">
        <f>'1월'!D241+'2월'!D241+'3월'!D241+'4월'!D241+'5월'!D241+'6월'!D241+'7월'!D241+'8월'!D241+'9월'!D241+'10월'!D241+'11월'!D241+'12월'!D241</f>
        <v>0</v>
      </c>
      <c r="E241" s="44">
        <f>'1월'!E241+'2월'!E241+'3월'!E241+'4월'!E241+'5월'!E241+'6월'!E241+'7월'!E241+'8월'!E241+'9월'!E241+'10월'!E241+'11월'!E241+'12월'!E241</f>
        <v>0</v>
      </c>
      <c r="F241" s="44">
        <f>'1월'!F241+'2월'!F241+'3월'!F241+'4월'!F241+'5월'!F241+'6월'!F241+'7월'!F241+'8월'!F241+'9월'!F241+'10월'!F241+'11월'!F241+'12월'!F241</f>
        <v>0</v>
      </c>
      <c r="G241" s="44">
        <f>'1월'!H241+'2월'!G241+'3월'!G241+'4월'!G241+'5월'!G241+'6월'!G241+'7월'!G241+'8월'!G241+'9월'!G241+'10월'!G241+'11월'!G241+'12월'!G241</f>
        <v>0</v>
      </c>
      <c r="H241" s="44">
        <f>'1월'!J241+'2월'!H241+'3월'!H241+'4월'!H241+'5월'!H241+'6월'!H241+'7월'!H241+'8월'!H241+'9월'!H241+'10월'!H241+'11월'!H241+'12월'!H241</f>
        <v>0</v>
      </c>
      <c r="I241" s="44">
        <f>'1월'!K241+'2월'!I241+'3월'!I241+'4월'!I241+'5월'!I241+'6월'!I241+'7월'!I241+'8월'!I241+'9월'!I241+'10월'!I241+'11월'!I241+'12월'!I241</f>
        <v>0</v>
      </c>
      <c r="J241" s="44">
        <f>'1월'!L241+'2월'!J241+'3월'!J241+'4월'!J241+'5월'!J241+'6월'!J241+'7월'!J241+'8월'!J241+'9월'!J241+'10월'!J241+'11월'!J241+'12월'!J241</f>
        <v>0</v>
      </c>
      <c r="K241" s="44">
        <f>'1월'!M241+'2월'!K241+'3월'!K241+'4월'!K241+'5월'!K241+'6월'!K241+'7월'!K241+'8월'!K241+'9월'!K241+'10월'!K241+'11월'!K241+'12월'!K241</f>
        <v>0</v>
      </c>
      <c r="L241" s="44">
        <f>'1월'!N241+'2월'!L241+'3월'!L241+'4월'!L241+'5월'!L241+'6월'!L241+'7월'!L241+'8월'!L241+'9월'!L241+'10월'!L241+'11월'!L241+'12월'!L241</f>
        <v>0</v>
      </c>
      <c r="M241" s="44">
        <f>'1월'!O241+'2월'!M241+'3월'!M241+'4월'!M241+'5월'!M241+'6월'!M241+'7월'!M241+'8월'!M241+'9월'!M241+'10월'!M241+'11월'!M241+'12월'!M241</f>
        <v>0</v>
      </c>
      <c r="O241" s="44">
        <f>IFERROR(VLOOKUP($A241,[1]플랫폼1!$A:$B,2,FALSE),0)</f>
        <v>0</v>
      </c>
      <c r="P241" s="44">
        <f>IFERROR(VLOOKUP($A241,[1]플랫폼2!$A:$M,12,FALSE),0)+IFERROR(VLOOKUP($A241,[1]플랫폼2!$A:$M,13,FALSE),0)</f>
        <v>0</v>
      </c>
      <c r="Q241" s="44">
        <f>IFERROR(VLOOKUP($A241,[1]플랫폼2!$A:$M,7,FALSE),0)+IFERROR(VLOOKUP($A241,[1]플랫폼2!$A:$M,12,FALSE),0)</f>
        <v>0</v>
      </c>
      <c r="R241" s="44">
        <f>IFERROR(VLOOKUP($A241,[1]모바일!$A:$S,17,FALSE),0)</f>
        <v>0</v>
      </c>
      <c r="S241" s="44">
        <f>IFERROR(VLOOKUP($A241,[1]모바일!$A:$S,18,FALSE),0)</f>
        <v>0</v>
      </c>
      <c r="T241" s="43">
        <f>IFERROR(VLOOKUP(A241,[1]플랫폼2!$A:$O,15,0),0)</f>
        <v>0</v>
      </c>
      <c r="U241" s="83"/>
    </row>
    <row r="242" spans="1:21" hidden="1" outlineLevel="1" x14ac:dyDescent="0.45">
      <c r="A242" s="29" t="s">
        <v>160</v>
      </c>
      <c r="B242" s="44">
        <f>'1월'!B242+'2월'!B242+'3월'!B242+'4월'!B242+'5월'!B242+'6월'!B242+'7월'!B242+'8월'!B242+'9월'!B242+'10월'!B242+'11월'!B242+'12월'!B242</f>
        <v>1203120800</v>
      </c>
      <c r="C242" s="44">
        <f>'1월'!C242+'2월'!C242+'3월'!C242+'4월'!C242+'5월'!C242+'6월'!C242+'7월'!C242+'8월'!C242+'9월'!C242+'10월'!C242+'11월'!C242+'12월'!C242</f>
        <v>1203120800</v>
      </c>
      <c r="D242" s="44">
        <f>'1월'!D242+'2월'!D242+'3월'!D242+'4월'!D242+'5월'!D242+'6월'!D242+'7월'!D242+'8월'!D242+'9월'!D242+'10월'!D242+'11월'!D242+'12월'!D242</f>
        <v>0</v>
      </c>
      <c r="E242" s="44">
        <f>'1월'!E242+'2월'!E242+'3월'!E242+'4월'!E242+'5월'!E242+'6월'!E242+'7월'!E242+'8월'!E242+'9월'!E242+'10월'!E242+'11월'!E242+'12월'!E242</f>
        <v>0</v>
      </c>
      <c r="F242" s="44">
        <f>'1월'!F242+'2월'!F242+'3월'!F242+'4월'!F242+'5월'!F242+'6월'!F242+'7월'!F242+'8월'!F242+'9월'!F242+'10월'!F242+'11월'!F242+'12월'!F242</f>
        <v>0</v>
      </c>
      <c r="G242" s="44">
        <f>'1월'!H242+'2월'!G242+'3월'!G242+'4월'!G242+'5월'!G242+'6월'!G242+'7월'!G242+'8월'!G242+'9월'!G242+'10월'!G242+'11월'!G242+'12월'!G242</f>
        <v>0</v>
      </c>
      <c r="H242" s="44">
        <f>'1월'!J242+'2월'!H242+'3월'!H242+'4월'!H242+'5월'!H242+'6월'!H242+'7월'!H242+'8월'!H242+'9월'!H242+'10월'!H242+'11월'!H242+'12월'!H242</f>
        <v>0</v>
      </c>
      <c r="I242" s="44">
        <f>'1월'!K242+'2월'!I242+'3월'!I242+'4월'!I242+'5월'!I242+'6월'!I242+'7월'!I242+'8월'!I242+'9월'!I242+'10월'!I242+'11월'!I242+'12월'!I242</f>
        <v>0</v>
      </c>
      <c r="J242" s="44">
        <f>'1월'!L242+'2월'!J242+'3월'!J242+'4월'!J242+'5월'!J242+'6월'!J242+'7월'!J242+'8월'!J242+'9월'!J242+'10월'!J242+'11월'!J242+'12월'!J242</f>
        <v>0</v>
      </c>
      <c r="K242" s="44">
        <f>'1월'!M242+'2월'!K242+'3월'!K242+'4월'!K242+'5월'!K242+'6월'!K242+'7월'!K242+'8월'!K242+'9월'!K242+'10월'!K242+'11월'!K242+'12월'!K242</f>
        <v>0</v>
      </c>
      <c r="L242" s="44">
        <f>'1월'!N242+'2월'!L242+'3월'!L242+'4월'!L242+'5월'!L242+'6월'!L242+'7월'!L242+'8월'!L242+'9월'!L242+'10월'!L242+'11월'!L242+'12월'!L242</f>
        <v>0</v>
      </c>
      <c r="M242" s="44">
        <f>'1월'!O242+'2월'!M242+'3월'!M242+'4월'!M242+'5월'!M242+'6월'!M242+'7월'!M242+'8월'!M242+'9월'!M242+'10월'!M242+'11월'!M242+'12월'!M242</f>
        <v>0</v>
      </c>
      <c r="O242" s="44">
        <f>IFERROR(VLOOKUP($A242,[1]플랫폼1!$A:$B,2,FALSE),0)</f>
        <v>0</v>
      </c>
      <c r="P242" s="44">
        <f>IFERROR(VLOOKUP($A242,[1]플랫폼2!$A:$M,12,FALSE),0)+IFERROR(VLOOKUP($A242,[1]플랫폼2!$A:$M,13,FALSE),0)</f>
        <v>0</v>
      </c>
      <c r="Q242" s="44">
        <f>IFERROR(VLOOKUP($A242,[1]플랫폼2!$A:$M,7,FALSE),0)+IFERROR(VLOOKUP($A242,[1]플랫폼2!$A:$M,12,FALSE),0)</f>
        <v>0</v>
      </c>
      <c r="R242" s="44">
        <f>IFERROR(VLOOKUP($A242,[1]모바일!$A:$S,17,FALSE),0)</f>
        <v>0</v>
      </c>
      <c r="S242" s="44">
        <f>IFERROR(VLOOKUP($A242,[1]모바일!$A:$S,18,FALSE),0)</f>
        <v>0</v>
      </c>
      <c r="T242" s="43">
        <f>IFERROR(VLOOKUP(A242,[1]플랫폼2!$A:$O,15,0),0)</f>
        <v>0</v>
      </c>
      <c r="U242" s="83"/>
    </row>
    <row r="243" spans="1:21" hidden="1" outlineLevel="1" x14ac:dyDescent="0.45">
      <c r="A243" s="29" t="s">
        <v>258</v>
      </c>
      <c r="B243" s="44">
        <f>'1월'!B243+'2월'!B243+'3월'!B243+'4월'!B243+'5월'!B243+'6월'!B243+'7월'!B243+'8월'!B243+'9월'!B243+'10월'!B243+'11월'!B243+'12월'!B243</f>
        <v>441000000</v>
      </c>
      <c r="C243" s="44">
        <f>'1월'!C243+'2월'!C243+'3월'!C243+'4월'!C243+'5월'!C243+'6월'!C243+'7월'!C243+'8월'!C243+'9월'!C243+'10월'!C243+'11월'!C243+'12월'!C243</f>
        <v>441000000</v>
      </c>
      <c r="D243" s="44">
        <f>'1월'!D243+'2월'!D243+'3월'!D243+'4월'!D243+'5월'!D243+'6월'!D243+'7월'!D243+'8월'!D243+'9월'!D243+'10월'!D243+'11월'!D243+'12월'!D243</f>
        <v>0</v>
      </c>
      <c r="E243" s="44">
        <f>'1월'!E243+'2월'!E243+'3월'!E243+'4월'!E243+'5월'!E243+'6월'!E243+'7월'!E243+'8월'!E243+'9월'!E243+'10월'!E243+'11월'!E243+'12월'!E243</f>
        <v>0</v>
      </c>
      <c r="F243" s="44">
        <f>'1월'!F243+'2월'!F243+'3월'!F243+'4월'!F243+'5월'!F243+'6월'!F243+'7월'!F243+'8월'!F243+'9월'!F243+'10월'!F243+'11월'!F243+'12월'!F243</f>
        <v>0</v>
      </c>
      <c r="G243" s="44">
        <f>'1월'!H243+'2월'!G243+'3월'!G243+'4월'!G243+'5월'!G243+'6월'!G243+'7월'!G243+'8월'!G243+'9월'!G243+'10월'!G243+'11월'!G243+'12월'!G243</f>
        <v>0</v>
      </c>
      <c r="H243" s="44">
        <f>'1월'!J243+'2월'!H243+'3월'!H243+'4월'!H243+'5월'!H243+'6월'!H243+'7월'!H243+'8월'!H243+'9월'!H243+'10월'!H243+'11월'!H243+'12월'!H243</f>
        <v>0</v>
      </c>
      <c r="I243" s="44">
        <f>'1월'!K243+'2월'!I243+'3월'!I243+'4월'!I243+'5월'!I243+'6월'!I243+'7월'!I243+'8월'!I243+'9월'!I243+'10월'!I243+'11월'!I243+'12월'!I243</f>
        <v>0</v>
      </c>
      <c r="J243" s="44">
        <f>'1월'!L243+'2월'!J243+'3월'!J243+'4월'!J243+'5월'!J243+'6월'!J243+'7월'!J243+'8월'!J243+'9월'!J243+'10월'!J243+'11월'!J243+'12월'!J243</f>
        <v>0</v>
      </c>
      <c r="K243" s="44">
        <f>'1월'!M243+'2월'!K243+'3월'!K243+'4월'!K243+'5월'!K243+'6월'!K243+'7월'!K243+'8월'!K243+'9월'!K243+'10월'!K243+'11월'!K243+'12월'!K243</f>
        <v>0</v>
      </c>
      <c r="L243" s="44">
        <f>'1월'!N243+'2월'!L243+'3월'!L243+'4월'!L243+'5월'!L243+'6월'!L243+'7월'!L243+'8월'!L243+'9월'!L243+'10월'!L243+'11월'!L243+'12월'!L243</f>
        <v>0</v>
      </c>
      <c r="M243" s="44">
        <f>'1월'!O243+'2월'!M243+'3월'!M243+'4월'!M243+'5월'!M243+'6월'!M243+'7월'!M243+'8월'!M243+'9월'!M243+'10월'!M243+'11월'!M243+'12월'!M243</f>
        <v>0</v>
      </c>
      <c r="O243" s="44">
        <f>IFERROR(VLOOKUP($A243,[1]플랫폼1!$A:$B,2,FALSE),0)</f>
        <v>0</v>
      </c>
      <c r="P243" s="44">
        <f>IFERROR(VLOOKUP($A243,[1]플랫폼2!$A:$M,12,FALSE),0)+IFERROR(VLOOKUP($A243,[1]플랫폼2!$A:$M,13,FALSE),0)</f>
        <v>0</v>
      </c>
      <c r="Q243" s="44">
        <f>IFERROR(VLOOKUP($A243,[1]플랫폼2!$A:$M,7,FALSE),0)+IFERROR(VLOOKUP($A243,[1]플랫폼2!$A:$M,12,FALSE),0)</f>
        <v>0</v>
      </c>
      <c r="R243" s="44">
        <f>IFERROR(VLOOKUP($A243,[1]모바일!$A:$S,17,FALSE),0)</f>
        <v>0</v>
      </c>
      <c r="S243" s="44">
        <f>IFERROR(VLOOKUP($A243,[1]모바일!$A:$S,18,FALSE),0)</f>
        <v>0</v>
      </c>
      <c r="T243" s="43">
        <f>IFERROR(VLOOKUP(A243,[1]플랫폼2!$A:$O,15,0),0)</f>
        <v>0</v>
      </c>
      <c r="U243" s="83"/>
    </row>
    <row r="244" spans="1:21" s="3" customFormat="1" hidden="1" outlineLevel="1" x14ac:dyDescent="0.45">
      <c r="A244" s="29" t="s">
        <v>223</v>
      </c>
      <c r="B244" s="44">
        <f>'1월'!B244+'2월'!B244+'3월'!B244+'4월'!B244+'5월'!B244+'6월'!B244+'7월'!B244+'8월'!B244+'9월'!B244+'10월'!B244+'11월'!B244+'12월'!B244</f>
        <v>0</v>
      </c>
      <c r="C244" s="44">
        <f>'1월'!C244+'2월'!C244+'3월'!C244+'4월'!C244+'5월'!C244+'6월'!C244+'7월'!C244+'8월'!C244+'9월'!C244+'10월'!C244+'11월'!C244+'12월'!C244</f>
        <v>0</v>
      </c>
      <c r="D244" s="44">
        <f>'1월'!D244+'2월'!D244+'3월'!D244+'4월'!D244+'5월'!D244+'6월'!D244+'7월'!D244+'8월'!D244+'9월'!D244+'10월'!D244+'11월'!D244+'12월'!D244</f>
        <v>0</v>
      </c>
      <c r="E244" s="44">
        <f>'1월'!E244+'2월'!E244+'3월'!E244+'4월'!E244+'5월'!E244+'6월'!E244+'7월'!E244+'8월'!E244+'9월'!E244+'10월'!E244+'11월'!E244+'12월'!E244</f>
        <v>0</v>
      </c>
      <c r="F244" s="44">
        <f>'1월'!F244+'2월'!F244+'3월'!F244+'4월'!F244+'5월'!F244+'6월'!F244+'7월'!F244+'8월'!F244+'9월'!F244+'10월'!F244+'11월'!F244+'12월'!F244</f>
        <v>0</v>
      </c>
      <c r="G244" s="44">
        <f>'1월'!H244+'2월'!G244+'3월'!G244+'4월'!G244+'5월'!G244+'6월'!G244+'7월'!G244+'8월'!G244+'9월'!G244+'10월'!G244+'11월'!G244+'12월'!G244</f>
        <v>0</v>
      </c>
      <c r="H244" s="44">
        <f>'1월'!J244+'2월'!H244+'3월'!H244+'4월'!H244+'5월'!H244+'6월'!H244+'7월'!H244+'8월'!H244+'9월'!H244+'10월'!H244+'11월'!H244+'12월'!H244</f>
        <v>0</v>
      </c>
      <c r="I244" s="44">
        <f>'1월'!K244+'2월'!I244+'3월'!I244+'4월'!I244+'5월'!I244+'6월'!I244+'7월'!I244+'8월'!I244+'9월'!I244+'10월'!I244+'11월'!I244+'12월'!I244</f>
        <v>0</v>
      </c>
      <c r="J244" s="44">
        <f>'1월'!L244+'2월'!J244+'3월'!J244+'4월'!J244+'5월'!J244+'6월'!J244+'7월'!J244+'8월'!J244+'9월'!J244+'10월'!J244+'11월'!J244+'12월'!J244</f>
        <v>0</v>
      </c>
      <c r="K244" s="44">
        <f>'1월'!M244+'2월'!K244+'3월'!K244+'4월'!K244+'5월'!K244+'6월'!K244+'7월'!K244+'8월'!K244+'9월'!K244+'10월'!K244+'11월'!K244+'12월'!K244</f>
        <v>0</v>
      </c>
      <c r="L244" s="44">
        <f>'1월'!N244+'2월'!L244+'3월'!L244+'4월'!L244+'5월'!L244+'6월'!L244+'7월'!L244+'8월'!L244+'9월'!L244+'10월'!L244+'11월'!L244+'12월'!L244</f>
        <v>0</v>
      </c>
      <c r="M244" s="44">
        <f>'1월'!O244+'2월'!M244+'3월'!M244+'4월'!M244+'5월'!M244+'6월'!M244+'7월'!M244+'8월'!M244+'9월'!M244+'10월'!M244+'11월'!M244+'12월'!M244</f>
        <v>0</v>
      </c>
      <c r="O244" s="44">
        <f>IFERROR(VLOOKUP($A244,[1]플랫폼1!$A:$B,2,FALSE),0)</f>
        <v>0</v>
      </c>
      <c r="P244" s="44">
        <f>IFERROR(VLOOKUP($A244,[1]플랫폼2!$A:$M,12,FALSE),0)+IFERROR(VLOOKUP($A244,[1]플랫폼2!$A:$M,13,FALSE),0)</f>
        <v>0</v>
      </c>
      <c r="Q244" s="44">
        <f>IFERROR(VLOOKUP($A244,[1]플랫폼2!$A:$M,7,FALSE),0)+IFERROR(VLOOKUP($A244,[1]플랫폼2!$A:$M,12,FALSE),0)</f>
        <v>0</v>
      </c>
      <c r="R244" s="44">
        <f>IFERROR(VLOOKUP($A244,[1]모바일!$A:$S,17,FALSE),0)</f>
        <v>0</v>
      </c>
      <c r="S244" s="44">
        <f>IFERROR(VLOOKUP($A244,[1]모바일!$A:$S,18,FALSE),0)</f>
        <v>0</v>
      </c>
      <c r="T244" s="43">
        <f>IFERROR(VLOOKUP(A244,[1]플랫폼2!$A:$O,15,0),0)</f>
        <v>0</v>
      </c>
      <c r="U244" s="83"/>
    </row>
    <row r="245" spans="1:21" s="3" customFormat="1" hidden="1" outlineLevel="1" x14ac:dyDescent="0.45">
      <c r="A245" s="33" t="s">
        <v>243</v>
      </c>
      <c r="B245" s="33">
        <f>'1월'!B245+'2월'!B245+'3월'!B245+'4월'!B245+'5월'!B245+'6월'!B245+'7월'!B245+'8월'!B245+'9월'!B245+'10월'!B245+'11월'!B245+'12월'!B245</f>
        <v>35732495</v>
      </c>
      <c r="C245" s="33">
        <f>'1월'!C245+'2월'!C245+'3월'!C245+'4월'!C245+'5월'!C245+'6월'!C245+'7월'!C245+'8월'!C245+'9월'!C245+'10월'!C245+'11월'!C245+'12월'!C245</f>
        <v>35732495</v>
      </c>
      <c r="D245" s="33">
        <f>'1월'!D245+'2월'!D245+'3월'!D245+'4월'!D245+'5월'!D245+'6월'!D245+'7월'!D245+'8월'!D245+'9월'!D245+'10월'!D245+'11월'!D245+'12월'!D245</f>
        <v>0</v>
      </c>
      <c r="E245" s="33">
        <f>'1월'!E245+'2월'!E245+'3월'!E245+'4월'!E245+'5월'!E245+'6월'!E245+'7월'!E245+'8월'!E245+'9월'!E245+'10월'!E245+'11월'!E245+'12월'!E245</f>
        <v>0</v>
      </c>
      <c r="F245" s="33">
        <f>'1월'!F245+'2월'!F245+'3월'!F245+'4월'!F245+'5월'!F245+'6월'!F245+'7월'!F245+'8월'!F245+'9월'!F245+'10월'!F245+'11월'!F245+'12월'!F245</f>
        <v>0</v>
      </c>
      <c r="G245" s="33">
        <f>'1월'!H245+'2월'!G245+'3월'!G245+'4월'!G245+'5월'!G245+'6월'!G245+'7월'!G245+'8월'!G245+'9월'!G245+'10월'!G245+'11월'!G245+'12월'!G245</f>
        <v>0</v>
      </c>
      <c r="H245" s="33">
        <f>'1월'!J245+'2월'!H245+'3월'!H245+'4월'!H245+'5월'!H245+'6월'!H245+'7월'!H245+'8월'!H245+'9월'!H245+'10월'!H245+'11월'!H245+'12월'!H245</f>
        <v>0</v>
      </c>
      <c r="I245" s="33">
        <f>'1월'!K245+'2월'!I245+'3월'!I245+'4월'!I245+'5월'!I245+'6월'!I245+'7월'!I245+'8월'!I245+'9월'!I245+'10월'!I245+'11월'!I245+'12월'!I245</f>
        <v>0</v>
      </c>
      <c r="J245" s="33">
        <f>'1월'!L245+'2월'!J245+'3월'!J245+'4월'!J245+'5월'!J245+'6월'!J245+'7월'!J245+'8월'!J245+'9월'!J245+'10월'!J245+'11월'!J245+'12월'!J245</f>
        <v>0</v>
      </c>
      <c r="K245" s="33">
        <f>'1월'!M245+'2월'!K245+'3월'!K245+'4월'!K245+'5월'!K245+'6월'!K245+'7월'!K245+'8월'!K245+'9월'!K245+'10월'!K245+'11월'!K245+'12월'!K245</f>
        <v>0</v>
      </c>
      <c r="L245" s="33">
        <f>'1월'!N245+'2월'!L245+'3월'!L245+'4월'!L245+'5월'!L245+'6월'!L245+'7월'!L245+'8월'!L245+'9월'!L245+'10월'!L245+'11월'!L245+'12월'!L245</f>
        <v>0</v>
      </c>
      <c r="M245" s="33">
        <f>'1월'!O245+'2월'!M245+'3월'!M245+'4월'!M245+'5월'!M245+'6월'!M245+'7월'!M245+'8월'!M245+'9월'!M245+'10월'!M245+'11월'!M245+'12월'!M245</f>
        <v>0</v>
      </c>
      <c r="O245" s="33">
        <f>IFERROR(VLOOKUP($A245,[1]플랫폼1!$A:$B,2,FALSE),0)</f>
        <v>0</v>
      </c>
      <c r="P245" s="33">
        <f>IFERROR(VLOOKUP($A245,[1]플랫폼2!$A:$M,12,FALSE),0)+IFERROR(VLOOKUP($A245,[1]플랫폼2!$A:$M,13,FALSE),0)</f>
        <v>0</v>
      </c>
      <c r="Q245" s="33">
        <f>IFERROR(VLOOKUP($A245,[1]플랫폼2!$A:$M,7,FALSE),0)+IFERROR(VLOOKUP($A245,[1]플랫폼2!$A:$M,12,FALSE),0)</f>
        <v>0</v>
      </c>
      <c r="R245" s="33">
        <f>IFERROR(VLOOKUP($A245,[1]모바일!$A:$S,17,FALSE),0)</f>
        <v>0</v>
      </c>
      <c r="S245" s="33">
        <f>IFERROR(VLOOKUP($A245,[1]모바일!$A:$S,18,FALSE),0)</f>
        <v>0</v>
      </c>
      <c r="T245" s="43">
        <f>IFERROR(VLOOKUP(A245,[1]플랫폼2!$A:$O,15,0),0)</f>
        <v>0</v>
      </c>
      <c r="U245" s="83"/>
    </row>
    <row r="246" spans="1:21" s="3" customFormat="1" hidden="1" outlineLevel="1" x14ac:dyDescent="0.45">
      <c r="A246" s="34" t="s">
        <v>264</v>
      </c>
      <c r="B246" s="33">
        <f>'1월'!B246+'2월'!B246+'3월'!B246+'4월'!B246+'5월'!B246+'6월'!B246+'7월'!B246+'8월'!B246+'9월'!B246+'10월'!B246+'11월'!B246+'12월'!B246</f>
        <v>0</v>
      </c>
      <c r="C246" s="33">
        <f>'1월'!C246+'2월'!C246+'3월'!C246+'4월'!C246+'5월'!C246+'6월'!C246+'7월'!C246+'8월'!C246+'9월'!C246+'10월'!C246+'11월'!C246+'12월'!C246</f>
        <v>0</v>
      </c>
      <c r="D246" s="33">
        <f>'1월'!D246+'2월'!D246+'3월'!D246+'4월'!D246+'5월'!D246+'6월'!D246+'7월'!D246+'8월'!D246+'9월'!D246+'10월'!D246+'11월'!D246+'12월'!D246</f>
        <v>0</v>
      </c>
      <c r="E246" s="33">
        <f>'1월'!E246+'2월'!E246+'3월'!E246+'4월'!E246+'5월'!E246+'6월'!E246+'7월'!E246+'8월'!E246+'9월'!E246+'10월'!E246+'11월'!E246+'12월'!E246</f>
        <v>0</v>
      </c>
      <c r="F246" s="33">
        <f>'1월'!F246+'2월'!F246+'3월'!F246+'4월'!F246+'5월'!F246+'6월'!F246+'7월'!F246+'8월'!F246+'9월'!F246+'10월'!F246+'11월'!F246+'12월'!F246</f>
        <v>0</v>
      </c>
      <c r="G246" s="33">
        <f>'1월'!H246+'2월'!G246+'3월'!G246+'4월'!G246+'5월'!G246+'6월'!G246+'7월'!G246+'8월'!G246+'9월'!G246+'10월'!G246+'11월'!G246+'12월'!G246</f>
        <v>0</v>
      </c>
      <c r="H246" s="33">
        <f>'1월'!J246+'2월'!H246+'3월'!H246+'4월'!H246+'5월'!H246+'6월'!H246+'7월'!H246+'8월'!H246+'9월'!H246+'10월'!H246+'11월'!H246+'12월'!H246</f>
        <v>0</v>
      </c>
      <c r="I246" s="33">
        <f>'1월'!K246+'2월'!I246+'3월'!I246+'4월'!I246+'5월'!I246+'6월'!I246+'7월'!I246+'8월'!I246+'9월'!I246+'10월'!I246+'11월'!I246+'12월'!I246</f>
        <v>0</v>
      </c>
      <c r="J246" s="33">
        <f>'1월'!L246+'2월'!J246+'3월'!J246+'4월'!J246+'5월'!J246+'6월'!J246+'7월'!J246+'8월'!J246+'9월'!J246+'10월'!J246+'11월'!J246+'12월'!J246</f>
        <v>0</v>
      </c>
      <c r="K246" s="33">
        <f>'1월'!M246+'2월'!K246+'3월'!K246+'4월'!K246+'5월'!K246+'6월'!K246+'7월'!K246+'8월'!K246+'9월'!K246+'10월'!K246+'11월'!K246+'12월'!K246</f>
        <v>0</v>
      </c>
      <c r="L246" s="33">
        <f>'1월'!N246+'2월'!L246+'3월'!L246+'4월'!L246+'5월'!L246+'6월'!L246+'7월'!L246+'8월'!L246+'9월'!L246+'10월'!L246+'11월'!L246+'12월'!L246</f>
        <v>0</v>
      </c>
      <c r="M246" s="33">
        <f>'1월'!O246+'2월'!M246+'3월'!M246+'4월'!M246+'5월'!M246+'6월'!M246+'7월'!M246+'8월'!M246+'9월'!M246+'10월'!M246+'11월'!M246+'12월'!M246</f>
        <v>0</v>
      </c>
      <c r="O246" s="33">
        <f>IFERROR(VLOOKUP($A246,[1]플랫폼1!$A:$B,2,FALSE),0)</f>
        <v>0</v>
      </c>
      <c r="P246" s="33">
        <f>IFERROR(VLOOKUP($A246,[1]플랫폼2!$A:$M,12,FALSE),0)+IFERROR(VLOOKUP($A246,[1]플랫폼2!$A:$M,13,FALSE),0)</f>
        <v>0</v>
      </c>
      <c r="Q246" s="33">
        <f>IFERROR(VLOOKUP($A246,[1]플랫폼2!$A:$M,7,FALSE),0)+IFERROR(VLOOKUP($A246,[1]플랫폼2!$A:$M,12,FALSE),0)</f>
        <v>0</v>
      </c>
      <c r="R246" s="33">
        <f>IFERROR(VLOOKUP($A246,[1]모바일!$A:$S,17,FALSE),0)</f>
        <v>0</v>
      </c>
      <c r="S246" s="33">
        <f>IFERROR(VLOOKUP($A246,[1]모바일!$A:$S,18,FALSE),0)</f>
        <v>0</v>
      </c>
      <c r="T246" s="43">
        <f>IFERROR(VLOOKUP(A246,[1]플랫폼2!$A:$O,15,0),0)</f>
        <v>0</v>
      </c>
      <c r="U246" s="83"/>
    </row>
    <row r="247" spans="1:21" hidden="1" outlineLevel="1" x14ac:dyDescent="0.45">
      <c r="A247" s="34" t="s">
        <v>247</v>
      </c>
      <c r="B247" s="33">
        <f>'1월'!B247+'2월'!B247+'3월'!B247+'4월'!B247+'5월'!B247+'6월'!B247+'7월'!B247+'8월'!B247+'9월'!B247+'10월'!B247+'11월'!B247+'12월'!B247</f>
        <v>0</v>
      </c>
      <c r="C247" s="33">
        <f>'1월'!C247+'2월'!C247+'3월'!C247+'4월'!C247+'5월'!C247+'6월'!C247+'7월'!C247+'8월'!C247+'9월'!C247+'10월'!C247+'11월'!C247+'12월'!C247</f>
        <v>-144706025</v>
      </c>
      <c r="D247" s="33">
        <f>'1월'!D247+'2월'!D247+'3월'!D247+'4월'!D247+'5월'!D247+'6월'!D247+'7월'!D247+'8월'!D247+'9월'!D247+'10월'!D247+'11월'!D247+'12월'!D247</f>
        <v>0</v>
      </c>
      <c r="E247" s="33">
        <f>'1월'!E247+'2월'!E247+'3월'!E247+'4월'!E247+'5월'!E247+'6월'!E247+'7월'!E247+'8월'!E247+'9월'!E247+'10월'!E247+'11월'!E247+'12월'!E247</f>
        <v>144706025</v>
      </c>
      <c r="F247" s="33">
        <f>'1월'!F247+'2월'!F247+'3월'!F247+'4월'!F247+'5월'!F247+'6월'!F247+'7월'!F247+'8월'!F247+'9월'!F247+'10월'!F247+'11월'!F247+'12월'!F247</f>
        <v>0</v>
      </c>
      <c r="G247" s="33">
        <f>'1월'!H247+'2월'!G247+'3월'!G247+'4월'!G247+'5월'!G247+'6월'!G247+'7월'!G247+'8월'!G247+'9월'!G247+'10월'!G247+'11월'!G247+'12월'!G247</f>
        <v>0</v>
      </c>
      <c r="H247" s="33">
        <f>'1월'!J247+'2월'!H247+'3월'!H247+'4월'!H247+'5월'!H247+'6월'!H247+'7월'!H247+'8월'!H247+'9월'!H247+'10월'!H247+'11월'!H247+'12월'!H247</f>
        <v>0</v>
      </c>
      <c r="I247" s="33">
        <f>'1월'!K247+'2월'!I247+'3월'!I247+'4월'!I247+'5월'!I247+'6월'!I247+'7월'!I247+'8월'!I247+'9월'!I247+'10월'!I247+'11월'!I247+'12월'!I247</f>
        <v>0</v>
      </c>
      <c r="J247" s="33">
        <f>'1월'!L247+'2월'!J247+'3월'!J247+'4월'!J247+'5월'!J247+'6월'!J247+'7월'!J247+'8월'!J247+'9월'!J247+'10월'!J247+'11월'!J247+'12월'!J247</f>
        <v>0</v>
      </c>
      <c r="K247" s="33">
        <f>'1월'!M247+'2월'!K247+'3월'!K247+'4월'!K247+'5월'!K247+'6월'!K247+'7월'!K247+'8월'!K247+'9월'!K247+'10월'!K247+'11월'!K247+'12월'!K247</f>
        <v>144706025</v>
      </c>
      <c r="L247" s="33">
        <f>'1월'!N247+'2월'!L247+'3월'!L247+'4월'!L247+'5월'!L247+'6월'!L247+'7월'!L247+'8월'!L247+'9월'!L247+'10월'!L247+'11월'!L247+'12월'!L247</f>
        <v>0</v>
      </c>
      <c r="M247" s="33">
        <f>'1월'!O247+'2월'!M247+'3월'!M247+'4월'!M247+'5월'!M247+'6월'!M247+'7월'!M247+'8월'!M247+'9월'!M247+'10월'!M247+'11월'!M247+'12월'!M247</f>
        <v>0</v>
      </c>
      <c r="O247" s="33">
        <f>IFERROR(VLOOKUP($A247,[1]플랫폼1!$A:$B,2,FALSE),0)</f>
        <v>0</v>
      </c>
      <c r="P247" s="33">
        <f>IFERROR(VLOOKUP($A247,[1]플랫폼2!$A:$M,12,FALSE),0)+IFERROR(VLOOKUP($A247,[1]플랫폼2!$A:$M,13,FALSE),0)</f>
        <v>0</v>
      </c>
      <c r="Q247" s="33">
        <f>IFERROR(VLOOKUP($A247,[1]플랫폼2!$A:$M,7,FALSE),0)+IFERROR(VLOOKUP($A247,[1]플랫폼2!$A:$M,12,FALSE),0)</f>
        <v>0</v>
      </c>
      <c r="R247" s="33">
        <f>IFERROR(VLOOKUP($A247,[1]모바일!$A:$S,17,FALSE),0)</f>
        <v>0</v>
      </c>
      <c r="S247" s="33">
        <f>IFERROR(VLOOKUP($A247,[1]모바일!$A:$S,18,FALSE),0)</f>
        <v>0</v>
      </c>
      <c r="T247" s="43">
        <f>IFERROR(VLOOKUP(A247,[1]플랫폼2!$A:$O,15,0),0)</f>
        <v>0</v>
      </c>
      <c r="U247" s="83"/>
    </row>
    <row r="248" spans="1:21" hidden="1" outlineLevel="1" x14ac:dyDescent="0.45">
      <c r="A248" s="29" t="s">
        <v>161</v>
      </c>
      <c r="B248" s="44">
        <f>'1월'!B248+'2월'!B248+'3월'!B248+'4월'!B248+'5월'!B248+'6월'!B248+'7월'!B248+'8월'!B248+'9월'!B248+'10월'!B248+'11월'!B248+'12월'!B248</f>
        <v>524803408</v>
      </c>
      <c r="C248" s="44">
        <f>'1월'!C248+'2월'!C248+'3월'!C248+'4월'!C248+'5월'!C248+'6월'!C248+'7월'!C248+'8월'!C248+'9월'!C248+'10월'!C248+'11월'!C248+'12월'!C248</f>
        <v>477086194</v>
      </c>
      <c r="D248" s="44">
        <f>'1월'!D248+'2월'!D248+'3월'!D248+'4월'!D248+'5월'!D248+'6월'!D248+'7월'!D248+'8월'!D248+'9월'!D248+'10월'!D248+'11월'!D248+'12월'!D248</f>
        <v>2997738</v>
      </c>
      <c r="E248" s="44">
        <f>'1월'!E248+'2월'!E248+'3월'!E248+'4월'!E248+'5월'!E248+'6월'!E248+'7월'!E248+'8월'!E248+'9월'!E248+'10월'!E248+'11월'!E248+'12월'!E248</f>
        <v>44719476</v>
      </c>
      <c r="F248" s="44">
        <f>'1월'!F248+'2월'!F248+'3월'!F248+'4월'!F248+'5월'!F248+'6월'!F248+'7월'!F248+'8월'!F248+'9월'!F248+'10월'!F248+'11월'!F248+'12월'!F248</f>
        <v>2997738</v>
      </c>
      <c r="G248" s="44">
        <f>'1월'!H248+'2월'!G248+'3월'!G248+'4월'!G248+'5월'!G248+'6월'!G248+'7월'!G248+'8월'!G248+'9월'!G248+'10월'!G248+'11월'!G248+'12월'!G248</f>
        <v>41721718</v>
      </c>
      <c r="H248" s="44">
        <f>'1월'!J248+'2월'!H248+'3월'!H248+'4월'!H248+'5월'!H248+'6월'!H248+'7월'!H248+'8월'!H248+'9월'!H248+'10월'!H248+'11월'!H248+'12월'!H248</f>
        <v>0</v>
      </c>
      <c r="I248" s="44">
        <f>'1월'!K248+'2월'!I248+'3월'!I248+'4월'!I248+'5월'!I248+'6월'!I248+'7월'!I248+'8월'!I248+'9월'!I248+'10월'!I248+'11월'!I248+'12월'!I248</f>
        <v>0</v>
      </c>
      <c r="J248" s="44">
        <f>'1월'!L248+'2월'!J248+'3월'!J248+'4월'!J248+'5월'!J248+'6월'!J248+'7월'!J248+'8월'!J248+'9월'!J248+'10월'!J248+'11월'!J248+'12월'!J248</f>
        <v>0</v>
      </c>
      <c r="K248" s="44">
        <f>'1월'!M248+'2월'!K248+'3월'!K248+'4월'!K248+'5월'!K248+'6월'!K248+'7월'!K248+'8월'!K248+'9월'!K248+'10월'!K248+'11월'!K248+'12월'!K248</f>
        <v>0</v>
      </c>
      <c r="L248" s="44">
        <f>'1월'!N248+'2월'!L248+'3월'!L248+'4월'!L248+'5월'!L248+'6월'!L248+'7월'!L248+'8월'!L248+'9월'!L248+'10월'!L248+'11월'!L248+'12월'!L248</f>
        <v>0</v>
      </c>
      <c r="M248" s="44">
        <f>'1월'!O248+'2월'!M248+'3월'!M248+'4월'!M248+'5월'!M248+'6월'!M248+'7월'!M248+'8월'!M248+'9월'!M248+'10월'!M248+'11월'!M248+'12월'!M248</f>
        <v>20</v>
      </c>
      <c r="O248" s="44">
        <f>IFERROR(VLOOKUP($A248,[1]플랫폼1!$A:$B,2,FALSE),0)</f>
        <v>0</v>
      </c>
      <c r="P248" s="44">
        <f>IFERROR(VLOOKUP($A248,[1]플랫폼2!$A:$M,12,FALSE),0)+IFERROR(VLOOKUP($A248,[1]플랫폼2!$A:$M,13,FALSE),0)</f>
        <v>20</v>
      </c>
      <c r="Q248" s="44">
        <f>IFERROR(VLOOKUP($A248,[1]플랫폼2!$A:$M,7,FALSE),0)+IFERROR(VLOOKUP($A248,[1]플랫폼2!$A:$M,12,FALSE),0)</f>
        <v>0</v>
      </c>
      <c r="R248" s="44">
        <f>IFERROR(VLOOKUP($A248,[1]모바일!$A:$S,17,FALSE),0)</f>
        <v>0</v>
      </c>
      <c r="S248" s="44">
        <f>IFERROR(VLOOKUP($A248,[1]모바일!$A:$S,18,FALSE),0)</f>
        <v>0</v>
      </c>
      <c r="T248" s="43">
        <f>IFERROR(VLOOKUP(A248,[1]플랫폼2!$A:$O,15,0),0)</f>
        <v>0</v>
      </c>
      <c r="U248" s="83"/>
    </row>
    <row r="249" spans="1:21" s="1" customFormat="1" hidden="1" outlineLevel="1" collapsed="1" x14ac:dyDescent="0.45">
      <c r="A249" s="29" t="s">
        <v>224</v>
      </c>
      <c r="B249" s="44">
        <f>'1월'!B249+'2월'!B249+'3월'!B249+'4월'!B249+'5월'!B249+'6월'!B249+'7월'!B249+'8월'!B249+'9월'!B249+'10월'!B249+'11월'!B249+'12월'!B249</f>
        <v>0</v>
      </c>
      <c r="C249" s="44">
        <f>'1월'!C249+'2월'!C249+'3월'!C249+'4월'!C249+'5월'!C249+'6월'!C249+'7월'!C249+'8월'!C249+'9월'!C249+'10월'!C249+'11월'!C249+'12월'!C249</f>
        <v>0</v>
      </c>
      <c r="D249" s="44">
        <f>'1월'!D249+'2월'!D249+'3월'!D249+'4월'!D249+'5월'!D249+'6월'!D249+'7월'!D249+'8월'!D249+'9월'!D249+'10월'!D249+'11월'!D249+'12월'!D249</f>
        <v>0</v>
      </c>
      <c r="E249" s="44">
        <f>'1월'!E249+'2월'!E249+'3월'!E249+'4월'!E249+'5월'!E249+'6월'!E249+'7월'!E249+'8월'!E249+'9월'!E249+'10월'!E249+'11월'!E249+'12월'!E249</f>
        <v>0</v>
      </c>
      <c r="F249" s="44">
        <f>'1월'!F249+'2월'!F249+'3월'!F249+'4월'!F249+'5월'!F249+'6월'!F249+'7월'!F249+'8월'!F249+'9월'!F249+'10월'!F249+'11월'!F249+'12월'!F249</f>
        <v>0</v>
      </c>
      <c r="G249" s="44">
        <f>'1월'!H249+'2월'!G249+'3월'!G249+'4월'!G249+'5월'!G249+'6월'!G249+'7월'!G249+'8월'!G249+'9월'!G249+'10월'!G249+'11월'!G249+'12월'!G249</f>
        <v>0</v>
      </c>
      <c r="H249" s="44">
        <f>'1월'!J249+'2월'!H249+'3월'!H249+'4월'!H249+'5월'!H249+'6월'!H249+'7월'!H249+'8월'!H249+'9월'!H249+'10월'!H249+'11월'!H249+'12월'!H249</f>
        <v>0</v>
      </c>
      <c r="I249" s="44">
        <f>'1월'!K249+'2월'!I249+'3월'!I249+'4월'!I249+'5월'!I249+'6월'!I249+'7월'!I249+'8월'!I249+'9월'!I249+'10월'!I249+'11월'!I249+'12월'!I249</f>
        <v>0</v>
      </c>
      <c r="J249" s="44">
        <f>'1월'!L249+'2월'!J249+'3월'!J249+'4월'!J249+'5월'!J249+'6월'!J249+'7월'!J249+'8월'!J249+'9월'!J249+'10월'!J249+'11월'!J249+'12월'!J249</f>
        <v>0</v>
      </c>
      <c r="K249" s="44">
        <f>'1월'!M249+'2월'!K249+'3월'!K249+'4월'!K249+'5월'!K249+'6월'!K249+'7월'!K249+'8월'!K249+'9월'!K249+'10월'!K249+'11월'!K249+'12월'!K249</f>
        <v>0</v>
      </c>
      <c r="L249" s="44">
        <f>'1월'!N249+'2월'!L249+'3월'!L249+'4월'!L249+'5월'!L249+'6월'!L249+'7월'!L249+'8월'!L249+'9월'!L249+'10월'!L249+'11월'!L249+'12월'!L249</f>
        <v>0</v>
      </c>
      <c r="M249" s="44">
        <f>'1월'!O249+'2월'!M249+'3월'!M249+'4월'!M249+'5월'!M249+'6월'!M249+'7월'!M249+'8월'!M249+'9월'!M249+'10월'!M249+'11월'!M249+'12월'!M249</f>
        <v>0</v>
      </c>
      <c r="O249" s="44">
        <f>IFERROR(VLOOKUP($A249,[1]플랫폼1!$A:$B,2,FALSE),0)</f>
        <v>0</v>
      </c>
      <c r="P249" s="44">
        <f>IFERROR(VLOOKUP($A249,[1]플랫폼2!$A:$M,12,FALSE),0)+IFERROR(VLOOKUP($A249,[1]플랫폼2!$A:$M,13,FALSE),0)</f>
        <v>0</v>
      </c>
      <c r="Q249" s="44">
        <f>IFERROR(VLOOKUP($A249,[1]플랫폼2!$A:$M,7,FALSE),0)+IFERROR(VLOOKUP($A249,[1]플랫폼2!$A:$M,12,FALSE),0)</f>
        <v>0</v>
      </c>
      <c r="R249" s="44">
        <f>IFERROR(VLOOKUP($A249,[1]모바일!$A:$S,17,FALSE),0)</f>
        <v>0</v>
      </c>
      <c r="S249" s="44">
        <f>IFERROR(VLOOKUP($A249,[1]모바일!$A:$S,18,FALSE),0)</f>
        <v>0</v>
      </c>
      <c r="T249" s="43">
        <f>IFERROR(VLOOKUP(A249,[1]플랫폼2!$A:$O,15,0),0)</f>
        <v>0</v>
      </c>
      <c r="U249" s="83"/>
    </row>
    <row r="250" spans="1:21" collapsed="1" x14ac:dyDescent="0.45">
      <c r="A250" s="28" t="s">
        <v>111</v>
      </c>
      <c r="B250" s="43">
        <f>'1월'!B250+'2월'!B250+'3월'!B250+'4월'!B250+'5월'!B250+'6월'!B250+'7월'!B250+'8월'!B250+'9월'!B250+'10월'!B250+'11월'!B250+'12월'!B250</f>
        <v>5668298323</v>
      </c>
      <c r="C250" s="43">
        <f>'1월'!C250+'2월'!C250+'3월'!C250+'4월'!C250+'5월'!C250+'6월'!C250+'7월'!C250+'8월'!C250+'9월'!C250+'10월'!C250+'11월'!C250+'12월'!C250</f>
        <v>5663217599</v>
      </c>
      <c r="D250" s="43">
        <f>'1월'!D250+'2월'!D250+'3월'!D250+'4월'!D250+'5월'!D250+'6월'!D250+'7월'!D250+'8월'!D250+'9월'!D250+'10월'!D250+'11월'!D250+'12월'!D250</f>
        <v>549362</v>
      </c>
      <c r="E250" s="43">
        <f>'1월'!E250+'2월'!E250+'3월'!E250+'4월'!E250+'5월'!E250+'6월'!E250+'7월'!E250+'8월'!E250+'9월'!E250+'10월'!E250+'11월'!E250+'12월'!E250</f>
        <v>4531362</v>
      </c>
      <c r="F250" s="43">
        <f>'1월'!F250+'2월'!F250+'3월'!F250+'4월'!F250+'5월'!F250+'6월'!F250+'7월'!F250+'8월'!F250+'9월'!F250+'10월'!F250+'11월'!F250+'12월'!F250</f>
        <v>549362</v>
      </c>
      <c r="G250" s="43">
        <f>'1월'!H250+'2월'!G250+'3월'!G250+'4월'!G250+'5월'!G250+'6월'!G250+'7월'!G250+'8월'!G250+'9월'!G250+'10월'!G250+'11월'!G250+'12월'!G250</f>
        <v>0</v>
      </c>
      <c r="H250" s="43">
        <f>'1월'!J250+'2월'!H250+'3월'!H250+'4월'!H250+'5월'!H250+'6월'!H250+'7월'!H250+'8월'!H250+'9월'!H250+'10월'!H250+'11월'!H250+'12월'!H250</f>
        <v>0</v>
      </c>
      <c r="I250" s="43">
        <f>'1월'!K250+'2월'!I250+'3월'!I250+'4월'!I250+'5월'!I250+'6월'!I250+'7월'!I250+'8월'!I250+'9월'!I250+'10월'!I250+'11월'!I250+'12월'!I250</f>
        <v>0</v>
      </c>
      <c r="J250" s="43">
        <f>'1월'!L250+'2월'!J250+'3월'!J250+'4월'!J250+'5월'!J250+'6월'!J250+'7월'!J250+'8월'!J250+'9월'!J250+'10월'!J250+'11월'!J250+'12월'!J250</f>
        <v>0</v>
      </c>
      <c r="K250" s="43">
        <f>'1월'!M250+'2월'!K250+'3월'!K250+'4월'!K250+'5월'!K250+'6월'!K250+'7월'!K250+'8월'!K250+'9월'!K250+'10월'!K250+'11월'!K250+'12월'!K250</f>
        <v>0</v>
      </c>
      <c r="L250" s="43">
        <f>'1월'!N250+'2월'!L250+'3월'!L250+'4월'!L250+'5월'!L250+'6월'!L250+'7월'!L250+'8월'!L250+'9월'!L250+'10월'!L250+'11월'!L250+'12월'!L250</f>
        <v>0</v>
      </c>
      <c r="M250" s="43">
        <f>'1월'!O250+'2월'!M250+'3월'!M250+'4월'!M250+'5월'!M250+'6월'!M250+'7월'!M250+'8월'!M250+'9월'!M250+'10월'!M250+'11월'!M250+'12월'!M250</f>
        <v>3982000</v>
      </c>
      <c r="O250" s="43">
        <f>IFERROR(VLOOKUP($A250,[1]플랫폼1!$A:$B,2,FALSE),0)</f>
        <v>3982000</v>
      </c>
      <c r="P250" s="43">
        <f>IFERROR(VLOOKUP($A250,[1]플랫폼2!$A:$M,12,FALSE),0)+IFERROR(VLOOKUP($A250,[1]플랫폼2!$A:$M,13,FALSE),0)</f>
        <v>0</v>
      </c>
      <c r="Q250" s="43">
        <f>IFERROR(VLOOKUP($A250,[1]플랫폼2!$A:$M,7,FALSE),0)+IFERROR(VLOOKUP($A250,[1]플랫폼2!$A:$M,12,FALSE),0)</f>
        <v>0</v>
      </c>
      <c r="R250" s="43">
        <f>IFERROR(VLOOKUP($A250,[1]모바일!$A:$S,17,FALSE),0)</f>
        <v>0</v>
      </c>
      <c r="S250" s="43">
        <f>IFERROR(VLOOKUP($A250,[1]모바일!$A:$S,18,FALSE),0)</f>
        <v>0</v>
      </c>
      <c r="T250" s="43">
        <f>IFERROR(VLOOKUP(A250,[1]플랫폼2!$A:$O,15,0),0)</f>
        <v>0</v>
      </c>
      <c r="U250" s="83"/>
    </row>
    <row r="251" spans="1:21" hidden="1" outlineLevel="1" x14ac:dyDescent="0.45">
      <c r="A251" s="29" t="s">
        <v>162</v>
      </c>
      <c r="B251" s="44">
        <f>'1월'!B251+'2월'!B251+'3월'!B251+'4월'!B251+'5월'!B251+'6월'!B251+'7월'!B251+'8월'!B251+'9월'!B251+'10월'!B251+'11월'!B251+'12월'!B251</f>
        <v>3247976474</v>
      </c>
      <c r="C251" s="44">
        <f>'1월'!C251+'2월'!C251+'3월'!C251+'4월'!C251+'5월'!C251+'6월'!C251+'7월'!C251+'8월'!C251+'9월'!C251+'10월'!C251+'11월'!C251+'12월'!C251</f>
        <v>3247976474</v>
      </c>
      <c r="D251" s="44">
        <f>'1월'!D251+'2월'!D251+'3월'!D251+'4월'!D251+'5월'!D251+'6월'!D251+'7월'!D251+'8월'!D251+'9월'!D251+'10월'!D251+'11월'!D251+'12월'!D251</f>
        <v>0</v>
      </c>
      <c r="E251" s="44">
        <f>'1월'!E251+'2월'!E251+'3월'!E251+'4월'!E251+'5월'!E251+'6월'!E251+'7월'!E251+'8월'!E251+'9월'!E251+'10월'!E251+'11월'!E251+'12월'!E251</f>
        <v>0</v>
      </c>
      <c r="F251" s="44">
        <f>'1월'!F251+'2월'!F251+'3월'!F251+'4월'!F251+'5월'!F251+'6월'!F251+'7월'!F251+'8월'!F251+'9월'!F251+'10월'!F251+'11월'!F251+'12월'!F251</f>
        <v>0</v>
      </c>
      <c r="G251" s="44">
        <f>'1월'!H251+'2월'!G251+'3월'!G251+'4월'!G251+'5월'!G251+'6월'!G251+'7월'!G251+'8월'!G251+'9월'!G251+'10월'!G251+'11월'!G251+'12월'!G251</f>
        <v>0</v>
      </c>
      <c r="H251" s="44">
        <f>'1월'!J251+'2월'!H251+'3월'!H251+'4월'!H251+'5월'!H251+'6월'!H251+'7월'!H251+'8월'!H251+'9월'!H251+'10월'!H251+'11월'!H251+'12월'!H251</f>
        <v>0</v>
      </c>
      <c r="I251" s="44">
        <f>'1월'!K251+'2월'!I251+'3월'!I251+'4월'!I251+'5월'!I251+'6월'!I251+'7월'!I251+'8월'!I251+'9월'!I251+'10월'!I251+'11월'!I251+'12월'!I251</f>
        <v>0</v>
      </c>
      <c r="J251" s="44">
        <f>'1월'!L251+'2월'!J251+'3월'!J251+'4월'!J251+'5월'!J251+'6월'!J251+'7월'!J251+'8월'!J251+'9월'!J251+'10월'!J251+'11월'!J251+'12월'!J251</f>
        <v>0</v>
      </c>
      <c r="K251" s="44">
        <f>'1월'!M251+'2월'!K251+'3월'!K251+'4월'!K251+'5월'!K251+'6월'!K251+'7월'!K251+'8월'!K251+'9월'!K251+'10월'!K251+'11월'!K251+'12월'!K251</f>
        <v>0</v>
      </c>
      <c r="L251" s="44">
        <f>'1월'!N251+'2월'!L251+'3월'!L251+'4월'!L251+'5월'!L251+'6월'!L251+'7월'!L251+'8월'!L251+'9월'!L251+'10월'!L251+'11월'!L251+'12월'!L251</f>
        <v>0</v>
      </c>
      <c r="M251" s="44">
        <f>'1월'!O251+'2월'!M251+'3월'!M251+'4월'!M251+'5월'!M251+'6월'!M251+'7월'!M251+'8월'!M251+'9월'!M251+'10월'!M251+'11월'!M251+'12월'!M251</f>
        <v>0</v>
      </c>
      <c r="O251" s="44">
        <f>IFERROR(VLOOKUP($A251,[1]플랫폼1!$A:$B,2,FALSE),0)</f>
        <v>0</v>
      </c>
      <c r="P251" s="44">
        <f>IFERROR(VLOOKUP($A251,[1]플랫폼2!$A:$M,12,FALSE),0)+IFERROR(VLOOKUP($A251,[1]플랫폼2!$A:$M,13,FALSE),0)</f>
        <v>0</v>
      </c>
      <c r="Q251" s="44">
        <f>IFERROR(VLOOKUP($A251,[1]플랫폼2!$A:$M,7,FALSE),0)+IFERROR(VLOOKUP($A251,[1]플랫폼2!$A:$M,12,FALSE),0)</f>
        <v>0</v>
      </c>
      <c r="R251" s="44">
        <f>IFERROR(VLOOKUP($A251,[1]모바일!$A:$S,17,FALSE),0)</f>
        <v>0</v>
      </c>
      <c r="S251" s="44">
        <f>IFERROR(VLOOKUP($A251,[1]모바일!$A:$S,18,FALSE),0)</f>
        <v>0</v>
      </c>
      <c r="T251" s="43">
        <f>IFERROR(VLOOKUP(A251,[1]플랫폼2!$A:$O,15,0),0)</f>
        <v>0</v>
      </c>
      <c r="U251" s="83"/>
    </row>
    <row r="252" spans="1:21" hidden="1" outlineLevel="1" x14ac:dyDescent="0.45">
      <c r="A252" s="29" t="s">
        <v>251</v>
      </c>
      <c r="B252" s="44">
        <f>'1월'!B252+'2월'!B252+'3월'!B252+'4월'!B252+'5월'!B252+'6월'!B252+'7월'!B252+'8월'!B252+'9월'!B252+'10월'!B252+'11월'!B252+'12월'!B252</f>
        <v>17596530</v>
      </c>
      <c r="C252" s="44">
        <f>'1월'!C252+'2월'!C252+'3월'!C252+'4월'!C252+'5월'!C252+'6월'!C252+'7월'!C252+'8월'!C252+'9월'!C252+'10월'!C252+'11월'!C252+'12월'!C252</f>
        <v>17596530</v>
      </c>
      <c r="D252" s="44">
        <f>'1월'!D252+'2월'!D252+'3월'!D252+'4월'!D252+'5월'!D252+'6월'!D252+'7월'!D252+'8월'!D252+'9월'!D252+'10월'!D252+'11월'!D252+'12월'!D252</f>
        <v>0</v>
      </c>
      <c r="E252" s="44">
        <f>'1월'!E252+'2월'!E252+'3월'!E252+'4월'!E252+'5월'!E252+'6월'!E252+'7월'!E252+'8월'!E252+'9월'!E252+'10월'!E252+'11월'!E252+'12월'!E252</f>
        <v>0</v>
      </c>
      <c r="F252" s="44">
        <f>'1월'!F252+'2월'!F252+'3월'!F252+'4월'!F252+'5월'!F252+'6월'!F252+'7월'!F252+'8월'!F252+'9월'!F252+'10월'!F252+'11월'!F252+'12월'!F252</f>
        <v>0</v>
      </c>
      <c r="G252" s="44">
        <f>'1월'!H252+'2월'!G252+'3월'!G252+'4월'!G252+'5월'!G252+'6월'!G252+'7월'!G252+'8월'!G252+'9월'!G252+'10월'!G252+'11월'!G252+'12월'!G252</f>
        <v>0</v>
      </c>
      <c r="H252" s="44">
        <f>'1월'!J252+'2월'!H252+'3월'!H252+'4월'!H252+'5월'!H252+'6월'!H252+'7월'!H252+'8월'!H252+'9월'!H252+'10월'!H252+'11월'!H252+'12월'!H252</f>
        <v>0</v>
      </c>
      <c r="I252" s="44">
        <f>'1월'!K252+'2월'!I252+'3월'!I252+'4월'!I252+'5월'!I252+'6월'!I252+'7월'!I252+'8월'!I252+'9월'!I252+'10월'!I252+'11월'!I252+'12월'!I252</f>
        <v>0</v>
      </c>
      <c r="J252" s="44">
        <f>'1월'!L252+'2월'!J252+'3월'!J252+'4월'!J252+'5월'!J252+'6월'!J252+'7월'!J252+'8월'!J252+'9월'!J252+'10월'!J252+'11월'!J252+'12월'!J252</f>
        <v>0</v>
      </c>
      <c r="K252" s="44">
        <f>'1월'!M252+'2월'!K252+'3월'!K252+'4월'!K252+'5월'!K252+'6월'!K252+'7월'!K252+'8월'!K252+'9월'!K252+'10월'!K252+'11월'!K252+'12월'!K252</f>
        <v>0</v>
      </c>
      <c r="L252" s="44">
        <f>'1월'!N252+'2월'!L252+'3월'!L252+'4월'!L252+'5월'!L252+'6월'!L252+'7월'!L252+'8월'!L252+'9월'!L252+'10월'!L252+'11월'!L252+'12월'!L252</f>
        <v>0</v>
      </c>
      <c r="M252" s="44">
        <f>'1월'!O252+'2월'!M252+'3월'!M252+'4월'!M252+'5월'!M252+'6월'!M252+'7월'!M252+'8월'!M252+'9월'!M252+'10월'!M252+'11월'!M252+'12월'!M252</f>
        <v>0</v>
      </c>
      <c r="O252" s="44">
        <f>IFERROR(VLOOKUP($A252,[1]플랫폼1!$A:$B,2,FALSE),0)</f>
        <v>0</v>
      </c>
      <c r="P252" s="44">
        <f>IFERROR(VLOOKUP($A252,[1]플랫폼2!$A:$M,12,FALSE),0)+IFERROR(VLOOKUP($A252,[1]플랫폼2!$A:$M,13,FALSE),0)</f>
        <v>0</v>
      </c>
      <c r="Q252" s="44">
        <f>IFERROR(VLOOKUP($A252,[1]플랫폼2!$A:$M,7,FALSE),0)+IFERROR(VLOOKUP($A252,[1]플랫폼2!$A:$M,12,FALSE),0)</f>
        <v>0</v>
      </c>
      <c r="R252" s="44">
        <f>IFERROR(VLOOKUP($A252,[1]모바일!$A:$S,17,FALSE),0)</f>
        <v>0</v>
      </c>
      <c r="S252" s="44">
        <f>IFERROR(VLOOKUP($A252,[1]모바일!$A:$S,18,FALSE),0)</f>
        <v>0</v>
      </c>
      <c r="T252" s="43">
        <f>IFERROR(VLOOKUP(A252,[1]플랫폼2!$A:$O,15,0),0)</f>
        <v>0</v>
      </c>
      <c r="U252" s="83"/>
    </row>
    <row r="253" spans="1:21" hidden="1" outlineLevel="1" x14ac:dyDescent="0.45">
      <c r="A253" s="29" t="s">
        <v>252</v>
      </c>
      <c r="B253" s="44">
        <f>'1월'!B253+'2월'!B253+'3월'!B253+'4월'!B253+'5월'!B253+'6월'!B253+'7월'!B253+'8월'!B253+'9월'!B253+'10월'!B253+'11월'!B253+'12월'!B253</f>
        <v>1449572296</v>
      </c>
      <c r="C253" s="44">
        <f>'1월'!C253+'2월'!C253+'3월'!C253+'4월'!C253+'5월'!C253+'6월'!C253+'7월'!C253+'8월'!C253+'9월'!C253+'10월'!C253+'11월'!C253+'12월'!C253</f>
        <v>1449572296</v>
      </c>
      <c r="D253" s="44">
        <f>'1월'!D253+'2월'!D253+'3월'!D253+'4월'!D253+'5월'!D253+'6월'!D253+'7월'!D253+'8월'!D253+'9월'!D253+'10월'!D253+'11월'!D253+'12월'!D253</f>
        <v>0</v>
      </c>
      <c r="E253" s="44">
        <f>'1월'!E253+'2월'!E253+'3월'!E253+'4월'!E253+'5월'!E253+'6월'!E253+'7월'!E253+'8월'!E253+'9월'!E253+'10월'!E253+'11월'!E253+'12월'!E253</f>
        <v>0</v>
      </c>
      <c r="F253" s="44">
        <f>'1월'!F253+'2월'!F253+'3월'!F253+'4월'!F253+'5월'!F253+'6월'!F253+'7월'!F253+'8월'!F253+'9월'!F253+'10월'!F253+'11월'!F253+'12월'!F253</f>
        <v>0</v>
      </c>
      <c r="G253" s="44">
        <f>'1월'!H253+'2월'!G253+'3월'!G253+'4월'!G253+'5월'!G253+'6월'!G253+'7월'!G253+'8월'!G253+'9월'!G253+'10월'!G253+'11월'!G253+'12월'!G253</f>
        <v>0</v>
      </c>
      <c r="H253" s="44">
        <f>'1월'!J253+'2월'!H253+'3월'!H253+'4월'!H253+'5월'!H253+'6월'!H253+'7월'!H253+'8월'!H253+'9월'!H253+'10월'!H253+'11월'!H253+'12월'!H253</f>
        <v>0</v>
      </c>
      <c r="I253" s="44">
        <f>'1월'!K253+'2월'!I253+'3월'!I253+'4월'!I253+'5월'!I253+'6월'!I253+'7월'!I253+'8월'!I253+'9월'!I253+'10월'!I253+'11월'!I253+'12월'!I253</f>
        <v>0</v>
      </c>
      <c r="J253" s="44">
        <f>'1월'!L253+'2월'!J253+'3월'!J253+'4월'!J253+'5월'!J253+'6월'!J253+'7월'!J253+'8월'!J253+'9월'!J253+'10월'!J253+'11월'!J253+'12월'!J253</f>
        <v>0</v>
      </c>
      <c r="K253" s="44">
        <f>'1월'!M253+'2월'!K253+'3월'!K253+'4월'!K253+'5월'!K253+'6월'!K253+'7월'!K253+'8월'!K253+'9월'!K253+'10월'!K253+'11월'!K253+'12월'!K253</f>
        <v>0</v>
      </c>
      <c r="L253" s="44">
        <f>'1월'!N253+'2월'!L253+'3월'!L253+'4월'!L253+'5월'!L253+'6월'!L253+'7월'!L253+'8월'!L253+'9월'!L253+'10월'!L253+'11월'!L253+'12월'!L253</f>
        <v>0</v>
      </c>
      <c r="M253" s="44">
        <f>'1월'!O253+'2월'!M253+'3월'!M253+'4월'!M253+'5월'!M253+'6월'!M253+'7월'!M253+'8월'!M253+'9월'!M253+'10월'!M253+'11월'!M253+'12월'!M253</f>
        <v>0</v>
      </c>
      <c r="O253" s="44">
        <f>IFERROR(VLOOKUP($A253,[1]플랫폼1!$A:$B,2,FALSE),0)</f>
        <v>0</v>
      </c>
      <c r="P253" s="44">
        <f>IFERROR(VLOOKUP($A253,[1]플랫폼2!$A:$M,12,FALSE),0)+IFERROR(VLOOKUP($A253,[1]플랫폼2!$A:$M,13,FALSE),0)</f>
        <v>0</v>
      </c>
      <c r="Q253" s="44">
        <f>IFERROR(VLOOKUP($A253,[1]플랫폼2!$A:$M,7,FALSE),0)+IFERROR(VLOOKUP($A253,[1]플랫폼2!$A:$M,12,FALSE),0)</f>
        <v>0</v>
      </c>
      <c r="R253" s="44">
        <f>IFERROR(VLOOKUP($A253,[1]모바일!$A:$S,17,FALSE),0)</f>
        <v>0</v>
      </c>
      <c r="S253" s="44">
        <f>IFERROR(VLOOKUP($A253,[1]모바일!$A:$S,18,FALSE),0)</f>
        <v>0</v>
      </c>
      <c r="T253" s="43">
        <f>IFERROR(VLOOKUP(A253,[1]플랫폼2!$A:$O,15,0),0)</f>
        <v>0</v>
      </c>
      <c r="U253" s="83"/>
    </row>
    <row r="254" spans="1:21" hidden="1" outlineLevel="1" x14ac:dyDescent="0.45">
      <c r="A254" s="29" t="s">
        <v>225</v>
      </c>
      <c r="B254" s="44">
        <f>'1월'!B254+'2월'!B254+'3월'!B254+'4월'!B254+'5월'!B254+'6월'!B254+'7월'!B254+'8월'!B254+'9월'!B254+'10월'!B254+'11월'!B254+'12월'!B254</f>
        <v>18072000</v>
      </c>
      <c r="C254" s="44">
        <f>'1월'!C254+'2월'!C254+'3월'!C254+'4월'!C254+'5월'!C254+'6월'!C254+'7월'!C254+'8월'!C254+'9월'!C254+'10월'!C254+'11월'!C254+'12월'!C254</f>
        <v>18072000</v>
      </c>
      <c r="D254" s="44">
        <f>'1월'!D254+'2월'!D254+'3월'!D254+'4월'!D254+'5월'!D254+'6월'!D254+'7월'!D254+'8월'!D254+'9월'!D254+'10월'!D254+'11월'!D254+'12월'!D254</f>
        <v>0</v>
      </c>
      <c r="E254" s="44">
        <f>'1월'!E254+'2월'!E254+'3월'!E254+'4월'!E254+'5월'!E254+'6월'!E254+'7월'!E254+'8월'!E254+'9월'!E254+'10월'!E254+'11월'!E254+'12월'!E254</f>
        <v>0</v>
      </c>
      <c r="F254" s="44">
        <f>'1월'!F254+'2월'!F254+'3월'!F254+'4월'!F254+'5월'!F254+'6월'!F254+'7월'!F254+'8월'!F254+'9월'!F254+'10월'!F254+'11월'!F254+'12월'!F254</f>
        <v>0</v>
      </c>
      <c r="G254" s="44">
        <f>'1월'!H254+'2월'!G254+'3월'!G254+'4월'!G254+'5월'!G254+'6월'!G254+'7월'!G254+'8월'!G254+'9월'!G254+'10월'!G254+'11월'!G254+'12월'!G254</f>
        <v>0</v>
      </c>
      <c r="H254" s="44">
        <f>'1월'!J254+'2월'!H254+'3월'!H254+'4월'!H254+'5월'!H254+'6월'!H254+'7월'!H254+'8월'!H254+'9월'!H254+'10월'!H254+'11월'!H254+'12월'!H254</f>
        <v>0</v>
      </c>
      <c r="I254" s="44">
        <f>'1월'!K254+'2월'!I254+'3월'!I254+'4월'!I254+'5월'!I254+'6월'!I254+'7월'!I254+'8월'!I254+'9월'!I254+'10월'!I254+'11월'!I254+'12월'!I254</f>
        <v>0</v>
      </c>
      <c r="J254" s="44">
        <f>'1월'!L254+'2월'!J254+'3월'!J254+'4월'!J254+'5월'!J254+'6월'!J254+'7월'!J254+'8월'!J254+'9월'!J254+'10월'!J254+'11월'!J254+'12월'!J254</f>
        <v>0</v>
      </c>
      <c r="K254" s="44">
        <f>'1월'!M254+'2월'!K254+'3월'!K254+'4월'!K254+'5월'!K254+'6월'!K254+'7월'!K254+'8월'!K254+'9월'!K254+'10월'!K254+'11월'!K254+'12월'!K254</f>
        <v>0</v>
      </c>
      <c r="L254" s="44">
        <f>'1월'!N254+'2월'!L254+'3월'!L254+'4월'!L254+'5월'!L254+'6월'!L254+'7월'!L254+'8월'!L254+'9월'!L254+'10월'!L254+'11월'!L254+'12월'!L254</f>
        <v>0</v>
      </c>
      <c r="M254" s="44">
        <f>'1월'!O254+'2월'!M254+'3월'!M254+'4월'!M254+'5월'!M254+'6월'!M254+'7월'!M254+'8월'!M254+'9월'!M254+'10월'!M254+'11월'!M254+'12월'!M254</f>
        <v>0</v>
      </c>
      <c r="O254" s="44">
        <f>IFERROR(VLOOKUP($A254,[1]플랫폼1!$A:$B,2,FALSE),0)</f>
        <v>0</v>
      </c>
      <c r="P254" s="44">
        <f>IFERROR(VLOOKUP($A254,[1]플랫폼2!$A:$M,12,FALSE),0)+IFERROR(VLOOKUP($A254,[1]플랫폼2!$A:$M,13,FALSE),0)</f>
        <v>0</v>
      </c>
      <c r="Q254" s="44">
        <f>IFERROR(VLOOKUP($A254,[1]플랫폼2!$A:$M,7,FALSE),0)+IFERROR(VLOOKUP($A254,[1]플랫폼2!$A:$M,12,FALSE),0)</f>
        <v>0</v>
      </c>
      <c r="R254" s="44">
        <f>IFERROR(VLOOKUP($A254,[1]모바일!$A:$S,17,FALSE),0)</f>
        <v>0</v>
      </c>
      <c r="S254" s="44">
        <f>IFERROR(VLOOKUP($A254,[1]모바일!$A:$S,18,FALSE),0)</f>
        <v>0</v>
      </c>
      <c r="T254" s="43">
        <f>IFERROR(VLOOKUP(A254,[1]플랫폼2!$A:$O,15,0),0)</f>
        <v>0</v>
      </c>
      <c r="U254" s="83"/>
    </row>
    <row r="255" spans="1:21" hidden="1" outlineLevel="1" x14ac:dyDescent="0.45">
      <c r="A255" s="29" t="s">
        <v>226</v>
      </c>
      <c r="B255" s="44">
        <f>'1월'!B255+'2월'!B255+'3월'!B255+'4월'!B255+'5월'!B255+'6월'!B255+'7월'!B255+'8월'!B255+'9월'!B255+'10월'!B255+'11월'!B255+'12월'!B255</f>
        <v>50674050</v>
      </c>
      <c r="C255" s="44">
        <f>'1월'!C255+'2월'!C255+'3월'!C255+'4월'!C255+'5월'!C255+'6월'!C255+'7월'!C255+'8월'!C255+'9월'!C255+'10월'!C255+'11월'!C255+'12월'!C255</f>
        <v>50674050</v>
      </c>
      <c r="D255" s="44">
        <f>'1월'!D255+'2월'!D255+'3월'!D255+'4월'!D255+'5월'!D255+'6월'!D255+'7월'!D255+'8월'!D255+'9월'!D255+'10월'!D255+'11월'!D255+'12월'!D255</f>
        <v>0</v>
      </c>
      <c r="E255" s="44">
        <f>'1월'!E255+'2월'!E255+'3월'!E255+'4월'!E255+'5월'!E255+'6월'!E255+'7월'!E255+'8월'!E255+'9월'!E255+'10월'!E255+'11월'!E255+'12월'!E255</f>
        <v>0</v>
      </c>
      <c r="F255" s="44">
        <f>'1월'!F255+'2월'!F255+'3월'!F255+'4월'!F255+'5월'!F255+'6월'!F255+'7월'!F255+'8월'!F255+'9월'!F255+'10월'!F255+'11월'!F255+'12월'!F255</f>
        <v>0</v>
      </c>
      <c r="G255" s="44">
        <f>'1월'!H255+'2월'!G255+'3월'!G255+'4월'!G255+'5월'!G255+'6월'!G255+'7월'!G255+'8월'!G255+'9월'!G255+'10월'!G255+'11월'!G255+'12월'!G255</f>
        <v>0</v>
      </c>
      <c r="H255" s="44">
        <f>'1월'!J255+'2월'!H255+'3월'!H255+'4월'!H255+'5월'!H255+'6월'!H255+'7월'!H255+'8월'!H255+'9월'!H255+'10월'!H255+'11월'!H255+'12월'!H255</f>
        <v>0</v>
      </c>
      <c r="I255" s="44">
        <f>'1월'!K255+'2월'!I255+'3월'!I255+'4월'!I255+'5월'!I255+'6월'!I255+'7월'!I255+'8월'!I255+'9월'!I255+'10월'!I255+'11월'!I255+'12월'!I255</f>
        <v>0</v>
      </c>
      <c r="J255" s="44">
        <f>'1월'!L255+'2월'!J255+'3월'!J255+'4월'!J255+'5월'!J255+'6월'!J255+'7월'!J255+'8월'!J255+'9월'!J255+'10월'!J255+'11월'!J255+'12월'!J255</f>
        <v>0</v>
      </c>
      <c r="K255" s="44">
        <f>'1월'!M255+'2월'!K255+'3월'!K255+'4월'!K255+'5월'!K255+'6월'!K255+'7월'!K255+'8월'!K255+'9월'!K255+'10월'!K255+'11월'!K255+'12월'!K255</f>
        <v>0</v>
      </c>
      <c r="L255" s="44">
        <f>'1월'!N255+'2월'!L255+'3월'!L255+'4월'!L255+'5월'!L255+'6월'!L255+'7월'!L255+'8월'!L255+'9월'!L255+'10월'!L255+'11월'!L255+'12월'!L255</f>
        <v>0</v>
      </c>
      <c r="M255" s="44">
        <f>'1월'!O255+'2월'!M255+'3월'!M255+'4월'!M255+'5월'!M255+'6월'!M255+'7월'!M255+'8월'!M255+'9월'!M255+'10월'!M255+'11월'!M255+'12월'!M255</f>
        <v>0</v>
      </c>
      <c r="O255" s="44">
        <f>IFERROR(VLOOKUP($A255,[1]플랫폼1!$A:$B,2,FALSE),0)</f>
        <v>0</v>
      </c>
      <c r="P255" s="44">
        <f>IFERROR(VLOOKUP($A255,[1]플랫폼2!$A:$M,12,FALSE),0)+IFERROR(VLOOKUP($A255,[1]플랫폼2!$A:$M,13,FALSE),0)</f>
        <v>0</v>
      </c>
      <c r="Q255" s="44">
        <f>IFERROR(VLOOKUP($A255,[1]플랫폼2!$A:$M,7,FALSE),0)+IFERROR(VLOOKUP($A255,[1]플랫폼2!$A:$M,12,FALSE),0)</f>
        <v>0</v>
      </c>
      <c r="R255" s="44">
        <f>IFERROR(VLOOKUP($A255,[1]모바일!$A:$S,17,FALSE),0)</f>
        <v>0</v>
      </c>
      <c r="S255" s="44">
        <f>IFERROR(VLOOKUP($A255,[1]모바일!$A:$S,18,FALSE),0)</f>
        <v>0</v>
      </c>
      <c r="T255" s="43">
        <f>IFERROR(VLOOKUP(A255,[1]플랫폼2!$A:$O,15,0),0)</f>
        <v>0</v>
      </c>
      <c r="U255" s="83"/>
    </row>
    <row r="256" spans="1:21" hidden="1" outlineLevel="1" x14ac:dyDescent="0.45">
      <c r="A256" s="29" t="s">
        <v>371</v>
      </c>
      <c r="B256" s="44">
        <f>'1월'!B256+'2월'!B256+'3월'!B256+'4월'!B256+'5월'!B256+'6월'!B256+'7월'!B256+'8월'!B256+'9월'!B256+'10월'!B256+'11월'!B256+'12월'!B256</f>
        <v>876011097</v>
      </c>
      <c r="C256" s="44">
        <f>'1월'!C256+'2월'!C256+'3월'!C256+'4월'!C256+'5월'!C256+'6월'!C256+'7월'!C256+'8월'!C256+'9월'!C256+'10월'!C256+'11월'!C256+'12월'!C256</f>
        <v>876011097</v>
      </c>
      <c r="D256" s="44">
        <f>'1월'!D256+'2월'!D256+'3월'!D256+'4월'!D256+'5월'!D256+'6월'!D256+'7월'!D256+'8월'!D256+'9월'!D256+'10월'!D256+'11월'!D256+'12월'!D256</f>
        <v>0</v>
      </c>
      <c r="E256" s="44">
        <f>'1월'!E256+'2월'!E256+'3월'!E256+'4월'!E256+'5월'!E256+'6월'!E256+'7월'!E256+'8월'!E256+'9월'!E256+'10월'!E256+'11월'!E256+'12월'!E256</f>
        <v>0</v>
      </c>
      <c r="F256" s="44">
        <f>'1월'!F256+'2월'!F256+'3월'!F256+'4월'!F256+'5월'!F256+'6월'!F256+'7월'!F256+'8월'!F256+'9월'!F256+'10월'!F256+'11월'!F256+'12월'!F256</f>
        <v>0</v>
      </c>
      <c r="G256" s="44">
        <f>'1월'!H256+'2월'!G256+'3월'!G256+'4월'!G256+'5월'!G256+'6월'!G256+'7월'!G256+'8월'!G256+'9월'!G256+'10월'!G256+'11월'!G256+'12월'!G256</f>
        <v>0</v>
      </c>
      <c r="H256" s="44">
        <f>'1월'!J256+'2월'!H256+'3월'!H256+'4월'!H256+'5월'!H256+'6월'!H256+'7월'!H256+'8월'!H256+'9월'!H256+'10월'!H256+'11월'!H256+'12월'!H256</f>
        <v>0</v>
      </c>
      <c r="I256" s="44">
        <f>'1월'!K256+'2월'!I256+'3월'!I256+'4월'!I256+'5월'!I256+'6월'!I256+'7월'!I256+'8월'!I256+'9월'!I256+'10월'!I256+'11월'!I256+'12월'!I256</f>
        <v>0</v>
      </c>
      <c r="J256" s="44">
        <f>'1월'!L256+'2월'!J256+'3월'!J256+'4월'!J256+'5월'!J256+'6월'!J256+'7월'!J256+'8월'!J256+'9월'!J256+'10월'!J256+'11월'!J256+'12월'!J256</f>
        <v>0</v>
      </c>
      <c r="K256" s="44">
        <f>'1월'!M256+'2월'!K256+'3월'!K256+'4월'!K256+'5월'!K256+'6월'!K256+'7월'!K256+'8월'!K256+'9월'!K256+'10월'!K256+'11월'!K256+'12월'!K256</f>
        <v>0</v>
      </c>
      <c r="L256" s="44">
        <f>'1월'!N256+'2월'!L256+'3월'!L256+'4월'!L256+'5월'!L256+'6월'!L256+'7월'!L256+'8월'!L256+'9월'!L256+'10월'!L256+'11월'!L256+'12월'!L256</f>
        <v>0</v>
      </c>
      <c r="M256" s="44">
        <f>'1월'!O256+'2월'!M256+'3월'!M256+'4월'!M256+'5월'!M256+'6월'!M256+'7월'!M256+'8월'!M256+'9월'!M256+'10월'!M256+'11월'!M256+'12월'!M256</f>
        <v>0</v>
      </c>
      <c r="O256" s="44">
        <f>IFERROR(VLOOKUP($A256,[1]플랫폼1!$A:$B,2,FALSE),0)</f>
        <v>0</v>
      </c>
      <c r="P256" s="44">
        <f>IFERROR(VLOOKUP($A256,[1]플랫폼2!$A:$M,12,FALSE),0)+IFERROR(VLOOKUP($A256,[1]플랫폼2!$A:$M,13,FALSE),0)</f>
        <v>0</v>
      </c>
      <c r="Q256" s="44">
        <f>IFERROR(VLOOKUP($A256,[1]플랫폼2!$A:$M,7,FALSE),0)+IFERROR(VLOOKUP($A256,[1]플랫폼2!$A:$M,12,FALSE),0)</f>
        <v>0</v>
      </c>
      <c r="R256" s="44">
        <f>IFERROR(VLOOKUP($A256,[1]모바일!$A:$S,17,FALSE),0)</f>
        <v>0</v>
      </c>
      <c r="S256" s="44">
        <f>IFERROR(VLOOKUP($A256,[1]모바일!$A:$S,18,FALSE),0)</f>
        <v>0</v>
      </c>
      <c r="T256" s="43">
        <f>IFERROR(VLOOKUP(A256,[1]플랫폼2!$A:$O,15,0),0)</f>
        <v>0</v>
      </c>
      <c r="U256" s="83"/>
    </row>
    <row r="257" spans="1:21" hidden="1" outlineLevel="1" x14ac:dyDescent="0.45">
      <c r="A257" s="29" t="s">
        <v>164</v>
      </c>
      <c r="B257" s="44">
        <f>'1월'!B257+'2월'!B257+'3월'!B257+'4월'!B257+'5월'!B257+'6월'!B257+'7월'!B257+'8월'!B257+'9월'!B257+'10월'!B257+'11월'!B257+'12월'!B257</f>
        <v>1858295</v>
      </c>
      <c r="C257" s="44">
        <f>'1월'!C257+'2월'!C257+'3월'!C257+'4월'!C257+'5월'!C257+'6월'!C257+'7월'!C257+'8월'!C257+'9월'!C257+'10월'!C257+'11월'!C257+'12월'!C257</f>
        <v>1858295</v>
      </c>
      <c r="D257" s="44">
        <f>'1월'!D257+'2월'!D257+'3월'!D257+'4월'!D257+'5월'!D257+'6월'!D257+'7월'!D257+'8월'!D257+'9월'!D257+'10월'!D257+'11월'!D257+'12월'!D257</f>
        <v>0</v>
      </c>
      <c r="E257" s="44">
        <f>'1월'!E257+'2월'!E257+'3월'!E257+'4월'!E257+'5월'!E257+'6월'!E257+'7월'!E257+'8월'!E257+'9월'!E257+'10월'!E257+'11월'!E257+'12월'!E257</f>
        <v>0</v>
      </c>
      <c r="F257" s="44">
        <f>'1월'!F257+'2월'!F257+'3월'!F257+'4월'!F257+'5월'!F257+'6월'!F257+'7월'!F257+'8월'!F257+'9월'!F257+'10월'!F257+'11월'!F257+'12월'!F257</f>
        <v>0</v>
      </c>
      <c r="G257" s="44">
        <f>'1월'!H257+'2월'!G257+'3월'!G257+'4월'!G257+'5월'!G257+'6월'!G257+'7월'!G257+'8월'!G257+'9월'!G257+'10월'!G257+'11월'!G257+'12월'!G257</f>
        <v>0</v>
      </c>
      <c r="H257" s="44">
        <f>'1월'!J257+'2월'!H257+'3월'!H257+'4월'!H257+'5월'!H257+'6월'!H257+'7월'!H257+'8월'!H257+'9월'!H257+'10월'!H257+'11월'!H257+'12월'!H257</f>
        <v>0</v>
      </c>
      <c r="I257" s="44">
        <f>'1월'!K257+'2월'!I257+'3월'!I257+'4월'!I257+'5월'!I257+'6월'!I257+'7월'!I257+'8월'!I257+'9월'!I257+'10월'!I257+'11월'!I257+'12월'!I257</f>
        <v>0</v>
      </c>
      <c r="J257" s="44">
        <f>'1월'!L257+'2월'!J257+'3월'!J257+'4월'!J257+'5월'!J257+'6월'!J257+'7월'!J257+'8월'!J257+'9월'!J257+'10월'!J257+'11월'!J257+'12월'!J257</f>
        <v>0</v>
      </c>
      <c r="K257" s="44">
        <f>'1월'!M257+'2월'!K257+'3월'!K257+'4월'!K257+'5월'!K257+'6월'!K257+'7월'!K257+'8월'!K257+'9월'!K257+'10월'!K257+'11월'!K257+'12월'!K257</f>
        <v>0</v>
      </c>
      <c r="L257" s="44">
        <f>'1월'!N257+'2월'!L257+'3월'!L257+'4월'!L257+'5월'!L257+'6월'!L257+'7월'!L257+'8월'!L257+'9월'!L257+'10월'!L257+'11월'!L257+'12월'!L257</f>
        <v>0</v>
      </c>
      <c r="M257" s="44">
        <f>'1월'!O257+'2월'!M257+'3월'!M257+'4월'!M257+'5월'!M257+'6월'!M257+'7월'!M257+'8월'!M257+'9월'!M257+'10월'!M257+'11월'!M257+'12월'!M257</f>
        <v>0</v>
      </c>
      <c r="O257" s="44">
        <f>IFERROR(VLOOKUP($A257,[1]플랫폼1!$A:$B,2,FALSE),0)</f>
        <v>0</v>
      </c>
      <c r="P257" s="44">
        <f>IFERROR(VLOOKUP($A257,[1]플랫폼2!$A:$M,12,FALSE),0)+IFERROR(VLOOKUP($A257,[1]플랫폼2!$A:$M,13,FALSE),0)</f>
        <v>0</v>
      </c>
      <c r="Q257" s="44">
        <f>IFERROR(VLOOKUP($A257,[1]플랫폼2!$A:$M,7,FALSE),0)+IFERROR(VLOOKUP($A257,[1]플랫폼2!$A:$M,12,FALSE),0)</f>
        <v>0</v>
      </c>
      <c r="R257" s="44">
        <f>IFERROR(VLOOKUP($A257,[1]모바일!$A:$S,17,FALSE),0)</f>
        <v>0</v>
      </c>
      <c r="S257" s="44">
        <f>IFERROR(VLOOKUP($A257,[1]모바일!$A:$S,18,FALSE),0)</f>
        <v>0</v>
      </c>
      <c r="T257" s="43">
        <f>IFERROR(VLOOKUP(A257,[1]플랫폼2!$A:$O,15,0),0)</f>
        <v>0</v>
      </c>
      <c r="U257" s="83"/>
    </row>
    <row r="258" spans="1:21" hidden="1" outlineLevel="1" x14ac:dyDescent="0.45">
      <c r="A258" s="29" t="s">
        <v>265</v>
      </c>
      <c r="B258" s="44">
        <f>'1월'!B258+'2월'!B258+'3월'!B258+'4월'!B258+'5월'!B258+'6월'!B258+'7월'!B258+'8월'!B258+'9월'!B258+'10월'!B258+'11월'!B258+'12월'!B258</f>
        <v>0</v>
      </c>
      <c r="C258" s="44">
        <f>'1월'!C258+'2월'!C258+'3월'!C258+'4월'!C258+'5월'!C258+'6월'!C258+'7월'!C258+'8월'!C258+'9월'!C258+'10월'!C258+'11월'!C258+'12월'!C258</f>
        <v>0</v>
      </c>
      <c r="D258" s="44">
        <f>'1월'!D258+'2월'!D258+'3월'!D258+'4월'!D258+'5월'!D258+'6월'!D258+'7월'!D258+'8월'!D258+'9월'!D258+'10월'!D258+'11월'!D258+'12월'!D258</f>
        <v>0</v>
      </c>
      <c r="E258" s="44">
        <f>'1월'!E258+'2월'!E258+'3월'!E258+'4월'!E258+'5월'!E258+'6월'!E258+'7월'!E258+'8월'!E258+'9월'!E258+'10월'!E258+'11월'!E258+'12월'!E258</f>
        <v>0</v>
      </c>
      <c r="F258" s="44">
        <f>'1월'!F258+'2월'!F258+'3월'!F258+'4월'!F258+'5월'!F258+'6월'!F258+'7월'!F258+'8월'!F258+'9월'!F258+'10월'!F258+'11월'!F258+'12월'!F258</f>
        <v>0</v>
      </c>
      <c r="G258" s="44">
        <f>'1월'!H258+'2월'!G258+'3월'!G258+'4월'!G258+'5월'!G258+'6월'!G258+'7월'!G258+'8월'!G258+'9월'!G258+'10월'!G258+'11월'!G258+'12월'!G258</f>
        <v>0</v>
      </c>
      <c r="H258" s="44">
        <f>'1월'!J258+'2월'!H258+'3월'!H258+'4월'!H258+'5월'!H258+'6월'!H258+'7월'!H258+'8월'!H258+'9월'!H258+'10월'!H258+'11월'!H258+'12월'!H258</f>
        <v>0</v>
      </c>
      <c r="I258" s="44">
        <f>'1월'!K258+'2월'!I258+'3월'!I258+'4월'!I258+'5월'!I258+'6월'!I258+'7월'!I258+'8월'!I258+'9월'!I258+'10월'!I258+'11월'!I258+'12월'!I258</f>
        <v>0</v>
      </c>
      <c r="J258" s="44">
        <f>'1월'!L258+'2월'!J258+'3월'!J258+'4월'!J258+'5월'!J258+'6월'!J258+'7월'!J258+'8월'!J258+'9월'!J258+'10월'!J258+'11월'!J258+'12월'!J258</f>
        <v>0</v>
      </c>
      <c r="K258" s="44">
        <f>'1월'!M258+'2월'!K258+'3월'!K258+'4월'!K258+'5월'!K258+'6월'!K258+'7월'!K258+'8월'!K258+'9월'!K258+'10월'!K258+'11월'!K258+'12월'!K258</f>
        <v>0</v>
      </c>
      <c r="L258" s="44">
        <f>'1월'!N258+'2월'!L258+'3월'!L258+'4월'!L258+'5월'!L258+'6월'!L258+'7월'!L258+'8월'!L258+'9월'!L258+'10월'!L258+'11월'!L258+'12월'!L258</f>
        <v>0</v>
      </c>
      <c r="M258" s="44">
        <f>'1월'!O258+'2월'!M258+'3월'!M258+'4월'!M258+'5월'!M258+'6월'!M258+'7월'!M258+'8월'!M258+'9월'!M258+'10월'!M258+'11월'!M258+'12월'!M258</f>
        <v>0</v>
      </c>
      <c r="O258" s="44">
        <f>IFERROR(VLOOKUP($A258,[1]플랫폼1!$A:$B,2,FALSE),0)</f>
        <v>0</v>
      </c>
      <c r="P258" s="44">
        <f>IFERROR(VLOOKUP($A258,[1]플랫폼2!$A:$M,12,FALSE),0)+IFERROR(VLOOKUP($A258,[1]플랫폼2!$A:$M,13,FALSE),0)</f>
        <v>0</v>
      </c>
      <c r="Q258" s="44">
        <f>IFERROR(VLOOKUP($A258,[1]플랫폼2!$A:$M,7,FALSE),0)+IFERROR(VLOOKUP($A258,[1]플랫폼2!$A:$M,12,FALSE),0)</f>
        <v>0</v>
      </c>
      <c r="R258" s="44">
        <f>IFERROR(VLOOKUP($A258,[1]모바일!$A:$S,17,FALSE),0)</f>
        <v>0</v>
      </c>
      <c r="S258" s="44">
        <f>IFERROR(VLOOKUP($A258,[1]모바일!$A:$S,18,FALSE),0)</f>
        <v>0</v>
      </c>
      <c r="T258" s="43">
        <f>IFERROR(VLOOKUP(A258,[1]플랫폼2!$A:$O,15,0),0)</f>
        <v>0</v>
      </c>
      <c r="U258" s="83"/>
    </row>
    <row r="259" spans="1:21" s="1" customFormat="1" hidden="1" outlineLevel="1" collapsed="1" x14ac:dyDescent="0.45">
      <c r="A259" s="29" t="s">
        <v>165</v>
      </c>
      <c r="B259" s="44">
        <f>'1월'!B259+'2월'!B259+'3월'!B259+'4월'!B259+'5월'!B259+'6월'!B259+'7월'!B259+'8월'!B259+'9월'!B259+'10월'!B259+'11월'!B259+'12월'!B259</f>
        <v>6537581</v>
      </c>
      <c r="C259" s="44">
        <f>'1월'!C259+'2월'!C259+'3월'!C259+'4월'!C259+'5월'!C259+'6월'!C259+'7월'!C259+'8월'!C259+'9월'!C259+'10월'!C259+'11월'!C259+'12월'!C259</f>
        <v>1456857</v>
      </c>
      <c r="D259" s="44">
        <f>'1월'!D259+'2월'!D259+'3월'!D259+'4월'!D259+'5월'!D259+'6월'!D259+'7월'!D259+'8월'!D259+'9월'!D259+'10월'!D259+'11월'!D259+'12월'!D259</f>
        <v>549362</v>
      </c>
      <c r="E259" s="44">
        <f>'1월'!E259+'2월'!E259+'3월'!E259+'4월'!E259+'5월'!E259+'6월'!E259+'7월'!E259+'8월'!E259+'9월'!E259+'10월'!E259+'11월'!E259+'12월'!E259</f>
        <v>4531362</v>
      </c>
      <c r="F259" s="44">
        <f>'1월'!F259+'2월'!F259+'3월'!F259+'4월'!F259+'5월'!F259+'6월'!F259+'7월'!F259+'8월'!F259+'9월'!F259+'10월'!F259+'11월'!F259+'12월'!F259</f>
        <v>549362</v>
      </c>
      <c r="G259" s="44">
        <f>'1월'!H259+'2월'!G259+'3월'!G259+'4월'!G259+'5월'!G259+'6월'!G259+'7월'!G259+'8월'!G259+'9월'!G259+'10월'!G259+'11월'!G259+'12월'!G259</f>
        <v>0</v>
      </c>
      <c r="H259" s="44">
        <f>'1월'!J259+'2월'!H259+'3월'!H259+'4월'!H259+'5월'!H259+'6월'!H259+'7월'!H259+'8월'!H259+'9월'!H259+'10월'!H259+'11월'!H259+'12월'!H259</f>
        <v>0</v>
      </c>
      <c r="I259" s="44">
        <f>'1월'!K259+'2월'!I259+'3월'!I259+'4월'!I259+'5월'!I259+'6월'!I259+'7월'!I259+'8월'!I259+'9월'!I259+'10월'!I259+'11월'!I259+'12월'!I259</f>
        <v>0</v>
      </c>
      <c r="J259" s="44">
        <f>'1월'!L259+'2월'!J259+'3월'!J259+'4월'!J259+'5월'!J259+'6월'!J259+'7월'!J259+'8월'!J259+'9월'!J259+'10월'!J259+'11월'!J259+'12월'!J259</f>
        <v>0</v>
      </c>
      <c r="K259" s="44">
        <f>'1월'!M259+'2월'!K259+'3월'!K259+'4월'!K259+'5월'!K259+'6월'!K259+'7월'!K259+'8월'!K259+'9월'!K259+'10월'!K259+'11월'!K259+'12월'!K259</f>
        <v>0</v>
      </c>
      <c r="L259" s="44">
        <f>'1월'!N259+'2월'!L259+'3월'!L259+'4월'!L259+'5월'!L259+'6월'!L259+'7월'!L259+'8월'!L259+'9월'!L259+'10월'!L259+'11월'!L259+'12월'!L259</f>
        <v>0</v>
      </c>
      <c r="M259" s="44">
        <f>'1월'!O259+'2월'!M259+'3월'!M259+'4월'!M259+'5월'!M259+'6월'!M259+'7월'!M259+'8월'!M259+'9월'!M259+'10월'!M259+'11월'!M259+'12월'!M259</f>
        <v>3982000</v>
      </c>
      <c r="O259" s="44">
        <f>IFERROR(VLOOKUP($A259,[1]플랫폼1!$A:$B,2,FALSE),0)</f>
        <v>3982000</v>
      </c>
      <c r="P259" s="44">
        <f>IFERROR(VLOOKUP($A259,[1]플랫폼2!$A:$M,12,FALSE),0)+IFERROR(VLOOKUP($A259,[1]플랫폼2!$A:$M,13,FALSE),0)</f>
        <v>0</v>
      </c>
      <c r="Q259" s="44">
        <f>IFERROR(VLOOKUP($A259,[1]플랫폼2!$A:$M,7,FALSE),0)+IFERROR(VLOOKUP($A259,[1]플랫폼2!$A:$M,12,FALSE),0)</f>
        <v>0</v>
      </c>
      <c r="R259" s="44">
        <f>IFERROR(VLOOKUP($A259,[1]모바일!$A:$S,17,FALSE),0)</f>
        <v>0</v>
      </c>
      <c r="S259" s="44">
        <f>IFERROR(VLOOKUP($A259,[1]모바일!$A:$S,18,FALSE),0)</f>
        <v>0</v>
      </c>
      <c r="T259" s="43">
        <f>IFERROR(VLOOKUP(A259,[1]플랫폼2!$A:$O,15,0),0)</f>
        <v>0</v>
      </c>
      <c r="U259" s="83"/>
    </row>
    <row r="260" spans="1:21" s="1" customFormat="1" collapsed="1" x14ac:dyDescent="0.45">
      <c r="A260" s="49" t="s">
        <v>112</v>
      </c>
      <c r="B260" s="51">
        <f>'1월'!B260+'2월'!B260+'3월'!B260+'4월'!B260+'5월'!B260+'6월'!B260+'7월'!B260+'8월'!B260+'9월'!B260+'10월'!B260+'11월'!B260+'12월'!B260</f>
        <v>2679890820</v>
      </c>
      <c r="C260" s="51">
        <f>'1월'!C260+'2월'!C260+'3월'!C260+'4월'!C260+'5월'!C260+'6월'!C260+'7월'!C260+'8월'!C260+'9월'!C260+'10월'!C260+'11월'!C260+'12월'!C260</f>
        <v>2679890820</v>
      </c>
      <c r="D260" s="50">
        <f>'1월'!D260+'2월'!D260+'3월'!D260+'4월'!D260+'5월'!D260+'6월'!D260+'7월'!D260+'8월'!D260+'9월'!D260+'10월'!D260+'11월'!D260+'12월'!D260</f>
        <v>0</v>
      </c>
      <c r="E260" s="50">
        <f>'1월'!E260+'2월'!E260+'3월'!E260+'4월'!E260+'5월'!E260+'6월'!E260+'7월'!E260+'8월'!E260+'9월'!E260+'10월'!E260+'11월'!E260+'12월'!E260</f>
        <v>0</v>
      </c>
      <c r="F260" s="50">
        <f>'1월'!F260+'2월'!F260+'3월'!F260+'4월'!F260+'5월'!F260+'6월'!F260+'7월'!F260+'8월'!F260+'9월'!F260+'10월'!F260+'11월'!F260+'12월'!F260</f>
        <v>0</v>
      </c>
      <c r="G260" s="50">
        <f>'1월'!H260+'2월'!G260+'3월'!G260+'4월'!G260+'5월'!G260+'6월'!G260+'7월'!G260+'8월'!G260+'9월'!G260+'10월'!G260+'11월'!G260+'12월'!G260</f>
        <v>0</v>
      </c>
      <c r="H260" s="50">
        <f>'1월'!J260+'2월'!H260+'3월'!H260+'4월'!H260+'5월'!H260+'6월'!H260+'7월'!H260+'8월'!H260+'9월'!H260+'10월'!H260+'11월'!H260+'12월'!H260</f>
        <v>0</v>
      </c>
      <c r="I260" s="50">
        <f>'1월'!K260+'2월'!I260+'3월'!I260+'4월'!I260+'5월'!I260+'6월'!I260+'7월'!I260+'8월'!I260+'9월'!I260+'10월'!I260+'11월'!I260+'12월'!I260</f>
        <v>0</v>
      </c>
      <c r="J260" s="50">
        <f>'1월'!L260+'2월'!J260+'3월'!J260+'4월'!J260+'5월'!J260+'6월'!J260+'7월'!J260+'8월'!J260+'9월'!J260+'10월'!J260+'11월'!J260+'12월'!J260</f>
        <v>0</v>
      </c>
      <c r="K260" s="50">
        <f>'1월'!M260+'2월'!K260+'3월'!K260+'4월'!K260+'5월'!K260+'6월'!K260+'7월'!K260+'8월'!K260+'9월'!K260+'10월'!K260+'11월'!K260+'12월'!K260</f>
        <v>0</v>
      </c>
      <c r="L260" s="50">
        <f>'1월'!N260+'2월'!L260+'3월'!L260+'4월'!L260+'5월'!L260+'6월'!L260+'7월'!L260+'8월'!L260+'9월'!L260+'10월'!L260+'11월'!L260+'12월'!L260</f>
        <v>0</v>
      </c>
      <c r="M260" s="50">
        <f>'1월'!O260+'2월'!M260+'3월'!M260+'4월'!M260+'5월'!M260+'6월'!M260+'7월'!M260+'8월'!M260+'9월'!M260+'10월'!M260+'11월'!M260+'12월'!M260</f>
        <v>0</v>
      </c>
      <c r="O260" s="200">
        <f>IFERROR(VLOOKUP($A260,[1]플랫폼1!$A:$B,2,FALSE),0)</f>
        <v>0</v>
      </c>
      <c r="P260" s="200">
        <f>IFERROR(VLOOKUP($A260,[1]플랫폼2!$A:$M,12,FALSE),0)+IFERROR(VLOOKUP($A260,[1]플랫폼2!$A:$M,13,FALSE),0)</f>
        <v>0</v>
      </c>
      <c r="Q260" s="200">
        <f>IFERROR(VLOOKUP($A260,[1]플랫폼2!$A:$M,7,FALSE),0)+IFERROR(VLOOKUP($A260,[1]플랫폼2!$A:$M,12,FALSE),0)</f>
        <v>0</v>
      </c>
      <c r="R260" s="200">
        <f>IFERROR(VLOOKUP($A260,[1]모바일!$A:$S,17,FALSE),0)</f>
        <v>0</v>
      </c>
      <c r="S260" s="200">
        <f>IFERROR(VLOOKUP($A260,[1]모바일!$A:$S,18,FALSE),0)</f>
        <v>0</v>
      </c>
      <c r="T260" s="200">
        <f>IFERROR(VLOOKUP(A260,[1]플랫폼2!$A:$O,15,0),0)</f>
        <v>0</v>
      </c>
      <c r="U260" s="83"/>
    </row>
    <row r="261" spans="1:21" ht="14.5" customHeight="1" x14ac:dyDescent="0.45">
      <c r="A261" s="27" t="s">
        <v>232</v>
      </c>
      <c r="B261" s="42">
        <f>'1월'!B261+'2월'!B261+'3월'!B261+'4월'!B261+'5월'!B261+'6월'!B261+'7월'!B261+'8월'!B261+'9월'!B261+'10월'!B261+'11월'!B261+'12월'!B261</f>
        <v>11764884410</v>
      </c>
      <c r="C261" s="42">
        <f>'1월'!C261+'2월'!C261+'3월'!C261+'4월'!C261+'5월'!C261+'6월'!C261+'7월'!C261+'8월'!C261+'9월'!C261+'10월'!C261+'11월'!C261+'12월'!C261</f>
        <v>-26613951683.92054</v>
      </c>
      <c r="D261" s="42">
        <f>'1월'!D261+'2월'!D261+'3월'!D261+'4월'!D261+'5월'!D261+'6월'!D261+'7월'!D261+'8월'!D261+'9월'!D261+'10월'!D261+'11월'!D261+'12월'!D261</f>
        <v>-5381982385</v>
      </c>
      <c r="E261" s="42">
        <f>'1월'!E261+'2월'!E261+'3월'!E261+'4월'!E261+'5월'!E261+'6월'!E261+'7월'!E261+'8월'!E261+'9월'!E261+'10월'!E261+'11월'!E261+'12월'!E261</f>
        <v>43760818478.92054</v>
      </c>
      <c r="F261" s="42">
        <f>'1월'!F261+'2월'!F261+'3월'!F261+'4월'!F261+'5월'!F261+'6월'!F261+'7월'!F261+'8월'!F261+'9월'!F261+'10월'!F261+'11월'!F261+'12월'!F261</f>
        <v>18644703232.236614</v>
      </c>
      <c r="G261" s="42">
        <f>'1월'!H261+'2월'!G261+'3월'!G261+'4월'!G261+'5월'!G261+'6월'!G261+'7월'!G261+'8월'!G261+'9월'!G261+'10월'!G261+'11월'!G261+'12월'!G261</f>
        <v>12962244160.619471</v>
      </c>
      <c r="H261" s="42">
        <f>'1월'!J261+'2월'!H261+'3월'!H261+'4월'!H261+'5월'!H261+'6월'!H261+'7월'!H261+'8월'!H261+'9월'!H261+'10월'!H261+'11월'!H261+'12월'!H261</f>
        <v>8114465669.0091839</v>
      </c>
      <c r="I261" s="42">
        <f>'1월'!K261+'2월'!I261+'3월'!I261+'4월'!I261+'5월'!I261+'6월'!I261+'7월'!I261+'8월'!I261+'9월'!I261+'10월'!I261+'11월'!I261+'12월'!I261</f>
        <v>542323794.4263587</v>
      </c>
      <c r="J261" s="42">
        <f>'1월'!L261+'2월'!J261+'3월'!J261+'4월'!J261+'5월'!J261+'6월'!J261+'7월'!J261+'8월'!J261+'9월'!J261+'10월'!J261+'11월'!J261+'12월'!J261</f>
        <v>997442286.59452701</v>
      </c>
      <c r="K261" s="42">
        <f>'1월'!M261+'2월'!K261+'3월'!K261+'4월'!K261+'5월'!K261+'6월'!K261+'7월'!K261+'8월'!K261+'9월'!K261+'10월'!K261+'11월'!K261+'12월'!K261</f>
        <v>1173583769.522527</v>
      </c>
      <c r="L261" s="42">
        <f>'1월'!N261+'2월'!L261+'3월'!L261+'4월'!L261+'5월'!L261+'6월'!L261+'7월'!L261+'8월'!L261+'9월'!L261+'10월'!L261+'11월'!L261+'12월'!L261</f>
        <v>-4264824592.4881454</v>
      </c>
      <c r="M261" s="42">
        <f>'1월'!O261+'2월'!M261+'3월'!M261+'4월'!M261+'5월'!M261+'6월'!M261+'7월'!M261+'8월'!M261+'9월'!M261+'10월'!M261+'11월'!M261+'12월'!M261</f>
        <v>5590880159</v>
      </c>
      <c r="O261" s="42">
        <f>IFERROR(VLOOKUP($A261,[1]플랫폼1!$A:$B,2,FALSE),0)</f>
        <v>-302259290</v>
      </c>
      <c r="P261" s="42">
        <f>IFERROR(VLOOKUP($A261,[1]플랫폼2!$A:$M,12,FALSE),0)+IFERROR(VLOOKUP($A261,[1]플랫폼2!$A:$M,13,FALSE),0)</f>
        <v>407022397</v>
      </c>
      <c r="Q261" s="42">
        <f>IFERROR(VLOOKUP($A261,[1]플랫폼2!$A:$M,7,FALSE),0)+IFERROR(VLOOKUP($A261,[1]플랫폼2!$A:$M,12,FALSE),0)</f>
        <v>5861799116</v>
      </c>
      <c r="R261" s="42">
        <f>IFERROR(VLOOKUP($A261,[1]모바일!$A:$S,17,FALSE),0)</f>
        <v>45481029.166666664</v>
      </c>
      <c r="S261" s="42">
        <f>IFERROR(VLOOKUP($A261,[1]모바일!$A:$S,18,FALSE),0)</f>
        <v>269542749.16666669</v>
      </c>
      <c r="T261" s="42">
        <v>-690720704.33333337</v>
      </c>
      <c r="U261" s="83"/>
    </row>
    <row r="262" spans="1:21" s="4" customFormat="1" ht="15" customHeight="1" x14ac:dyDescent="0.45"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</row>
    <row r="263" spans="1:21" s="4" customFormat="1" ht="15" hidden="1" customHeight="1" x14ac:dyDescent="0.45">
      <c r="A263" s="22" t="s">
        <v>234</v>
      </c>
      <c r="B263" s="23">
        <f>'1월'!B263+'2월'!B263+'3월'!B263+'4월'!B263+'5월'!B263+'6월'!B263+'7월'!B263+'8월'!B263+'9월'!B263+'10월'!B263+'11월'!B263+'12월'!B263</f>
        <v>0</v>
      </c>
      <c r="C263" s="23">
        <f>'1월'!C263+'2월'!C263+'3월'!C263+'4월'!C263+'5월'!C263+'6월'!C263+'7월'!C263+'8월'!C263+'9월'!C263+'10월'!C263+'11월'!C263+'12월'!C263</f>
        <v>0</v>
      </c>
      <c r="D263" s="23">
        <f>'1월'!D263+'2월'!D263+'3월'!D263+'4월'!D263+'5월'!D263+'6월'!D263+'7월'!D263+'8월'!D263+'9월'!D263+'10월'!D263+'11월'!D263+'12월'!D263</f>
        <v>0</v>
      </c>
      <c r="E263" s="52">
        <f>'1월'!E263+'2월'!E263+'3월'!E263+'4월'!E263+'5월'!E263+'6월'!E263+'7월'!E263+'8월'!E263+'9월'!E263+'10월'!E263+'11월'!E263+'12월'!E263</f>
        <v>12</v>
      </c>
      <c r="F263" s="53">
        <f>'1월'!F263+'2월'!F263+'3월'!F263+'4월'!F263+'5월'!F263+'6월'!F263+'7월'!F263+'8월'!F263+'9월'!F263+'10월'!F263+'11월'!F263+'12월'!F263</f>
        <v>5.6399999999999979</v>
      </c>
      <c r="G263" s="53">
        <f>'1월'!H263+'2월'!G263+'3월'!G263+'4월'!G263+'5월'!G263+'6월'!G263+'7월'!G263+'8월'!G263+'9월'!G263+'10월'!G263+'11월'!G263+'12월'!G263</f>
        <v>4.8</v>
      </c>
      <c r="H263" s="53">
        <f>'1월'!J263+'2월'!H263+'3월'!H263+'4월'!H263+'5월'!H263+'6월'!H263+'7월'!H263+'8월'!H263+'9월'!H263+'10월'!H263+'11월'!H263+'12월'!H263</f>
        <v>0.6</v>
      </c>
      <c r="I263" s="53">
        <f>'1월'!K263+'2월'!I263+'3월'!I263+'4월'!I263+'5월'!I263+'6월'!I263+'7월'!I263+'8월'!I263+'9월'!I263+'10월'!I263+'11월'!I263+'12월'!I263</f>
        <v>0.12720000000000001</v>
      </c>
      <c r="J263" s="53">
        <f>'1월'!L263+'2월'!J263+'3월'!J263+'4월'!J263+'5월'!J263+'6월'!J263+'7월'!J263+'8월'!J263+'9월'!J263+'10월'!J263+'11월'!J263+'12월'!J263</f>
        <v>0.10799999999999997</v>
      </c>
      <c r="K263" s="53">
        <f>'1월'!M263+'2월'!K263+'3월'!K263+'4월'!K263+'5월'!K263+'6월'!K263+'7월'!K263+'8월'!K263+'9월'!K263+'10월'!K263+'11월'!K263+'12월'!K263</f>
        <v>0.24480000000000002</v>
      </c>
      <c r="L263" s="53">
        <f>'1월'!N263+'2월'!L263+'3월'!L263+'4월'!L263+'5월'!L263+'6월'!L263+'7월'!L263+'8월'!L263+'9월'!L263+'10월'!L263+'11월'!L263+'12월'!L263</f>
        <v>0.23999999999999996</v>
      </c>
      <c r="M263" s="53">
        <f>'1월'!O263+'2월'!M263+'3월'!M263+'4월'!M263+'5월'!M263+'6월'!M263+'7월'!M263+'8월'!M263+'9월'!M263+'10월'!M263+'11월'!M263+'12월'!M263</f>
        <v>0.23999999999999996</v>
      </c>
    </row>
    <row r="264" spans="1:21" s="4" customFormat="1" ht="15" hidden="1" customHeight="1" x14ac:dyDescent="0.45">
      <c r="B264" s="5">
        <f>'1월'!B264+'2월'!B264+'3월'!B264+'4월'!B264+'5월'!B264+'6월'!B264+'7월'!B264+'8월'!B264+'9월'!B264+'10월'!B264+'11월'!B264+'12월'!B264</f>
        <v>0</v>
      </c>
      <c r="C264" s="5">
        <f>'1월'!C264+'2월'!C264+'3월'!C264+'4월'!C264+'5월'!C264+'6월'!C264+'7월'!C264+'8월'!C264+'9월'!C264+'10월'!C264+'11월'!C264+'12월'!C264</f>
        <v>0</v>
      </c>
      <c r="D264" s="5">
        <f>'1월'!D264+'2월'!D264+'3월'!D264+'4월'!D264+'5월'!D264+'6월'!D264+'7월'!D264+'8월'!D264+'9월'!D264+'10월'!D264+'11월'!D264+'12월'!D264</f>
        <v>0</v>
      </c>
      <c r="E264" s="5">
        <f>'1월'!E264+'2월'!E264+'3월'!E264+'4월'!E264+'5월'!E264+'6월'!E264+'7월'!E264+'8월'!E264+'9월'!E264+'10월'!E264+'11월'!E264+'12월'!E264</f>
        <v>0</v>
      </c>
      <c r="F264" s="5">
        <f>'1월'!F264+'2월'!F264+'3월'!F264+'4월'!F264+'5월'!F264+'6월'!F264+'7월'!F264+'8월'!F264+'9월'!F264+'10월'!F264+'11월'!F264+'12월'!F264</f>
        <v>0</v>
      </c>
      <c r="G264" s="5">
        <f>'1월'!H264+'2월'!G264+'3월'!G264+'4월'!G264+'5월'!G264+'6월'!G264+'7월'!G264+'8월'!G264+'9월'!G264+'10월'!G264+'11월'!G264+'12월'!G264</f>
        <v>0</v>
      </c>
      <c r="H264" s="5">
        <f>'1월'!J264+'2월'!H264+'3월'!H264+'4월'!H264+'5월'!H264+'6월'!H264+'7월'!H264+'8월'!H264+'9월'!H264+'10월'!H264+'11월'!H264+'12월'!H264</f>
        <v>0</v>
      </c>
      <c r="I264" s="5">
        <f>'1월'!K264+'2월'!I264+'3월'!I264+'4월'!I264+'5월'!I264+'6월'!I264+'7월'!I264+'8월'!I264+'9월'!I264+'10월'!I264+'11월'!I264+'12월'!I264</f>
        <v>0</v>
      </c>
      <c r="J264" s="5">
        <f>'1월'!L264+'2월'!J264+'3월'!J264+'4월'!J264+'5월'!J264+'6월'!J264+'7월'!J264+'8월'!J264+'9월'!J264+'10월'!J264+'11월'!J264+'12월'!J264</f>
        <v>0</v>
      </c>
      <c r="K264" s="5">
        <f>'1월'!M264+'2월'!K264+'3월'!K264+'4월'!K264+'5월'!K264+'6월'!K264+'7월'!K264+'8월'!K264+'9월'!K264+'10월'!K264+'11월'!K264+'12월'!K264</f>
        <v>0</v>
      </c>
      <c r="L264" s="5">
        <f>'1월'!N264+'2월'!L264+'3월'!L264+'4월'!L264+'5월'!L264+'6월'!L264+'7월'!L264+'8월'!L264+'9월'!L264+'10월'!L264+'11월'!L264+'12월'!L264</f>
        <v>0</v>
      </c>
      <c r="M264" s="11">
        <f>'1월'!O264+'2월'!M264+'3월'!M264+'4월'!M264+'5월'!M264+'6월'!M264+'7월'!M264+'8월'!M264+'9월'!M264+'10월'!M264+'11월'!M264+'12월'!M264</f>
        <v>0</v>
      </c>
    </row>
    <row r="265" spans="1:21" s="4" customFormat="1" ht="15" customHeight="1" x14ac:dyDescent="0.45">
      <c r="A265" s="6" t="s">
        <v>281</v>
      </c>
      <c r="B265" s="55">
        <f>'1월'!B265+'2월'!B265+'3월'!B265+'4월'!B265+'5월'!B265+'6월'!B265+'7월'!B265+'8월'!B265+'9월'!B265+'10월'!B265+'11월'!B265+'12월'!B265</f>
        <v>-5384430761</v>
      </c>
      <c r="C265" s="55">
        <f>'1월'!C265+'2월'!C265+'3월'!C265+'4월'!C265+'5월'!C265+'6월'!C265+'7월'!C265+'8월'!C265+'9월'!C265+'10월'!C265+'11월'!C265+'12월'!C265</f>
        <v>0</v>
      </c>
      <c r="D265" s="55">
        <f>'1월'!D265+'2월'!D265+'3월'!D265+'4월'!D265+'5월'!D265+'6월'!D265+'7월'!D265+'8월'!D265+'9월'!D265+'10월'!D265+'11월'!D265+'12월'!D265</f>
        <v>0</v>
      </c>
      <c r="E265" s="55">
        <f>'1월'!E265+'2월'!E265+'3월'!E265+'4월'!E265+'5월'!E265+'6월'!E265+'7월'!E265+'8월'!E265+'9월'!E265+'10월'!E265+'11월'!E265+'12월'!E265</f>
        <v>-5384430761</v>
      </c>
      <c r="F265" s="55">
        <f>'1월'!F265+'2월'!F265+'3월'!F265+'4월'!F265+'5월'!F265+'6월'!F265+'7월'!F265+'8월'!F265+'9월'!F265+'10월'!F265+'11월'!F265+'12월'!F265</f>
        <v>-2530682457.6699996</v>
      </c>
      <c r="G265" s="55">
        <f>'1월'!H265+'2월'!G265+'3월'!G265+'4월'!G265+'5월'!G265+'6월'!G265+'7월'!G265+'8월'!G265+'9월'!G265+'10월'!G265+'11월'!G265+'12월'!G265</f>
        <v>-2153772304.4000001</v>
      </c>
      <c r="H265" s="55">
        <f>'1월'!J265+'2월'!H265+'3월'!H265+'4월'!H265+'5월'!H265+'6월'!H265+'7월'!H265+'8월'!H265+'9월'!H265+'10월'!H265+'11월'!H265+'12월'!H265</f>
        <v>-269221538.04999995</v>
      </c>
      <c r="I265" s="55">
        <f>'1월'!K265+'2월'!I265+'3월'!I265+'4월'!I265+'5월'!I265+'6월'!I265+'7월'!I265+'8월'!I265+'9월'!I265+'10월'!I265+'11월'!I265+'12월'!I265</f>
        <v>-57074966.06660001</v>
      </c>
      <c r="J265" s="55">
        <f>'1월'!L265+'2월'!J265+'3월'!J265+'4월'!J265+'5월'!J265+'6월'!J265+'7월'!J265+'8월'!J265+'9월'!J265+'10월'!J265+'11월'!J265+'12월'!J265</f>
        <v>-48459876.848999999</v>
      </c>
      <c r="K265" s="55">
        <f>'1월'!M265+'2월'!K265+'3월'!K265+'4월'!K265+'5월'!K265+'6월'!K265+'7월'!K265+'8월'!K265+'9월'!K265+'10월'!K265+'11월'!K265+'12월'!K265</f>
        <v>-109842387.5244</v>
      </c>
      <c r="L265" s="55">
        <f>'1월'!N265+'2월'!L265+'3월'!L265+'4월'!L265+'5월'!L265+'6월'!L265+'7월'!L265+'8월'!L265+'9월'!L265+'10월'!L265+'11월'!L265+'12월'!L265</f>
        <v>-107688615.22</v>
      </c>
      <c r="M265" s="55">
        <f>'1월'!O265+'2월'!M265+'3월'!M265+'4월'!M265+'5월'!M265+'6월'!M265+'7월'!M265+'8월'!M265+'9월'!M265+'10월'!M265+'11월'!M265+'12월'!M265</f>
        <v>-107688615.22</v>
      </c>
    </row>
    <row r="266" spans="1:21" s="14" customFormat="1" ht="15" customHeight="1" x14ac:dyDescent="0.45">
      <c r="A266" s="8" t="s">
        <v>282</v>
      </c>
      <c r="B266" s="13">
        <f>'1월'!B266+'2월'!B266+'3월'!B266+'4월'!B266+'5월'!B266+'6월'!B266+'7월'!B266+'8월'!B266+'9월'!B266+'10월'!B266+'11월'!B266+'12월'!B266</f>
        <v>38191493578.92054</v>
      </c>
      <c r="C266" s="13">
        <f>'1월'!C266+'2월'!C266+'3월'!C266+'4월'!C266+'5월'!C266+'6월'!C266+'7월'!C266+'8월'!C266+'9월'!C266+'10월'!C266+'11월'!C266+'12월'!C266</f>
        <v>0</v>
      </c>
      <c r="D266" s="13">
        <f>'1월'!D266+'2월'!D266+'3월'!D266+'4월'!D266+'5월'!D266+'6월'!D266+'7월'!D266+'8월'!D266+'9월'!D266+'10월'!D266+'11월'!D266+'12월'!D266</f>
        <v>0</v>
      </c>
      <c r="E266" s="13">
        <f>'1월'!E266+'2월'!E266+'3월'!E266+'4월'!E266+'5월'!E266+'6월'!E266+'7월'!E266+'8월'!E266+'9월'!E266+'10월'!E266+'11월'!E266+'12월'!E266</f>
        <v>38191493578.920532</v>
      </c>
      <c r="F266" s="13">
        <f>'1월'!F266+'2월'!F266+'3월'!F266+'4월'!F266+'5월'!F266+'6월'!F266+'7월'!F266+'8월'!F266+'9월'!F266+'10월'!F266+'11월'!F266+'12월'!F266</f>
        <v>16111572398.566618</v>
      </c>
      <c r="G266" s="13">
        <f>'1월'!H266+'2월'!G266+'3월'!G266+'4월'!G266+'5월'!G266+'6월'!G266+'7월'!G266+'8월'!G266+'9월'!G266+'10월'!G266+'11월'!G266+'12월'!G266</f>
        <v>10766750138.219469</v>
      </c>
      <c r="H266" s="13">
        <f>'1월'!J266+'2월'!H266+'3월'!H266+'4월'!H266+'5월'!H266+'6월'!H266+'7월'!H266+'8월'!H266+'9월'!H266+'10월'!H266+'11월'!H266+'12월'!H266</f>
        <v>7845244130.9591846</v>
      </c>
      <c r="I266" s="13">
        <f>'1월'!K266+'2월'!I266+'3월'!I266+'4월'!I266+'5월'!I266+'6월'!I266+'7월'!I266+'8월'!I266+'9월'!I266+'10월'!I266+'11월'!I266+'12월'!I266</f>
        <v>485248828.35975862</v>
      </c>
      <c r="J266" s="13">
        <f>'1월'!L266+'2월'!J266+'3월'!J266+'4월'!J266+'5월'!J266+'6월'!J266+'7월'!J266+'8월'!J266+'9월'!J266+'10월'!J266+'11월'!J266+'12월'!J266</f>
        <v>948982409.74552703</v>
      </c>
      <c r="K266" s="13">
        <f>'1월'!M266+'2월'!K266+'3월'!K266+'4월'!K266+'5월'!K266+'6월'!K266+'7월'!K266+'8월'!K266+'9월'!K266+'10월'!K266+'11월'!K266+'12월'!K266</f>
        <v>919035356.99812698</v>
      </c>
      <c r="L266" s="13">
        <f>'1월'!N266+'2월'!L266+'3월'!L266+'4월'!L266+'5월'!L266+'6월'!L266+'7월'!L266+'8월'!L266+'9월'!L266+'10월'!L266+'11월'!L266+'12월'!L266</f>
        <v>-4372513207.7081451</v>
      </c>
      <c r="M266" s="13">
        <f>'1월'!O266+'2월'!M266+'3월'!M266+'4월'!M266+'5월'!M266+'6월'!M266+'7월'!M266+'8월'!M266+'9월'!M266+'10월'!M266+'11월'!M266+'12월'!M266</f>
        <v>5487173523.7799997</v>
      </c>
    </row>
    <row r="267" spans="1:21" x14ac:dyDescent="0.45">
      <c r="C267" s="2"/>
      <c r="D267" s="2"/>
      <c r="E267" s="2"/>
      <c r="F267" s="2"/>
      <c r="G267" s="2"/>
      <c r="L267" s="2"/>
    </row>
    <row r="268" spans="1:21" s="4" customFormat="1" ht="15" customHeight="1" x14ac:dyDescent="0.45">
      <c r="A268" s="6" t="s">
        <v>283</v>
      </c>
      <c r="B268" s="55">
        <f>'1월'!B268+'2월'!B268+'3월'!B268+'4월'!B268+'5월'!B268+'6월'!B268+'7월'!B268+'8월'!B268+'9월'!B268+'10월'!B268+'11월'!B268+'12월'!B268</f>
        <v>-21850042330.92054</v>
      </c>
      <c r="C268" s="55">
        <f>'1월'!C268+'2월'!C268+'3월'!C268+'4월'!C268+'5월'!C268+'6월'!C268+'7월'!C268+'8월'!C268+'9월'!C268+'10월'!C268+'11월'!C268+'12월'!C268</f>
        <v>0</v>
      </c>
      <c r="D268" s="55">
        <f>'1월'!D268+'2월'!D268+'3월'!D268+'4월'!D268+'5월'!D268+'6월'!D268+'7월'!D268+'8월'!D268+'9월'!D268+'10월'!D268+'11월'!D268+'12월'!D268</f>
        <v>0</v>
      </c>
      <c r="E268" s="55">
        <f>'1월'!E268+'2월'!E268+'3월'!E268+'4월'!E268+'5월'!E268+'6월'!E268+'7월'!E268+'8월'!E268+'9월'!E268+'10월'!E268+'11월'!E268+'12월'!E268</f>
        <v>-21850042330.92054</v>
      </c>
      <c r="F268" s="55">
        <f>'1월'!F268+'2월'!F268+'3월'!F268+'4월'!F268+'5월'!F268+'6월'!F268+'7월'!F268+'8월'!F268+'9월'!F268+'10월'!F268+'11월'!F268+'12월'!F268</f>
        <v>-10269519895.532654</v>
      </c>
      <c r="G268" s="55">
        <f>'1월'!H268+'2월'!G268+'3월'!G268+'4월'!G268+'5월'!G268+'6월'!G268+'7월'!G268+'8월'!G268+'9월'!G268+'10월'!G268+'11월'!G268+'12월'!G268</f>
        <v>-8740016932.3682175</v>
      </c>
      <c r="H268" s="55">
        <f>'1월'!J268+'2월'!H268+'3월'!H268+'4월'!H268+'5월'!H268+'6월'!H268+'7월'!H268+'8월'!H268+'9월'!H268+'10월'!H268+'11월'!H268+'12월'!H268</f>
        <v>-1092502116.5460272</v>
      </c>
      <c r="I268" s="55">
        <f>'1월'!K268+'2월'!I268+'3월'!I268+'4월'!I268+'5월'!I268+'6월'!I268+'7월'!I268+'8월'!I268+'9월'!I268+'10월'!I268+'11월'!I268+'12월'!I268</f>
        <v>-231610448.70775771</v>
      </c>
      <c r="J268" s="55">
        <f>'1월'!L268+'2월'!J268+'3월'!J268+'4월'!J268+'5월'!J268+'6월'!J268+'7월'!J268+'8월'!J268+'9월'!J268+'10월'!J268+'11월'!J268+'12월'!J268</f>
        <v>-196650380.97828487</v>
      </c>
      <c r="K268" s="55">
        <f>'1월'!M268+'2월'!K268+'3월'!K268+'4월'!K268+'5월'!K268+'6월'!K268+'7월'!K268+'8월'!K268+'9월'!K268+'10월'!K268+'11월'!K268+'12월'!K268</f>
        <v>-445740863.55077904</v>
      </c>
      <c r="L268" s="55">
        <f>'1월'!N268+'2월'!L268+'3월'!L268+'4월'!L268+'5월'!L268+'6월'!L268+'7월'!L268+'8월'!L268+'9월'!L268+'10월'!L268+'11월'!L268+'12월'!L268</f>
        <v>-437000846.61841077</v>
      </c>
      <c r="M268" s="55">
        <f>'1월'!O268+'2월'!M268+'3월'!M268+'4월'!M268+'5월'!M268+'6월'!M268+'7월'!M268+'8월'!M268+'9월'!M268+'10월'!M268+'11월'!M268+'12월'!M268</f>
        <v>-437000846.61841077</v>
      </c>
    </row>
    <row r="269" spans="1:21" s="14" customFormat="1" ht="15" customHeight="1" x14ac:dyDescent="0.45">
      <c r="A269" s="15" t="s">
        <v>284</v>
      </c>
      <c r="B269" s="16">
        <f>'1월'!B269+'2월'!B269+'3월'!B269+'4월'!B269+'5월'!B269+'6월'!B269+'7월'!B269+'8월'!B269+'9월'!B269+'10월'!B269+'11월'!B269+'12월'!B269</f>
        <v>16341451248</v>
      </c>
      <c r="C269" s="16">
        <f>'1월'!C269+'2월'!C269+'3월'!C269+'4월'!C269+'5월'!C269+'6월'!C269+'7월'!C269+'8월'!C269+'9월'!C269+'10월'!C269+'11월'!C269+'12월'!C269</f>
        <v>0</v>
      </c>
      <c r="D269" s="16">
        <f>'1월'!D269+'2월'!D269+'3월'!D269+'4월'!D269+'5월'!D269+'6월'!D269+'7월'!D269+'8월'!D269+'9월'!D269+'10월'!D269+'11월'!D269+'12월'!D269</f>
        <v>0</v>
      </c>
      <c r="E269" s="16">
        <f>'1월'!E269+'2월'!E269+'3월'!E269+'4월'!E269+'5월'!E269+'6월'!E269+'7월'!E269+'8월'!E269+'9월'!E269+'10월'!E269+'11월'!E269+'12월'!E269</f>
        <v>16341451247.999996</v>
      </c>
      <c r="F269" s="16">
        <f>'1월'!F269+'2월'!F269+'3월'!F269+'4월'!F269+'5월'!F269+'6월'!F269+'7월'!F269+'8월'!F269+'9월'!F269+'10월'!F269+'11월'!F269+'12월'!F269</f>
        <v>5842052503.0339613</v>
      </c>
      <c r="G269" s="16">
        <f>'1월'!H269+'2월'!G269+'3월'!G269+'4월'!G269+'5월'!G269+'6월'!G269+'7월'!G269+'8월'!G269+'9월'!G269+'10월'!G269+'11월'!G269+'12월'!G269</f>
        <v>2026733205.851254</v>
      </c>
      <c r="H269" s="16">
        <f>'1월'!J269+'2월'!H269+'3월'!H269+'4월'!H269+'5월'!H269+'6월'!H269+'7월'!H269+'8월'!H269+'9월'!H269+'10월'!H269+'11월'!H269+'12월'!H269</f>
        <v>6752742014.4131565</v>
      </c>
      <c r="I269" s="16">
        <f>'1월'!K269+'2월'!I269+'3월'!I269+'4월'!I269+'5월'!I269+'6월'!I269+'7월'!I269+'8월'!I269+'9월'!I269+'10월'!I269+'11월'!I269+'12월'!I269</f>
        <v>253638379.65200078</v>
      </c>
      <c r="J269" s="16">
        <f>'1월'!L269+'2월'!J269+'3월'!J269+'4월'!J269+'5월'!J269+'6월'!J269+'7월'!J269+'8월'!J269+'9월'!J269+'10월'!J269+'11월'!J269+'12월'!J269</f>
        <v>752332028.76724207</v>
      </c>
      <c r="K269" s="16">
        <f>'1월'!M269+'2월'!K269+'3월'!K269+'4월'!K269+'5월'!K269+'6월'!K269+'7월'!K269+'8월'!K269+'9월'!K269+'10월'!K269+'11월'!K269+'12월'!K269</f>
        <v>473294493.44734776</v>
      </c>
      <c r="L269" s="16">
        <f>'1월'!N269+'2월'!L269+'3월'!L269+'4월'!L269+'5월'!L269+'6월'!L269+'7월'!L269+'8월'!L269+'9월'!L269+'10월'!L269+'11월'!L269+'12월'!L269</f>
        <v>-4809514054.3265572</v>
      </c>
      <c r="M269" s="16">
        <f>'1월'!O269+'2월'!M269+'3월'!M269+'4월'!M269+'5월'!M269+'6월'!M269+'7월'!M269+'8월'!M269+'9월'!M269+'10월'!M269+'11월'!M269+'12월'!M269</f>
        <v>5050172677.1615887</v>
      </c>
    </row>
    <row r="270" spans="1:21" x14ac:dyDescent="0.45">
      <c r="C270" s="2"/>
      <c r="D270" s="2"/>
      <c r="E270" s="2"/>
      <c r="F270" s="2"/>
      <c r="G270" s="2"/>
      <c r="L270" s="2"/>
    </row>
    <row r="271" spans="1:21" s="1" customFormat="1" x14ac:dyDescent="0.45">
      <c r="A271" s="17" t="s">
        <v>285</v>
      </c>
      <c r="B271" s="136">
        <f>'1월'!B271+'2월'!B271+'3월'!B271+'4월'!B271+'5월'!B271+'6월'!B271+'7월'!B271+'8월'!B271+'9월'!B271+'10월'!B271+'11월'!B271+'12월'!B271</f>
        <v>16341451247.999996</v>
      </c>
      <c r="C271" s="136">
        <f>'1월'!C271+'2월'!C271+'3월'!C271+'4월'!C271+'5월'!C271+'6월'!C271+'7월'!C271+'8월'!C271+'9월'!C271+'10월'!C271+'11월'!C271+'12월'!C271</f>
        <v>0</v>
      </c>
      <c r="D271" s="136">
        <f>'1월'!D271+'2월'!D271+'3월'!D271+'4월'!D271+'5월'!D271+'6월'!D271+'7월'!D271+'8월'!D271+'9월'!D271+'10월'!D271+'11월'!D271+'12월'!D271</f>
        <v>0</v>
      </c>
      <c r="E271" s="136">
        <f>'1월'!E271+'2월'!E271+'3월'!E271+'4월'!E271+'5월'!E271+'6월'!E271+'7월'!E271+'8월'!E271+'9월'!E271+'10월'!E271+'11월'!E271+'12월'!E271</f>
        <v>16341451247.999996</v>
      </c>
      <c r="F271" s="136">
        <f>'1월'!F271+'2월'!F271+'3월'!F271+'4월'!F271+'5월'!F271+'6월'!F271+'7월'!F271+'8월'!F271+'9월'!F271+'10월'!F271+'11월'!F271+'12월'!F271</f>
        <v>4952552421.8974619</v>
      </c>
      <c r="G271" s="136">
        <f>'1월'!H271+'2월'!G271+'3월'!G271+'4월'!G271+'5월'!G271+'6월'!G271+'7월'!G271+'8월'!G271+'9월'!G271+'10월'!G271+'11월'!G271+'12월'!G271</f>
        <v>2916233286.9877534</v>
      </c>
      <c r="H271" s="136">
        <f>'1월'!J271+'2월'!H271+'3월'!H271+'4월'!H271+'5월'!H271+'6월'!H271+'7월'!H271+'8월'!H271+'9월'!H271+'10월'!H271+'11월'!H271+'12월'!H271</f>
        <v>6752742014.4131565</v>
      </c>
      <c r="I271" s="136">
        <f>'1월'!K271+'2월'!I271+'3월'!I271+'4월'!I271+'5월'!I271+'6월'!I271+'7월'!I271+'8월'!I271+'9월'!I271+'10월'!I271+'11월'!I271+'12월'!I271</f>
        <v>253638379.65200078</v>
      </c>
      <c r="J271" s="136">
        <f>'1월'!L271+'2월'!J271+'3월'!J271+'4월'!J271+'5월'!J271+'6월'!J271+'7월'!J271+'8월'!J271+'9월'!J271+'10월'!J271+'11월'!J271+'12월'!J271</f>
        <v>752332028.76724207</v>
      </c>
      <c r="K271" s="136">
        <f>'1월'!M271+'2월'!K271+'3월'!K271+'4월'!K271+'5월'!K271+'6월'!K271+'7월'!K271+'8월'!K271+'9월'!K271+'10월'!K271+'11월'!K271+'12월'!K271</f>
        <v>473294493.44734776</v>
      </c>
      <c r="L271" s="136">
        <f>'1월'!N271+'2월'!L271+'3월'!L271+'4월'!L271+'5월'!L271+'6월'!L271+'7월'!L271+'8월'!L271+'9월'!L271+'10월'!L271+'11월'!L271+'12월'!L271</f>
        <v>-4809514054.3265572</v>
      </c>
      <c r="M271" s="136">
        <f>'1월'!O271+'2월'!M271+'3월'!M271+'4월'!M271+'5월'!M271+'6월'!M271+'7월'!M271+'8월'!M271+'9월'!M271+'10월'!M271+'11월'!M271+'12월'!M271</f>
        <v>5050172677.1615887</v>
      </c>
    </row>
    <row r="272" spans="1:21" ht="15.65" customHeight="1" x14ac:dyDescent="0.45">
      <c r="A272" s="19" t="s">
        <v>286</v>
      </c>
      <c r="B272" s="19">
        <f>'1월'!B272+'2월'!B272+'3월'!B272+'4월'!B272+'5월'!B272+'6월'!B272+'7월'!B272+'8월'!B272+'9월'!B272+'10월'!B272+'11월'!B272+'12월'!B272</f>
        <v>889500081.1365</v>
      </c>
      <c r="H272" s="3"/>
      <c r="I272" s="3"/>
      <c r="J272" s="3"/>
      <c r="K272" s="3"/>
      <c r="L272" s="2"/>
    </row>
    <row r="273" spans="1:12" ht="15.5" customHeight="1" x14ac:dyDescent="0.45">
      <c r="A273" s="105" t="s">
        <v>321</v>
      </c>
      <c r="B273" s="106">
        <f>'1월'!B273+'2월'!B273+'3월'!B273+'4월'!B273+'5월'!B273+'6월'!B273+'7월'!B273+'8월'!B273+'9월'!B273+'10월'!B273+'11월'!B273+'12월'!B273</f>
        <v>2873160105.727273</v>
      </c>
      <c r="G273" s="2"/>
      <c r="L273" s="2"/>
    </row>
    <row r="274" spans="1:12" x14ac:dyDescent="0.45">
      <c r="H274" s="3"/>
      <c r="I274" s="3"/>
      <c r="J274" s="3"/>
      <c r="K274" s="3"/>
      <c r="L274" s="2"/>
    </row>
    <row r="275" spans="1:12" x14ac:dyDescent="0.45">
      <c r="E275" s="20"/>
      <c r="F275" s="20"/>
      <c r="G275" s="20"/>
      <c r="H275" s="20"/>
      <c r="L275" s="2"/>
    </row>
    <row r="276" spans="1:12" x14ac:dyDescent="0.45">
      <c r="H276" s="3"/>
      <c r="I276" s="3"/>
      <c r="J276" s="3"/>
      <c r="K276" s="3"/>
    </row>
    <row r="277" spans="1:12" x14ac:dyDescent="0.45">
      <c r="B277" s="3"/>
      <c r="H277" s="3"/>
      <c r="I277" s="3"/>
      <c r="J277" s="3"/>
      <c r="K277" s="3"/>
    </row>
    <row r="278" spans="1:12" x14ac:dyDescent="0.45">
      <c r="H278" s="3"/>
      <c r="I278" s="3"/>
      <c r="J278" s="3"/>
      <c r="K278" s="3"/>
    </row>
    <row r="279" spans="1:12" x14ac:dyDescent="0.45">
      <c r="H279" s="3"/>
      <c r="I279" s="3"/>
      <c r="J279" s="3"/>
      <c r="K279" s="3"/>
    </row>
    <row r="282" spans="1:12" s="3" customFormat="1" x14ac:dyDescent="0.45">
      <c r="A282" s="2"/>
      <c r="B282" s="2"/>
    </row>
    <row r="284" spans="1:12" s="3" customFormat="1" x14ac:dyDescent="0.45">
      <c r="A284" s="2"/>
      <c r="B284" s="2"/>
    </row>
  </sheetData>
  <mergeCells count="11">
    <mergeCell ref="A1:A2"/>
    <mergeCell ref="B1:B2"/>
    <mergeCell ref="C1:C2"/>
    <mergeCell ref="D1:D2"/>
    <mergeCell ref="E1:E2"/>
    <mergeCell ref="W1:AA1"/>
    <mergeCell ref="M1:M2"/>
    <mergeCell ref="F1:H1"/>
    <mergeCell ref="I1:L1"/>
    <mergeCell ref="V1:V2"/>
    <mergeCell ref="O1:T1"/>
  </mergeCells>
  <phoneticPr fontId="2" type="noConversion"/>
  <pageMargins left="0.75" right="0.75" top="1" bottom="1" header="0.5" footer="0.5"/>
  <pageSetup paperSize="8" scale="73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AA33E-15E0-4187-94B1-B327C5141040}">
  <sheetPr>
    <tabColor rgb="FFFFC000"/>
    <pageSetUpPr fitToPage="1"/>
  </sheetPr>
  <dimension ref="A1:AJ295"/>
  <sheetViews>
    <sheetView showGridLines="0" tabSelected="1" zoomScale="85" zoomScaleNormal="85" zoomScaleSheetLayoutView="85" workbookViewId="0">
      <pane xSplit="2" ySplit="3" topLeftCell="C141" activePane="bottomRight" state="frozen"/>
      <selection activeCell="H72" sqref="H72"/>
      <selection pane="topRight" activeCell="H72" sqref="H72"/>
      <selection pane="bottomLeft" activeCell="H72" sqref="H72"/>
      <selection pane="bottomRight" activeCell="I286" sqref="I285:I286"/>
    </sheetView>
  </sheetViews>
  <sheetFormatPr defaultColWidth="9.08984375" defaultRowHeight="16" outlineLevelRow="1" x14ac:dyDescent="0.45"/>
  <cols>
    <col min="1" max="1" width="36.36328125" style="2" customWidth="1"/>
    <col min="2" max="2" width="19.08984375" style="2" customWidth="1"/>
    <col min="3" max="9" width="19.08984375" style="3" customWidth="1"/>
    <col min="10" max="14" width="19.08984375" style="2" customWidth="1"/>
    <col min="15" max="15" width="19.08984375" style="3" customWidth="1"/>
    <col min="16" max="16" width="8.08984375" style="2" hidden="1" customWidth="1"/>
    <col min="17" max="18" width="9.08984375" style="2" hidden="1" customWidth="1"/>
    <col min="19" max="19" width="11.453125" style="2" hidden="1" customWidth="1"/>
    <col min="20" max="22" width="9.08984375" style="2" hidden="1" customWidth="1"/>
    <col min="23" max="32" width="15" style="2" hidden="1" customWidth="1"/>
    <col min="33" max="33" width="0" style="2" hidden="1" customWidth="1"/>
    <col min="34" max="34" width="9.08984375" style="2"/>
    <col min="35" max="36" width="19.08984375" style="2" hidden="1" customWidth="1"/>
    <col min="37" max="16384" width="9.08984375" style="2"/>
  </cols>
  <sheetData>
    <row r="1" spans="1:36" s="1" customFormat="1" ht="15.65" customHeight="1" x14ac:dyDescent="0.45">
      <c r="A1" s="208" t="s">
        <v>300</v>
      </c>
      <c r="B1" s="210" t="s">
        <v>233</v>
      </c>
      <c r="C1" s="210" t="s">
        <v>250</v>
      </c>
      <c r="D1" s="210" t="s">
        <v>288</v>
      </c>
      <c r="E1" s="212" t="s">
        <v>167</v>
      </c>
      <c r="F1" s="204" t="s">
        <v>289</v>
      </c>
      <c r="G1" s="205"/>
      <c r="H1" s="205"/>
      <c r="I1" s="205"/>
      <c r="J1" s="212"/>
      <c r="K1" s="202" t="s">
        <v>290</v>
      </c>
      <c r="L1" s="206"/>
      <c r="M1" s="206"/>
      <c r="N1" s="207"/>
      <c r="O1" s="202" t="s">
        <v>291</v>
      </c>
      <c r="AI1" s="111"/>
      <c r="AJ1" s="112"/>
    </row>
    <row r="2" spans="1:36" s="1" customFormat="1" ht="15.65" customHeight="1" x14ac:dyDescent="0.45">
      <c r="A2" s="208"/>
      <c r="B2" s="211"/>
      <c r="C2" s="211"/>
      <c r="D2" s="211"/>
      <c r="E2" s="212"/>
      <c r="F2" s="25" t="s">
        <v>248</v>
      </c>
      <c r="G2" s="176"/>
      <c r="H2" s="25" t="s">
        <v>242</v>
      </c>
      <c r="I2" s="176"/>
      <c r="J2" s="26" t="s">
        <v>365</v>
      </c>
      <c r="K2" s="26" t="s">
        <v>168</v>
      </c>
      <c r="L2" s="26" t="s">
        <v>169</v>
      </c>
      <c r="M2" s="26" t="s">
        <v>294</v>
      </c>
      <c r="N2" s="26" t="s">
        <v>295</v>
      </c>
      <c r="O2" s="203"/>
      <c r="AI2" s="26" t="s">
        <v>292</v>
      </c>
      <c r="AJ2" s="26" t="s">
        <v>293</v>
      </c>
    </row>
    <row r="3" spans="1:36" s="1" customFormat="1" ht="15.65" customHeight="1" x14ac:dyDescent="0.45">
      <c r="A3" s="27" t="s">
        <v>0</v>
      </c>
      <c r="B3" s="42">
        <v>56063832912</v>
      </c>
      <c r="C3" s="42">
        <v>1049578026</v>
      </c>
      <c r="D3" s="42">
        <v>146069636</v>
      </c>
      <c r="E3" s="42">
        <v>54868185250</v>
      </c>
      <c r="F3" s="42">
        <v>16900691819.103336</v>
      </c>
      <c r="G3" s="235">
        <f>F3/100000000</f>
        <v>169.00691819103335</v>
      </c>
      <c r="H3" s="42">
        <v>4325384063.8966646</v>
      </c>
      <c r="I3" s="42"/>
      <c r="J3" s="42">
        <f>AI3+AJ3</f>
        <v>9864151884</v>
      </c>
      <c r="K3" s="42">
        <v>504710535</v>
      </c>
      <c r="L3" s="42">
        <v>748664989</v>
      </c>
      <c r="M3" s="42">
        <v>19107405289</v>
      </c>
      <c r="N3" s="42">
        <v>709870221</v>
      </c>
      <c r="O3" s="42">
        <v>2707306449</v>
      </c>
      <c r="AI3" s="42">
        <v>9286560950</v>
      </c>
      <c r="AJ3" s="42">
        <v>577590934</v>
      </c>
    </row>
    <row r="4" spans="1:36" s="1" customFormat="1" x14ac:dyDescent="0.45">
      <c r="A4" s="28" t="s">
        <v>1</v>
      </c>
      <c r="B4" s="43">
        <v>37748240117</v>
      </c>
      <c r="C4" s="43">
        <v>1294031951</v>
      </c>
      <c r="D4" s="43">
        <v>2408909</v>
      </c>
      <c r="E4" s="43">
        <v>36451799257</v>
      </c>
      <c r="F4" s="43">
        <v>8407956921</v>
      </c>
      <c r="G4" s="235">
        <f>F4/100000000</f>
        <v>84.079569210000002</v>
      </c>
      <c r="H4" s="43">
        <v>663082183</v>
      </c>
      <c r="I4" s="43"/>
      <c r="J4" s="43">
        <f t="shared" ref="J4:J67" si="0">AI4+AJ4</f>
        <v>6513004514</v>
      </c>
      <c r="K4" s="43">
        <v>276611090</v>
      </c>
      <c r="L4" s="43">
        <v>15934363</v>
      </c>
      <c r="M4" s="43">
        <v>18282783735</v>
      </c>
      <c r="N4" s="43">
        <v>51711546</v>
      </c>
      <c r="O4" s="43">
        <v>2240714905</v>
      </c>
      <c r="P4" s="1" t="b">
        <f t="shared" ref="P4:P67" si="1">B4=SUM(C4:E4)</f>
        <v>1</v>
      </c>
      <c r="Q4" s="1" t="e">
        <f>O4=#REF!</f>
        <v>#REF!</v>
      </c>
      <c r="R4" s="1" t="e">
        <f>#REF!=#REF!</f>
        <v>#REF!</v>
      </c>
      <c r="AG4" s="1" t="b">
        <f t="shared" ref="AG4:AG67" si="2">E4=SUM(F4:O4)</f>
        <v>0</v>
      </c>
      <c r="AI4" s="43">
        <v>6345392027</v>
      </c>
      <c r="AJ4" s="43">
        <v>167612487</v>
      </c>
    </row>
    <row r="5" spans="1:36" s="1" customFormat="1" outlineLevel="1" x14ac:dyDescent="0.45">
      <c r="A5" s="29" t="s">
        <v>2</v>
      </c>
      <c r="B5" s="44">
        <v>21306401213</v>
      </c>
      <c r="C5" s="44">
        <v>1268993619</v>
      </c>
      <c r="D5" s="44">
        <v>0</v>
      </c>
      <c r="E5" s="44">
        <v>20037407594</v>
      </c>
      <c r="F5" s="44">
        <v>25270972</v>
      </c>
      <c r="G5" s="44"/>
      <c r="H5" s="44">
        <v>483301182</v>
      </c>
      <c r="I5" s="44"/>
      <c r="J5" s="44">
        <f t="shared" si="0"/>
        <v>734305697</v>
      </c>
      <c r="K5" s="44">
        <v>59707908</v>
      </c>
      <c r="L5" s="44">
        <v>5620000</v>
      </c>
      <c r="M5" s="44">
        <v>17610563885</v>
      </c>
      <c r="N5" s="44">
        <v>0</v>
      </c>
      <c r="O5" s="44">
        <v>1118637950</v>
      </c>
      <c r="P5" s="1" t="b">
        <f t="shared" si="1"/>
        <v>1</v>
      </c>
      <c r="Q5" s="1" t="e">
        <f>O5=#REF!</f>
        <v>#REF!</v>
      </c>
      <c r="R5" s="1" t="e">
        <f>#REF!=#REF!</f>
        <v>#REF!</v>
      </c>
      <c r="AG5" s="1" t="b">
        <f t="shared" si="2"/>
        <v>1</v>
      </c>
      <c r="AI5" s="44">
        <v>626698879</v>
      </c>
      <c r="AJ5" s="44">
        <v>107606818</v>
      </c>
    </row>
    <row r="6" spans="1:36" ht="16" customHeight="1" outlineLevel="1" x14ac:dyDescent="0.45">
      <c r="A6" s="29" t="s">
        <v>3</v>
      </c>
      <c r="B6" s="44">
        <v>3689000</v>
      </c>
      <c r="C6" s="44">
        <v>0</v>
      </c>
      <c r="D6" s="44">
        <v>0</v>
      </c>
      <c r="E6" s="44">
        <v>3689000</v>
      </c>
      <c r="F6" s="44">
        <v>0</v>
      </c>
      <c r="G6" s="44"/>
      <c r="H6" s="44">
        <v>3689000</v>
      </c>
      <c r="I6" s="44"/>
      <c r="J6" s="44">
        <f t="shared" si="0"/>
        <v>0</v>
      </c>
      <c r="K6" s="44">
        <v>0</v>
      </c>
      <c r="L6" s="44">
        <v>0</v>
      </c>
      <c r="M6" s="44">
        <v>0</v>
      </c>
      <c r="N6" s="44">
        <v>0</v>
      </c>
      <c r="O6" s="44">
        <v>0</v>
      </c>
      <c r="P6" s="1" t="b">
        <f t="shared" si="1"/>
        <v>1</v>
      </c>
      <c r="Q6" s="1" t="e">
        <f>O6=#REF!</f>
        <v>#REF!</v>
      </c>
      <c r="R6" s="1" t="e">
        <f>#REF!=#REF!</f>
        <v>#REF!</v>
      </c>
      <c r="AG6" s="1" t="b">
        <f t="shared" si="2"/>
        <v>1</v>
      </c>
      <c r="AI6" s="44">
        <v>0</v>
      </c>
      <c r="AJ6" s="44">
        <v>0</v>
      </c>
    </row>
    <row r="7" spans="1:36" ht="16" customHeight="1" outlineLevel="1" x14ac:dyDescent="0.45">
      <c r="A7" s="29" t="s">
        <v>170</v>
      </c>
      <c r="B7" s="44">
        <v>0</v>
      </c>
      <c r="C7" s="44">
        <v>0</v>
      </c>
      <c r="D7" s="44">
        <v>0</v>
      </c>
      <c r="E7" s="44">
        <v>0</v>
      </c>
      <c r="F7" s="44">
        <v>0</v>
      </c>
      <c r="G7" s="44"/>
      <c r="H7" s="44">
        <v>0</v>
      </c>
      <c r="I7" s="44"/>
      <c r="J7" s="44">
        <f t="shared" si="0"/>
        <v>0</v>
      </c>
      <c r="K7" s="44">
        <v>0</v>
      </c>
      <c r="L7" s="44">
        <v>0</v>
      </c>
      <c r="M7" s="44">
        <v>0</v>
      </c>
      <c r="N7" s="44">
        <v>0</v>
      </c>
      <c r="O7" s="44">
        <v>0</v>
      </c>
      <c r="P7" s="1" t="b">
        <f t="shared" si="1"/>
        <v>1</v>
      </c>
      <c r="Q7" s="1" t="e">
        <f>O7=#REF!</f>
        <v>#REF!</v>
      </c>
      <c r="R7" s="1" t="e">
        <f>#REF!=#REF!</f>
        <v>#REF!</v>
      </c>
      <c r="AG7" s="1" t="b">
        <f t="shared" si="2"/>
        <v>1</v>
      </c>
      <c r="AI7" s="44">
        <v>0</v>
      </c>
      <c r="AJ7" s="44">
        <v>0</v>
      </c>
    </row>
    <row r="8" spans="1:36" ht="16" customHeight="1" outlineLevel="1" x14ac:dyDescent="0.45">
      <c r="A8" s="29" t="s">
        <v>4</v>
      </c>
      <c r="B8" s="44">
        <v>13525089022</v>
      </c>
      <c r="C8" s="44">
        <v>26299059</v>
      </c>
      <c r="D8" s="44">
        <v>0</v>
      </c>
      <c r="E8" s="44">
        <v>13498789963</v>
      </c>
      <c r="F8" s="44">
        <v>7898499141</v>
      </c>
      <c r="G8" s="44"/>
      <c r="H8" s="44">
        <v>173360546</v>
      </c>
      <c r="I8" s="44"/>
      <c r="J8" s="44">
        <f t="shared" si="0"/>
        <v>4492484604</v>
      </c>
      <c r="K8" s="44">
        <v>215380455</v>
      </c>
      <c r="L8" s="44">
        <v>440000</v>
      </c>
      <c r="M8" s="44">
        <v>667024580</v>
      </c>
      <c r="N8" s="44">
        <v>51600637</v>
      </c>
      <c r="O8" s="44">
        <v>0</v>
      </c>
      <c r="P8" s="1" t="b">
        <f t="shared" si="1"/>
        <v>1</v>
      </c>
      <c r="Q8" s="1" t="e">
        <f>O8=#REF!</f>
        <v>#REF!</v>
      </c>
      <c r="R8" s="1" t="e">
        <f>#REF!=#REF!</f>
        <v>#REF!</v>
      </c>
      <c r="AG8" s="1" t="b">
        <f t="shared" si="2"/>
        <v>1</v>
      </c>
      <c r="AI8" s="44">
        <v>4491806297</v>
      </c>
      <c r="AJ8" s="44">
        <v>678307</v>
      </c>
    </row>
    <row r="9" spans="1:36" ht="16" customHeight="1" outlineLevel="1" x14ac:dyDescent="0.45">
      <c r="A9" s="29" t="s">
        <v>5</v>
      </c>
      <c r="B9" s="44">
        <v>227302073</v>
      </c>
      <c r="C9" s="44">
        <v>-1260727</v>
      </c>
      <c r="D9" s="44">
        <v>2408909</v>
      </c>
      <c r="E9" s="44">
        <v>226153891</v>
      </c>
      <c r="F9" s="44">
        <v>205428495</v>
      </c>
      <c r="G9" s="44"/>
      <c r="H9" s="44">
        <v>2731455</v>
      </c>
      <c r="I9" s="44"/>
      <c r="J9" s="44">
        <f t="shared" si="0"/>
        <v>9532305</v>
      </c>
      <c r="K9" s="44">
        <v>1522727</v>
      </c>
      <c r="L9" s="44">
        <v>0</v>
      </c>
      <c r="M9" s="44">
        <v>28000</v>
      </c>
      <c r="N9" s="44">
        <v>110909</v>
      </c>
      <c r="O9" s="44">
        <v>6800000</v>
      </c>
      <c r="P9" s="1" t="b">
        <f t="shared" si="1"/>
        <v>1</v>
      </c>
      <c r="Q9" s="1" t="e">
        <f>O9=#REF!</f>
        <v>#REF!</v>
      </c>
      <c r="R9" s="1" t="e">
        <f>#REF!=#REF!</f>
        <v>#REF!</v>
      </c>
      <c r="AG9" s="1" t="b">
        <f t="shared" si="2"/>
        <v>1</v>
      </c>
      <c r="AI9" s="44">
        <v>9532305</v>
      </c>
      <c r="AJ9" s="44">
        <v>0</v>
      </c>
    </row>
    <row r="10" spans="1:36" ht="16" customHeight="1" outlineLevel="1" x14ac:dyDescent="0.45">
      <c r="A10" s="29" t="s">
        <v>118</v>
      </c>
      <c r="B10" s="44">
        <v>1232396179</v>
      </c>
      <c r="C10" s="44">
        <v>0</v>
      </c>
      <c r="D10" s="44">
        <v>0</v>
      </c>
      <c r="E10" s="44">
        <v>1232396179</v>
      </c>
      <c r="F10" s="44">
        <v>0</v>
      </c>
      <c r="G10" s="44"/>
      <c r="H10" s="44">
        <v>0</v>
      </c>
      <c r="I10" s="44"/>
      <c r="J10" s="44">
        <f t="shared" si="0"/>
        <v>1217354546</v>
      </c>
      <c r="K10" s="44">
        <v>0</v>
      </c>
      <c r="L10" s="44">
        <v>9874363</v>
      </c>
      <c r="M10" s="44">
        <v>5167270</v>
      </c>
      <c r="N10" s="44">
        <v>0</v>
      </c>
      <c r="O10" s="44">
        <v>0</v>
      </c>
      <c r="P10" s="1" t="b">
        <f t="shared" si="1"/>
        <v>1</v>
      </c>
      <c r="Q10" s="1" t="e">
        <f>O10=#REF!</f>
        <v>#REF!</v>
      </c>
      <c r="R10" s="1" t="e">
        <f>#REF!=#REF!</f>
        <v>#REF!</v>
      </c>
      <c r="AG10" s="1" t="b">
        <f t="shared" si="2"/>
        <v>1</v>
      </c>
      <c r="AI10" s="44">
        <v>1217354546</v>
      </c>
      <c r="AJ10" s="44">
        <v>0</v>
      </c>
    </row>
    <row r="11" spans="1:36" ht="16" customHeight="1" outlineLevel="1" x14ac:dyDescent="0.45">
      <c r="A11" s="29" t="s">
        <v>6</v>
      </c>
      <c r="B11" s="44">
        <v>338085675</v>
      </c>
      <c r="C11" s="44">
        <v>0</v>
      </c>
      <c r="D11" s="44">
        <v>0</v>
      </c>
      <c r="E11" s="44">
        <v>338085675</v>
      </c>
      <c r="F11" s="44">
        <v>278758313</v>
      </c>
      <c r="G11" s="44"/>
      <c r="H11" s="44">
        <v>0</v>
      </c>
      <c r="I11" s="44"/>
      <c r="J11" s="44">
        <f t="shared" si="0"/>
        <v>59327362</v>
      </c>
      <c r="K11" s="44">
        <v>0</v>
      </c>
      <c r="L11" s="44">
        <v>0</v>
      </c>
      <c r="M11" s="44">
        <v>0</v>
      </c>
      <c r="N11" s="44">
        <v>0</v>
      </c>
      <c r="O11" s="44">
        <v>0</v>
      </c>
      <c r="P11" s="1" t="b">
        <f t="shared" si="1"/>
        <v>1</v>
      </c>
      <c r="Q11" s="1" t="e">
        <f>O11=#REF!</f>
        <v>#REF!</v>
      </c>
      <c r="R11" s="1" t="e">
        <f>#REF!=#REF!</f>
        <v>#REF!</v>
      </c>
      <c r="AG11" s="1" t="b">
        <f t="shared" si="2"/>
        <v>1</v>
      </c>
      <c r="AI11" s="44">
        <v>0</v>
      </c>
      <c r="AJ11" s="44">
        <v>59327362</v>
      </c>
    </row>
    <row r="12" spans="1:36" ht="16" customHeight="1" outlineLevel="1" x14ac:dyDescent="0.45">
      <c r="A12" s="29" t="s">
        <v>301</v>
      </c>
      <c r="B12" s="44">
        <v>1115276955</v>
      </c>
      <c r="C12" s="44">
        <v>0</v>
      </c>
      <c r="D12" s="44">
        <v>0</v>
      </c>
      <c r="E12" s="44">
        <v>1115276955</v>
      </c>
      <c r="F12" s="44">
        <v>0</v>
      </c>
      <c r="G12" s="44"/>
      <c r="H12" s="44">
        <v>0</v>
      </c>
      <c r="I12" s="44"/>
      <c r="J12" s="44">
        <f t="shared" si="0"/>
        <v>0</v>
      </c>
      <c r="K12" s="44">
        <v>0</v>
      </c>
      <c r="L12" s="44">
        <v>0</v>
      </c>
      <c r="M12" s="44">
        <v>0</v>
      </c>
      <c r="N12" s="44">
        <v>0</v>
      </c>
      <c r="O12" s="44">
        <v>1115276955</v>
      </c>
      <c r="P12" s="1" t="b">
        <f t="shared" si="1"/>
        <v>1</v>
      </c>
      <c r="Q12" s="1" t="e">
        <f>O12=#REF!</f>
        <v>#REF!</v>
      </c>
      <c r="R12" s="1" t="e">
        <f>#REF!=#REF!</f>
        <v>#REF!</v>
      </c>
      <c r="AG12" s="1" t="b">
        <f t="shared" si="2"/>
        <v>1</v>
      </c>
      <c r="AI12" s="44">
        <v>0</v>
      </c>
      <c r="AJ12" s="44">
        <v>0</v>
      </c>
    </row>
    <row r="13" spans="1:36" ht="16" customHeight="1" x14ac:dyDescent="0.45">
      <c r="A13" s="28" t="s">
        <v>7</v>
      </c>
      <c r="B13" s="43">
        <v>18315592795</v>
      </c>
      <c r="C13" s="43">
        <v>-244453925</v>
      </c>
      <c r="D13" s="43">
        <v>143660727</v>
      </c>
      <c r="E13" s="43">
        <v>18416385993</v>
      </c>
      <c r="F13" s="43">
        <v>8492734898.1033354</v>
      </c>
      <c r="G13" s="43"/>
      <c r="H13" s="43">
        <v>3662301880.8966651</v>
      </c>
      <c r="I13" s="43"/>
      <c r="J13" s="43">
        <f t="shared" si="0"/>
        <v>3351147370</v>
      </c>
      <c r="K13" s="43">
        <v>228099445</v>
      </c>
      <c r="L13" s="43">
        <v>732730626</v>
      </c>
      <c r="M13" s="43">
        <v>824621554</v>
      </c>
      <c r="N13" s="43">
        <v>658158675</v>
      </c>
      <c r="O13" s="43">
        <v>466591544</v>
      </c>
      <c r="P13" s="1" t="b">
        <f t="shared" si="1"/>
        <v>1</v>
      </c>
      <c r="Q13" s="1" t="e">
        <f>O13=#REF!</f>
        <v>#REF!</v>
      </c>
      <c r="R13" s="1" t="e">
        <f>#REF!=#REF!</f>
        <v>#REF!</v>
      </c>
      <c r="AG13" s="1" t="b">
        <f t="shared" si="2"/>
        <v>1</v>
      </c>
      <c r="AI13" s="43">
        <v>2941168923</v>
      </c>
      <c r="AJ13" s="43">
        <v>409978447</v>
      </c>
    </row>
    <row r="14" spans="1:36" s="1" customFormat="1" outlineLevel="1" x14ac:dyDescent="0.45">
      <c r="A14" s="24" t="s">
        <v>8</v>
      </c>
      <c r="B14" s="45">
        <v>6921439162</v>
      </c>
      <c r="C14" s="45">
        <v>1511570451</v>
      </c>
      <c r="D14" s="45">
        <v>0</v>
      </c>
      <c r="E14" s="45">
        <v>5409868711</v>
      </c>
      <c r="F14" s="45">
        <v>3929438683.7613349</v>
      </c>
      <c r="G14" s="236">
        <f>(F14+F18+F21)/100000000</f>
        <v>49.550632411397075</v>
      </c>
      <c r="H14" s="45">
        <v>168264367.23866522</v>
      </c>
      <c r="I14" s="45"/>
      <c r="J14" s="54">
        <f t="shared" si="0"/>
        <v>-440922125</v>
      </c>
      <c r="K14" s="45">
        <v>132906918</v>
      </c>
      <c r="L14" s="45">
        <v>592455512</v>
      </c>
      <c r="M14" s="45">
        <v>587223694</v>
      </c>
      <c r="N14" s="45">
        <v>37362767</v>
      </c>
      <c r="O14" s="45">
        <v>403138894</v>
      </c>
      <c r="P14" s="1" t="b">
        <f t="shared" si="1"/>
        <v>1</v>
      </c>
      <c r="Q14" s="1" t="e">
        <f>O14=#REF!</f>
        <v>#REF!</v>
      </c>
      <c r="R14" s="1" t="e">
        <f>#REF!=#REF!</f>
        <v>#REF!</v>
      </c>
      <c r="AG14" s="1" t="b">
        <f t="shared" si="2"/>
        <v>0</v>
      </c>
      <c r="AI14" s="54">
        <v>-436732349</v>
      </c>
      <c r="AJ14" s="54">
        <v>-4189776</v>
      </c>
    </row>
    <row r="15" spans="1:36" ht="16" customHeight="1" outlineLevel="1" x14ac:dyDescent="0.45">
      <c r="A15" s="29" t="s">
        <v>9</v>
      </c>
      <c r="B15" s="44">
        <v>95686374</v>
      </c>
      <c r="C15" s="44">
        <v>2910000</v>
      </c>
      <c r="D15" s="44">
        <v>0</v>
      </c>
      <c r="E15" s="44">
        <v>92776374</v>
      </c>
      <c r="F15" s="44">
        <v>39230998</v>
      </c>
      <c r="G15" s="237">
        <f>F16/100000000</f>
        <v>25.154146389636281</v>
      </c>
      <c r="H15" s="44">
        <v>909091</v>
      </c>
      <c r="I15" s="44"/>
      <c r="J15" s="44">
        <f t="shared" si="0"/>
        <v>17279635</v>
      </c>
      <c r="K15" s="44">
        <v>0</v>
      </c>
      <c r="L15" s="44">
        <v>0</v>
      </c>
      <c r="M15" s="44">
        <v>0</v>
      </c>
      <c r="N15" s="44">
        <v>1364000</v>
      </c>
      <c r="O15" s="44">
        <v>33992650</v>
      </c>
      <c r="P15" s="1" t="b">
        <f t="shared" si="1"/>
        <v>1</v>
      </c>
      <c r="Q15" s="1" t="e">
        <f>O15=#REF!</f>
        <v>#REF!</v>
      </c>
      <c r="R15" s="1" t="e">
        <f>#REF!=#REF!</f>
        <v>#REF!</v>
      </c>
      <c r="AG15" s="1" t="b">
        <f t="shared" si="2"/>
        <v>0</v>
      </c>
      <c r="AI15" s="44">
        <v>0</v>
      </c>
      <c r="AJ15" s="44">
        <v>17279635</v>
      </c>
    </row>
    <row r="16" spans="1:36" ht="16" customHeight="1" outlineLevel="1" x14ac:dyDescent="0.45">
      <c r="A16" s="29" t="s">
        <v>10</v>
      </c>
      <c r="B16" s="44">
        <v>4140672624</v>
      </c>
      <c r="C16" s="44">
        <v>-245195623</v>
      </c>
      <c r="D16" s="44">
        <v>0</v>
      </c>
      <c r="E16" s="44">
        <v>4385868247</v>
      </c>
      <c r="F16" s="44">
        <v>2515414638.9636283</v>
      </c>
      <c r="G16" s="237">
        <f>F17/100000000</f>
        <v>0.55730053000000002</v>
      </c>
      <c r="H16" s="44">
        <v>780286258.03637171</v>
      </c>
      <c r="I16" s="44"/>
      <c r="J16" s="44">
        <f t="shared" si="0"/>
        <v>523360932</v>
      </c>
      <c r="K16" s="44">
        <v>74020927</v>
      </c>
      <c r="L16" s="44">
        <v>123265614</v>
      </c>
      <c r="M16" s="44">
        <v>248420754</v>
      </c>
      <c r="N16" s="44">
        <v>121099123</v>
      </c>
      <c r="O16" s="44">
        <v>0</v>
      </c>
      <c r="P16" s="1" t="b">
        <f t="shared" si="1"/>
        <v>1</v>
      </c>
      <c r="Q16" s="1" t="e">
        <f>O16=#REF!</f>
        <v>#REF!</v>
      </c>
      <c r="R16" s="1" t="e">
        <f>#REF!=#REF!</f>
        <v>#REF!</v>
      </c>
      <c r="AG16" s="1" t="b">
        <f t="shared" si="2"/>
        <v>0</v>
      </c>
      <c r="AI16" s="44">
        <v>306131132</v>
      </c>
      <c r="AJ16" s="44">
        <v>217229800</v>
      </c>
    </row>
    <row r="17" spans="1:36" ht="16" customHeight="1" outlineLevel="1" x14ac:dyDescent="0.45">
      <c r="A17" s="29" t="s">
        <v>11</v>
      </c>
      <c r="B17" s="44">
        <v>58253187</v>
      </c>
      <c r="C17" s="44">
        <v>235318</v>
      </c>
      <c r="D17" s="44">
        <v>0</v>
      </c>
      <c r="E17" s="44">
        <v>58017869</v>
      </c>
      <c r="F17" s="44">
        <v>55730053</v>
      </c>
      <c r="G17" s="237">
        <f>F23/100000000</f>
        <v>7.9090796699999997</v>
      </c>
      <c r="H17" s="44">
        <v>292772</v>
      </c>
      <c r="I17" s="44"/>
      <c r="J17" s="44">
        <f t="shared" si="0"/>
        <v>1451726</v>
      </c>
      <c r="K17" s="44">
        <v>13500</v>
      </c>
      <c r="L17" s="44">
        <v>454500</v>
      </c>
      <c r="M17" s="44">
        <v>75318</v>
      </c>
      <c r="N17" s="44">
        <v>0</v>
      </c>
      <c r="O17" s="44">
        <v>0</v>
      </c>
      <c r="P17" s="1" t="b">
        <f t="shared" si="1"/>
        <v>1</v>
      </c>
      <c r="Q17" s="1" t="e">
        <f>O17=#REF!</f>
        <v>#REF!</v>
      </c>
      <c r="R17" s="1" t="e">
        <f>#REF!=#REF!</f>
        <v>#REF!</v>
      </c>
      <c r="AG17" s="1" t="b">
        <f t="shared" si="2"/>
        <v>0</v>
      </c>
      <c r="AI17" s="44">
        <v>1276226</v>
      </c>
      <c r="AJ17" s="44">
        <v>175500</v>
      </c>
    </row>
    <row r="18" spans="1:36" ht="16" customHeight="1" outlineLevel="1" x14ac:dyDescent="0.45">
      <c r="A18" s="30" t="s">
        <v>12</v>
      </c>
      <c r="B18" s="46">
        <v>1525058563</v>
      </c>
      <c r="C18" s="46">
        <v>-52572288</v>
      </c>
      <c r="D18" s="46">
        <v>7272727</v>
      </c>
      <c r="E18" s="46">
        <v>1570358124</v>
      </c>
      <c r="F18" s="46">
        <v>1019525586</v>
      </c>
      <c r="G18" s="238">
        <f>(F15+F22)/100000000</f>
        <v>1.75618998</v>
      </c>
      <c r="H18" s="46">
        <v>20800092</v>
      </c>
      <c r="I18" s="46"/>
      <c r="J18" s="46">
        <f t="shared" si="0"/>
        <v>22629055</v>
      </c>
      <c r="K18" s="46">
        <v>0</v>
      </c>
      <c r="L18" s="46">
        <v>0</v>
      </c>
      <c r="M18" s="46">
        <v>9070606</v>
      </c>
      <c r="N18" s="46">
        <v>498332785</v>
      </c>
      <c r="O18" s="46">
        <v>0</v>
      </c>
      <c r="P18" s="1" t="b">
        <f t="shared" si="1"/>
        <v>1</v>
      </c>
      <c r="Q18" s="1" t="e">
        <f>O18=#REF!</f>
        <v>#REF!</v>
      </c>
      <c r="R18" s="1" t="e">
        <f>#REF!=#REF!</f>
        <v>#REF!</v>
      </c>
      <c r="AG18" s="1" t="b">
        <f t="shared" si="2"/>
        <v>0</v>
      </c>
      <c r="AI18" s="46">
        <v>20147247</v>
      </c>
      <c r="AJ18" s="46">
        <v>2481808</v>
      </c>
    </row>
    <row r="19" spans="1:36" ht="16" customHeight="1" outlineLevel="1" x14ac:dyDescent="0.45">
      <c r="A19" s="29" t="s">
        <v>119</v>
      </c>
      <c r="B19" s="44">
        <v>-1327818421</v>
      </c>
      <c r="C19" s="44">
        <v>-1327818421</v>
      </c>
      <c r="D19" s="44">
        <v>0</v>
      </c>
      <c r="E19" s="44">
        <v>0</v>
      </c>
      <c r="F19" s="44">
        <v>0</v>
      </c>
      <c r="G19" s="44"/>
      <c r="H19" s="44">
        <v>0</v>
      </c>
      <c r="I19" s="44"/>
      <c r="J19" s="44">
        <f t="shared" si="0"/>
        <v>0</v>
      </c>
      <c r="K19" s="44">
        <v>0</v>
      </c>
      <c r="L19" s="44">
        <v>0</v>
      </c>
      <c r="M19" s="44">
        <v>0</v>
      </c>
      <c r="N19" s="44">
        <v>0</v>
      </c>
      <c r="O19" s="44">
        <v>0</v>
      </c>
      <c r="P19" s="1" t="b">
        <f t="shared" si="1"/>
        <v>1</v>
      </c>
      <c r="Q19" s="1" t="e">
        <f>O19=#REF!</f>
        <v>#REF!</v>
      </c>
      <c r="R19" s="1" t="e">
        <f>#REF!=#REF!</f>
        <v>#REF!</v>
      </c>
      <c r="AG19" s="1" t="b">
        <f t="shared" si="2"/>
        <v>1</v>
      </c>
      <c r="AI19" s="44">
        <v>0</v>
      </c>
      <c r="AJ19" s="44">
        <v>0</v>
      </c>
    </row>
    <row r="20" spans="1:36" ht="16" customHeight="1" outlineLevel="1" x14ac:dyDescent="0.45">
      <c r="A20" s="29" t="s">
        <v>120</v>
      </c>
      <c r="B20" s="44">
        <v>0</v>
      </c>
      <c r="C20" s="44">
        <v>0</v>
      </c>
      <c r="D20" s="44">
        <v>0</v>
      </c>
      <c r="E20" s="44">
        <v>0</v>
      </c>
      <c r="F20" s="44">
        <v>0</v>
      </c>
      <c r="G20" s="44"/>
      <c r="H20" s="44">
        <v>0</v>
      </c>
      <c r="I20" s="44"/>
      <c r="J20" s="44">
        <f t="shared" si="0"/>
        <v>0</v>
      </c>
      <c r="K20" s="44">
        <v>0</v>
      </c>
      <c r="L20" s="44">
        <v>0</v>
      </c>
      <c r="M20" s="44">
        <v>0</v>
      </c>
      <c r="N20" s="44">
        <v>0</v>
      </c>
      <c r="O20" s="44">
        <v>0</v>
      </c>
      <c r="P20" s="1" t="b">
        <f t="shared" si="1"/>
        <v>1</v>
      </c>
      <c r="Q20" s="1" t="e">
        <f>O20=#REF!</f>
        <v>#REF!</v>
      </c>
      <c r="R20" s="1" t="e">
        <f>#REF!=#REF!</f>
        <v>#REF!</v>
      </c>
      <c r="AG20" s="1" t="b">
        <f t="shared" si="2"/>
        <v>1</v>
      </c>
      <c r="AI20" s="44">
        <v>0</v>
      </c>
      <c r="AJ20" s="44">
        <v>0</v>
      </c>
    </row>
    <row r="21" spans="1:36" ht="16" customHeight="1" outlineLevel="1" x14ac:dyDescent="0.45">
      <c r="A21" s="24" t="s">
        <v>13</v>
      </c>
      <c r="B21" s="45">
        <v>2862901975</v>
      </c>
      <c r="C21" s="45">
        <v>0</v>
      </c>
      <c r="D21" s="45">
        <v>0</v>
      </c>
      <c r="E21" s="45">
        <v>2862901975</v>
      </c>
      <c r="F21" s="45">
        <v>6098971.3783720052</v>
      </c>
      <c r="G21" s="45"/>
      <c r="H21" s="45">
        <v>160664.62162799507</v>
      </c>
      <c r="I21" s="45"/>
      <c r="J21" s="45">
        <f t="shared" si="0"/>
        <v>2872208057</v>
      </c>
      <c r="K21" s="45">
        <v>4603100</v>
      </c>
      <c r="L21" s="45">
        <v>0</v>
      </c>
      <c r="M21" s="45">
        <v>-20168818</v>
      </c>
      <c r="N21" s="45">
        <v>0</v>
      </c>
      <c r="O21" s="45">
        <v>0</v>
      </c>
      <c r="P21" s="1" t="b">
        <f t="shared" si="1"/>
        <v>1</v>
      </c>
      <c r="Q21" s="1" t="e">
        <f>O21=#REF!</f>
        <v>#REF!</v>
      </c>
      <c r="R21" s="1" t="e">
        <f>#REF!=#REF!</f>
        <v>#REF!</v>
      </c>
      <c r="AG21" s="1" t="b">
        <f t="shared" si="2"/>
        <v>1</v>
      </c>
      <c r="AI21" s="45">
        <v>2872208057</v>
      </c>
      <c r="AJ21" s="45">
        <v>0</v>
      </c>
    </row>
    <row r="22" spans="1:36" s="1" customFormat="1" ht="16" customHeight="1" outlineLevel="1" x14ac:dyDescent="0.45">
      <c r="A22" s="29" t="s">
        <v>121</v>
      </c>
      <c r="B22" s="44">
        <v>3245686726</v>
      </c>
      <c r="C22" s="44">
        <v>-136388000</v>
      </c>
      <c r="D22" s="44">
        <v>136388000</v>
      </c>
      <c r="E22" s="44">
        <v>3245686726</v>
      </c>
      <c r="F22" s="44">
        <v>136388000</v>
      </c>
      <c r="G22" s="44"/>
      <c r="H22" s="44">
        <v>2691588636</v>
      </c>
      <c r="I22" s="44"/>
      <c r="J22" s="44">
        <f t="shared" si="0"/>
        <v>355140090</v>
      </c>
      <c r="K22" s="44">
        <v>16555000</v>
      </c>
      <c r="L22" s="44">
        <v>16555000</v>
      </c>
      <c r="M22" s="44">
        <v>0</v>
      </c>
      <c r="N22" s="44">
        <v>0</v>
      </c>
      <c r="O22" s="44">
        <v>29460000</v>
      </c>
      <c r="P22" s="1" t="b">
        <f t="shared" si="1"/>
        <v>1</v>
      </c>
      <c r="Q22" s="1" t="e">
        <f>O22=#REF!</f>
        <v>#REF!</v>
      </c>
      <c r="R22" s="1" t="e">
        <f>#REF!=#REF!</f>
        <v>#REF!</v>
      </c>
      <c r="AG22" s="1" t="b">
        <f t="shared" si="2"/>
        <v>1</v>
      </c>
      <c r="AI22" s="44">
        <v>178138610</v>
      </c>
      <c r="AJ22" s="44">
        <v>177001480</v>
      </c>
    </row>
    <row r="23" spans="1:36" ht="16" customHeight="1" outlineLevel="1" x14ac:dyDescent="0.45">
      <c r="A23" s="29" t="s">
        <v>249</v>
      </c>
      <c r="B23" s="44">
        <v>793712605</v>
      </c>
      <c r="C23" s="44">
        <v>2804638</v>
      </c>
      <c r="D23" s="44">
        <v>0</v>
      </c>
      <c r="E23" s="44">
        <v>790907967</v>
      </c>
      <c r="F23" s="44">
        <v>790907967</v>
      </c>
      <c r="G23" s="44"/>
      <c r="H23" s="44">
        <v>0</v>
      </c>
      <c r="I23" s="44"/>
      <c r="J23" s="44">
        <f t="shared" si="0"/>
        <v>0</v>
      </c>
      <c r="K23" s="44">
        <v>0</v>
      </c>
      <c r="L23" s="44">
        <v>0</v>
      </c>
      <c r="M23" s="44">
        <v>0</v>
      </c>
      <c r="N23" s="44">
        <v>0</v>
      </c>
      <c r="O23" s="44">
        <v>0</v>
      </c>
      <c r="P23" s="1" t="b">
        <f t="shared" si="1"/>
        <v>1</v>
      </c>
      <c r="Q23" s="1" t="e">
        <f>O23=#REF!</f>
        <v>#REF!</v>
      </c>
      <c r="R23" s="1" t="e">
        <f>#REF!=#REF!</f>
        <v>#REF!</v>
      </c>
      <c r="AG23" s="1" t="b">
        <f t="shared" si="2"/>
        <v>1</v>
      </c>
      <c r="AI23" s="44">
        <v>0</v>
      </c>
      <c r="AJ23" s="44">
        <v>0</v>
      </c>
    </row>
    <row r="24" spans="1:36" ht="16" customHeight="1" outlineLevel="1" x14ac:dyDescent="0.45">
      <c r="A24" s="24" t="s">
        <v>287</v>
      </c>
      <c r="B24" s="45">
        <v>0</v>
      </c>
      <c r="C24" s="45">
        <v>0</v>
      </c>
      <c r="D24" s="45">
        <v>0</v>
      </c>
      <c r="E24" s="45">
        <v>0</v>
      </c>
      <c r="F24" s="45">
        <v>0</v>
      </c>
      <c r="G24" s="45"/>
      <c r="H24" s="45">
        <v>0</v>
      </c>
      <c r="I24" s="45"/>
      <c r="J24" s="45">
        <f t="shared" si="0"/>
        <v>0</v>
      </c>
      <c r="K24" s="45">
        <v>0</v>
      </c>
      <c r="L24" s="45">
        <v>0</v>
      </c>
      <c r="M24" s="45">
        <v>0</v>
      </c>
      <c r="N24" s="45">
        <v>0</v>
      </c>
      <c r="O24" s="45">
        <v>0</v>
      </c>
      <c r="P24" s="1" t="b">
        <f t="shared" si="1"/>
        <v>1</v>
      </c>
      <c r="Q24" s="1" t="e">
        <f>O24=#REF!</f>
        <v>#REF!</v>
      </c>
      <c r="R24" s="1" t="e">
        <f>#REF!=#REF!</f>
        <v>#REF!</v>
      </c>
      <c r="AG24" s="1" t="b">
        <f t="shared" si="2"/>
        <v>1</v>
      </c>
      <c r="AI24" s="45">
        <v>0</v>
      </c>
      <c r="AJ24" s="45">
        <v>0</v>
      </c>
    </row>
    <row r="25" spans="1:36" ht="16" customHeight="1" x14ac:dyDescent="0.45">
      <c r="A25" s="27" t="s">
        <v>14</v>
      </c>
      <c r="B25" s="42">
        <v>38874830183</v>
      </c>
      <c r="C25" s="42">
        <v>1672209246</v>
      </c>
      <c r="D25" s="42">
        <v>0</v>
      </c>
      <c r="E25" s="42">
        <v>37202620937</v>
      </c>
      <c r="F25" s="42">
        <v>9816233441</v>
      </c>
      <c r="G25" s="235">
        <f>F25/100000000</f>
        <v>98.16233441</v>
      </c>
      <c r="H25" s="42">
        <v>657376091</v>
      </c>
      <c r="I25" s="42"/>
      <c r="J25" s="42">
        <f t="shared" si="0"/>
        <v>5711332875</v>
      </c>
      <c r="K25" s="42">
        <v>333210761</v>
      </c>
      <c r="L25" s="42">
        <v>-85987853</v>
      </c>
      <c r="M25" s="42">
        <v>18756049448</v>
      </c>
      <c r="N25" s="42">
        <v>71640910</v>
      </c>
      <c r="O25" s="42">
        <v>1942765264</v>
      </c>
      <c r="P25" s="1" t="b">
        <f t="shared" si="1"/>
        <v>1</v>
      </c>
      <c r="Q25" s="1"/>
      <c r="R25" s="1"/>
      <c r="AG25" s="1" t="b">
        <f t="shared" si="2"/>
        <v>0</v>
      </c>
      <c r="AI25" s="42">
        <v>5608595058</v>
      </c>
      <c r="AJ25" s="42">
        <v>102737817</v>
      </c>
    </row>
    <row r="26" spans="1:36" s="1" customFormat="1" hidden="1" outlineLevel="1" x14ac:dyDescent="0.45">
      <c r="A26" s="28" t="s">
        <v>15</v>
      </c>
      <c r="B26" s="43">
        <v>38874830183</v>
      </c>
      <c r="C26" s="43">
        <v>1672209246</v>
      </c>
      <c r="D26" s="43">
        <v>0</v>
      </c>
      <c r="E26" s="43">
        <v>37202620937</v>
      </c>
      <c r="F26" s="43">
        <v>9816233441</v>
      </c>
      <c r="G26" s="43"/>
      <c r="H26" s="43">
        <v>657376091</v>
      </c>
      <c r="I26" s="43"/>
      <c r="J26" s="43">
        <f t="shared" si="0"/>
        <v>5711332875</v>
      </c>
      <c r="K26" s="43">
        <v>333210761</v>
      </c>
      <c r="L26" s="43">
        <v>-85987853</v>
      </c>
      <c r="M26" s="43">
        <v>18756049448</v>
      </c>
      <c r="N26" s="43">
        <v>71640910</v>
      </c>
      <c r="O26" s="43">
        <v>1942765264</v>
      </c>
      <c r="P26" s="1" t="b">
        <f t="shared" si="1"/>
        <v>1</v>
      </c>
      <c r="Q26" s="1" t="e">
        <f>O26=#REF!</f>
        <v>#REF!</v>
      </c>
      <c r="R26" s="1" t="e">
        <f>#REF!=#REF!</f>
        <v>#REF!</v>
      </c>
      <c r="AG26" s="1" t="b">
        <f t="shared" si="2"/>
        <v>1</v>
      </c>
      <c r="AI26" s="43">
        <v>5608595058</v>
      </c>
      <c r="AJ26" s="43">
        <v>102737817</v>
      </c>
    </row>
    <row r="27" spans="1:36" s="1" customFormat="1" ht="16" customHeight="1" collapsed="1" x14ac:dyDescent="0.45">
      <c r="A27" s="27" t="s">
        <v>16</v>
      </c>
      <c r="B27" s="42">
        <v>17189002729</v>
      </c>
      <c r="C27" s="42">
        <v>-622631220</v>
      </c>
      <c r="D27" s="42">
        <v>146069636</v>
      </c>
      <c r="E27" s="42">
        <v>17665564313</v>
      </c>
      <c r="F27" s="42">
        <v>7084458378.1033354</v>
      </c>
      <c r="G27" s="42">
        <f>G3-G25-G28</f>
        <v>-19.336600619684546</v>
      </c>
      <c r="H27" s="42">
        <v>3668007972.8966651</v>
      </c>
      <c r="I27" s="42"/>
      <c r="J27" s="42">
        <f t="shared" si="0"/>
        <v>4152819009</v>
      </c>
      <c r="K27" s="42">
        <v>171499774</v>
      </c>
      <c r="L27" s="42">
        <v>834652842</v>
      </c>
      <c r="M27" s="42">
        <v>351355841</v>
      </c>
      <c r="N27" s="42">
        <v>638229311</v>
      </c>
      <c r="O27" s="42">
        <v>764541185</v>
      </c>
      <c r="P27" s="1" t="b">
        <f t="shared" si="1"/>
        <v>1</v>
      </c>
      <c r="Q27" s="1" t="e">
        <f>O27=#REF!</f>
        <v>#REF!</v>
      </c>
      <c r="R27" s="1" t="e">
        <f>#REF!=#REF!</f>
        <v>#REF!</v>
      </c>
      <c r="AG27" s="1" t="b">
        <f t="shared" si="2"/>
        <v>0</v>
      </c>
      <c r="AI27" s="42">
        <v>3677965892</v>
      </c>
      <c r="AJ27" s="42">
        <v>474853117</v>
      </c>
    </row>
    <row r="28" spans="1:36" s="1" customFormat="1" x14ac:dyDescent="0.45">
      <c r="A28" s="27" t="s">
        <v>17</v>
      </c>
      <c r="B28" s="42">
        <v>17586780828</v>
      </c>
      <c r="C28" s="42">
        <v>-1618250974.6905556</v>
      </c>
      <c r="D28" s="42">
        <v>650167329</v>
      </c>
      <c r="E28" s="42">
        <v>18554864473.690556</v>
      </c>
      <c r="F28" s="42">
        <v>9018118440.0717888</v>
      </c>
      <c r="G28" s="235">
        <f>90.1811844007179</f>
        <v>90.181184400717896</v>
      </c>
      <c r="H28" s="42">
        <v>2950935559.9213576</v>
      </c>
      <c r="I28" s="42"/>
      <c r="J28" s="42">
        <f t="shared" si="0"/>
        <v>3658196042.0068531</v>
      </c>
      <c r="K28" s="42">
        <v>113510756.97868338</v>
      </c>
      <c r="L28" s="42">
        <v>741116706.32089925</v>
      </c>
      <c r="M28" s="42">
        <v>344383181.5391565</v>
      </c>
      <c r="N28" s="42">
        <v>1066104226.8518176</v>
      </c>
      <c r="O28" s="42">
        <v>662499560</v>
      </c>
      <c r="P28" s="1" t="b">
        <f t="shared" si="1"/>
        <v>1</v>
      </c>
      <c r="Q28" s="1" t="e">
        <f>O28=#REF!</f>
        <v>#REF!</v>
      </c>
      <c r="R28" s="1" t="e">
        <f>#REF!=#REF!</f>
        <v>#REF!</v>
      </c>
      <c r="AG28" s="1" t="b">
        <f t="shared" si="2"/>
        <v>0</v>
      </c>
      <c r="AI28" s="42">
        <v>3500235631.0849342</v>
      </c>
      <c r="AJ28" s="42">
        <v>157960410.92191881</v>
      </c>
    </row>
    <row r="29" spans="1:36" s="1" customFormat="1" x14ac:dyDescent="0.45">
      <c r="A29" s="28" t="s">
        <v>18</v>
      </c>
      <c r="B29" s="43">
        <v>117893520</v>
      </c>
      <c r="C29" s="43">
        <v>45045200</v>
      </c>
      <c r="D29" s="43">
        <v>16000000</v>
      </c>
      <c r="E29" s="43">
        <v>56848320</v>
      </c>
      <c r="F29" s="43">
        <v>48019967.718979388</v>
      </c>
      <c r="G29" s="233">
        <f>(F29+F30+F63+F70+F71+F73+F74)/100000000</f>
        <v>68.283411627518163</v>
      </c>
      <c r="H29" s="43">
        <v>8828352.2810206115</v>
      </c>
      <c r="I29" s="43"/>
      <c r="J29" s="43">
        <f t="shared" si="0"/>
        <v>0</v>
      </c>
      <c r="K29" s="43">
        <v>0</v>
      </c>
      <c r="L29" s="43">
        <v>0</v>
      </c>
      <c r="M29" s="43">
        <v>0</v>
      </c>
      <c r="N29" s="43">
        <v>0</v>
      </c>
      <c r="O29" s="43">
        <v>0</v>
      </c>
      <c r="P29" s="1" t="b">
        <f t="shared" si="1"/>
        <v>1</v>
      </c>
      <c r="Q29" s="1" t="e">
        <f>O29=#REF!</f>
        <v>#REF!</v>
      </c>
      <c r="R29" s="1" t="e">
        <f>#REF!=#REF!</f>
        <v>#REF!</v>
      </c>
      <c r="AG29" s="1" t="b">
        <f t="shared" si="2"/>
        <v>0</v>
      </c>
      <c r="AI29" s="43">
        <v>0</v>
      </c>
      <c r="AJ29" s="43">
        <v>0</v>
      </c>
    </row>
    <row r="30" spans="1:36" s="1" customFormat="1" x14ac:dyDescent="0.45">
      <c r="A30" s="28" t="s">
        <v>19</v>
      </c>
      <c r="B30" s="43">
        <v>6385449960</v>
      </c>
      <c r="C30" s="43">
        <v>260327805.98326874</v>
      </c>
      <c r="D30" s="43">
        <v>178888680</v>
      </c>
      <c r="E30" s="43">
        <v>5946233474.0167313</v>
      </c>
      <c r="F30" s="43">
        <v>3642029594.0272589</v>
      </c>
      <c r="G30" s="233">
        <f>(F142+F133)/100000000</f>
        <v>3.9951116982660522</v>
      </c>
      <c r="H30" s="43">
        <v>1211846206.4687572</v>
      </c>
      <c r="I30" s="43"/>
      <c r="J30" s="43">
        <f t="shared" si="0"/>
        <v>354591779.50398421</v>
      </c>
      <c r="K30" s="43">
        <v>55540603.082085803</v>
      </c>
      <c r="L30" s="43">
        <v>53138236.723623499</v>
      </c>
      <c r="M30" s="43">
        <v>175100145.23271498</v>
      </c>
      <c r="N30" s="43">
        <v>380324058.97830832</v>
      </c>
      <c r="O30" s="43">
        <v>73662850</v>
      </c>
      <c r="P30" s="1" t="b">
        <f t="shared" si="1"/>
        <v>1</v>
      </c>
      <c r="Q30" s="1" t="e">
        <f>O30=#REF!</f>
        <v>#REF!</v>
      </c>
      <c r="R30" s="1" t="e">
        <f>#REF!=#REF!</f>
        <v>#REF!</v>
      </c>
      <c r="AG30" s="1" t="b">
        <f t="shared" si="2"/>
        <v>0</v>
      </c>
      <c r="AI30" s="43">
        <v>336765075.44286865</v>
      </c>
      <c r="AJ30" s="43">
        <v>17826704.061115589</v>
      </c>
    </row>
    <row r="31" spans="1:36" s="1" customFormat="1" hidden="1" outlineLevel="1" x14ac:dyDescent="0.45">
      <c r="A31" s="29" t="s">
        <v>20</v>
      </c>
      <c r="B31" s="44">
        <v>660798970</v>
      </c>
      <c r="C31" s="44">
        <v>142471616.62528723</v>
      </c>
      <c r="D31" s="44">
        <v>73865410</v>
      </c>
      <c r="E31" s="44">
        <v>444461943.37471277</v>
      </c>
      <c r="F31" s="44">
        <v>237510396.38548815</v>
      </c>
      <c r="G31" s="44"/>
      <c r="H31" s="44">
        <v>97171238.028779924</v>
      </c>
      <c r="I31" s="44"/>
      <c r="J31" s="44">
        <f t="shared" si="0"/>
        <v>24805655.585731953</v>
      </c>
      <c r="K31" s="44">
        <v>8157228.959832401</v>
      </c>
      <c r="L31" s="44">
        <v>8119337.4289218318</v>
      </c>
      <c r="M31" s="44">
        <v>17328562.16622103</v>
      </c>
      <c r="N31" s="44">
        <v>9375694.8197375219</v>
      </c>
      <c r="O31" s="44">
        <v>41993830</v>
      </c>
      <c r="P31" s="1" t="b">
        <f t="shared" si="1"/>
        <v>1</v>
      </c>
      <c r="Q31" s="1" t="e">
        <f>O31=#REF!</f>
        <v>#REF!</v>
      </c>
      <c r="R31" s="1" t="e">
        <f>#REF!=#REF!</f>
        <v>#REF!</v>
      </c>
      <c r="AG31" s="1" t="b">
        <f t="shared" si="2"/>
        <v>1</v>
      </c>
      <c r="AI31" s="44">
        <v>23507798.421727005</v>
      </c>
      <c r="AJ31" s="44">
        <v>1297857.1640049464</v>
      </c>
    </row>
    <row r="32" spans="1:36" ht="16" hidden="1" customHeight="1" outlineLevel="1" x14ac:dyDescent="0.45">
      <c r="A32" s="29" t="s">
        <v>21</v>
      </c>
      <c r="B32" s="44">
        <v>121047840</v>
      </c>
      <c r="C32" s="44">
        <v>26217489.113333955</v>
      </c>
      <c r="D32" s="44">
        <v>13540500</v>
      </c>
      <c r="E32" s="44">
        <v>81289850.886666045</v>
      </c>
      <c r="F32" s="44">
        <v>43352736.665035985</v>
      </c>
      <c r="G32" s="44"/>
      <c r="H32" s="44">
        <v>17545305.933704562</v>
      </c>
      <c r="I32" s="44"/>
      <c r="J32" s="44">
        <f t="shared" si="0"/>
        <v>4568597.4012594502</v>
      </c>
      <c r="K32" s="44">
        <v>1530208.9503692128</v>
      </c>
      <c r="L32" s="44">
        <v>1521871.5254920768</v>
      </c>
      <c r="M32" s="44">
        <v>3283335.9600164276</v>
      </c>
      <c r="N32" s="44">
        <v>1791444.4507883403</v>
      </c>
      <c r="O32" s="44">
        <v>7696350</v>
      </c>
      <c r="P32" s="1" t="b">
        <f t="shared" si="1"/>
        <v>1</v>
      </c>
      <c r="Q32" s="1" t="e">
        <f>O32=#REF!</f>
        <v>#REF!</v>
      </c>
      <c r="R32" s="1" t="e">
        <f>#REF!=#REF!</f>
        <v>#REF!</v>
      </c>
      <c r="AG32" s="1" t="b">
        <f t="shared" si="2"/>
        <v>1</v>
      </c>
      <c r="AI32" s="44">
        <v>4328455.3289068043</v>
      </c>
      <c r="AJ32" s="44">
        <v>240142.07235264615</v>
      </c>
    </row>
    <row r="33" spans="1:36" ht="16" hidden="1" customHeight="1" outlineLevel="1" x14ac:dyDescent="0.45">
      <c r="A33" s="29" t="s">
        <v>22</v>
      </c>
      <c r="B33" s="44">
        <v>25838720</v>
      </c>
      <c r="C33" s="44">
        <v>5805085.8630118221</v>
      </c>
      <c r="D33" s="44">
        <v>2800000</v>
      </c>
      <c r="E33" s="44">
        <v>17233634.136988178</v>
      </c>
      <c r="F33" s="44">
        <v>8329757.963303443</v>
      </c>
      <c r="G33" s="44"/>
      <c r="H33" s="44">
        <v>2801543.3732735645</v>
      </c>
      <c r="I33" s="44"/>
      <c r="J33" s="44">
        <f t="shared" si="0"/>
        <v>891288.66342299269</v>
      </c>
      <c r="K33" s="44">
        <v>594664.83872207312</v>
      </c>
      <c r="L33" s="44">
        <v>584082.0480243233</v>
      </c>
      <c r="M33" s="44">
        <v>1471342.8809956834</v>
      </c>
      <c r="N33" s="44">
        <v>860954.36924609821</v>
      </c>
      <c r="O33" s="44">
        <v>1700000</v>
      </c>
      <c r="P33" s="1" t="b">
        <f t="shared" si="1"/>
        <v>1</v>
      </c>
      <c r="Q33" s="1" t="e">
        <f>O33=#REF!</f>
        <v>#REF!</v>
      </c>
      <c r="R33" s="1" t="e">
        <f>#REF!=#REF!</f>
        <v>#REF!</v>
      </c>
      <c r="AG33" s="1" t="b">
        <f t="shared" si="2"/>
        <v>1</v>
      </c>
      <c r="AI33" s="44">
        <v>836117.43766455469</v>
      </c>
      <c r="AJ33" s="44">
        <v>55171.22575843794</v>
      </c>
    </row>
    <row r="34" spans="1:36" ht="16" hidden="1" customHeight="1" outlineLevel="1" x14ac:dyDescent="0.45">
      <c r="A34" s="29" t="s">
        <v>171</v>
      </c>
      <c r="B34" s="44">
        <v>2052490</v>
      </c>
      <c r="C34" s="44">
        <v>0</v>
      </c>
      <c r="D34" s="44">
        <v>0</v>
      </c>
      <c r="E34" s="44">
        <v>2052490</v>
      </c>
      <c r="F34" s="44">
        <v>2052490</v>
      </c>
      <c r="G34" s="44"/>
      <c r="H34" s="44">
        <v>0</v>
      </c>
      <c r="I34" s="44"/>
      <c r="J34" s="44">
        <f t="shared" si="0"/>
        <v>0</v>
      </c>
      <c r="K34" s="44">
        <v>0</v>
      </c>
      <c r="L34" s="44">
        <v>0</v>
      </c>
      <c r="M34" s="44">
        <v>0</v>
      </c>
      <c r="N34" s="44">
        <v>0</v>
      </c>
      <c r="O34" s="44">
        <v>0</v>
      </c>
      <c r="P34" s="1" t="b">
        <f t="shared" si="1"/>
        <v>1</v>
      </c>
      <c r="Q34" s="1" t="e">
        <f>O34=#REF!</f>
        <v>#REF!</v>
      </c>
      <c r="R34" s="1" t="e">
        <f>#REF!=#REF!</f>
        <v>#REF!</v>
      </c>
      <c r="AG34" s="1" t="b">
        <f t="shared" si="2"/>
        <v>1</v>
      </c>
      <c r="AI34" s="44">
        <v>0</v>
      </c>
      <c r="AJ34" s="44">
        <v>0</v>
      </c>
    </row>
    <row r="35" spans="1:36" ht="16" hidden="1" customHeight="1" outlineLevel="1" x14ac:dyDescent="0.45">
      <c r="A35" s="29" t="s">
        <v>23</v>
      </c>
      <c r="B35" s="44">
        <v>12877420</v>
      </c>
      <c r="C35" s="44">
        <v>1730790</v>
      </c>
      <c r="D35" s="44">
        <v>767000</v>
      </c>
      <c r="E35" s="44">
        <v>10379630</v>
      </c>
      <c r="F35" s="44">
        <v>5804089.7626502905</v>
      </c>
      <c r="G35" s="44"/>
      <c r="H35" s="44">
        <v>3210610.2373497095</v>
      </c>
      <c r="I35" s="44"/>
      <c r="J35" s="44">
        <f t="shared" si="0"/>
        <v>376230</v>
      </c>
      <c r="K35" s="44">
        <v>0</v>
      </c>
      <c r="L35" s="44">
        <v>0</v>
      </c>
      <c r="M35" s="44">
        <v>157420</v>
      </c>
      <c r="N35" s="44">
        <v>0</v>
      </c>
      <c r="O35" s="44">
        <v>831280</v>
      </c>
      <c r="P35" s="1" t="b">
        <f t="shared" si="1"/>
        <v>1</v>
      </c>
      <c r="Q35" s="1" t="e">
        <f>O35=#REF!</f>
        <v>#REF!</v>
      </c>
      <c r="R35" s="1" t="e">
        <f>#REF!=#REF!</f>
        <v>#REF!</v>
      </c>
      <c r="AG35" s="1" t="b">
        <f t="shared" si="2"/>
        <v>1</v>
      </c>
      <c r="AI35" s="44">
        <v>357419</v>
      </c>
      <c r="AJ35" s="44">
        <v>18811</v>
      </c>
    </row>
    <row r="36" spans="1:36" ht="16" hidden="1" customHeight="1" outlineLevel="1" x14ac:dyDescent="0.45">
      <c r="A36" s="29" t="s">
        <v>24</v>
      </c>
      <c r="B36" s="44">
        <v>17777530</v>
      </c>
      <c r="C36" s="44">
        <v>3214767.1253723986</v>
      </c>
      <c r="D36" s="44">
        <v>1882710</v>
      </c>
      <c r="E36" s="44">
        <v>12680052.874627601</v>
      </c>
      <c r="F36" s="44">
        <v>6366123.4830309283</v>
      </c>
      <c r="G36" s="44"/>
      <c r="H36" s="44">
        <v>1906394.6534153421</v>
      </c>
      <c r="I36" s="44"/>
      <c r="J36" s="44">
        <f t="shared" si="0"/>
        <v>569781.86355372961</v>
      </c>
      <c r="K36" s="44">
        <v>308182.44030360028</v>
      </c>
      <c r="L36" s="44">
        <v>294879.49443971814</v>
      </c>
      <c r="M36" s="44">
        <v>1469605.5493716095</v>
      </c>
      <c r="N36" s="44">
        <v>202325.39051267563</v>
      </c>
      <c r="O36" s="44">
        <v>1562760</v>
      </c>
      <c r="P36" s="1" t="b">
        <f t="shared" si="1"/>
        <v>1</v>
      </c>
      <c r="Q36" s="1" t="e">
        <f>O36=#REF!</f>
        <v>#REF!</v>
      </c>
      <c r="R36" s="1" t="e">
        <f>#REF!=#REF!</f>
        <v>#REF!</v>
      </c>
      <c r="AG36" s="1" t="b">
        <f t="shared" si="2"/>
        <v>1</v>
      </c>
      <c r="AI36" s="44">
        <v>525242.94175868528</v>
      </c>
      <c r="AJ36" s="44">
        <v>44538.921795044269</v>
      </c>
    </row>
    <row r="37" spans="1:36" ht="16" hidden="1" customHeight="1" outlineLevel="1" x14ac:dyDescent="0.45">
      <c r="A37" s="29" t="s">
        <v>122</v>
      </c>
      <c r="B37" s="44">
        <v>263672770</v>
      </c>
      <c r="C37" s="44">
        <v>-8487690</v>
      </c>
      <c r="D37" s="44">
        <v>0</v>
      </c>
      <c r="E37" s="44">
        <v>272160460</v>
      </c>
      <c r="F37" s="44">
        <v>21897750</v>
      </c>
      <c r="G37" s="44"/>
      <c r="H37" s="44">
        <v>0</v>
      </c>
      <c r="I37" s="44"/>
      <c r="J37" s="44">
        <f t="shared" si="0"/>
        <v>233287330</v>
      </c>
      <c r="K37" s="44">
        <v>4243845</v>
      </c>
      <c r="L37" s="44">
        <v>4243845</v>
      </c>
      <c r="M37" s="44">
        <v>8487690</v>
      </c>
      <c r="N37" s="44">
        <v>0</v>
      </c>
      <c r="O37" s="44">
        <v>0</v>
      </c>
      <c r="P37" s="1" t="b">
        <f t="shared" si="1"/>
        <v>1</v>
      </c>
      <c r="Q37" s="1" t="e">
        <f>O37=#REF!</f>
        <v>#REF!</v>
      </c>
      <c r="R37" s="1" t="e">
        <f>#REF!=#REF!</f>
        <v>#REF!</v>
      </c>
      <c r="AG37" s="1" t="b">
        <f t="shared" si="2"/>
        <v>1</v>
      </c>
      <c r="AI37" s="44">
        <v>221622964</v>
      </c>
      <c r="AJ37" s="44">
        <v>11664366</v>
      </c>
    </row>
    <row r="38" spans="1:36" ht="16" hidden="1" customHeight="1" outlineLevel="1" x14ac:dyDescent="0.45">
      <c r="A38" s="29" t="s">
        <v>123</v>
      </c>
      <c r="B38" s="44">
        <v>43801500</v>
      </c>
      <c r="C38" s="44">
        <v>-1438070</v>
      </c>
      <c r="D38" s="44">
        <v>0</v>
      </c>
      <c r="E38" s="44">
        <v>45239570</v>
      </c>
      <c r="F38" s="44">
        <v>3714940</v>
      </c>
      <c r="G38" s="44"/>
      <c r="H38" s="44">
        <v>0</v>
      </c>
      <c r="I38" s="44"/>
      <c r="J38" s="44">
        <f t="shared" si="0"/>
        <v>38648490</v>
      </c>
      <c r="K38" s="44">
        <v>719035</v>
      </c>
      <c r="L38" s="44">
        <v>719035</v>
      </c>
      <c r="M38" s="44">
        <v>1438070</v>
      </c>
      <c r="N38" s="44">
        <v>0</v>
      </c>
      <c r="O38" s="44">
        <v>0</v>
      </c>
      <c r="P38" s="1" t="b">
        <f t="shared" si="1"/>
        <v>1</v>
      </c>
      <c r="Q38" s="1" t="e">
        <f>O38=#REF!</f>
        <v>#REF!</v>
      </c>
      <c r="R38" s="1" t="e">
        <f>#REF!=#REF!</f>
        <v>#REF!</v>
      </c>
      <c r="AG38" s="1" t="b">
        <f t="shared" si="2"/>
        <v>1</v>
      </c>
      <c r="AI38" s="44">
        <v>36716066</v>
      </c>
      <c r="AJ38" s="44">
        <v>1932424</v>
      </c>
    </row>
    <row r="39" spans="1:36" ht="16" hidden="1" customHeight="1" outlineLevel="1" x14ac:dyDescent="0.45">
      <c r="A39" s="29" t="s">
        <v>124</v>
      </c>
      <c r="B39" s="44">
        <v>600000</v>
      </c>
      <c r="C39" s="44">
        <v>0</v>
      </c>
      <c r="D39" s="44">
        <v>0</v>
      </c>
      <c r="E39" s="44">
        <v>600000</v>
      </c>
      <c r="F39" s="44">
        <v>0</v>
      </c>
      <c r="G39" s="44"/>
      <c r="H39" s="44">
        <v>0</v>
      </c>
      <c r="I39" s="44"/>
      <c r="J39" s="44">
        <f t="shared" si="0"/>
        <v>600000</v>
      </c>
      <c r="K39" s="44">
        <v>0</v>
      </c>
      <c r="L39" s="44">
        <v>0</v>
      </c>
      <c r="M39" s="44">
        <v>0</v>
      </c>
      <c r="N39" s="44">
        <v>0</v>
      </c>
      <c r="O39" s="44">
        <v>0</v>
      </c>
      <c r="P39" s="1" t="b">
        <f t="shared" si="1"/>
        <v>1</v>
      </c>
      <c r="Q39" s="1" t="e">
        <f>O39=#REF!</f>
        <v>#REF!</v>
      </c>
      <c r="R39" s="1" t="e">
        <f>#REF!=#REF!</f>
        <v>#REF!</v>
      </c>
      <c r="AG39" s="1" t="b">
        <f t="shared" si="2"/>
        <v>1</v>
      </c>
      <c r="AI39" s="44">
        <v>570000</v>
      </c>
      <c r="AJ39" s="44">
        <v>30000</v>
      </c>
    </row>
    <row r="40" spans="1:36" ht="16" hidden="1" customHeight="1" outlineLevel="1" x14ac:dyDescent="0.45">
      <c r="A40" s="29" t="s">
        <v>125</v>
      </c>
      <c r="B40" s="44">
        <v>0</v>
      </c>
      <c r="C40" s="44">
        <v>0</v>
      </c>
      <c r="D40" s="44">
        <v>0</v>
      </c>
      <c r="E40" s="44">
        <v>0</v>
      </c>
      <c r="F40" s="44">
        <v>0</v>
      </c>
      <c r="G40" s="44"/>
      <c r="H40" s="44">
        <v>0</v>
      </c>
      <c r="I40" s="44"/>
      <c r="J40" s="44">
        <f t="shared" si="0"/>
        <v>0</v>
      </c>
      <c r="K40" s="44">
        <v>0</v>
      </c>
      <c r="L40" s="44">
        <v>0</v>
      </c>
      <c r="M40" s="44">
        <v>0</v>
      </c>
      <c r="N40" s="44">
        <v>0</v>
      </c>
      <c r="O40" s="44">
        <v>0</v>
      </c>
      <c r="P40" s="1" t="b">
        <f t="shared" si="1"/>
        <v>1</v>
      </c>
      <c r="Q40" s="1" t="e">
        <f>O40=#REF!</f>
        <v>#REF!</v>
      </c>
      <c r="R40" s="1" t="e">
        <f>#REF!=#REF!</f>
        <v>#REF!</v>
      </c>
      <c r="AG40" s="1" t="b">
        <f t="shared" si="2"/>
        <v>1</v>
      </c>
      <c r="AI40" s="44">
        <v>0</v>
      </c>
      <c r="AJ40" s="44">
        <v>0</v>
      </c>
    </row>
    <row r="41" spans="1:36" ht="16" hidden="1" customHeight="1" outlineLevel="1" x14ac:dyDescent="0.45">
      <c r="A41" s="29" t="s">
        <v>172</v>
      </c>
      <c r="B41" s="44">
        <v>0</v>
      </c>
      <c r="C41" s="44">
        <v>0</v>
      </c>
      <c r="D41" s="44">
        <v>0</v>
      </c>
      <c r="E41" s="44">
        <v>0</v>
      </c>
      <c r="F41" s="44">
        <v>0</v>
      </c>
      <c r="G41" s="44"/>
      <c r="H41" s="44">
        <v>0</v>
      </c>
      <c r="I41" s="44"/>
      <c r="J41" s="44">
        <f t="shared" si="0"/>
        <v>0</v>
      </c>
      <c r="K41" s="44">
        <v>0</v>
      </c>
      <c r="L41" s="44">
        <v>0</v>
      </c>
      <c r="M41" s="44">
        <v>0</v>
      </c>
      <c r="N41" s="44">
        <v>0</v>
      </c>
      <c r="O41" s="44">
        <v>0</v>
      </c>
      <c r="P41" s="1" t="b">
        <f t="shared" si="1"/>
        <v>1</v>
      </c>
      <c r="Q41" s="1" t="e">
        <f>O41=#REF!</f>
        <v>#REF!</v>
      </c>
      <c r="R41" s="1" t="e">
        <f>#REF!=#REF!</f>
        <v>#REF!</v>
      </c>
      <c r="AG41" s="1" t="b">
        <f t="shared" si="2"/>
        <v>1</v>
      </c>
      <c r="AI41" s="44">
        <v>0</v>
      </c>
      <c r="AJ41" s="44">
        <v>0</v>
      </c>
    </row>
    <row r="42" spans="1:36" ht="16" hidden="1" customHeight="1" outlineLevel="1" x14ac:dyDescent="0.45">
      <c r="A42" s="29" t="s">
        <v>173</v>
      </c>
      <c r="B42" s="44">
        <v>0</v>
      </c>
      <c r="C42" s="44">
        <v>0</v>
      </c>
      <c r="D42" s="44">
        <v>0</v>
      </c>
      <c r="E42" s="44">
        <v>0</v>
      </c>
      <c r="F42" s="44">
        <v>0</v>
      </c>
      <c r="G42" s="44"/>
      <c r="H42" s="44">
        <v>0</v>
      </c>
      <c r="I42" s="44"/>
      <c r="J42" s="44">
        <f t="shared" si="0"/>
        <v>0</v>
      </c>
      <c r="K42" s="44">
        <v>0</v>
      </c>
      <c r="L42" s="44">
        <v>0</v>
      </c>
      <c r="M42" s="44">
        <v>0</v>
      </c>
      <c r="N42" s="44">
        <v>0</v>
      </c>
      <c r="O42" s="44">
        <v>0</v>
      </c>
      <c r="P42" s="1" t="b">
        <f t="shared" si="1"/>
        <v>1</v>
      </c>
      <c r="Q42" s="1" t="e">
        <f>O42=#REF!</f>
        <v>#REF!</v>
      </c>
      <c r="R42" s="1" t="e">
        <f>#REF!=#REF!</f>
        <v>#REF!</v>
      </c>
      <c r="AG42" s="1" t="b">
        <f t="shared" si="2"/>
        <v>1</v>
      </c>
      <c r="AI42" s="44">
        <v>0</v>
      </c>
      <c r="AJ42" s="44">
        <v>0</v>
      </c>
    </row>
    <row r="43" spans="1:36" ht="16" hidden="1" customHeight="1" outlineLevel="1" x14ac:dyDescent="0.45">
      <c r="A43" s="29" t="s">
        <v>25</v>
      </c>
      <c r="B43" s="44">
        <v>26810000</v>
      </c>
      <c r="C43" s="44">
        <v>6048777.2562620267</v>
      </c>
      <c r="D43" s="44">
        <v>2935000</v>
      </c>
      <c r="E43" s="44">
        <v>17826222.743737973</v>
      </c>
      <c r="F43" s="44">
        <v>9587472.3617797568</v>
      </c>
      <c r="G43" s="44"/>
      <c r="H43" s="44">
        <v>4122421.6482041162</v>
      </c>
      <c r="I43" s="44"/>
      <c r="J43" s="44">
        <f t="shared" si="0"/>
        <v>1170105.9900161265</v>
      </c>
      <c r="K43" s="44">
        <v>259587.89285851523</v>
      </c>
      <c r="L43" s="44">
        <v>258416.22674555008</v>
      </c>
      <c r="M43" s="44">
        <v>550398.67611023632</v>
      </c>
      <c r="N43" s="44">
        <v>327819.94802367513</v>
      </c>
      <c r="O43" s="44">
        <v>1550000</v>
      </c>
      <c r="P43" s="1" t="b">
        <f t="shared" si="1"/>
        <v>1</v>
      </c>
      <c r="Q43" s="1" t="e">
        <f>O43=#REF!</f>
        <v>#REF!</v>
      </c>
      <c r="R43" s="1" t="e">
        <f>#REF!=#REF!</f>
        <v>#REF!</v>
      </c>
      <c r="AG43" s="1" t="b">
        <f t="shared" si="2"/>
        <v>1</v>
      </c>
      <c r="AI43" s="44">
        <v>1110426.3128116112</v>
      </c>
      <c r="AJ43" s="44">
        <v>59679.677204515436</v>
      </c>
    </row>
    <row r="44" spans="1:36" ht="16" hidden="1" customHeight="1" outlineLevel="1" x14ac:dyDescent="0.45">
      <c r="A44" s="29" t="s">
        <v>174</v>
      </c>
      <c r="B44" s="44">
        <v>0</v>
      </c>
      <c r="C44" s="44">
        <v>0</v>
      </c>
      <c r="D44" s="44">
        <v>0</v>
      </c>
      <c r="E44" s="44">
        <v>0</v>
      </c>
      <c r="F44" s="44">
        <v>0</v>
      </c>
      <c r="G44" s="44"/>
      <c r="H44" s="44">
        <v>0</v>
      </c>
      <c r="I44" s="44"/>
      <c r="J44" s="44">
        <f t="shared" si="0"/>
        <v>0</v>
      </c>
      <c r="K44" s="44">
        <v>0</v>
      </c>
      <c r="L44" s="44">
        <v>0</v>
      </c>
      <c r="M44" s="44">
        <v>0</v>
      </c>
      <c r="N44" s="44">
        <v>0</v>
      </c>
      <c r="O44" s="44">
        <v>0</v>
      </c>
      <c r="P44" s="1" t="b">
        <f t="shared" si="1"/>
        <v>1</v>
      </c>
      <c r="Q44" s="1" t="e">
        <f>O44=#REF!</f>
        <v>#REF!</v>
      </c>
      <c r="R44" s="1" t="e">
        <f>#REF!=#REF!</f>
        <v>#REF!</v>
      </c>
      <c r="AG44" s="1" t="b">
        <f t="shared" si="2"/>
        <v>1</v>
      </c>
      <c r="AI44" s="44">
        <v>0</v>
      </c>
      <c r="AJ44" s="44">
        <v>0</v>
      </c>
    </row>
    <row r="45" spans="1:36" ht="16" hidden="1" customHeight="1" outlineLevel="1" x14ac:dyDescent="0.45">
      <c r="A45" s="29" t="s">
        <v>126</v>
      </c>
      <c r="B45" s="44">
        <v>19345000</v>
      </c>
      <c r="C45" s="44">
        <v>-620000</v>
      </c>
      <c r="D45" s="44">
        <v>0</v>
      </c>
      <c r="E45" s="44">
        <v>19965000</v>
      </c>
      <c r="F45" s="44">
        <v>1630000</v>
      </c>
      <c r="G45" s="44"/>
      <c r="H45" s="44">
        <v>0</v>
      </c>
      <c r="I45" s="44"/>
      <c r="J45" s="44">
        <f t="shared" si="0"/>
        <v>17095000</v>
      </c>
      <c r="K45" s="44">
        <v>310000</v>
      </c>
      <c r="L45" s="44">
        <v>310000</v>
      </c>
      <c r="M45" s="44">
        <v>620000</v>
      </c>
      <c r="N45" s="44">
        <v>0</v>
      </c>
      <c r="O45" s="44">
        <v>0</v>
      </c>
      <c r="P45" s="1" t="b">
        <f t="shared" si="1"/>
        <v>1</v>
      </c>
      <c r="Q45" s="1" t="e">
        <f>O45=#REF!</f>
        <v>#REF!</v>
      </c>
      <c r="R45" s="1" t="e">
        <f>#REF!=#REF!</f>
        <v>#REF!</v>
      </c>
      <c r="AG45" s="1" t="b">
        <f t="shared" si="2"/>
        <v>1</v>
      </c>
      <c r="AI45" s="44">
        <v>16240250</v>
      </c>
      <c r="AJ45" s="44">
        <v>854750</v>
      </c>
    </row>
    <row r="46" spans="1:36" ht="16" hidden="1" customHeight="1" outlineLevel="1" x14ac:dyDescent="0.45">
      <c r="A46" s="29" t="s">
        <v>175</v>
      </c>
      <c r="B46" s="44">
        <v>0</v>
      </c>
      <c r="C46" s="44">
        <v>0</v>
      </c>
      <c r="D46" s="44">
        <v>0</v>
      </c>
      <c r="E46" s="44">
        <v>0</v>
      </c>
      <c r="F46" s="44">
        <v>0</v>
      </c>
      <c r="G46" s="44"/>
      <c r="H46" s="44">
        <v>0</v>
      </c>
      <c r="I46" s="44"/>
      <c r="J46" s="44">
        <f t="shared" si="0"/>
        <v>0</v>
      </c>
      <c r="K46" s="44">
        <v>0</v>
      </c>
      <c r="L46" s="44">
        <v>0</v>
      </c>
      <c r="M46" s="44">
        <v>0</v>
      </c>
      <c r="N46" s="44">
        <v>0</v>
      </c>
      <c r="O46" s="44">
        <v>0</v>
      </c>
      <c r="P46" s="1" t="b">
        <f t="shared" si="1"/>
        <v>1</v>
      </c>
      <c r="Q46" s="1" t="e">
        <f>O46=#REF!</f>
        <v>#REF!</v>
      </c>
      <c r="R46" s="1" t="e">
        <f>#REF!=#REF!</f>
        <v>#REF!</v>
      </c>
      <c r="AG46" s="1" t="b">
        <f t="shared" si="2"/>
        <v>1</v>
      </c>
      <c r="AI46" s="44">
        <v>0</v>
      </c>
      <c r="AJ46" s="44">
        <v>0</v>
      </c>
    </row>
    <row r="47" spans="1:36" ht="16" hidden="1" customHeight="1" outlineLevel="1" x14ac:dyDescent="0.45">
      <c r="A47" s="29" t="s">
        <v>176</v>
      </c>
      <c r="B47" s="44">
        <v>0</v>
      </c>
      <c r="C47" s="44">
        <v>0</v>
      </c>
      <c r="D47" s="44">
        <v>0</v>
      </c>
      <c r="E47" s="44">
        <v>0</v>
      </c>
      <c r="F47" s="44">
        <v>0</v>
      </c>
      <c r="G47" s="44"/>
      <c r="H47" s="44">
        <v>0</v>
      </c>
      <c r="I47" s="44"/>
      <c r="J47" s="44">
        <f t="shared" si="0"/>
        <v>0</v>
      </c>
      <c r="K47" s="44">
        <v>0</v>
      </c>
      <c r="L47" s="44">
        <v>0</v>
      </c>
      <c r="M47" s="44">
        <v>0</v>
      </c>
      <c r="N47" s="44">
        <v>0</v>
      </c>
      <c r="O47" s="44">
        <v>0</v>
      </c>
      <c r="P47" s="1" t="b">
        <f t="shared" si="1"/>
        <v>1</v>
      </c>
      <c r="Q47" s="1" t="e">
        <f>O47=#REF!</f>
        <v>#REF!</v>
      </c>
      <c r="R47" s="1" t="e">
        <f>#REF!=#REF!</f>
        <v>#REF!</v>
      </c>
      <c r="AG47" s="1" t="b">
        <f t="shared" si="2"/>
        <v>1</v>
      </c>
      <c r="AI47" s="44">
        <v>0</v>
      </c>
      <c r="AJ47" s="44">
        <v>0</v>
      </c>
    </row>
    <row r="48" spans="1:36" ht="16" hidden="1" customHeight="1" outlineLevel="1" x14ac:dyDescent="0.45">
      <c r="A48" s="29" t="s">
        <v>26</v>
      </c>
      <c r="B48" s="44">
        <v>4000270410</v>
      </c>
      <c r="C48" s="44">
        <v>58356140</v>
      </c>
      <c r="D48" s="44">
        <v>66497280</v>
      </c>
      <c r="E48" s="44">
        <v>3875416990</v>
      </c>
      <c r="F48" s="44">
        <v>2571829569.9808283</v>
      </c>
      <c r="G48" s="44"/>
      <c r="H48" s="44">
        <v>848150370.01917195</v>
      </c>
      <c r="I48" s="44"/>
      <c r="J48" s="44">
        <f t="shared" si="0"/>
        <v>25117970</v>
      </c>
      <c r="K48" s="44">
        <v>31529900</v>
      </c>
      <c r="L48" s="44">
        <v>29671700</v>
      </c>
      <c r="M48" s="44">
        <v>109832640</v>
      </c>
      <c r="N48" s="44">
        <v>245405470</v>
      </c>
      <c r="O48" s="44">
        <v>13879370</v>
      </c>
      <c r="P48" s="1" t="b">
        <f t="shared" si="1"/>
        <v>1</v>
      </c>
      <c r="Q48" s="1" t="e">
        <f>O48=#REF!</f>
        <v>#REF!</v>
      </c>
      <c r="R48" s="1" t="e">
        <f>#REF!=#REF!</f>
        <v>#REF!</v>
      </c>
      <c r="AG48" s="1" t="b">
        <f t="shared" si="2"/>
        <v>1</v>
      </c>
      <c r="AI48" s="44">
        <v>23862072</v>
      </c>
      <c r="AJ48" s="44">
        <v>1255898</v>
      </c>
    </row>
    <row r="49" spans="1:36" ht="16" hidden="1" customHeight="1" outlineLevel="1" x14ac:dyDescent="0.45">
      <c r="A49" s="29" t="s">
        <v>27</v>
      </c>
      <c r="B49" s="44">
        <v>676422480</v>
      </c>
      <c r="C49" s="44">
        <v>9847450</v>
      </c>
      <c r="D49" s="44">
        <v>10945780</v>
      </c>
      <c r="E49" s="44">
        <v>655629250</v>
      </c>
      <c r="F49" s="44">
        <v>437586238.23007268</v>
      </c>
      <c r="G49" s="44"/>
      <c r="H49" s="44">
        <v>141018961.76992732</v>
      </c>
      <c r="I49" s="44"/>
      <c r="J49" s="44">
        <f t="shared" si="0"/>
        <v>4424740</v>
      </c>
      <c r="K49" s="44">
        <v>5197785</v>
      </c>
      <c r="L49" s="44">
        <v>4879905</v>
      </c>
      <c r="M49" s="44">
        <v>18452880</v>
      </c>
      <c r="N49" s="44">
        <v>41724060</v>
      </c>
      <c r="O49" s="44">
        <v>2344680</v>
      </c>
      <c r="P49" s="1" t="b">
        <f t="shared" si="1"/>
        <v>1</v>
      </c>
      <c r="Q49" s="1" t="e">
        <f>O49=#REF!</f>
        <v>#REF!</v>
      </c>
      <c r="R49" s="1" t="e">
        <f>#REF!=#REF!</f>
        <v>#REF!</v>
      </c>
      <c r="AG49" s="1" t="b">
        <f t="shared" si="2"/>
        <v>1</v>
      </c>
      <c r="AI49" s="44">
        <v>4203503</v>
      </c>
      <c r="AJ49" s="44">
        <v>221237</v>
      </c>
    </row>
    <row r="50" spans="1:36" ht="16" hidden="1" customHeight="1" outlineLevel="1" x14ac:dyDescent="0.45">
      <c r="A50" s="29" t="s">
        <v>28</v>
      </c>
      <c r="B50" s="44">
        <v>132348510</v>
      </c>
      <c r="C50" s="44">
        <v>6154850</v>
      </c>
      <c r="D50" s="44">
        <v>600000</v>
      </c>
      <c r="E50" s="44">
        <v>125593660</v>
      </c>
      <c r="F50" s="44">
        <v>91009760</v>
      </c>
      <c r="G50" s="44"/>
      <c r="H50" s="44">
        <v>25600010</v>
      </c>
      <c r="I50" s="44"/>
      <c r="J50" s="44">
        <f t="shared" si="0"/>
        <v>1200000</v>
      </c>
      <c r="K50" s="44">
        <v>445165</v>
      </c>
      <c r="L50" s="44">
        <v>445165</v>
      </c>
      <c r="M50" s="44">
        <v>2700010</v>
      </c>
      <c r="N50" s="44">
        <v>4193550</v>
      </c>
      <c r="O50" s="44">
        <v>0</v>
      </c>
      <c r="P50" s="1" t="b">
        <f t="shared" si="1"/>
        <v>1</v>
      </c>
      <c r="Q50" s="1" t="e">
        <f>O50=#REF!</f>
        <v>#REF!</v>
      </c>
      <c r="R50" s="1" t="e">
        <f>#REF!=#REF!</f>
        <v>#REF!</v>
      </c>
      <c r="AG50" s="1" t="b">
        <f t="shared" si="2"/>
        <v>1</v>
      </c>
      <c r="AI50" s="44">
        <v>1140000</v>
      </c>
      <c r="AJ50" s="44">
        <v>60000</v>
      </c>
    </row>
    <row r="51" spans="1:36" ht="16" hidden="1" customHeight="1" outlineLevel="1" x14ac:dyDescent="0.45">
      <c r="A51" s="29" t="s">
        <v>29</v>
      </c>
      <c r="B51" s="44">
        <v>281885000</v>
      </c>
      <c r="C51" s="44">
        <v>3480000</v>
      </c>
      <c r="D51" s="44">
        <v>4495000</v>
      </c>
      <c r="E51" s="44">
        <v>273910000</v>
      </c>
      <c r="F51" s="44">
        <v>183186882.07965714</v>
      </c>
      <c r="G51" s="44"/>
      <c r="H51" s="44">
        <v>59323117.920342848</v>
      </c>
      <c r="I51" s="44"/>
      <c r="J51" s="44">
        <f t="shared" si="0"/>
        <v>1705000</v>
      </c>
      <c r="K51" s="44">
        <v>2245000</v>
      </c>
      <c r="L51" s="44">
        <v>2090000</v>
      </c>
      <c r="M51" s="44">
        <v>7470000</v>
      </c>
      <c r="N51" s="44">
        <v>16920000</v>
      </c>
      <c r="O51" s="44">
        <v>970000</v>
      </c>
      <c r="P51" s="1" t="b">
        <f t="shared" si="1"/>
        <v>1</v>
      </c>
      <c r="Q51" s="1" t="e">
        <f>O51=#REF!</f>
        <v>#REF!</v>
      </c>
      <c r="R51" s="1" t="e">
        <f>#REF!=#REF!</f>
        <v>#REF!</v>
      </c>
      <c r="AG51" s="1" t="b">
        <f t="shared" si="2"/>
        <v>1</v>
      </c>
      <c r="AI51" s="44">
        <v>1619750</v>
      </c>
      <c r="AJ51" s="44">
        <v>85250</v>
      </c>
    </row>
    <row r="52" spans="1:36" ht="16" hidden="1" customHeight="1" outlineLevel="1" x14ac:dyDescent="0.45">
      <c r="A52" s="29" t="s">
        <v>127</v>
      </c>
      <c r="B52" s="44">
        <v>180000</v>
      </c>
      <c r="C52" s="44">
        <v>80000</v>
      </c>
      <c r="D52" s="44">
        <v>60000</v>
      </c>
      <c r="E52" s="44">
        <v>40000</v>
      </c>
      <c r="F52" s="44">
        <v>40000</v>
      </c>
      <c r="G52" s="44"/>
      <c r="H52" s="44">
        <v>0</v>
      </c>
      <c r="I52" s="44"/>
      <c r="J52" s="44">
        <f t="shared" si="0"/>
        <v>0</v>
      </c>
      <c r="K52" s="44">
        <v>0</v>
      </c>
      <c r="L52" s="44">
        <v>0</v>
      </c>
      <c r="M52" s="44">
        <v>0</v>
      </c>
      <c r="N52" s="44">
        <v>0</v>
      </c>
      <c r="O52" s="44">
        <v>0</v>
      </c>
      <c r="P52" s="1" t="b">
        <f t="shared" si="1"/>
        <v>1</v>
      </c>
      <c r="Q52" s="1" t="e">
        <f>O52=#REF!</f>
        <v>#REF!</v>
      </c>
      <c r="R52" s="1" t="e">
        <f>#REF!=#REF!</f>
        <v>#REF!</v>
      </c>
      <c r="AG52" s="1" t="b">
        <f t="shared" si="2"/>
        <v>1</v>
      </c>
      <c r="AI52" s="44">
        <v>0</v>
      </c>
      <c r="AJ52" s="44">
        <v>0</v>
      </c>
    </row>
    <row r="53" spans="1:36" ht="16" hidden="1" customHeight="1" outlineLevel="1" x14ac:dyDescent="0.45">
      <c r="A53" s="29" t="s">
        <v>177</v>
      </c>
      <c r="B53" s="44">
        <v>0</v>
      </c>
      <c r="C53" s="44">
        <v>0</v>
      </c>
      <c r="D53" s="44">
        <v>0</v>
      </c>
      <c r="E53" s="44">
        <v>0</v>
      </c>
      <c r="F53" s="44">
        <v>0</v>
      </c>
      <c r="G53" s="44"/>
      <c r="H53" s="44">
        <v>0</v>
      </c>
      <c r="I53" s="44"/>
      <c r="J53" s="44">
        <f t="shared" si="0"/>
        <v>0</v>
      </c>
      <c r="K53" s="44">
        <v>0</v>
      </c>
      <c r="L53" s="44">
        <v>0</v>
      </c>
      <c r="M53" s="44">
        <v>0</v>
      </c>
      <c r="N53" s="44">
        <v>0</v>
      </c>
      <c r="O53" s="44">
        <v>0</v>
      </c>
      <c r="P53" s="1" t="b">
        <f t="shared" si="1"/>
        <v>1</v>
      </c>
      <c r="Q53" s="1" t="e">
        <f>O53=#REF!</f>
        <v>#REF!</v>
      </c>
      <c r="R53" s="1" t="e">
        <f>#REF!=#REF!</f>
        <v>#REF!</v>
      </c>
      <c r="AG53" s="1" t="b">
        <f t="shared" si="2"/>
        <v>1</v>
      </c>
      <c r="AI53" s="44">
        <v>0</v>
      </c>
      <c r="AJ53" s="44">
        <v>0</v>
      </c>
    </row>
    <row r="54" spans="1:36" ht="16" hidden="1" customHeight="1" outlineLevel="1" x14ac:dyDescent="0.45">
      <c r="A54" s="29" t="s">
        <v>30</v>
      </c>
      <c r="B54" s="44">
        <v>19180170</v>
      </c>
      <c r="C54" s="44">
        <v>3275810</v>
      </c>
      <c r="D54" s="44">
        <v>0</v>
      </c>
      <c r="E54" s="44">
        <v>15904360</v>
      </c>
      <c r="F54" s="44">
        <v>8939430</v>
      </c>
      <c r="G54" s="44"/>
      <c r="H54" s="44">
        <v>2538000</v>
      </c>
      <c r="I54" s="44"/>
      <c r="J54" s="44">
        <f t="shared" si="0"/>
        <v>0</v>
      </c>
      <c r="K54" s="44">
        <v>0</v>
      </c>
      <c r="L54" s="44">
        <v>0</v>
      </c>
      <c r="M54" s="44">
        <v>1838190</v>
      </c>
      <c r="N54" s="44">
        <v>2588740</v>
      </c>
      <c r="O54" s="44">
        <v>0</v>
      </c>
      <c r="P54" s="1" t="b">
        <f t="shared" si="1"/>
        <v>1</v>
      </c>
      <c r="Q54" s="1" t="e">
        <f>O54=#REF!</f>
        <v>#REF!</v>
      </c>
      <c r="R54" s="1" t="e">
        <f>#REF!=#REF!</f>
        <v>#REF!</v>
      </c>
      <c r="AG54" s="1" t="b">
        <f t="shared" si="2"/>
        <v>1</v>
      </c>
      <c r="AI54" s="44">
        <v>0</v>
      </c>
      <c r="AJ54" s="44">
        <v>0</v>
      </c>
    </row>
    <row r="55" spans="1:36" ht="16" hidden="1" customHeight="1" outlineLevel="1" x14ac:dyDescent="0.45">
      <c r="A55" s="29" t="s">
        <v>128</v>
      </c>
      <c r="B55" s="44">
        <v>56434000</v>
      </c>
      <c r="C55" s="44">
        <v>0</v>
      </c>
      <c r="D55" s="44">
        <v>0</v>
      </c>
      <c r="E55" s="44">
        <v>56434000</v>
      </c>
      <c r="F55" s="44">
        <v>0</v>
      </c>
      <c r="G55" s="44"/>
      <c r="H55" s="44">
        <v>0</v>
      </c>
      <c r="I55" s="44"/>
      <c r="J55" s="44">
        <f t="shared" si="0"/>
        <v>0</v>
      </c>
      <c r="K55" s="44">
        <v>0</v>
      </c>
      <c r="L55" s="44">
        <v>0</v>
      </c>
      <c r="M55" s="44">
        <v>0</v>
      </c>
      <c r="N55" s="44">
        <v>56434000</v>
      </c>
      <c r="O55" s="44">
        <v>0</v>
      </c>
      <c r="P55" s="1" t="b">
        <f t="shared" si="1"/>
        <v>1</v>
      </c>
      <c r="Q55" s="1" t="e">
        <f>O55=#REF!</f>
        <v>#REF!</v>
      </c>
      <c r="R55" s="1" t="e">
        <f>#REF!=#REF!</f>
        <v>#REF!</v>
      </c>
      <c r="AG55" s="1" t="b">
        <f t="shared" si="2"/>
        <v>1</v>
      </c>
      <c r="AI55" s="44">
        <v>0</v>
      </c>
      <c r="AJ55" s="44">
        <v>0</v>
      </c>
    </row>
    <row r="56" spans="1:36" ht="16" hidden="1" customHeight="1" outlineLevel="1" x14ac:dyDescent="0.45">
      <c r="A56" s="29" t="s">
        <v>129</v>
      </c>
      <c r="B56" s="44">
        <v>0</v>
      </c>
      <c r="C56" s="44">
        <v>0</v>
      </c>
      <c r="D56" s="44">
        <v>0</v>
      </c>
      <c r="E56" s="44">
        <v>0</v>
      </c>
      <c r="F56" s="44">
        <v>0</v>
      </c>
      <c r="G56" s="44"/>
      <c r="H56" s="44">
        <v>0</v>
      </c>
      <c r="I56" s="44"/>
      <c r="J56" s="44">
        <f t="shared" si="0"/>
        <v>0</v>
      </c>
      <c r="K56" s="44">
        <v>0</v>
      </c>
      <c r="L56" s="44">
        <v>0</v>
      </c>
      <c r="M56" s="44">
        <v>0</v>
      </c>
      <c r="N56" s="44">
        <v>0</v>
      </c>
      <c r="O56" s="44">
        <v>0</v>
      </c>
      <c r="P56" s="1" t="b">
        <f t="shared" si="1"/>
        <v>1</v>
      </c>
      <c r="Q56" s="1" t="e">
        <f>O56=#REF!</f>
        <v>#REF!</v>
      </c>
      <c r="R56" s="1" t="e">
        <f>#REF!=#REF!</f>
        <v>#REF!</v>
      </c>
      <c r="AG56" s="1" t="b">
        <f t="shared" si="2"/>
        <v>1</v>
      </c>
      <c r="AI56" s="44">
        <v>0</v>
      </c>
      <c r="AJ56" s="44">
        <v>0</v>
      </c>
    </row>
    <row r="57" spans="1:36" ht="16" hidden="1" customHeight="1" outlineLevel="1" x14ac:dyDescent="0.45">
      <c r="A57" s="29" t="s">
        <v>178</v>
      </c>
      <c r="B57" s="44">
        <v>0</v>
      </c>
      <c r="C57" s="44">
        <v>0</v>
      </c>
      <c r="D57" s="44">
        <v>0</v>
      </c>
      <c r="E57" s="44">
        <v>0</v>
      </c>
      <c r="F57" s="44">
        <v>0</v>
      </c>
      <c r="G57" s="44"/>
      <c r="H57" s="44">
        <v>0</v>
      </c>
      <c r="I57" s="44"/>
      <c r="J57" s="44">
        <f t="shared" si="0"/>
        <v>0</v>
      </c>
      <c r="K57" s="44">
        <v>0</v>
      </c>
      <c r="L57" s="44">
        <v>0</v>
      </c>
      <c r="M57" s="44">
        <v>0</v>
      </c>
      <c r="N57" s="44">
        <v>0</v>
      </c>
      <c r="O57" s="44">
        <v>0</v>
      </c>
      <c r="P57" s="1" t="b">
        <f t="shared" si="1"/>
        <v>1</v>
      </c>
      <c r="Q57" s="1" t="e">
        <f>O57=#REF!</f>
        <v>#REF!</v>
      </c>
      <c r="R57" s="1" t="e">
        <f>#REF!=#REF!</f>
        <v>#REF!</v>
      </c>
      <c r="AG57" s="1" t="b">
        <f t="shared" si="2"/>
        <v>1</v>
      </c>
      <c r="AI57" s="44">
        <v>0</v>
      </c>
      <c r="AJ57" s="44">
        <v>0</v>
      </c>
    </row>
    <row r="58" spans="1:36" ht="16" hidden="1" customHeight="1" outlineLevel="1" x14ac:dyDescent="0.45">
      <c r="A58" s="29" t="s">
        <v>31</v>
      </c>
      <c r="B58" s="44">
        <v>12992410</v>
      </c>
      <c r="C58" s="44">
        <v>2590790</v>
      </c>
      <c r="D58" s="44">
        <v>0</v>
      </c>
      <c r="E58" s="44">
        <v>10401620</v>
      </c>
      <c r="F58" s="44">
        <v>6446662.6097718291</v>
      </c>
      <c r="G58" s="44"/>
      <c r="H58" s="44">
        <v>3688787.3902281704</v>
      </c>
      <c r="I58" s="44"/>
      <c r="J58" s="44">
        <f t="shared" si="0"/>
        <v>131590</v>
      </c>
      <c r="K58" s="44">
        <v>0</v>
      </c>
      <c r="L58" s="44">
        <v>0</v>
      </c>
      <c r="M58" s="44">
        <v>0</v>
      </c>
      <c r="N58" s="44">
        <v>0</v>
      </c>
      <c r="O58" s="44">
        <v>134580</v>
      </c>
      <c r="P58" s="1" t="b">
        <f t="shared" si="1"/>
        <v>1</v>
      </c>
      <c r="Q58" s="1" t="e">
        <f>O58=#REF!</f>
        <v>#REF!</v>
      </c>
      <c r="R58" s="1" t="e">
        <f>#REF!=#REF!</f>
        <v>#REF!</v>
      </c>
      <c r="AG58" s="1" t="b">
        <f t="shared" si="2"/>
        <v>1</v>
      </c>
      <c r="AI58" s="44">
        <v>125011</v>
      </c>
      <c r="AJ58" s="44">
        <v>6579</v>
      </c>
    </row>
    <row r="59" spans="1:36" ht="16" hidden="1" customHeight="1" outlineLevel="1" x14ac:dyDescent="0.45">
      <c r="A59" s="29" t="s">
        <v>113</v>
      </c>
      <c r="B59" s="44">
        <v>0</v>
      </c>
      <c r="C59" s="44">
        <v>0</v>
      </c>
      <c r="D59" s="44">
        <v>0</v>
      </c>
      <c r="E59" s="44">
        <v>0</v>
      </c>
      <c r="F59" s="44">
        <v>0</v>
      </c>
      <c r="G59" s="44"/>
      <c r="H59" s="44">
        <v>0</v>
      </c>
      <c r="I59" s="44"/>
      <c r="J59" s="44">
        <f t="shared" si="0"/>
        <v>0</v>
      </c>
      <c r="K59" s="44">
        <v>0</v>
      </c>
      <c r="L59" s="44">
        <v>0</v>
      </c>
      <c r="M59" s="44">
        <v>0</v>
      </c>
      <c r="N59" s="44">
        <v>0</v>
      </c>
      <c r="O59" s="44">
        <v>0</v>
      </c>
      <c r="P59" s="1" t="b">
        <f t="shared" si="1"/>
        <v>1</v>
      </c>
      <c r="Q59" s="1" t="e">
        <f>O59=#REF!</f>
        <v>#REF!</v>
      </c>
      <c r="R59" s="1" t="e">
        <f>#REF!=#REF!</f>
        <v>#REF!</v>
      </c>
      <c r="AG59" s="1" t="b">
        <f t="shared" si="2"/>
        <v>1</v>
      </c>
      <c r="AI59" s="44">
        <v>0</v>
      </c>
      <c r="AJ59" s="44">
        <v>0</v>
      </c>
    </row>
    <row r="60" spans="1:36" ht="16" hidden="1" customHeight="1" outlineLevel="1" x14ac:dyDescent="0.45">
      <c r="A60" s="29" t="s">
        <v>32</v>
      </c>
      <c r="B60" s="44">
        <v>11114740</v>
      </c>
      <c r="C60" s="44">
        <v>1600000</v>
      </c>
      <c r="D60" s="44">
        <v>500000</v>
      </c>
      <c r="E60" s="44">
        <v>9014740</v>
      </c>
      <c r="F60" s="44">
        <v>2745294.5056403861</v>
      </c>
      <c r="G60" s="44"/>
      <c r="H60" s="44">
        <v>4769445.4943596143</v>
      </c>
      <c r="I60" s="44"/>
      <c r="J60" s="44">
        <f t="shared" si="0"/>
        <v>0</v>
      </c>
      <c r="K60" s="44">
        <v>0</v>
      </c>
      <c r="L60" s="44">
        <v>0</v>
      </c>
      <c r="M60" s="44">
        <v>0</v>
      </c>
      <c r="N60" s="44">
        <v>500000</v>
      </c>
      <c r="O60" s="44">
        <v>1000000</v>
      </c>
      <c r="P60" s="1" t="b">
        <f t="shared" si="1"/>
        <v>1</v>
      </c>
      <c r="Q60" s="1" t="e">
        <f>O60=#REF!</f>
        <v>#REF!</v>
      </c>
      <c r="R60" s="1" t="e">
        <f>#REF!=#REF!</f>
        <v>#REF!</v>
      </c>
      <c r="AG60" s="1" t="b">
        <f t="shared" si="2"/>
        <v>1</v>
      </c>
      <c r="AI60" s="44">
        <v>0</v>
      </c>
      <c r="AJ60" s="44">
        <v>0</v>
      </c>
    </row>
    <row r="61" spans="1:36" ht="16" hidden="1" customHeight="1" outlineLevel="1" x14ac:dyDescent="0.45">
      <c r="A61" s="29" t="s">
        <v>130</v>
      </c>
      <c r="B61" s="44">
        <v>0</v>
      </c>
      <c r="C61" s="44">
        <v>0</v>
      </c>
      <c r="D61" s="44">
        <v>0</v>
      </c>
      <c r="E61" s="44">
        <v>0</v>
      </c>
      <c r="F61" s="44">
        <v>0</v>
      </c>
      <c r="G61" s="44"/>
      <c r="H61" s="44">
        <v>0</v>
      </c>
      <c r="I61" s="44"/>
      <c r="J61" s="44">
        <f t="shared" si="0"/>
        <v>0</v>
      </c>
      <c r="K61" s="44">
        <v>0</v>
      </c>
      <c r="L61" s="44">
        <v>0</v>
      </c>
      <c r="M61" s="44">
        <v>0</v>
      </c>
      <c r="N61" s="44">
        <v>0</v>
      </c>
      <c r="O61" s="44">
        <v>0</v>
      </c>
      <c r="P61" s="1" t="b">
        <f t="shared" si="1"/>
        <v>1</v>
      </c>
      <c r="Q61" s="1" t="e">
        <f>O61=#REF!</f>
        <v>#REF!</v>
      </c>
      <c r="R61" s="1" t="e">
        <f>#REF!=#REF!</f>
        <v>#REF!</v>
      </c>
      <c r="AG61" s="1" t="b">
        <f t="shared" si="2"/>
        <v>1</v>
      </c>
      <c r="AI61" s="44">
        <v>0</v>
      </c>
      <c r="AJ61" s="44">
        <v>0</v>
      </c>
    </row>
    <row r="62" spans="1:36" ht="16" hidden="1" customHeight="1" outlineLevel="1" x14ac:dyDescent="0.45">
      <c r="A62" s="29" t="s">
        <v>302</v>
      </c>
      <c r="B62" s="44">
        <v>0</v>
      </c>
      <c r="C62" s="44">
        <v>0</v>
      </c>
      <c r="D62" s="44">
        <v>0</v>
      </c>
      <c r="E62" s="44">
        <v>0</v>
      </c>
      <c r="F62" s="44">
        <v>0</v>
      </c>
      <c r="G62" s="44"/>
      <c r="H62" s="44">
        <v>0</v>
      </c>
      <c r="I62" s="44"/>
      <c r="J62" s="44">
        <f t="shared" si="0"/>
        <v>0</v>
      </c>
      <c r="K62" s="44">
        <v>0</v>
      </c>
      <c r="L62" s="44">
        <v>0</v>
      </c>
      <c r="M62" s="44">
        <v>0</v>
      </c>
      <c r="N62" s="44">
        <v>0</v>
      </c>
      <c r="O62" s="44">
        <v>0</v>
      </c>
      <c r="P62" s="1" t="b">
        <f t="shared" si="1"/>
        <v>1</v>
      </c>
      <c r="Q62" s="1" t="e">
        <f>O62=#REF!</f>
        <v>#REF!</v>
      </c>
      <c r="R62" s="1" t="e">
        <f>#REF!=#REF!</f>
        <v>#REF!</v>
      </c>
      <c r="AG62" s="1" t="b">
        <f t="shared" si="2"/>
        <v>1</v>
      </c>
      <c r="AI62" s="44">
        <v>0</v>
      </c>
      <c r="AJ62" s="44">
        <v>0</v>
      </c>
    </row>
    <row r="63" spans="1:36" ht="16" customHeight="1" collapsed="1" x14ac:dyDescent="0.45">
      <c r="A63" s="28" t="s">
        <v>33</v>
      </c>
      <c r="B63" s="43">
        <v>884646344</v>
      </c>
      <c r="C63" s="43">
        <v>-1314814639.7969224</v>
      </c>
      <c r="D63" s="43">
        <v>96897810</v>
      </c>
      <c r="E63" s="43">
        <v>2102563173.7969224</v>
      </c>
      <c r="F63" s="43">
        <v>1344715994.8012791</v>
      </c>
      <c r="G63" s="234">
        <f>G28-G29-G30</f>
        <v>17.902661074933683</v>
      </c>
      <c r="H63" s="43">
        <v>443697595.19872081</v>
      </c>
      <c r="I63" s="43"/>
      <c r="J63" s="43">
        <f t="shared" si="0"/>
        <v>53902260</v>
      </c>
      <c r="K63" s="43">
        <v>23067699.623622414</v>
      </c>
      <c r="L63" s="43">
        <v>15787297.956007402</v>
      </c>
      <c r="M63" s="43">
        <v>66858613.19573389</v>
      </c>
      <c r="N63" s="43">
        <v>109270163.02155882</v>
      </c>
      <c r="O63" s="43">
        <v>45263550</v>
      </c>
      <c r="P63" s="1" t="b">
        <f t="shared" si="1"/>
        <v>1</v>
      </c>
      <c r="Q63" s="1"/>
      <c r="R63" s="1"/>
      <c r="AG63" s="1" t="b">
        <f t="shared" si="2"/>
        <v>0</v>
      </c>
      <c r="AI63" s="43">
        <v>51207147</v>
      </c>
      <c r="AJ63" s="43">
        <v>2695113</v>
      </c>
    </row>
    <row r="64" spans="1:36" s="1" customFormat="1" hidden="1" outlineLevel="1" x14ac:dyDescent="0.45">
      <c r="A64" s="29" t="s">
        <v>34</v>
      </c>
      <c r="B64" s="44">
        <v>88372430</v>
      </c>
      <c r="C64" s="44">
        <v>-429533667.59144026</v>
      </c>
      <c r="D64" s="44">
        <v>73304330</v>
      </c>
      <c r="E64" s="44">
        <v>444601767.59144026</v>
      </c>
      <c r="F64" s="44">
        <v>235067501.12884027</v>
      </c>
      <c r="G64" s="44"/>
      <c r="H64" s="44">
        <v>102019728.87115973</v>
      </c>
      <c r="I64" s="44"/>
      <c r="J64" s="44">
        <f t="shared" si="0"/>
        <v>22481270</v>
      </c>
      <c r="K64" s="44">
        <v>9375702.3655393049</v>
      </c>
      <c r="L64" s="44">
        <v>6515084.8839709172</v>
      </c>
      <c r="M64" s="44">
        <v>16259848.874240363</v>
      </c>
      <c r="N64" s="44">
        <v>10097351.46768968</v>
      </c>
      <c r="O64" s="44">
        <v>42785280</v>
      </c>
      <c r="P64" s="1" t="b">
        <f t="shared" si="1"/>
        <v>1</v>
      </c>
      <c r="Q64" s="1" t="e">
        <f>O64=#REF!</f>
        <v>#REF!</v>
      </c>
      <c r="R64" s="1" t="e">
        <f>#REF!=#REF!</f>
        <v>#REF!</v>
      </c>
      <c r="AG64" s="1" t="b">
        <f t="shared" si="2"/>
        <v>1</v>
      </c>
      <c r="AI64" s="44">
        <v>21357206</v>
      </c>
      <c r="AJ64" s="44">
        <v>1124064</v>
      </c>
    </row>
    <row r="65" spans="1:36" ht="16" hidden="1" customHeight="1" outlineLevel="1" x14ac:dyDescent="0.45">
      <c r="A65" s="29" t="s">
        <v>179</v>
      </c>
      <c r="B65" s="44">
        <v>184797144</v>
      </c>
      <c r="C65" s="44">
        <v>184797144</v>
      </c>
      <c r="D65" s="44">
        <v>0</v>
      </c>
      <c r="E65" s="44">
        <v>0</v>
      </c>
      <c r="F65" s="44">
        <v>0</v>
      </c>
      <c r="G65" s="44"/>
      <c r="H65" s="44">
        <v>0</v>
      </c>
      <c r="I65" s="44"/>
      <c r="J65" s="44">
        <f t="shared" si="0"/>
        <v>0</v>
      </c>
      <c r="K65" s="44">
        <v>0</v>
      </c>
      <c r="L65" s="44">
        <v>0</v>
      </c>
      <c r="M65" s="44">
        <v>0</v>
      </c>
      <c r="N65" s="44">
        <v>0</v>
      </c>
      <c r="O65" s="44">
        <v>0</v>
      </c>
      <c r="P65" s="1" t="b">
        <f t="shared" si="1"/>
        <v>1</v>
      </c>
      <c r="Q65" s="1" t="e">
        <f>O65=#REF!</f>
        <v>#REF!</v>
      </c>
      <c r="R65" s="1" t="e">
        <f>#REF!=#REF!</f>
        <v>#REF!</v>
      </c>
      <c r="AG65" s="1" t="b">
        <f t="shared" si="2"/>
        <v>1</v>
      </c>
      <c r="AI65" s="44">
        <v>0</v>
      </c>
      <c r="AJ65" s="44">
        <v>0</v>
      </c>
    </row>
    <row r="66" spans="1:36" ht="16" hidden="1" customHeight="1" outlineLevel="1" x14ac:dyDescent="0.45">
      <c r="A66" s="29" t="s">
        <v>180</v>
      </c>
      <c r="B66" s="44">
        <v>0</v>
      </c>
      <c r="C66" s="44">
        <v>0</v>
      </c>
      <c r="D66" s="44">
        <v>0</v>
      </c>
      <c r="E66" s="44">
        <v>0</v>
      </c>
      <c r="F66" s="44">
        <v>0</v>
      </c>
      <c r="G66" s="44"/>
      <c r="H66" s="44">
        <v>0</v>
      </c>
      <c r="I66" s="44"/>
      <c r="J66" s="44">
        <f t="shared" si="0"/>
        <v>0</v>
      </c>
      <c r="K66" s="44">
        <v>0</v>
      </c>
      <c r="L66" s="44">
        <v>0</v>
      </c>
      <c r="M66" s="44">
        <v>0</v>
      </c>
      <c r="N66" s="44">
        <v>0</v>
      </c>
      <c r="O66" s="44">
        <v>0</v>
      </c>
      <c r="P66" s="1" t="b">
        <f t="shared" si="1"/>
        <v>1</v>
      </c>
      <c r="Q66" s="1" t="e">
        <f>O66=#REF!</f>
        <v>#REF!</v>
      </c>
      <c r="R66" s="1" t="e">
        <f>#REF!=#REF!</f>
        <v>#REF!</v>
      </c>
      <c r="AG66" s="1" t="b">
        <f t="shared" si="2"/>
        <v>1</v>
      </c>
      <c r="AI66" s="44">
        <v>0</v>
      </c>
      <c r="AJ66" s="44">
        <v>0</v>
      </c>
    </row>
    <row r="67" spans="1:36" ht="16" hidden="1" customHeight="1" outlineLevel="1" x14ac:dyDescent="0.45">
      <c r="A67" s="29" t="s">
        <v>131</v>
      </c>
      <c r="B67" s="44">
        <v>28464900</v>
      </c>
      <c r="C67" s="44">
        <v>-836566.20548226684</v>
      </c>
      <c r="D67" s="44">
        <v>0</v>
      </c>
      <c r="E67" s="44">
        <v>29301466.205482267</v>
      </c>
      <c r="F67" s="44">
        <v>1100000</v>
      </c>
      <c r="G67" s="44"/>
      <c r="H67" s="44">
        <v>0</v>
      </c>
      <c r="I67" s="44"/>
      <c r="J67" s="44">
        <f t="shared" si="0"/>
        <v>24444900</v>
      </c>
      <c r="K67" s="44">
        <v>776997.25808310974</v>
      </c>
      <c r="L67" s="44">
        <v>761123.07203648495</v>
      </c>
      <c r="M67" s="44">
        <v>1977014.3214935251</v>
      </c>
      <c r="N67" s="44">
        <v>241431.55386914726</v>
      </c>
      <c r="O67" s="44">
        <v>0</v>
      </c>
      <c r="P67" s="1" t="b">
        <f t="shared" si="1"/>
        <v>1</v>
      </c>
      <c r="Q67" s="1" t="e">
        <f>O67=#REF!</f>
        <v>#REF!</v>
      </c>
      <c r="R67" s="1" t="e">
        <f>#REF!=#REF!</f>
        <v>#REF!</v>
      </c>
      <c r="AG67" s="1" t="b">
        <f t="shared" si="2"/>
        <v>1</v>
      </c>
      <c r="AI67" s="44">
        <v>23222655</v>
      </c>
      <c r="AJ67" s="44">
        <v>1222245</v>
      </c>
    </row>
    <row r="68" spans="1:36" ht="16" hidden="1" customHeight="1" outlineLevel="1" x14ac:dyDescent="0.45">
      <c r="A68" s="29" t="s">
        <v>35</v>
      </c>
      <c r="B68" s="44">
        <v>576695730</v>
      </c>
      <c r="C68" s="44">
        <v>-1069241550</v>
      </c>
      <c r="D68" s="44">
        <v>23593480</v>
      </c>
      <c r="E68" s="44">
        <v>1622343800</v>
      </c>
      <c r="F68" s="44">
        <v>1108548493.6724389</v>
      </c>
      <c r="G68" s="44"/>
      <c r="H68" s="44">
        <v>341677866.32756108</v>
      </c>
      <c r="I68" s="44"/>
      <c r="J68" s="44">
        <f t="shared" ref="J68:J131" si="3">AI68+AJ68</f>
        <v>6976090</v>
      </c>
      <c r="K68" s="44">
        <v>12915000</v>
      </c>
      <c r="L68" s="44">
        <v>8511090</v>
      </c>
      <c r="M68" s="44">
        <v>48621750</v>
      </c>
      <c r="N68" s="44">
        <v>92615240</v>
      </c>
      <c r="O68" s="44">
        <v>2478270</v>
      </c>
      <c r="P68" s="1" t="b">
        <f t="shared" ref="P68:P131" si="4">B68=SUM(C68:E68)</f>
        <v>1</v>
      </c>
      <c r="Q68" s="1" t="e">
        <f>O68=#REF!</f>
        <v>#REF!</v>
      </c>
      <c r="R68" s="1" t="e">
        <f>#REF!=#REF!</f>
        <v>#REF!</v>
      </c>
      <c r="AG68" s="1" t="b">
        <f t="shared" ref="AG68:AG131" si="5">E68=SUM(F68:O68)</f>
        <v>1</v>
      </c>
      <c r="AI68" s="44">
        <v>6627286</v>
      </c>
      <c r="AJ68" s="44">
        <v>348804</v>
      </c>
    </row>
    <row r="69" spans="1:36" ht="16" hidden="1" customHeight="1" outlineLevel="1" x14ac:dyDescent="0.45">
      <c r="A69" s="29" t="s">
        <v>132</v>
      </c>
      <c r="B69" s="44">
        <v>6316140</v>
      </c>
      <c r="C69" s="44">
        <v>0</v>
      </c>
      <c r="D69" s="44">
        <v>0</v>
      </c>
      <c r="E69" s="44">
        <v>6316140</v>
      </c>
      <c r="F69" s="44">
        <v>0</v>
      </c>
      <c r="G69" s="44"/>
      <c r="H69" s="44">
        <v>0</v>
      </c>
      <c r="I69" s="44"/>
      <c r="J69" s="44">
        <f t="shared" si="3"/>
        <v>0</v>
      </c>
      <c r="K69" s="44">
        <v>0</v>
      </c>
      <c r="L69" s="44">
        <v>0</v>
      </c>
      <c r="M69" s="44">
        <v>0</v>
      </c>
      <c r="N69" s="44">
        <v>6316140</v>
      </c>
      <c r="O69" s="44">
        <v>0</v>
      </c>
      <c r="P69" s="1" t="b">
        <f t="shared" si="4"/>
        <v>1</v>
      </c>
      <c r="Q69" s="1" t="e">
        <f>O69=#REF!</f>
        <v>#REF!</v>
      </c>
      <c r="R69" s="1" t="e">
        <f>#REF!=#REF!</f>
        <v>#REF!</v>
      </c>
      <c r="AG69" s="1" t="b">
        <f t="shared" si="5"/>
        <v>1</v>
      </c>
      <c r="AI69" s="44">
        <v>0</v>
      </c>
      <c r="AJ69" s="44">
        <v>0</v>
      </c>
    </row>
    <row r="70" spans="1:36" ht="16" customHeight="1" collapsed="1" x14ac:dyDescent="0.45">
      <c r="A70" s="28" t="s">
        <v>133</v>
      </c>
      <c r="B70" s="43">
        <v>4013560</v>
      </c>
      <c r="C70" s="43">
        <v>1770040</v>
      </c>
      <c r="D70" s="43">
        <v>0</v>
      </c>
      <c r="E70" s="43">
        <v>2243520</v>
      </c>
      <c r="F70" s="43">
        <v>0</v>
      </c>
      <c r="G70" s="43"/>
      <c r="H70" s="43">
        <v>0</v>
      </c>
      <c r="I70" s="43"/>
      <c r="J70" s="43">
        <f t="shared" si="3"/>
        <v>0</v>
      </c>
      <c r="K70" s="43">
        <v>0</v>
      </c>
      <c r="L70" s="43">
        <v>0</v>
      </c>
      <c r="M70" s="43">
        <v>1935520</v>
      </c>
      <c r="N70" s="43">
        <v>0</v>
      </c>
      <c r="O70" s="43">
        <v>308000</v>
      </c>
      <c r="P70" s="1" t="b">
        <f t="shared" si="4"/>
        <v>1</v>
      </c>
      <c r="Q70" s="1" t="e">
        <f>O70=#REF!</f>
        <v>#REF!</v>
      </c>
      <c r="R70" s="1" t="e">
        <f>#REF!=#REF!</f>
        <v>#REF!</v>
      </c>
      <c r="AG70" s="1" t="b">
        <f t="shared" si="5"/>
        <v>1</v>
      </c>
      <c r="AI70" s="43">
        <v>0</v>
      </c>
      <c r="AJ70" s="43">
        <v>0</v>
      </c>
    </row>
    <row r="71" spans="1:36" s="1" customFormat="1" x14ac:dyDescent="0.45">
      <c r="A71" s="28" t="s">
        <v>36</v>
      </c>
      <c r="B71" s="43">
        <v>743627707</v>
      </c>
      <c r="C71" s="43">
        <v>21146458.322245121</v>
      </c>
      <c r="D71" s="43">
        <v>20018028</v>
      </c>
      <c r="E71" s="43">
        <v>702463220.67775488</v>
      </c>
      <c r="F71" s="43">
        <v>440216841.81923091</v>
      </c>
      <c r="G71" s="43"/>
      <c r="H71" s="43">
        <v>136212376.5905515</v>
      </c>
      <c r="I71" s="43"/>
      <c r="J71" s="43">
        <f t="shared" si="3"/>
        <v>35459733.590217583</v>
      </c>
      <c r="K71" s="43">
        <v>5829305.8718870096</v>
      </c>
      <c r="L71" s="43">
        <v>5599844.8627557177</v>
      </c>
      <c r="M71" s="43">
        <v>19177466.617029879</v>
      </c>
      <c r="N71" s="43">
        <v>52340951.326082274</v>
      </c>
      <c r="O71" s="43">
        <v>7626700</v>
      </c>
      <c r="P71" s="1" t="b">
        <f t="shared" si="4"/>
        <v>1</v>
      </c>
      <c r="Q71" s="1" t="e">
        <f>O71=#REF!</f>
        <v>#REF!</v>
      </c>
      <c r="R71" s="1" t="e">
        <f>#REF!=#REF!</f>
        <v>#REF!</v>
      </c>
      <c r="AG71" s="1" t="b">
        <f t="shared" si="5"/>
        <v>1</v>
      </c>
      <c r="AI71" s="43">
        <v>33674407.704956658</v>
      </c>
      <c r="AJ71" s="43">
        <v>1785325.8852609219</v>
      </c>
    </row>
    <row r="72" spans="1:36" s="1" customFormat="1" hidden="1" outlineLevel="1" x14ac:dyDescent="0.45">
      <c r="A72" s="29" t="s">
        <v>37</v>
      </c>
      <c r="B72" s="44">
        <v>743627707</v>
      </c>
      <c r="C72" s="44">
        <v>21146458.322245121</v>
      </c>
      <c r="D72" s="44">
        <v>20018028</v>
      </c>
      <c r="E72" s="44">
        <v>702463220.67775488</v>
      </c>
      <c r="F72" s="44">
        <v>440216841.81923091</v>
      </c>
      <c r="G72" s="44"/>
      <c r="H72" s="44">
        <v>136212376.5905515</v>
      </c>
      <c r="I72" s="44"/>
      <c r="J72" s="44">
        <f t="shared" si="3"/>
        <v>35459733.590217583</v>
      </c>
      <c r="K72" s="44">
        <v>5829305.8718870096</v>
      </c>
      <c r="L72" s="44">
        <v>5599844.8627557177</v>
      </c>
      <c r="M72" s="44">
        <v>19177466.617029879</v>
      </c>
      <c r="N72" s="44">
        <v>52340951.326082274</v>
      </c>
      <c r="O72" s="44">
        <v>7626700</v>
      </c>
      <c r="P72" s="1" t="b">
        <f t="shared" si="4"/>
        <v>1</v>
      </c>
      <c r="Q72" s="1" t="e">
        <f>O72=#REF!</f>
        <v>#REF!</v>
      </c>
      <c r="R72" s="1" t="e">
        <f>#REF!=#REF!</f>
        <v>#REF!</v>
      </c>
      <c r="AG72" s="1" t="b">
        <f t="shared" si="5"/>
        <v>1</v>
      </c>
      <c r="AI72" s="44">
        <v>33674407.704956658</v>
      </c>
      <c r="AJ72" s="44">
        <v>1785325.8852609219</v>
      </c>
    </row>
    <row r="73" spans="1:36" ht="16" customHeight="1" collapsed="1" x14ac:dyDescent="0.45">
      <c r="A73" s="28" t="s">
        <v>181</v>
      </c>
      <c r="B73" s="43">
        <v>115603053</v>
      </c>
      <c r="C73" s="43">
        <v>20643053</v>
      </c>
      <c r="D73" s="43">
        <v>3500000</v>
      </c>
      <c r="E73" s="43">
        <v>91460000</v>
      </c>
      <c r="F73" s="43">
        <v>45042333.794796035</v>
      </c>
      <c r="G73" s="43"/>
      <c r="H73" s="43">
        <v>29917666.205203962</v>
      </c>
      <c r="I73" s="43"/>
      <c r="J73" s="43">
        <f t="shared" si="3"/>
        <v>4500000</v>
      </c>
      <c r="K73" s="43">
        <v>0</v>
      </c>
      <c r="L73" s="43">
        <v>0</v>
      </c>
      <c r="M73" s="43">
        <v>1000000</v>
      </c>
      <c r="N73" s="43">
        <v>11000000</v>
      </c>
      <c r="O73" s="43">
        <v>0</v>
      </c>
      <c r="P73" s="1" t="b">
        <f t="shared" si="4"/>
        <v>1</v>
      </c>
      <c r="Q73" s="1" t="e">
        <f>O73=#REF!</f>
        <v>#REF!</v>
      </c>
      <c r="R73" s="1" t="e">
        <f>#REF!=#REF!</f>
        <v>#REF!</v>
      </c>
      <c r="AG73" s="1" t="b">
        <f t="shared" si="5"/>
        <v>1</v>
      </c>
      <c r="AI73" s="43">
        <v>4275000</v>
      </c>
      <c r="AJ73" s="43">
        <v>225000</v>
      </c>
    </row>
    <row r="74" spans="1:36" s="1" customFormat="1" x14ac:dyDescent="0.45">
      <c r="A74" s="28" t="s">
        <v>38</v>
      </c>
      <c r="B74" s="43">
        <v>2119955824</v>
      </c>
      <c r="C74" s="43">
        <v>77633862.173045158</v>
      </c>
      <c r="D74" s="43">
        <v>34125467</v>
      </c>
      <c r="E74" s="43">
        <v>2008196494.8269548</v>
      </c>
      <c r="F74" s="43">
        <v>1308316430.590271</v>
      </c>
      <c r="G74" s="43"/>
      <c r="H74" s="43">
        <v>373352586.2655021</v>
      </c>
      <c r="I74" s="43"/>
      <c r="J74" s="43">
        <f t="shared" si="3"/>
        <v>79814754.144227013</v>
      </c>
      <c r="K74" s="43">
        <v>9695251.1573973149</v>
      </c>
      <c r="L74" s="43">
        <v>9140470.243182946</v>
      </c>
      <c r="M74" s="43">
        <v>31427796.086822342</v>
      </c>
      <c r="N74" s="43">
        <v>184485950.3395524</v>
      </c>
      <c r="O74" s="43">
        <v>11963256</v>
      </c>
      <c r="P74" s="1" t="b">
        <f t="shared" si="4"/>
        <v>1</v>
      </c>
      <c r="Q74" s="1" t="e">
        <f>O74=#REF!</f>
        <v>#REF!</v>
      </c>
      <c r="R74" s="1" t="e">
        <f>#REF!=#REF!</f>
        <v>#REF!</v>
      </c>
      <c r="AG74" s="1" t="b">
        <f t="shared" si="5"/>
        <v>1</v>
      </c>
      <c r="AI74" s="43">
        <v>75810408.063843444</v>
      </c>
      <c r="AJ74" s="43">
        <v>4004346.080383562</v>
      </c>
    </row>
    <row r="75" spans="1:36" s="1" customFormat="1" hidden="1" outlineLevel="1" x14ac:dyDescent="0.45">
      <c r="A75" s="29" t="s">
        <v>39</v>
      </c>
      <c r="B75" s="44">
        <v>0</v>
      </c>
      <c r="C75" s="44">
        <v>0</v>
      </c>
      <c r="D75" s="44">
        <v>0</v>
      </c>
      <c r="E75" s="44">
        <v>0</v>
      </c>
      <c r="F75" s="44">
        <v>0</v>
      </c>
      <c r="G75" s="44"/>
      <c r="H75" s="44">
        <v>0</v>
      </c>
      <c r="I75" s="44"/>
      <c r="J75" s="44">
        <f t="shared" si="3"/>
        <v>0</v>
      </c>
      <c r="K75" s="44">
        <v>0</v>
      </c>
      <c r="L75" s="44">
        <v>0</v>
      </c>
      <c r="M75" s="44">
        <v>0</v>
      </c>
      <c r="N75" s="44">
        <v>0</v>
      </c>
      <c r="O75" s="44">
        <v>0</v>
      </c>
      <c r="P75" s="1" t="b">
        <f t="shared" si="4"/>
        <v>1</v>
      </c>
      <c r="Q75" s="1" t="e">
        <f>O75=#REF!</f>
        <v>#REF!</v>
      </c>
      <c r="R75" s="1" t="e">
        <f>#REF!=#REF!</f>
        <v>#REF!</v>
      </c>
      <c r="AG75" s="1" t="b">
        <f t="shared" si="5"/>
        <v>1</v>
      </c>
      <c r="AI75" s="44">
        <v>0</v>
      </c>
      <c r="AJ75" s="44">
        <v>0</v>
      </c>
    </row>
    <row r="76" spans="1:36" ht="16" hidden="1" customHeight="1" outlineLevel="1" x14ac:dyDescent="0.45">
      <c r="A76" s="29" t="s">
        <v>40</v>
      </c>
      <c r="B76" s="44">
        <v>63825870</v>
      </c>
      <c r="C76" s="44">
        <v>3589870.0881614313</v>
      </c>
      <c r="D76" s="44">
        <v>1933197</v>
      </c>
      <c r="E76" s="44">
        <v>58302802.911838569</v>
      </c>
      <c r="F76" s="44">
        <v>36469495.713961676</v>
      </c>
      <c r="G76" s="44"/>
      <c r="H76" s="44">
        <v>11841371.476620965</v>
      </c>
      <c r="I76" s="44"/>
      <c r="J76" s="44">
        <f t="shared" si="3"/>
        <v>2766094.8094173609</v>
      </c>
      <c r="K76" s="44">
        <v>496758.55748783599</v>
      </c>
      <c r="L76" s="44">
        <v>451763.73380377697</v>
      </c>
      <c r="M76" s="44">
        <v>1576638.1949474858</v>
      </c>
      <c r="N76" s="44">
        <v>3925109.4255994628</v>
      </c>
      <c r="O76" s="44">
        <v>775571</v>
      </c>
      <c r="P76" s="1" t="b">
        <f t="shared" si="4"/>
        <v>1</v>
      </c>
      <c r="Q76" s="1" t="e">
        <f>O76=#REF!</f>
        <v>#REF!</v>
      </c>
      <c r="R76" s="1" t="e">
        <f>#REF!=#REF!</f>
        <v>#REF!</v>
      </c>
      <c r="AG76" s="1" t="b">
        <f t="shared" si="5"/>
        <v>1</v>
      </c>
      <c r="AI76" s="44">
        <v>2627156.0227804999</v>
      </c>
      <c r="AJ76" s="44">
        <v>138938.7866368611</v>
      </c>
    </row>
    <row r="77" spans="1:36" ht="16" hidden="1" customHeight="1" outlineLevel="1" x14ac:dyDescent="0.45">
      <c r="A77" s="29" t="s">
        <v>41</v>
      </c>
      <c r="B77" s="44">
        <v>348355560</v>
      </c>
      <c r="C77" s="44">
        <v>9906148.6427998543</v>
      </c>
      <c r="D77" s="44">
        <v>9377530</v>
      </c>
      <c r="E77" s="44">
        <v>329071881.35720015</v>
      </c>
      <c r="F77" s="44">
        <v>206221449.31452191</v>
      </c>
      <c r="G77" s="44"/>
      <c r="H77" s="44">
        <v>63809268.321820058</v>
      </c>
      <c r="I77" s="44"/>
      <c r="J77" s="44">
        <f t="shared" si="3"/>
        <v>16611262.363658044</v>
      </c>
      <c r="K77" s="44">
        <v>2730763.0182974432</v>
      </c>
      <c r="L77" s="44">
        <v>2623270.9237891082</v>
      </c>
      <c r="M77" s="44">
        <v>8983766.2955948878</v>
      </c>
      <c r="N77" s="44">
        <v>24519341.119518705</v>
      </c>
      <c r="O77" s="44">
        <v>3572760</v>
      </c>
      <c r="P77" s="1" t="b">
        <f t="shared" si="4"/>
        <v>1</v>
      </c>
      <c r="Q77" s="1" t="e">
        <f>O77=#REF!</f>
        <v>#REF!</v>
      </c>
      <c r="R77" s="1" t="e">
        <f>#REF!=#REF!</f>
        <v>#REF!</v>
      </c>
      <c r="AG77" s="1" t="b">
        <f t="shared" si="5"/>
        <v>1</v>
      </c>
      <c r="AI77" s="44">
        <v>15774919.301833792</v>
      </c>
      <c r="AJ77" s="44">
        <v>836343.06182425225</v>
      </c>
    </row>
    <row r="78" spans="1:36" ht="16" hidden="1" customHeight="1" outlineLevel="1" x14ac:dyDescent="0.45">
      <c r="A78" s="29" t="s">
        <v>42</v>
      </c>
      <c r="B78" s="44">
        <v>343861820</v>
      </c>
      <c r="C78" s="44">
        <v>16037519.71097517</v>
      </c>
      <c r="D78" s="44">
        <v>8393270</v>
      </c>
      <c r="E78" s="44">
        <v>319431030.28902483</v>
      </c>
      <c r="F78" s="44">
        <v>203152101.22575688</v>
      </c>
      <c r="G78" s="44"/>
      <c r="H78" s="44">
        <v>62869226.399203412</v>
      </c>
      <c r="I78" s="44"/>
      <c r="J78" s="44">
        <f t="shared" si="3"/>
        <v>17118092.3750397</v>
      </c>
      <c r="K78" s="44">
        <v>2608697.2803365598</v>
      </c>
      <c r="L78" s="44">
        <v>2540448.4861671096</v>
      </c>
      <c r="M78" s="44">
        <v>8610833.8220774662</v>
      </c>
      <c r="N78" s="44">
        <v>19436280.7004437</v>
      </c>
      <c r="O78" s="44">
        <v>3095350</v>
      </c>
      <c r="P78" s="1" t="b">
        <f t="shared" si="4"/>
        <v>1</v>
      </c>
      <c r="Q78" s="1" t="e">
        <f>O78=#REF!</f>
        <v>#REF!</v>
      </c>
      <c r="R78" s="1" t="e">
        <f>#REF!=#REF!</f>
        <v>#REF!</v>
      </c>
      <c r="AG78" s="1" t="b">
        <f t="shared" si="5"/>
        <v>1</v>
      </c>
      <c r="AI78" s="44">
        <v>16257840.710028585</v>
      </c>
      <c r="AJ78" s="44">
        <v>860251.66501111619</v>
      </c>
    </row>
    <row r="79" spans="1:36" ht="16" hidden="1" customHeight="1" outlineLevel="1" x14ac:dyDescent="0.45">
      <c r="A79" s="29" t="s">
        <v>43</v>
      </c>
      <c r="B79" s="44">
        <v>128834800</v>
      </c>
      <c r="C79" s="44">
        <v>6895953.1451305747</v>
      </c>
      <c r="D79" s="44">
        <v>3913470</v>
      </c>
      <c r="E79" s="44">
        <v>118025376.85486943</v>
      </c>
      <c r="F79" s="44">
        <v>73827079.693539262</v>
      </c>
      <c r="G79" s="44"/>
      <c r="H79" s="44">
        <v>23971101.697037011</v>
      </c>
      <c r="I79" s="44"/>
      <c r="J79" s="44">
        <f t="shared" si="3"/>
        <v>5599546.6094237333</v>
      </c>
      <c r="K79" s="44">
        <v>1005613.5267328385</v>
      </c>
      <c r="L79" s="44">
        <v>914527.72670757736</v>
      </c>
      <c r="M79" s="44">
        <v>3191675.247124068</v>
      </c>
      <c r="N79" s="44">
        <v>7945803.354304933</v>
      </c>
      <c r="O79" s="44">
        <v>1570029</v>
      </c>
      <c r="P79" s="1" t="b">
        <f t="shared" si="4"/>
        <v>1</v>
      </c>
      <c r="Q79" s="1" t="e">
        <f>O79=#REF!</f>
        <v>#REF!</v>
      </c>
      <c r="R79" s="1" t="e">
        <f>#REF!=#REF!</f>
        <v>#REF!</v>
      </c>
      <c r="AG79" s="1" t="b">
        <f t="shared" si="5"/>
        <v>1</v>
      </c>
      <c r="AI79" s="44">
        <v>5318287.2787850881</v>
      </c>
      <c r="AJ79" s="44">
        <v>281259.33063864539</v>
      </c>
    </row>
    <row r="80" spans="1:36" ht="16" hidden="1" customHeight="1" outlineLevel="1" x14ac:dyDescent="0.45">
      <c r="A80" s="29" t="s">
        <v>134</v>
      </c>
      <c r="B80" s="44">
        <v>0</v>
      </c>
      <c r="C80" s="44">
        <v>0</v>
      </c>
      <c r="D80" s="44">
        <v>0</v>
      </c>
      <c r="E80" s="44">
        <v>0</v>
      </c>
      <c r="F80" s="44">
        <v>0</v>
      </c>
      <c r="G80" s="44"/>
      <c r="H80" s="44">
        <v>0</v>
      </c>
      <c r="I80" s="44"/>
      <c r="J80" s="44">
        <f t="shared" si="3"/>
        <v>0</v>
      </c>
      <c r="K80" s="44">
        <v>0</v>
      </c>
      <c r="L80" s="44">
        <v>0</v>
      </c>
      <c r="M80" s="44">
        <v>0</v>
      </c>
      <c r="N80" s="44">
        <v>0</v>
      </c>
      <c r="O80" s="44">
        <v>0</v>
      </c>
      <c r="P80" s="1" t="b">
        <f t="shared" si="4"/>
        <v>1</v>
      </c>
      <c r="Q80" s="1" t="e">
        <f>O80=#REF!</f>
        <v>#REF!</v>
      </c>
      <c r="R80" s="1" t="e">
        <f>#REF!=#REF!</f>
        <v>#REF!</v>
      </c>
      <c r="AG80" s="1" t="b">
        <f t="shared" si="5"/>
        <v>1</v>
      </c>
      <c r="AI80" s="44">
        <v>0</v>
      </c>
      <c r="AJ80" s="44">
        <v>0</v>
      </c>
    </row>
    <row r="81" spans="1:36" ht="16" hidden="1" customHeight="1" outlineLevel="1" x14ac:dyDescent="0.45">
      <c r="A81" s="24" t="s">
        <v>44</v>
      </c>
      <c r="B81" s="45">
        <v>570534328</v>
      </c>
      <c r="C81" s="45">
        <v>3799500</v>
      </c>
      <c r="D81" s="45">
        <v>0</v>
      </c>
      <c r="E81" s="45">
        <v>566734828</v>
      </c>
      <c r="F81" s="45">
        <v>440062149.49082094</v>
      </c>
      <c r="G81" s="45"/>
      <c r="H81" s="45">
        <v>97718728.509179056</v>
      </c>
      <c r="I81" s="45"/>
      <c r="J81" s="45">
        <f t="shared" si="3"/>
        <v>24377950</v>
      </c>
      <c r="K81" s="45">
        <v>835000</v>
      </c>
      <c r="L81" s="45">
        <v>645000</v>
      </c>
      <c r="M81" s="45">
        <v>2080000</v>
      </c>
      <c r="N81" s="45">
        <v>1016000</v>
      </c>
      <c r="O81" s="45">
        <v>0</v>
      </c>
      <c r="P81" s="1" t="b">
        <f t="shared" si="4"/>
        <v>1</v>
      </c>
      <c r="Q81" s="1" t="e">
        <f>O81=#REF!</f>
        <v>#REF!</v>
      </c>
      <c r="R81" s="1" t="e">
        <f>#REF!=#REF!</f>
        <v>#REF!</v>
      </c>
      <c r="AG81" s="1" t="b">
        <f t="shared" si="5"/>
        <v>1</v>
      </c>
      <c r="AI81" s="45">
        <v>23159053</v>
      </c>
      <c r="AJ81" s="45">
        <v>1218897</v>
      </c>
    </row>
    <row r="82" spans="1:36" ht="16" hidden="1" customHeight="1" outlineLevel="1" x14ac:dyDescent="0.45">
      <c r="A82" s="29" t="s">
        <v>45</v>
      </c>
      <c r="B82" s="44">
        <v>34965000</v>
      </c>
      <c r="C82" s="44">
        <v>4910000</v>
      </c>
      <c r="D82" s="44">
        <v>5100000</v>
      </c>
      <c r="E82" s="44">
        <v>24955000</v>
      </c>
      <c r="F82" s="44">
        <v>11000815.586654395</v>
      </c>
      <c r="G82" s="44"/>
      <c r="H82" s="44">
        <v>8019184.4133456051</v>
      </c>
      <c r="I82" s="44"/>
      <c r="J82" s="44">
        <f t="shared" si="3"/>
        <v>1785000</v>
      </c>
      <c r="K82" s="44">
        <v>100000</v>
      </c>
      <c r="L82" s="44">
        <v>100000</v>
      </c>
      <c r="M82" s="44">
        <v>600000</v>
      </c>
      <c r="N82" s="44">
        <v>2550000</v>
      </c>
      <c r="O82" s="44">
        <v>800000</v>
      </c>
      <c r="P82" s="1" t="b">
        <f t="shared" si="4"/>
        <v>1</v>
      </c>
      <c r="Q82" s="1" t="e">
        <f>O82=#REF!</f>
        <v>#REF!</v>
      </c>
      <c r="R82" s="1" t="e">
        <f>#REF!=#REF!</f>
        <v>#REF!</v>
      </c>
      <c r="AG82" s="1" t="b">
        <f t="shared" si="5"/>
        <v>1</v>
      </c>
      <c r="AI82" s="44">
        <v>1695750</v>
      </c>
      <c r="AJ82" s="44">
        <v>89250</v>
      </c>
    </row>
    <row r="83" spans="1:36" ht="16" hidden="1" customHeight="1" outlineLevel="1" x14ac:dyDescent="0.45">
      <c r="A83" s="29" t="s">
        <v>46</v>
      </c>
      <c r="B83" s="44">
        <v>19868045</v>
      </c>
      <c r="C83" s="44">
        <v>19260745.452905677</v>
      </c>
      <c r="D83" s="44">
        <v>110000</v>
      </c>
      <c r="E83" s="44">
        <v>497299.5470943242</v>
      </c>
      <c r="F83" s="44">
        <v>180030.51769223009</v>
      </c>
      <c r="G83" s="44"/>
      <c r="H83" s="44">
        <v>23469.482307769918</v>
      </c>
      <c r="I83" s="44"/>
      <c r="J83" s="44">
        <f t="shared" si="3"/>
        <v>0</v>
      </c>
      <c r="K83" s="44">
        <v>50942.714633917371</v>
      </c>
      <c r="L83" s="44">
        <v>48739.226427921603</v>
      </c>
      <c r="M83" s="44">
        <v>160604.6070073155</v>
      </c>
      <c r="N83" s="44">
        <v>33512.999025169724</v>
      </c>
      <c r="O83" s="44">
        <v>0</v>
      </c>
      <c r="P83" s="1" t="b">
        <f t="shared" si="4"/>
        <v>1</v>
      </c>
      <c r="Q83" s="1" t="e">
        <f>O83=#REF!</f>
        <v>#REF!</v>
      </c>
      <c r="R83" s="1" t="e">
        <f>#REF!=#REF!</f>
        <v>#REF!</v>
      </c>
      <c r="AG83" s="1" t="b">
        <f t="shared" si="5"/>
        <v>1</v>
      </c>
      <c r="AI83" s="44">
        <v>0</v>
      </c>
      <c r="AJ83" s="44">
        <v>0</v>
      </c>
    </row>
    <row r="84" spans="1:36" ht="16" hidden="1" customHeight="1" outlineLevel="1" x14ac:dyDescent="0.45">
      <c r="A84" s="29" t="s">
        <v>47</v>
      </c>
      <c r="B84" s="44">
        <v>9513904</v>
      </c>
      <c r="C84" s="44">
        <v>817469</v>
      </c>
      <c r="D84" s="44">
        <v>48000</v>
      </c>
      <c r="E84" s="44">
        <v>8648435</v>
      </c>
      <c r="F84" s="44">
        <v>7084208.6340133101</v>
      </c>
      <c r="G84" s="44"/>
      <c r="H84" s="44">
        <v>1289589.3659866904</v>
      </c>
      <c r="I84" s="44"/>
      <c r="J84" s="44">
        <f t="shared" si="3"/>
        <v>0</v>
      </c>
      <c r="K84" s="44">
        <v>0</v>
      </c>
      <c r="L84" s="44">
        <v>0</v>
      </c>
      <c r="M84" s="44">
        <v>119182</v>
      </c>
      <c r="N84" s="44">
        <v>25909</v>
      </c>
      <c r="O84" s="44">
        <v>129546</v>
      </c>
      <c r="P84" s="1" t="b">
        <f t="shared" si="4"/>
        <v>1</v>
      </c>
      <c r="Q84" s="1" t="e">
        <f>O84=#REF!</f>
        <v>#REF!</v>
      </c>
      <c r="R84" s="1" t="e">
        <f>#REF!=#REF!</f>
        <v>#REF!</v>
      </c>
      <c r="AG84" s="1" t="b">
        <f t="shared" si="5"/>
        <v>1</v>
      </c>
      <c r="AI84" s="44">
        <v>0</v>
      </c>
      <c r="AJ84" s="44">
        <v>0</v>
      </c>
    </row>
    <row r="85" spans="1:36" ht="16" hidden="1" customHeight="1" outlineLevel="1" x14ac:dyDescent="0.45">
      <c r="A85" s="29" t="s">
        <v>246</v>
      </c>
      <c r="B85" s="44">
        <v>16450000</v>
      </c>
      <c r="C85" s="44">
        <v>0</v>
      </c>
      <c r="D85" s="44">
        <v>0</v>
      </c>
      <c r="E85" s="44">
        <v>16450000</v>
      </c>
      <c r="F85" s="44">
        <v>9800000</v>
      </c>
      <c r="G85" s="44"/>
      <c r="H85" s="44">
        <v>4150000</v>
      </c>
      <c r="I85" s="44"/>
      <c r="J85" s="44">
        <f t="shared" si="3"/>
        <v>0</v>
      </c>
      <c r="K85" s="44">
        <v>0</v>
      </c>
      <c r="L85" s="44">
        <v>0</v>
      </c>
      <c r="M85" s="44">
        <v>0</v>
      </c>
      <c r="N85" s="44">
        <v>2500000</v>
      </c>
      <c r="O85" s="44">
        <v>0</v>
      </c>
      <c r="P85" s="1" t="b">
        <f t="shared" si="4"/>
        <v>1</v>
      </c>
      <c r="Q85" s="1" t="e">
        <f>O85=#REF!</f>
        <v>#REF!</v>
      </c>
      <c r="R85" s="1" t="e">
        <f>#REF!=#REF!</f>
        <v>#REF!</v>
      </c>
      <c r="AG85" s="1" t="b">
        <f t="shared" si="5"/>
        <v>1</v>
      </c>
      <c r="AI85" s="44">
        <v>0</v>
      </c>
      <c r="AJ85" s="44">
        <v>0</v>
      </c>
    </row>
    <row r="86" spans="1:36" ht="16" hidden="1" customHeight="1" outlineLevel="1" x14ac:dyDescent="0.45">
      <c r="A86" s="29" t="s">
        <v>48</v>
      </c>
      <c r="B86" s="44">
        <v>0</v>
      </c>
      <c r="C86" s="44">
        <v>0</v>
      </c>
      <c r="D86" s="44">
        <v>0</v>
      </c>
      <c r="E86" s="44">
        <v>0</v>
      </c>
      <c r="F86" s="44">
        <v>0</v>
      </c>
      <c r="G86" s="44"/>
      <c r="H86" s="44">
        <v>0</v>
      </c>
      <c r="I86" s="44"/>
      <c r="J86" s="44">
        <f t="shared" si="3"/>
        <v>0</v>
      </c>
      <c r="K86" s="44">
        <v>0</v>
      </c>
      <c r="L86" s="44">
        <v>0</v>
      </c>
      <c r="M86" s="44">
        <v>0</v>
      </c>
      <c r="N86" s="44">
        <v>0</v>
      </c>
      <c r="O86" s="44">
        <v>0</v>
      </c>
      <c r="P86" s="1" t="b">
        <f t="shared" si="4"/>
        <v>1</v>
      </c>
      <c r="Q86" s="1" t="e">
        <f>O86=#REF!</f>
        <v>#REF!</v>
      </c>
      <c r="R86" s="1" t="e">
        <f>#REF!=#REF!</f>
        <v>#REF!</v>
      </c>
      <c r="AG86" s="1" t="b">
        <f t="shared" si="5"/>
        <v>1</v>
      </c>
      <c r="AI86" s="44">
        <v>0</v>
      </c>
      <c r="AJ86" s="44">
        <v>0</v>
      </c>
    </row>
    <row r="87" spans="1:36" ht="16" hidden="1" customHeight="1" outlineLevel="1" x14ac:dyDescent="0.45">
      <c r="A87" s="29" t="s">
        <v>49</v>
      </c>
      <c r="B87" s="44">
        <v>0</v>
      </c>
      <c r="C87" s="44">
        <v>0</v>
      </c>
      <c r="D87" s="44">
        <v>0</v>
      </c>
      <c r="E87" s="44">
        <v>0</v>
      </c>
      <c r="F87" s="44">
        <v>0</v>
      </c>
      <c r="G87" s="44"/>
      <c r="H87" s="44">
        <v>0</v>
      </c>
      <c r="I87" s="44"/>
      <c r="J87" s="44">
        <f t="shared" si="3"/>
        <v>0</v>
      </c>
      <c r="K87" s="44">
        <v>0</v>
      </c>
      <c r="L87" s="44">
        <v>0</v>
      </c>
      <c r="M87" s="44">
        <v>0</v>
      </c>
      <c r="N87" s="44">
        <v>0</v>
      </c>
      <c r="O87" s="44">
        <v>0</v>
      </c>
      <c r="P87" s="1" t="b">
        <f t="shared" si="4"/>
        <v>1</v>
      </c>
      <c r="Q87" s="1" t="e">
        <f>O87=#REF!</f>
        <v>#REF!</v>
      </c>
      <c r="R87" s="1" t="e">
        <f>#REF!=#REF!</f>
        <v>#REF!</v>
      </c>
      <c r="AG87" s="1" t="b">
        <f t="shared" si="5"/>
        <v>1</v>
      </c>
      <c r="AI87" s="44">
        <v>0</v>
      </c>
      <c r="AJ87" s="44">
        <v>0</v>
      </c>
    </row>
    <row r="88" spans="1:36" ht="16" hidden="1" customHeight="1" outlineLevel="1" x14ac:dyDescent="0.45">
      <c r="A88" s="29" t="s">
        <v>182</v>
      </c>
      <c r="B88" s="44">
        <v>0</v>
      </c>
      <c r="C88" s="44">
        <v>0</v>
      </c>
      <c r="D88" s="44">
        <v>0</v>
      </c>
      <c r="E88" s="44">
        <v>0</v>
      </c>
      <c r="F88" s="44">
        <v>0</v>
      </c>
      <c r="G88" s="44"/>
      <c r="H88" s="44">
        <v>0</v>
      </c>
      <c r="I88" s="44"/>
      <c r="J88" s="44">
        <f t="shared" si="3"/>
        <v>0</v>
      </c>
      <c r="K88" s="44">
        <v>0</v>
      </c>
      <c r="L88" s="44">
        <v>0</v>
      </c>
      <c r="M88" s="44">
        <v>0</v>
      </c>
      <c r="N88" s="44">
        <v>0</v>
      </c>
      <c r="O88" s="44">
        <v>0</v>
      </c>
      <c r="P88" s="1" t="b">
        <f t="shared" si="4"/>
        <v>1</v>
      </c>
      <c r="Q88" s="1" t="e">
        <f>O88=#REF!</f>
        <v>#REF!</v>
      </c>
      <c r="R88" s="1" t="e">
        <f>#REF!=#REF!</f>
        <v>#REF!</v>
      </c>
      <c r="AG88" s="1" t="b">
        <f t="shared" si="5"/>
        <v>1</v>
      </c>
      <c r="AI88" s="44">
        <v>0</v>
      </c>
      <c r="AJ88" s="44">
        <v>0</v>
      </c>
    </row>
    <row r="89" spans="1:36" ht="16" hidden="1" customHeight="1" outlineLevel="1" x14ac:dyDescent="0.45">
      <c r="A89" s="29" t="s">
        <v>50</v>
      </c>
      <c r="B89" s="44">
        <v>0</v>
      </c>
      <c r="C89" s="44">
        <v>0</v>
      </c>
      <c r="D89" s="44">
        <v>0</v>
      </c>
      <c r="E89" s="44">
        <v>0</v>
      </c>
      <c r="F89" s="44">
        <v>0</v>
      </c>
      <c r="G89" s="44"/>
      <c r="H89" s="44">
        <v>0</v>
      </c>
      <c r="I89" s="44"/>
      <c r="J89" s="44">
        <f t="shared" si="3"/>
        <v>0</v>
      </c>
      <c r="K89" s="44">
        <v>0</v>
      </c>
      <c r="L89" s="44">
        <v>0</v>
      </c>
      <c r="M89" s="44">
        <v>0</v>
      </c>
      <c r="N89" s="44">
        <v>0</v>
      </c>
      <c r="O89" s="44">
        <v>0</v>
      </c>
      <c r="P89" s="1" t="b">
        <f t="shared" si="4"/>
        <v>1</v>
      </c>
      <c r="Q89" s="1" t="e">
        <f>O89=#REF!</f>
        <v>#REF!</v>
      </c>
      <c r="R89" s="1" t="e">
        <f>#REF!=#REF!</f>
        <v>#REF!</v>
      </c>
      <c r="AG89" s="1" t="b">
        <f t="shared" si="5"/>
        <v>1</v>
      </c>
      <c r="AI89" s="44">
        <v>0</v>
      </c>
      <c r="AJ89" s="44">
        <v>0</v>
      </c>
    </row>
    <row r="90" spans="1:36" ht="16" hidden="1" customHeight="1" outlineLevel="1" x14ac:dyDescent="0.45">
      <c r="A90" s="29" t="s">
        <v>183</v>
      </c>
      <c r="B90" s="44">
        <v>0</v>
      </c>
      <c r="C90" s="44">
        <v>0</v>
      </c>
      <c r="D90" s="44">
        <v>0</v>
      </c>
      <c r="E90" s="44">
        <v>0</v>
      </c>
      <c r="F90" s="44">
        <v>0</v>
      </c>
      <c r="G90" s="44"/>
      <c r="H90" s="44">
        <v>0</v>
      </c>
      <c r="I90" s="44"/>
      <c r="J90" s="44">
        <f t="shared" si="3"/>
        <v>0</v>
      </c>
      <c r="K90" s="44">
        <v>0</v>
      </c>
      <c r="L90" s="44">
        <v>0</v>
      </c>
      <c r="M90" s="44">
        <v>0</v>
      </c>
      <c r="N90" s="44">
        <v>0</v>
      </c>
      <c r="O90" s="44">
        <v>0</v>
      </c>
      <c r="P90" s="1" t="b">
        <f t="shared" si="4"/>
        <v>1</v>
      </c>
      <c r="Q90" s="1" t="e">
        <f>O90=#REF!</f>
        <v>#REF!</v>
      </c>
      <c r="R90" s="1" t="e">
        <f>#REF!=#REF!</f>
        <v>#REF!</v>
      </c>
      <c r="AG90" s="1" t="b">
        <f t="shared" si="5"/>
        <v>1</v>
      </c>
      <c r="AI90" s="44">
        <v>0</v>
      </c>
      <c r="AJ90" s="44">
        <v>0</v>
      </c>
    </row>
    <row r="91" spans="1:36" ht="16" hidden="1" customHeight="1" outlineLevel="1" x14ac:dyDescent="0.45">
      <c r="A91" s="29" t="s">
        <v>51</v>
      </c>
      <c r="B91" s="44">
        <v>0</v>
      </c>
      <c r="C91" s="44">
        <v>0</v>
      </c>
      <c r="D91" s="44">
        <v>0</v>
      </c>
      <c r="E91" s="44">
        <v>0</v>
      </c>
      <c r="F91" s="44">
        <v>0</v>
      </c>
      <c r="G91" s="44"/>
      <c r="H91" s="44">
        <v>0</v>
      </c>
      <c r="I91" s="44"/>
      <c r="J91" s="44">
        <f t="shared" si="3"/>
        <v>0</v>
      </c>
      <c r="K91" s="44">
        <v>0</v>
      </c>
      <c r="L91" s="44">
        <v>0</v>
      </c>
      <c r="M91" s="44">
        <v>0</v>
      </c>
      <c r="N91" s="44">
        <v>0</v>
      </c>
      <c r="O91" s="44">
        <v>0</v>
      </c>
      <c r="P91" s="1" t="b">
        <f t="shared" si="4"/>
        <v>1</v>
      </c>
      <c r="Q91" s="1" t="e">
        <f>O91=#REF!</f>
        <v>#REF!</v>
      </c>
      <c r="R91" s="1" t="e">
        <f>#REF!=#REF!</f>
        <v>#REF!</v>
      </c>
      <c r="AG91" s="1" t="b">
        <f t="shared" si="5"/>
        <v>1</v>
      </c>
      <c r="AI91" s="44">
        <v>0</v>
      </c>
      <c r="AJ91" s="44">
        <v>0</v>
      </c>
    </row>
    <row r="92" spans="1:36" ht="16" hidden="1" customHeight="1" outlineLevel="1" x14ac:dyDescent="0.45">
      <c r="A92" s="31" t="s">
        <v>303</v>
      </c>
      <c r="B92" s="47">
        <v>0</v>
      </c>
      <c r="C92" s="47">
        <v>0</v>
      </c>
      <c r="D92" s="47">
        <v>0</v>
      </c>
      <c r="E92" s="47">
        <v>0</v>
      </c>
      <c r="F92" s="47">
        <v>0</v>
      </c>
      <c r="G92" s="47"/>
      <c r="H92" s="47">
        <v>0</v>
      </c>
      <c r="I92" s="47"/>
      <c r="J92" s="47">
        <f t="shared" si="3"/>
        <v>0</v>
      </c>
      <c r="K92" s="47">
        <v>0</v>
      </c>
      <c r="L92" s="47">
        <v>0</v>
      </c>
      <c r="M92" s="47">
        <v>0</v>
      </c>
      <c r="N92" s="47">
        <v>0</v>
      </c>
      <c r="O92" s="47">
        <v>0</v>
      </c>
      <c r="P92" s="1" t="b">
        <f t="shared" si="4"/>
        <v>1</v>
      </c>
      <c r="Q92" s="1" t="e">
        <f>O92=#REF!</f>
        <v>#REF!</v>
      </c>
      <c r="R92" s="1" t="e">
        <f>#REF!=#REF!</f>
        <v>#REF!</v>
      </c>
      <c r="AG92" s="1" t="b">
        <f t="shared" si="5"/>
        <v>1</v>
      </c>
      <c r="AI92" s="47">
        <v>0</v>
      </c>
      <c r="AJ92" s="47">
        <v>0</v>
      </c>
    </row>
    <row r="93" spans="1:36" ht="16" hidden="1" customHeight="1" outlineLevel="1" x14ac:dyDescent="0.45">
      <c r="A93" s="29" t="s">
        <v>184</v>
      </c>
      <c r="B93" s="44">
        <v>0</v>
      </c>
      <c r="C93" s="44">
        <v>0</v>
      </c>
      <c r="D93" s="44">
        <v>0</v>
      </c>
      <c r="E93" s="44">
        <v>0</v>
      </c>
      <c r="F93" s="44">
        <v>0</v>
      </c>
      <c r="G93" s="44"/>
      <c r="H93" s="44">
        <v>0</v>
      </c>
      <c r="I93" s="44"/>
      <c r="J93" s="44">
        <f t="shared" si="3"/>
        <v>0</v>
      </c>
      <c r="K93" s="44">
        <v>0</v>
      </c>
      <c r="L93" s="44">
        <v>0</v>
      </c>
      <c r="M93" s="44">
        <v>0</v>
      </c>
      <c r="N93" s="44">
        <v>0</v>
      </c>
      <c r="O93" s="44">
        <v>0</v>
      </c>
      <c r="P93" s="1" t="b">
        <f t="shared" si="4"/>
        <v>1</v>
      </c>
      <c r="Q93" s="1" t="e">
        <f>O93=#REF!</f>
        <v>#REF!</v>
      </c>
      <c r="R93" s="1" t="e">
        <f>#REF!=#REF!</f>
        <v>#REF!</v>
      </c>
      <c r="AG93" s="1" t="b">
        <f t="shared" si="5"/>
        <v>1</v>
      </c>
      <c r="AI93" s="44">
        <v>0</v>
      </c>
      <c r="AJ93" s="44">
        <v>0</v>
      </c>
    </row>
    <row r="94" spans="1:36" ht="16" hidden="1" customHeight="1" outlineLevel="1" x14ac:dyDescent="0.45">
      <c r="A94" s="31" t="s">
        <v>185</v>
      </c>
      <c r="B94" s="47">
        <v>0</v>
      </c>
      <c r="C94" s="47">
        <v>0</v>
      </c>
      <c r="D94" s="47">
        <v>0</v>
      </c>
      <c r="E94" s="47">
        <v>0</v>
      </c>
      <c r="F94" s="47">
        <v>0</v>
      </c>
      <c r="G94" s="47"/>
      <c r="H94" s="47">
        <v>0</v>
      </c>
      <c r="I94" s="47"/>
      <c r="J94" s="47">
        <f t="shared" si="3"/>
        <v>0</v>
      </c>
      <c r="K94" s="47">
        <v>0</v>
      </c>
      <c r="L94" s="47">
        <v>0</v>
      </c>
      <c r="M94" s="47">
        <v>0</v>
      </c>
      <c r="N94" s="47">
        <v>0</v>
      </c>
      <c r="O94" s="47">
        <v>0</v>
      </c>
      <c r="P94" s="1" t="b">
        <f t="shared" si="4"/>
        <v>1</v>
      </c>
      <c r="Q94" s="1" t="e">
        <f>O94=#REF!</f>
        <v>#REF!</v>
      </c>
      <c r="R94" s="1" t="e">
        <f>#REF!=#REF!</f>
        <v>#REF!</v>
      </c>
      <c r="AG94" s="1" t="b">
        <f t="shared" si="5"/>
        <v>1</v>
      </c>
      <c r="AI94" s="47">
        <v>0</v>
      </c>
      <c r="AJ94" s="47">
        <v>0</v>
      </c>
    </row>
    <row r="95" spans="1:36" ht="16" hidden="1" customHeight="1" outlineLevel="1" x14ac:dyDescent="0.45">
      <c r="A95" s="29" t="s">
        <v>186</v>
      </c>
      <c r="B95" s="44">
        <v>0</v>
      </c>
      <c r="C95" s="44">
        <v>0</v>
      </c>
      <c r="D95" s="44">
        <v>0</v>
      </c>
      <c r="E95" s="44">
        <v>0</v>
      </c>
      <c r="F95" s="44">
        <v>0</v>
      </c>
      <c r="G95" s="44"/>
      <c r="H95" s="44">
        <v>0</v>
      </c>
      <c r="I95" s="44"/>
      <c r="J95" s="44">
        <f t="shared" si="3"/>
        <v>0</v>
      </c>
      <c r="K95" s="44">
        <v>0</v>
      </c>
      <c r="L95" s="44">
        <v>0</v>
      </c>
      <c r="M95" s="44">
        <v>0</v>
      </c>
      <c r="N95" s="44">
        <v>0</v>
      </c>
      <c r="O95" s="44">
        <v>0</v>
      </c>
      <c r="P95" s="1" t="b">
        <f t="shared" si="4"/>
        <v>1</v>
      </c>
      <c r="Q95" s="1" t="e">
        <f>O95=#REF!</f>
        <v>#REF!</v>
      </c>
      <c r="R95" s="1" t="e">
        <f>#REF!=#REF!</f>
        <v>#REF!</v>
      </c>
      <c r="AG95" s="1" t="b">
        <f t="shared" si="5"/>
        <v>1</v>
      </c>
      <c r="AI95" s="44">
        <v>0</v>
      </c>
      <c r="AJ95" s="44">
        <v>0</v>
      </c>
    </row>
    <row r="96" spans="1:36" ht="16" hidden="1" customHeight="1" outlineLevel="1" x14ac:dyDescent="0.45">
      <c r="A96" s="31" t="s">
        <v>304</v>
      </c>
      <c r="B96" s="47">
        <v>0</v>
      </c>
      <c r="C96" s="47">
        <v>0</v>
      </c>
      <c r="D96" s="47">
        <v>0</v>
      </c>
      <c r="E96" s="47">
        <v>0</v>
      </c>
      <c r="F96" s="47">
        <v>0</v>
      </c>
      <c r="G96" s="47"/>
      <c r="H96" s="47">
        <v>0</v>
      </c>
      <c r="I96" s="47"/>
      <c r="J96" s="47">
        <f t="shared" si="3"/>
        <v>0</v>
      </c>
      <c r="K96" s="47">
        <v>0</v>
      </c>
      <c r="L96" s="47">
        <v>0</v>
      </c>
      <c r="M96" s="47">
        <v>0</v>
      </c>
      <c r="N96" s="47">
        <v>0</v>
      </c>
      <c r="O96" s="47">
        <v>0</v>
      </c>
      <c r="P96" s="1" t="b">
        <f t="shared" si="4"/>
        <v>1</v>
      </c>
      <c r="Q96" s="1" t="e">
        <f>O96=#REF!</f>
        <v>#REF!</v>
      </c>
      <c r="R96" s="1" t="e">
        <f>#REF!=#REF!</f>
        <v>#REF!</v>
      </c>
      <c r="AG96" s="1" t="b">
        <f t="shared" si="5"/>
        <v>1</v>
      </c>
      <c r="AI96" s="47">
        <v>0</v>
      </c>
      <c r="AJ96" s="47">
        <v>0</v>
      </c>
    </row>
    <row r="97" spans="1:36" ht="16" hidden="1" customHeight="1" outlineLevel="1" x14ac:dyDescent="0.45">
      <c r="A97" s="29" t="s">
        <v>135</v>
      </c>
      <c r="B97" s="44">
        <v>0</v>
      </c>
      <c r="C97" s="44">
        <v>0</v>
      </c>
      <c r="D97" s="44">
        <v>0</v>
      </c>
      <c r="E97" s="44">
        <v>0</v>
      </c>
      <c r="F97" s="44">
        <v>0</v>
      </c>
      <c r="G97" s="44"/>
      <c r="H97" s="44">
        <v>0</v>
      </c>
      <c r="I97" s="44"/>
      <c r="J97" s="44">
        <f t="shared" si="3"/>
        <v>0</v>
      </c>
      <c r="K97" s="44">
        <v>0</v>
      </c>
      <c r="L97" s="44">
        <v>0</v>
      </c>
      <c r="M97" s="44">
        <v>0</v>
      </c>
      <c r="N97" s="44">
        <v>0</v>
      </c>
      <c r="O97" s="44">
        <v>0</v>
      </c>
      <c r="P97" s="1" t="b">
        <f t="shared" si="4"/>
        <v>1</v>
      </c>
      <c r="Q97" s="1" t="e">
        <f>O97=#REF!</f>
        <v>#REF!</v>
      </c>
      <c r="R97" s="1" t="e">
        <f>#REF!=#REF!</f>
        <v>#REF!</v>
      </c>
      <c r="AG97" s="1" t="b">
        <f t="shared" si="5"/>
        <v>1</v>
      </c>
      <c r="AI97" s="44">
        <v>0</v>
      </c>
      <c r="AJ97" s="44">
        <v>0</v>
      </c>
    </row>
    <row r="98" spans="1:36" ht="16" hidden="1" customHeight="1" outlineLevel="1" x14ac:dyDescent="0.45">
      <c r="A98" s="29" t="s">
        <v>52</v>
      </c>
      <c r="B98" s="44">
        <v>0</v>
      </c>
      <c r="C98" s="44">
        <v>0</v>
      </c>
      <c r="D98" s="44">
        <v>0</v>
      </c>
      <c r="E98" s="44">
        <v>0</v>
      </c>
      <c r="F98" s="44">
        <v>0</v>
      </c>
      <c r="G98" s="44"/>
      <c r="H98" s="44">
        <v>0</v>
      </c>
      <c r="I98" s="44"/>
      <c r="J98" s="44">
        <f t="shared" si="3"/>
        <v>0</v>
      </c>
      <c r="K98" s="44">
        <v>0</v>
      </c>
      <c r="L98" s="44">
        <v>0</v>
      </c>
      <c r="M98" s="44">
        <v>0</v>
      </c>
      <c r="N98" s="44">
        <v>0</v>
      </c>
      <c r="O98" s="44">
        <v>0</v>
      </c>
      <c r="P98" s="1" t="b">
        <f t="shared" si="4"/>
        <v>1</v>
      </c>
      <c r="Q98" s="1" t="e">
        <f>O98=#REF!</f>
        <v>#REF!</v>
      </c>
      <c r="R98" s="1" t="e">
        <f>#REF!=#REF!</f>
        <v>#REF!</v>
      </c>
      <c r="AG98" s="1" t="b">
        <f t="shared" si="5"/>
        <v>1</v>
      </c>
      <c r="AI98" s="44">
        <v>0</v>
      </c>
      <c r="AJ98" s="44">
        <v>0</v>
      </c>
    </row>
    <row r="99" spans="1:36" ht="16" hidden="1" customHeight="1" outlineLevel="1" x14ac:dyDescent="0.45">
      <c r="A99" s="31" t="s">
        <v>187</v>
      </c>
      <c r="B99" s="47">
        <v>0</v>
      </c>
      <c r="C99" s="47">
        <v>0</v>
      </c>
      <c r="D99" s="47">
        <v>0</v>
      </c>
      <c r="E99" s="47">
        <v>0</v>
      </c>
      <c r="F99" s="47">
        <v>0</v>
      </c>
      <c r="G99" s="47"/>
      <c r="H99" s="47">
        <v>0</v>
      </c>
      <c r="I99" s="47"/>
      <c r="J99" s="47">
        <f t="shared" si="3"/>
        <v>0</v>
      </c>
      <c r="K99" s="47">
        <v>0</v>
      </c>
      <c r="L99" s="47">
        <v>0</v>
      </c>
      <c r="M99" s="47">
        <v>0</v>
      </c>
      <c r="N99" s="47">
        <v>0</v>
      </c>
      <c r="O99" s="47">
        <v>0</v>
      </c>
      <c r="P99" s="1" t="b">
        <f t="shared" si="4"/>
        <v>1</v>
      </c>
      <c r="Q99" s="1" t="e">
        <f>O99=#REF!</f>
        <v>#REF!</v>
      </c>
      <c r="R99" s="1" t="e">
        <f>#REF!=#REF!</f>
        <v>#REF!</v>
      </c>
      <c r="AG99" s="1" t="b">
        <f t="shared" si="5"/>
        <v>1</v>
      </c>
      <c r="AI99" s="47">
        <v>0</v>
      </c>
      <c r="AJ99" s="47">
        <v>0</v>
      </c>
    </row>
    <row r="100" spans="1:36" ht="16" hidden="1" customHeight="1" outlineLevel="1" x14ac:dyDescent="0.45">
      <c r="A100" s="29" t="s">
        <v>114</v>
      </c>
      <c r="B100" s="44">
        <v>0</v>
      </c>
      <c r="C100" s="44">
        <v>0</v>
      </c>
      <c r="D100" s="44">
        <v>0</v>
      </c>
      <c r="E100" s="44">
        <v>0</v>
      </c>
      <c r="F100" s="44">
        <v>0</v>
      </c>
      <c r="G100" s="44"/>
      <c r="H100" s="44">
        <v>0</v>
      </c>
      <c r="I100" s="44"/>
      <c r="J100" s="44">
        <f t="shared" si="3"/>
        <v>0</v>
      </c>
      <c r="K100" s="44">
        <v>0</v>
      </c>
      <c r="L100" s="44">
        <v>0</v>
      </c>
      <c r="M100" s="44">
        <v>0</v>
      </c>
      <c r="N100" s="44">
        <v>0</v>
      </c>
      <c r="O100" s="44">
        <v>0</v>
      </c>
      <c r="P100" s="1" t="b">
        <f t="shared" si="4"/>
        <v>1</v>
      </c>
      <c r="Q100" s="1" t="e">
        <f>O100=#REF!</f>
        <v>#REF!</v>
      </c>
      <c r="R100" s="1" t="e">
        <f>#REF!=#REF!</f>
        <v>#REF!</v>
      </c>
      <c r="AG100" s="1" t="b">
        <f t="shared" si="5"/>
        <v>1</v>
      </c>
      <c r="AI100" s="44">
        <v>0</v>
      </c>
      <c r="AJ100" s="44">
        <v>0</v>
      </c>
    </row>
    <row r="101" spans="1:36" ht="16" hidden="1" customHeight="1" outlineLevel="1" x14ac:dyDescent="0.45">
      <c r="A101" s="29" t="s">
        <v>188</v>
      </c>
      <c r="B101" s="44">
        <v>0</v>
      </c>
      <c r="C101" s="44">
        <v>0</v>
      </c>
      <c r="D101" s="44">
        <v>0</v>
      </c>
      <c r="E101" s="44">
        <v>0</v>
      </c>
      <c r="F101" s="44">
        <v>0</v>
      </c>
      <c r="G101" s="44"/>
      <c r="H101" s="44">
        <v>0</v>
      </c>
      <c r="I101" s="44"/>
      <c r="J101" s="44">
        <f t="shared" si="3"/>
        <v>0</v>
      </c>
      <c r="K101" s="44">
        <v>0</v>
      </c>
      <c r="L101" s="44">
        <v>0</v>
      </c>
      <c r="M101" s="44">
        <v>0</v>
      </c>
      <c r="N101" s="44">
        <v>0</v>
      </c>
      <c r="O101" s="44">
        <v>0</v>
      </c>
      <c r="P101" s="1" t="b">
        <f t="shared" si="4"/>
        <v>1</v>
      </c>
      <c r="Q101" s="1" t="e">
        <f>O101=#REF!</f>
        <v>#REF!</v>
      </c>
      <c r="R101" s="1" t="e">
        <f>#REF!=#REF!</f>
        <v>#REF!</v>
      </c>
      <c r="AG101" s="1" t="b">
        <f t="shared" si="5"/>
        <v>1</v>
      </c>
      <c r="AI101" s="44">
        <v>0</v>
      </c>
      <c r="AJ101" s="44">
        <v>0</v>
      </c>
    </row>
    <row r="102" spans="1:36" ht="16" hidden="1" customHeight="1" outlineLevel="1" x14ac:dyDescent="0.45">
      <c r="A102" s="29" t="s">
        <v>259</v>
      </c>
      <c r="B102" s="44">
        <v>0</v>
      </c>
      <c r="C102" s="44">
        <v>0</v>
      </c>
      <c r="D102" s="44">
        <v>0</v>
      </c>
      <c r="E102" s="44">
        <v>0</v>
      </c>
      <c r="F102" s="44">
        <v>0</v>
      </c>
      <c r="G102" s="44"/>
      <c r="H102" s="44">
        <v>0</v>
      </c>
      <c r="I102" s="44"/>
      <c r="J102" s="44">
        <f t="shared" si="3"/>
        <v>0</v>
      </c>
      <c r="K102" s="44">
        <v>0</v>
      </c>
      <c r="L102" s="44">
        <v>0</v>
      </c>
      <c r="M102" s="44">
        <v>0</v>
      </c>
      <c r="N102" s="44">
        <v>0</v>
      </c>
      <c r="O102" s="44">
        <v>0</v>
      </c>
      <c r="P102" s="1" t="b">
        <f t="shared" si="4"/>
        <v>1</v>
      </c>
      <c r="Q102" s="1" t="e">
        <f>O102=#REF!</f>
        <v>#REF!</v>
      </c>
      <c r="R102" s="1" t="e">
        <f>#REF!=#REF!</f>
        <v>#REF!</v>
      </c>
      <c r="AG102" s="1" t="b">
        <f t="shared" si="5"/>
        <v>1</v>
      </c>
      <c r="AI102" s="44">
        <v>0</v>
      </c>
      <c r="AJ102" s="44">
        <v>0</v>
      </c>
    </row>
    <row r="103" spans="1:36" ht="16" hidden="1" customHeight="1" outlineLevel="1" x14ac:dyDescent="0.45">
      <c r="A103" s="29" t="s">
        <v>189</v>
      </c>
      <c r="B103" s="44">
        <v>0</v>
      </c>
      <c r="C103" s="44">
        <v>0</v>
      </c>
      <c r="D103" s="44">
        <v>0</v>
      </c>
      <c r="E103" s="44">
        <v>0</v>
      </c>
      <c r="F103" s="44">
        <v>0</v>
      </c>
      <c r="G103" s="44"/>
      <c r="H103" s="44">
        <v>0</v>
      </c>
      <c r="I103" s="44"/>
      <c r="J103" s="44">
        <f t="shared" si="3"/>
        <v>0</v>
      </c>
      <c r="K103" s="44">
        <v>0</v>
      </c>
      <c r="L103" s="44">
        <v>0</v>
      </c>
      <c r="M103" s="44">
        <v>0</v>
      </c>
      <c r="N103" s="44">
        <v>0</v>
      </c>
      <c r="O103" s="44">
        <v>0</v>
      </c>
      <c r="P103" s="1" t="b">
        <f t="shared" si="4"/>
        <v>1</v>
      </c>
      <c r="Q103" s="1" t="e">
        <f>O103=#REF!</f>
        <v>#REF!</v>
      </c>
      <c r="R103" s="1" t="e">
        <f>#REF!=#REF!</f>
        <v>#REF!</v>
      </c>
      <c r="AG103" s="1" t="b">
        <f t="shared" si="5"/>
        <v>1</v>
      </c>
      <c r="AI103" s="44">
        <v>0</v>
      </c>
      <c r="AJ103" s="44">
        <v>0</v>
      </c>
    </row>
    <row r="104" spans="1:36" ht="16" hidden="1" customHeight="1" outlineLevel="1" x14ac:dyDescent="0.45">
      <c r="A104" s="29" t="s">
        <v>115</v>
      </c>
      <c r="B104" s="44">
        <v>0</v>
      </c>
      <c r="C104" s="44">
        <v>0</v>
      </c>
      <c r="D104" s="44">
        <v>0</v>
      </c>
      <c r="E104" s="44">
        <v>0</v>
      </c>
      <c r="F104" s="44">
        <v>0</v>
      </c>
      <c r="G104" s="44"/>
      <c r="H104" s="44">
        <v>0</v>
      </c>
      <c r="I104" s="44"/>
      <c r="J104" s="44">
        <f t="shared" si="3"/>
        <v>0</v>
      </c>
      <c r="K104" s="44">
        <v>0</v>
      </c>
      <c r="L104" s="44">
        <v>0</v>
      </c>
      <c r="M104" s="44">
        <v>0</v>
      </c>
      <c r="N104" s="44">
        <v>0</v>
      </c>
      <c r="O104" s="44">
        <v>0</v>
      </c>
      <c r="P104" s="1" t="b">
        <f t="shared" si="4"/>
        <v>1</v>
      </c>
      <c r="Q104" s="1" t="e">
        <f>O104=#REF!</f>
        <v>#REF!</v>
      </c>
      <c r="R104" s="1" t="e">
        <f>#REF!=#REF!</f>
        <v>#REF!</v>
      </c>
      <c r="AG104" s="1" t="b">
        <f t="shared" si="5"/>
        <v>1</v>
      </c>
      <c r="AI104" s="44">
        <v>0</v>
      </c>
      <c r="AJ104" s="44">
        <v>0</v>
      </c>
    </row>
    <row r="105" spans="1:36" ht="16" hidden="1" customHeight="1" outlineLevel="1" x14ac:dyDescent="0.45">
      <c r="A105" s="29" t="s">
        <v>53</v>
      </c>
      <c r="B105" s="44">
        <v>224250000</v>
      </c>
      <c r="C105" s="44">
        <v>6249211.1330722868</v>
      </c>
      <c r="D105" s="44">
        <v>5250000</v>
      </c>
      <c r="E105" s="44">
        <v>212750788.86692771</v>
      </c>
      <c r="F105" s="44">
        <v>131606527.73525284</v>
      </c>
      <c r="G105" s="44"/>
      <c r="H105" s="44">
        <v>44336664.278058991</v>
      </c>
      <c r="I105" s="44"/>
      <c r="J105" s="44">
        <f t="shared" si="3"/>
        <v>11556807.986688169</v>
      </c>
      <c r="K105" s="44">
        <v>1867476.0599087195</v>
      </c>
      <c r="L105" s="44">
        <v>1816720.1462874517</v>
      </c>
      <c r="M105" s="44">
        <v>6105095.9200711204</v>
      </c>
      <c r="N105" s="44">
        <v>13461496.740660436</v>
      </c>
      <c r="O105" s="44">
        <v>2000000</v>
      </c>
      <c r="P105" s="1" t="b">
        <f t="shared" si="4"/>
        <v>1</v>
      </c>
      <c r="Q105" s="1" t="e">
        <f>O105=#REF!</f>
        <v>#REF!</v>
      </c>
      <c r="R105" s="1" t="e">
        <f>#REF!=#REF!</f>
        <v>#REF!</v>
      </c>
      <c r="AG105" s="1" t="b">
        <f t="shared" si="5"/>
        <v>1</v>
      </c>
      <c r="AI105" s="44">
        <v>10977401.750415482</v>
      </c>
      <c r="AJ105" s="44">
        <v>579406.23627268721</v>
      </c>
    </row>
    <row r="106" spans="1:36" ht="16" hidden="1" customHeight="1" outlineLevel="1" x14ac:dyDescent="0.45">
      <c r="A106" s="29" t="s">
        <v>54</v>
      </c>
      <c r="B106" s="44">
        <v>0</v>
      </c>
      <c r="C106" s="44">
        <v>0</v>
      </c>
      <c r="D106" s="44">
        <v>0</v>
      </c>
      <c r="E106" s="44">
        <v>0</v>
      </c>
      <c r="F106" s="44">
        <v>0</v>
      </c>
      <c r="G106" s="44"/>
      <c r="H106" s="44">
        <v>0</v>
      </c>
      <c r="I106" s="44"/>
      <c r="J106" s="44">
        <f t="shared" si="3"/>
        <v>0</v>
      </c>
      <c r="K106" s="44">
        <v>0</v>
      </c>
      <c r="L106" s="44">
        <v>0</v>
      </c>
      <c r="M106" s="44">
        <v>0</v>
      </c>
      <c r="N106" s="44">
        <v>0</v>
      </c>
      <c r="O106" s="44">
        <v>0</v>
      </c>
      <c r="P106" s="1" t="b">
        <f t="shared" si="4"/>
        <v>1</v>
      </c>
      <c r="Q106" s="1" t="e">
        <f>O106=#REF!</f>
        <v>#REF!</v>
      </c>
      <c r="R106" s="1" t="e">
        <f>#REF!=#REF!</f>
        <v>#REF!</v>
      </c>
      <c r="AG106" s="1" t="b">
        <f t="shared" si="5"/>
        <v>1</v>
      </c>
      <c r="AI106" s="44">
        <v>0</v>
      </c>
      <c r="AJ106" s="44">
        <v>0</v>
      </c>
    </row>
    <row r="107" spans="1:36" ht="16" hidden="1" customHeight="1" outlineLevel="1" x14ac:dyDescent="0.45">
      <c r="A107" s="29" t="s">
        <v>55</v>
      </c>
      <c r="B107" s="44">
        <v>0</v>
      </c>
      <c r="C107" s="44">
        <v>0</v>
      </c>
      <c r="D107" s="44">
        <v>0</v>
      </c>
      <c r="E107" s="44">
        <v>0</v>
      </c>
      <c r="F107" s="44">
        <v>0</v>
      </c>
      <c r="G107" s="44"/>
      <c r="H107" s="44">
        <v>0</v>
      </c>
      <c r="I107" s="44"/>
      <c r="J107" s="44">
        <f t="shared" si="3"/>
        <v>0</v>
      </c>
      <c r="K107" s="44">
        <v>0</v>
      </c>
      <c r="L107" s="44">
        <v>0</v>
      </c>
      <c r="M107" s="44">
        <v>0</v>
      </c>
      <c r="N107" s="44">
        <v>0</v>
      </c>
      <c r="O107" s="44">
        <v>0</v>
      </c>
      <c r="P107" s="1" t="b">
        <f t="shared" si="4"/>
        <v>1</v>
      </c>
      <c r="Q107" s="1" t="e">
        <f>O107=#REF!</f>
        <v>#REF!</v>
      </c>
      <c r="R107" s="1" t="e">
        <f>#REF!=#REF!</f>
        <v>#REF!</v>
      </c>
      <c r="AG107" s="1" t="b">
        <f t="shared" si="5"/>
        <v>1</v>
      </c>
      <c r="AI107" s="44">
        <v>0</v>
      </c>
      <c r="AJ107" s="44">
        <v>0</v>
      </c>
    </row>
    <row r="108" spans="1:36" ht="16" hidden="1" customHeight="1" outlineLevel="1" x14ac:dyDescent="0.45">
      <c r="A108" s="29" t="s">
        <v>190</v>
      </c>
      <c r="B108" s="44">
        <v>0</v>
      </c>
      <c r="C108" s="44">
        <v>0</v>
      </c>
      <c r="D108" s="44">
        <v>0</v>
      </c>
      <c r="E108" s="44">
        <v>0</v>
      </c>
      <c r="F108" s="44">
        <v>0</v>
      </c>
      <c r="G108" s="44"/>
      <c r="H108" s="44">
        <v>0</v>
      </c>
      <c r="I108" s="44"/>
      <c r="J108" s="44">
        <f t="shared" si="3"/>
        <v>0</v>
      </c>
      <c r="K108" s="44">
        <v>0</v>
      </c>
      <c r="L108" s="44">
        <v>0</v>
      </c>
      <c r="M108" s="44">
        <v>0</v>
      </c>
      <c r="N108" s="44">
        <v>0</v>
      </c>
      <c r="O108" s="44">
        <v>0</v>
      </c>
      <c r="P108" s="1" t="b">
        <f t="shared" si="4"/>
        <v>1</v>
      </c>
      <c r="Q108" s="1" t="e">
        <f>O108=#REF!</f>
        <v>#REF!</v>
      </c>
      <c r="R108" s="1" t="e">
        <f>#REF!=#REF!</f>
        <v>#REF!</v>
      </c>
      <c r="AG108" s="1" t="b">
        <f t="shared" si="5"/>
        <v>1</v>
      </c>
      <c r="AI108" s="44">
        <v>0</v>
      </c>
      <c r="AJ108" s="44">
        <v>0</v>
      </c>
    </row>
    <row r="109" spans="1:36" ht="16" hidden="1" customHeight="1" outlineLevel="1" x14ac:dyDescent="0.45">
      <c r="A109" s="30" t="s">
        <v>56</v>
      </c>
      <c r="B109" s="46">
        <v>359496497</v>
      </c>
      <c r="C109" s="46">
        <v>6167445</v>
      </c>
      <c r="D109" s="46">
        <v>0</v>
      </c>
      <c r="E109" s="46">
        <v>353329052</v>
      </c>
      <c r="F109" s="46">
        <v>188912572.67805749</v>
      </c>
      <c r="G109" s="46"/>
      <c r="H109" s="46">
        <v>55323982.321942523</v>
      </c>
      <c r="I109" s="46"/>
      <c r="J109" s="46">
        <f t="shared" si="3"/>
        <v>0</v>
      </c>
      <c r="K109" s="46">
        <v>0</v>
      </c>
      <c r="L109" s="46">
        <v>0</v>
      </c>
      <c r="M109" s="46">
        <v>0</v>
      </c>
      <c r="N109" s="46">
        <v>109072497</v>
      </c>
      <c r="O109" s="46">
        <v>20000</v>
      </c>
      <c r="P109" s="1" t="b">
        <f t="shared" si="4"/>
        <v>1</v>
      </c>
      <c r="Q109" s="1" t="e">
        <f>O109=#REF!</f>
        <v>#REF!</v>
      </c>
      <c r="R109" s="1" t="e">
        <f>#REF!=#REF!</f>
        <v>#REF!</v>
      </c>
      <c r="AG109" s="1" t="b">
        <f t="shared" si="5"/>
        <v>1</v>
      </c>
      <c r="AI109" s="46">
        <v>0</v>
      </c>
      <c r="AJ109" s="46">
        <v>0</v>
      </c>
    </row>
    <row r="110" spans="1:36" ht="16" hidden="1" customHeight="1" outlineLevel="1" x14ac:dyDescent="0.45">
      <c r="A110" s="29" t="s">
        <v>305</v>
      </c>
      <c r="B110" s="44">
        <v>0</v>
      </c>
      <c r="C110" s="44">
        <v>0</v>
      </c>
      <c r="D110" s="44">
        <v>0</v>
      </c>
      <c r="E110" s="44">
        <v>0</v>
      </c>
      <c r="F110" s="44">
        <v>0</v>
      </c>
      <c r="G110" s="44"/>
      <c r="H110" s="44">
        <v>0</v>
      </c>
      <c r="I110" s="44"/>
      <c r="J110" s="44">
        <f t="shared" si="3"/>
        <v>0</v>
      </c>
      <c r="K110" s="44">
        <v>0</v>
      </c>
      <c r="L110" s="44">
        <v>0</v>
      </c>
      <c r="M110" s="44">
        <v>0</v>
      </c>
      <c r="N110" s="44">
        <v>0</v>
      </c>
      <c r="O110" s="44">
        <v>0</v>
      </c>
      <c r="P110" s="1" t="b">
        <f t="shared" si="4"/>
        <v>1</v>
      </c>
      <c r="Q110" s="1" t="e">
        <f>O110=#REF!</f>
        <v>#REF!</v>
      </c>
      <c r="R110" s="1" t="e">
        <f>#REF!=#REF!</f>
        <v>#REF!</v>
      </c>
      <c r="AG110" s="1" t="b">
        <f t="shared" si="5"/>
        <v>1</v>
      </c>
      <c r="AI110" s="44">
        <v>0</v>
      </c>
      <c r="AJ110" s="44">
        <v>0</v>
      </c>
    </row>
    <row r="111" spans="1:36" ht="16" hidden="1" customHeight="1" outlineLevel="1" x14ac:dyDescent="0.45">
      <c r="A111" s="29" t="s">
        <v>253</v>
      </c>
      <c r="B111" s="44">
        <v>0</v>
      </c>
      <c r="C111" s="44">
        <v>0</v>
      </c>
      <c r="D111" s="44">
        <v>0</v>
      </c>
      <c r="E111" s="44">
        <v>0</v>
      </c>
      <c r="F111" s="44">
        <v>0</v>
      </c>
      <c r="G111" s="44"/>
      <c r="H111" s="44">
        <v>0</v>
      </c>
      <c r="I111" s="44"/>
      <c r="J111" s="44">
        <f t="shared" si="3"/>
        <v>0</v>
      </c>
      <c r="K111" s="44">
        <v>0</v>
      </c>
      <c r="L111" s="44">
        <v>0</v>
      </c>
      <c r="M111" s="44">
        <v>0</v>
      </c>
      <c r="N111" s="44">
        <v>0</v>
      </c>
      <c r="O111" s="44">
        <v>0</v>
      </c>
      <c r="P111" s="1" t="b">
        <f t="shared" si="4"/>
        <v>1</v>
      </c>
      <c r="Q111" s="1" t="e">
        <f>O111=#REF!</f>
        <v>#REF!</v>
      </c>
      <c r="R111" s="1" t="e">
        <f>#REF!=#REF!</f>
        <v>#REF!</v>
      </c>
      <c r="AG111" s="1" t="b">
        <f t="shared" si="5"/>
        <v>1</v>
      </c>
      <c r="AI111" s="44">
        <v>0</v>
      </c>
      <c r="AJ111" s="44">
        <v>0</v>
      </c>
    </row>
    <row r="112" spans="1:36" ht="16" hidden="1" customHeight="1" outlineLevel="1" x14ac:dyDescent="0.45">
      <c r="A112" s="29" t="s">
        <v>255</v>
      </c>
      <c r="B112" s="44">
        <v>0</v>
      </c>
      <c r="C112" s="44">
        <v>0</v>
      </c>
      <c r="D112" s="44">
        <v>0</v>
      </c>
      <c r="E112" s="44">
        <v>0</v>
      </c>
      <c r="F112" s="44">
        <v>0</v>
      </c>
      <c r="G112" s="44"/>
      <c r="H112" s="44">
        <v>0</v>
      </c>
      <c r="I112" s="44"/>
      <c r="J112" s="44">
        <f t="shared" si="3"/>
        <v>0</v>
      </c>
      <c r="K112" s="44">
        <v>0</v>
      </c>
      <c r="L112" s="44">
        <v>0</v>
      </c>
      <c r="M112" s="44">
        <v>0</v>
      </c>
      <c r="N112" s="44">
        <v>0</v>
      </c>
      <c r="O112" s="44">
        <v>0</v>
      </c>
      <c r="P112" s="1" t="b">
        <f t="shared" si="4"/>
        <v>1</v>
      </c>
      <c r="Q112" s="1" t="e">
        <f>O112=#REF!</f>
        <v>#REF!</v>
      </c>
      <c r="R112" s="1" t="e">
        <f>#REF!=#REF!</f>
        <v>#REF!</v>
      </c>
      <c r="AG112" s="1" t="b">
        <f t="shared" si="5"/>
        <v>1</v>
      </c>
      <c r="AI112" s="44">
        <v>0</v>
      </c>
      <c r="AJ112" s="44">
        <v>0</v>
      </c>
    </row>
    <row r="113" spans="1:36" ht="16" hidden="1" customHeight="1" outlineLevel="1" x14ac:dyDescent="0.45">
      <c r="A113" s="29" t="s">
        <v>254</v>
      </c>
      <c r="B113" s="44">
        <v>0</v>
      </c>
      <c r="C113" s="44">
        <v>0</v>
      </c>
      <c r="D113" s="44">
        <v>0</v>
      </c>
      <c r="E113" s="44">
        <v>0</v>
      </c>
      <c r="F113" s="44">
        <v>0</v>
      </c>
      <c r="G113" s="44"/>
      <c r="H113" s="44">
        <v>0</v>
      </c>
      <c r="I113" s="44"/>
      <c r="J113" s="44">
        <f t="shared" si="3"/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1" t="b">
        <f t="shared" si="4"/>
        <v>1</v>
      </c>
      <c r="Q113" s="1" t="e">
        <f>O113=#REF!</f>
        <v>#REF!</v>
      </c>
      <c r="R113" s="1" t="e">
        <f>#REF!=#REF!</f>
        <v>#REF!</v>
      </c>
      <c r="AG113" s="1" t="b">
        <f t="shared" si="5"/>
        <v>1</v>
      </c>
      <c r="AI113" s="44">
        <v>0</v>
      </c>
      <c r="AJ113" s="44">
        <v>0</v>
      </c>
    </row>
    <row r="114" spans="1:36" ht="16" hidden="1" customHeight="1" outlineLevel="1" x14ac:dyDescent="0.45">
      <c r="A114" s="29" t="s">
        <v>269</v>
      </c>
      <c r="B114" s="44">
        <v>0</v>
      </c>
      <c r="C114" s="44">
        <v>0</v>
      </c>
      <c r="D114" s="44">
        <v>0</v>
      </c>
      <c r="E114" s="44">
        <v>0</v>
      </c>
      <c r="F114" s="44">
        <v>0</v>
      </c>
      <c r="G114" s="44"/>
      <c r="H114" s="44">
        <v>0</v>
      </c>
      <c r="I114" s="44"/>
      <c r="J114" s="44">
        <f t="shared" si="3"/>
        <v>0</v>
      </c>
      <c r="K114" s="44">
        <v>0</v>
      </c>
      <c r="L114" s="44">
        <v>0</v>
      </c>
      <c r="M114" s="44">
        <v>0</v>
      </c>
      <c r="N114" s="44">
        <v>0</v>
      </c>
      <c r="O114" s="44">
        <v>0</v>
      </c>
      <c r="P114" s="1" t="b">
        <f t="shared" si="4"/>
        <v>1</v>
      </c>
      <c r="Q114" s="1" t="e">
        <f>O114=#REF!</f>
        <v>#REF!</v>
      </c>
      <c r="R114" s="1" t="e">
        <f>#REF!=#REF!</f>
        <v>#REF!</v>
      </c>
      <c r="AG114" s="1" t="b">
        <f t="shared" si="5"/>
        <v>1</v>
      </c>
      <c r="AI114" s="44">
        <v>0</v>
      </c>
      <c r="AJ114" s="44">
        <v>0</v>
      </c>
    </row>
    <row r="115" spans="1:36" ht="16" customHeight="1" collapsed="1" x14ac:dyDescent="0.45">
      <c r="A115" s="28" t="s">
        <v>57</v>
      </c>
      <c r="B115" s="43">
        <v>45411705</v>
      </c>
      <c r="C115" s="43">
        <v>9429726</v>
      </c>
      <c r="D115" s="43">
        <v>3718621</v>
      </c>
      <c r="E115" s="43">
        <v>32263358</v>
      </c>
      <c r="F115" s="43">
        <v>16278912.49145316</v>
      </c>
      <c r="G115" s="43"/>
      <c r="H115" s="43">
        <v>8177240.5085468395</v>
      </c>
      <c r="I115" s="43"/>
      <c r="J115" s="43">
        <f t="shared" si="3"/>
        <v>831650</v>
      </c>
      <c r="K115" s="43">
        <v>220909.5</v>
      </c>
      <c r="L115" s="43">
        <v>220909.5</v>
      </c>
      <c r="M115" s="43">
        <v>2210109</v>
      </c>
      <c r="N115" s="43">
        <v>3184409</v>
      </c>
      <c r="O115" s="43">
        <v>1139218</v>
      </c>
      <c r="P115" s="1" t="b">
        <f t="shared" si="4"/>
        <v>1</v>
      </c>
      <c r="Q115" s="1"/>
      <c r="R115" s="1"/>
      <c r="AG115" s="1" t="b">
        <f t="shared" si="5"/>
        <v>1</v>
      </c>
      <c r="AI115" s="43">
        <v>790068</v>
      </c>
      <c r="AJ115" s="43">
        <v>41582</v>
      </c>
    </row>
    <row r="116" spans="1:36" s="1" customFormat="1" hidden="1" outlineLevel="1" x14ac:dyDescent="0.45">
      <c r="A116" s="29" t="s">
        <v>58</v>
      </c>
      <c r="B116" s="44">
        <v>24020319</v>
      </c>
      <c r="C116" s="44">
        <v>2678050</v>
      </c>
      <c r="D116" s="44">
        <v>625800</v>
      </c>
      <c r="E116" s="44">
        <v>20716469</v>
      </c>
      <c r="F116" s="44">
        <v>11496290.137147238</v>
      </c>
      <c r="G116" s="44"/>
      <c r="H116" s="44">
        <v>5309678.8628527615</v>
      </c>
      <c r="I116" s="44"/>
      <c r="J116" s="44">
        <f t="shared" si="3"/>
        <v>0</v>
      </c>
      <c r="K116" s="44">
        <v>0</v>
      </c>
      <c r="L116" s="44">
        <v>0</v>
      </c>
      <c r="M116" s="44">
        <v>1679700</v>
      </c>
      <c r="N116" s="44">
        <v>2230800</v>
      </c>
      <c r="O116" s="44">
        <v>0</v>
      </c>
      <c r="P116" s="1" t="b">
        <f t="shared" si="4"/>
        <v>1</v>
      </c>
      <c r="Q116" s="1" t="e">
        <f>O116=#REF!</f>
        <v>#REF!</v>
      </c>
      <c r="R116" s="1" t="e">
        <f>#REF!=#REF!</f>
        <v>#REF!</v>
      </c>
      <c r="AG116" s="1" t="b">
        <f t="shared" si="5"/>
        <v>1</v>
      </c>
      <c r="AI116" s="44">
        <v>0</v>
      </c>
      <c r="AJ116" s="44">
        <v>0</v>
      </c>
    </row>
    <row r="117" spans="1:36" ht="16" hidden="1" customHeight="1" outlineLevel="1" x14ac:dyDescent="0.45">
      <c r="A117" s="29" t="s">
        <v>266</v>
      </c>
      <c r="B117" s="44">
        <v>224600</v>
      </c>
      <c r="C117" s="44">
        <v>0</v>
      </c>
      <c r="D117" s="44">
        <v>0</v>
      </c>
      <c r="E117" s="44">
        <v>224600</v>
      </c>
      <c r="F117" s="44">
        <v>177975.35430592217</v>
      </c>
      <c r="G117" s="44"/>
      <c r="H117" s="44">
        <v>46624.645694077837</v>
      </c>
      <c r="I117" s="44"/>
      <c r="J117" s="44">
        <f t="shared" si="3"/>
        <v>0</v>
      </c>
      <c r="K117" s="44">
        <v>0</v>
      </c>
      <c r="L117" s="44">
        <v>0</v>
      </c>
      <c r="M117" s="44">
        <v>0</v>
      </c>
      <c r="N117" s="44">
        <v>0</v>
      </c>
      <c r="O117" s="44">
        <v>0</v>
      </c>
      <c r="P117" s="1" t="b">
        <f t="shared" si="4"/>
        <v>1</v>
      </c>
      <c r="Q117" s="1" t="e">
        <f>O117=#REF!</f>
        <v>#REF!</v>
      </c>
      <c r="R117" s="1" t="e">
        <f>#REF!=#REF!</f>
        <v>#REF!</v>
      </c>
      <c r="AG117" s="1" t="b">
        <f t="shared" si="5"/>
        <v>1</v>
      </c>
      <c r="AI117" s="44">
        <v>0</v>
      </c>
      <c r="AJ117" s="44">
        <v>0</v>
      </c>
    </row>
    <row r="118" spans="1:36" ht="16" hidden="1" customHeight="1" outlineLevel="1" x14ac:dyDescent="0.45">
      <c r="A118" s="29" t="s">
        <v>296</v>
      </c>
      <c r="B118" s="44">
        <v>0</v>
      </c>
      <c r="C118" s="44">
        <v>0</v>
      </c>
      <c r="D118" s="44">
        <v>0</v>
      </c>
      <c r="E118" s="44">
        <v>0</v>
      </c>
      <c r="F118" s="44">
        <v>0</v>
      </c>
      <c r="G118" s="44"/>
      <c r="H118" s="44">
        <v>0</v>
      </c>
      <c r="I118" s="44"/>
      <c r="J118" s="44">
        <f t="shared" si="3"/>
        <v>0</v>
      </c>
      <c r="K118" s="44">
        <v>0</v>
      </c>
      <c r="L118" s="44">
        <v>0</v>
      </c>
      <c r="M118" s="44">
        <v>0</v>
      </c>
      <c r="N118" s="44">
        <v>0</v>
      </c>
      <c r="O118" s="44">
        <v>0</v>
      </c>
      <c r="P118" s="1" t="b">
        <f t="shared" si="4"/>
        <v>1</v>
      </c>
      <c r="Q118" s="1" t="e">
        <f>O118=#REF!</f>
        <v>#REF!</v>
      </c>
      <c r="R118" s="1" t="e">
        <f>#REF!=#REF!</f>
        <v>#REF!</v>
      </c>
      <c r="AG118" s="1" t="b">
        <f t="shared" si="5"/>
        <v>1</v>
      </c>
      <c r="AI118" s="44">
        <v>0</v>
      </c>
      <c r="AJ118" s="44">
        <v>0</v>
      </c>
    </row>
    <row r="119" spans="1:36" ht="16" hidden="1" customHeight="1" outlineLevel="1" x14ac:dyDescent="0.45">
      <c r="A119" s="29" t="s">
        <v>270</v>
      </c>
      <c r="B119" s="44">
        <v>8842430</v>
      </c>
      <c r="C119" s="44">
        <v>2241866</v>
      </c>
      <c r="D119" s="44">
        <v>197271</v>
      </c>
      <c r="E119" s="44">
        <v>6403293</v>
      </c>
      <c r="F119" s="44">
        <v>3504647</v>
      </c>
      <c r="G119" s="44"/>
      <c r="H119" s="44">
        <v>2320937</v>
      </c>
      <c r="I119" s="44"/>
      <c r="J119" s="44">
        <f t="shared" si="3"/>
        <v>130000</v>
      </c>
      <c r="K119" s="44">
        <v>70909.5</v>
      </c>
      <c r="L119" s="44">
        <v>70909.5</v>
      </c>
      <c r="M119" s="44">
        <v>70909</v>
      </c>
      <c r="N119" s="44">
        <v>86363</v>
      </c>
      <c r="O119" s="44">
        <v>148618</v>
      </c>
      <c r="P119" s="1" t="b">
        <f t="shared" si="4"/>
        <v>1</v>
      </c>
      <c r="Q119" s="1" t="e">
        <f>O119=#REF!</f>
        <v>#REF!</v>
      </c>
      <c r="R119" s="1" t="e">
        <f>#REF!=#REF!</f>
        <v>#REF!</v>
      </c>
      <c r="AG119" s="1" t="b">
        <f t="shared" si="5"/>
        <v>1</v>
      </c>
      <c r="AI119" s="44">
        <v>123500</v>
      </c>
      <c r="AJ119" s="44">
        <v>6500</v>
      </c>
    </row>
    <row r="120" spans="1:36" ht="16" hidden="1" customHeight="1" outlineLevel="1" x14ac:dyDescent="0.45">
      <c r="A120" s="29" t="s">
        <v>271</v>
      </c>
      <c r="B120" s="44">
        <v>1126560</v>
      </c>
      <c r="C120" s="44">
        <v>1126560</v>
      </c>
      <c r="D120" s="44">
        <v>0</v>
      </c>
      <c r="E120" s="44">
        <v>0</v>
      </c>
      <c r="F120" s="44">
        <v>0</v>
      </c>
      <c r="G120" s="44"/>
      <c r="H120" s="44">
        <v>0</v>
      </c>
      <c r="I120" s="44"/>
      <c r="J120" s="44">
        <f t="shared" si="3"/>
        <v>0</v>
      </c>
      <c r="K120" s="44">
        <v>0</v>
      </c>
      <c r="L120" s="44">
        <v>0</v>
      </c>
      <c r="M120" s="44">
        <v>0</v>
      </c>
      <c r="N120" s="44">
        <v>0</v>
      </c>
      <c r="O120" s="44">
        <v>0</v>
      </c>
      <c r="P120" s="1" t="b">
        <f t="shared" si="4"/>
        <v>1</v>
      </c>
      <c r="Q120" s="1"/>
      <c r="R120" s="1"/>
      <c r="AG120" s="1" t="b">
        <f t="shared" si="5"/>
        <v>1</v>
      </c>
      <c r="AI120" s="44">
        <v>0</v>
      </c>
      <c r="AJ120" s="44">
        <v>0</v>
      </c>
    </row>
    <row r="121" spans="1:36" ht="16" hidden="1" customHeight="1" outlineLevel="1" x14ac:dyDescent="0.45">
      <c r="A121" s="29" t="s">
        <v>297</v>
      </c>
      <c r="B121" s="44">
        <v>11197796</v>
      </c>
      <c r="C121" s="44">
        <v>3383250</v>
      </c>
      <c r="D121" s="44">
        <v>2895550</v>
      </c>
      <c r="E121" s="44">
        <v>4918996</v>
      </c>
      <c r="F121" s="44">
        <v>1100000</v>
      </c>
      <c r="G121" s="44"/>
      <c r="H121" s="44">
        <v>500000</v>
      </c>
      <c r="I121" s="44"/>
      <c r="J121" s="44">
        <f t="shared" si="3"/>
        <v>701650</v>
      </c>
      <c r="K121" s="44">
        <v>150000</v>
      </c>
      <c r="L121" s="44">
        <v>150000</v>
      </c>
      <c r="M121" s="44">
        <v>459500</v>
      </c>
      <c r="N121" s="44">
        <v>867246</v>
      </c>
      <c r="O121" s="44">
        <v>990600</v>
      </c>
      <c r="P121" s="1" t="b">
        <f t="shared" si="4"/>
        <v>1</v>
      </c>
      <c r="Q121" s="1"/>
      <c r="R121" s="1"/>
      <c r="AG121" s="1" t="b">
        <f t="shared" si="5"/>
        <v>1</v>
      </c>
      <c r="AI121" s="44">
        <v>666568</v>
      </c>
      <c r="AJ121" s="44">
        <v>35082</v>
      </c>
    </row>
    <row r="122" spans="1:36" s="1" customFormat="1" collapsed="1" x14ac:dyDescent="0.45">
      <c r="A122" s="28" t="s">
        <v>136</v>
      </c>
      <c r="B122" s="43">
        <v>77547200</v>
      </c>
      <c r="C122" s="43">
        <v>25960200</v>
      </c>
      <c r="D122" s="43">
        <v>200000</v>
      </c>
      <c r="E122" s="43">
        <v>51387000</v>
      </c>
      <c r="F122" s="43">
        <v>679147.52377316146</v>
      </c>
      <c r="G122" s="43"/>
      <c r="H122" s="43">
        <v>50407852.476226836</v>
      </c>
      <c r="I122" s="43"/>
      <c r="J122" s="43">
        <f t="shared" si="3"/>
        <v>0</v>
      </c>
      <c r="K122" s="43">
        <v>0</v>
      </c>
      <c r="L122" s="43">
        <v>0</v>
      </c>
      <c r="M122" s="43">
        <v>0</v>
      </c>
      <c r="N122" s="43">
        <v>0</v>
      </c>
      <c r="O122" s="43">
        <v>300000</v>
      </c>
      <c r="P122" s="1" t="b">
        <f t="shared" si="4"/>
        <v>1</v>
      </c>
      <c r="Q122" s="1" t="e">
        <f>O122=#REF!</f>
        <v>#REF!</v>
      </c>
      <c r="R122" s="1" t="e">
        <f>#REF!=#REF!</f>
        <v>#REF!</v>
      </c>
      <c r="AG122" s="1" t="b">
        <f t="shared" si="5"/>
        <v>1</v>
      </c>
      <c r="AI122" s="43">
        <v>0</v>
      </c>
      <c r="AJ122" s="43">
        <v>0</v>
      </c>
    </row>
    <row r="123" spans="1:36" ht="16" hidden="1" customHeight="1" outlineLevel="1" x14ac:dyDescent="0.45">
      <c r="A123" s="29" t="s">
        <v>137</v>
      </c>
      <c r="B123" s="44">
        <v>72012000</v>
      </c>
      <c r="C123" s="44">
        <v>21725000</v>
      </c>
      <c r="D123" s="44">
        <v>0</v>
      </c>
      <c r="E123" s="44">
        <v>50287000</v>
      </c>
      <c r="F123" s="44">
        <v>0</v>
      </c>
      <c r="G123" s="44"/>
      <c r="H123" s="44">
        <v>50287000</v>
      </c>
      <c r="I123" s="44"/>
      <c r="J123" s="44">
        <f t="shared" si="3"/>
        <v>0</v>
      </c>
      <c r="K123" s="44">
        <v>0</v>
      </c>
      <c r="L123" s="44">
        <v>0</v>
      </c>
      <c r="M123" s="44">
        <v>0</v>
      </c>
      <c r="N123" s="44">
        <v>0</v>
      </c>
      <c r="O123" s="44">
        <v>0</v>
      </c>
      <c r="P123" s="1" t="b">
        <f t="shared" si="4"/>
        <v>1</v>
      </c>
      <c r="Q123" s="1" t="e">
        <f>O123=#REF!</f>
        <v>#REF!</v>
      </c>
      <c r="R123" s="1" t="e">
        <f>#REF!=#REF!</f>
        <v>#REF!</v>
      </c>
      <c r="AG123" s="1" t="b">
        <f t="shared" si="5"/>
        <v>1</v>
      </c>
      <c r="AI123" s="44">
        <v>0</v>
      </c>
      <c r="AJ123" s="44">
        <v>0</v>
      </c>
    </row>
    <row r="124" spans="1:36" ht="16" hidden="1" customHeight="1" outlineLevel="1" x14ac:dyDescent="0.45">
      <c r="A124" s="29" t="s">
        <v>191</v>
      </c>
      <c r="B124" s="44">
        <v>0</v>
      </c>
      <c r="C124" s="44">
        <v>0</v>
      </c>
      <c r="D124" s="44">
        <v>0</v>
      </c>
      <c r="E124" s="44">
        <v>0</v>
      </c>
      <c r="F124" s="44">
        <v>0</v>
      </c>
      <c r="G124" s="44"/>
      <c r="H124" s="44">
        <v>0</v>
      </c>
      <c r="I124" s="44"/>
      <c r="J124" s="44">
        <f t="shared" si="3"/>
        <v>0</v>
      </c>
      <c r="K124" s="44">
        <v>0</v>
      </c>
      <c r="L124" s="44">
        <v>0</v>
      </c>
      <c r="M124" s="44">
        <v>0</v>
      </c>
      <c r="N124" s="44">
        <v>0</v>
      </c>
      <c r="O124" s="44">
        <v>0</v>
      </c>
      <c r="P124" s="1" t="b">
        <f t="shared" si="4"/>
        <v>1</v>
      </c>
      <c r="Q124" s="1" t="e">
        <f>O124=#REF!</f>
        <v>#REF!</v>
      </c>
      <c r="R124" s="1" t="e">
        <f>#REF!=#REF!</f>
        <v>#REF!</v>
      </c>
      <c r="AG124" s="1" t="b">
        <f t="shared" si="5"/>
        <v>1</v>
      </c>
      <c r="AI124" s="44">
        <v>0</v>
      </c>
      <c r="AJ124" s="44">
        <v>0</v>
      </c>
    </row>
    <row r="125" spans="1:36" ht="16" hidden="1" customHeight="1" outlineLevel="1" x14ac:dyDescent="0.45">
      <c r="A125" s="29" t="s">
        <v>138</v>
      </c>
      <c r="B125" s="44">
        <v>5535200</v>
      </c>
      <c r="C125" s="44">
        <v>4235200</v>
      </c>
      <c r="D125" s="44">
        <v>200000</v>
      </c>
      <c r="E125" s="44">
        <v>1100000</v>
      </c>
      <c r="F125" s="44">
        <v>679147.52377316146</v>
      </c>
      <c r="G125" s="44"/>
      <c r="H125" s="44">
        <v>120852.47622683854</v>
      </c>
      <c r="I125" s="44"/>
      <c r="J125" s="44">
        <f t="shared" si="3"/>
        <v>0</v>
      </c>
      <c r="K125" s="44">
        <v>0</v>
      </c>
      <c r="L125" s="44">
        <v>0</v>
      </c>
      <c r="M125" s="44">
        <v>0</v>
      </c>
      <c r="N125" s="44">
        <v>0</v>
      </c>
      <c r="O125" s="44">
        <v>300000</v>
      </c>
      <c r="P125" s="1" t="b">
        <f t="shared" si="4"/>
        <v>1</v>
      </c>
      <c r="Q125" s="1" t="e">
        <f>O125=#REF!</f>
        <v>#REF!</v>
      </c>
      <c r="R125" s="1" t="e">
        <f>#REF!=#REF!</f>
        <v>#REF!</v>
      </c>
      <c r="AG125" s="1" t="b">
        <f t="shared" si="5"/>
        <v>1</v>
      </c>
      <c r="AI125" s="44">
        <v>0</v>
      </c>
      <c r="AJ125" s="44">
        <v>0</v>
      </c>
    </row>
    <row r="126" spans="1:36" s="1" customFormat="1" collapsed="1" x14ac:dyDescent="0.45">
      <c r="A126" s="28" t="s">
        <v>59</v>
      </c>
      <c r="B126" s="43">
        <v>74973583</v>
      </c>
      <c r="C126" s="43">
        <v>29762758</v>
      </c>
      <c r="D126" s="43">
        <v>1334477</v>
      </c>
      <c r="E126" s="43">
        <v>43876348</v>
      </c>
      <c r="F126" s="43">
        <v>14541412.347464209</v>
      </c>
      <c r="G126" s="43"/>
      <c r="H126" s="43">
        <v>6540930.6525357906</v>
      </c>
      <c r="I126" s="43"/>
      <c r="J126" s="43">
        <f t="shared" si="3"/>
        <v>6038629</v>
      </c>
      <c r="K126" s="43">
        <v>460746.5</v>
      </c>
      <c r="L126" s="43">
        <v>12708497.5</v>
      </c>
      <c r="M126" s="43">
        <v>998608</v>
      </c>
      <c r="N126" s="43">
        <v>1796018</v>
      </c>
      <c r="O126" s="43">
        <v>791506</v>
      </c>
      <c r="P126" s="1" t="b">
        <f t="shared" si="4"/>
        <v>1</v>
      </c>
      <c r="Q126" s="1" t="e">
        <f>O126=#REF!</f>
        <v>#REF!</v>
      </c>
      <c r="R126" s="1" t="e">
        <f>#REF!=#REF!</f>
        <v>#REF!</v>
      </c>
      <c r="AG126" s="1" t="b">
        <f t="shared" si="5"/>
        <v>1</v>
      </c>
      <c r="AI126" s="43">
        <v>5736698</v>
      </c>
      <c r="AJ126" s="43">
        <v>301931</v>
      </c>
    </row>
    <row r="127" spans="1:36" ht="16" hidden="1" customHeight="1" outlineLevel="1" x14ac:dyDescent="0.45">
      <c r="A127" s="29" t="s">
        <v>60</v>
      </c>
      <c r="B127" s="44">
        <v>29952028</v>
      </c>
      <c r="C127" s="44">
        <v>12088502</v>
      </c>
      <c r="D127" s="44">
        <v>803782</v>
      </c>
      <c r="E127" s="44">
        <v>17059744</v>
      </c>
      <c r="F127" s="44">
        <v>10119319.40130326</v>
      </c>
      <c r="G127" s="44"/>
      <c r="H127" s="44">
        <v>5660963.5986967394</v>
      </c>
      <c r="I127" s="44"/>
      <c r="J127" s="44">
        <f t="shared" si="3"/>
        <v>713823</v>
      </c>
      <c r="K127" s="44">
        <v>0</v>
      </c>
      <c r="L127" s="44">
        <v>0</v>
      </c>
      <c r="M127" s="44">
        <v>391590</v>
      </c>
      <c r="N127" s="44">
        <v>159648</v>
      </c>
      <c r="O127" s="44">
        <v>14400</v>
      </c>
      <c r="P127" s="1" t="b">
        <f t="shared" si="4"/>
        <v>1</v>
      </c>
      <c r="Q127" s="1" t="e">
        <f>O127=#REF!</f>
        <v>#REF!</v>
      </c>
      <c r="R127" s="1" t="e">
        <f>#REF!=#REF!</f>
        <v>#REF!</v>
      </c>
      <c r="AG127" s="1" t="b">
        <f t="shared" si="5"/>
        <v>1</v>
      </c>
      <c r="AI127" s="44">
        <v>678132</v>
      </c>
      <c r="AJ127" s="44">
        <v>35691</v>
      </c>
    </row>
    <row r="128" spans="1:36" ht="16" hidden="1" customHeight="1" outlineLevel="1" x14ac:dyDescent="0.45">
      <c r="A128" s="29" t="s">
        <v>61</v>
      </c>
      <c r="B128" s="44">
        <v>25894963</v>
      </c>
      <c r="C128" s="44">
        <v>10433122</v>
      </c>
      <c r="D128" s="44">
        <v>0</v>
      </c>
      <c r="E128" s="44">
        <v>15461841</v>
      </c>
      <c r="F128" s="44">
        <v>0</v>
      </c>
      <c r="G128" s="44"/>
      <c r="H128" s="44">
        <v>0</v>
      </c>
      <c r="I128" s="44"/>
      <c r="J128" s="44">
        <f t="shared" si="3"/>
        <v>2618646</v>
      </c>
      <c r="K128" s="44">
        <v>0</v>
      </c>
      <c r="L128" s="44">
        <v>12116971</v>
      </c>
      <c r="M128" s="44">
        <v>159597</v>
      </c>
      <c r="N128" s="44">
        <v>0</v>
      </c>
      <c r="O128" s="44">
        <v>566627</v>
      </c>
      <c r="P128" s="1" t="b">
        <f t="shared" si="4"/>
        <v>1</v>
      </c>
      <c r="Q128" s="1" t="e">
        <f>O128=#REF!</f>
        <v>#REF!</v>
      </c>
      <c r="R128" s="1" t="e">
        <f>#REF!=#REF!</f>
        <v>#REF!</v>
      </c>
      <c r="AG128" s="1" t="b">
        <f t="shared" si="5"/>
        <v>1</v>
      </c>
      <c r="AI128" s="44">
        <v>2487714</v>
      </c>
      <c r="AJ128" s="44">
        <v>130932</v>
      </c>
    </row>
    <row r="129" spans="1:36" ht="16" hidden="1" customHeight="1" outlineLevel="1" x14ac:dyDescent="0.45">
      <c r="A129" s="29" t="s">
        <v>62</v>
      </c>
      <c r="B129" s="44">
        <v>11664062</v>
      </c>
      <c r="C129" s="44">
        <v>7003454</v>
      </c>
      <c r="D129" s="44">
        <v>481095</v>
      </c>
      <c r="E129" s="44">
        <v>4179513</v>
      </c>
      <c r="F129" s="44">
        <v>0</v>
      </c>
      <c r="G129" s="44"/>
      <c r="H129" s="44">
        <v>0</v>
      </c>
      <c r="I129" s="44"/>
      <c r="J129" s="44">
        <f t="shared" si="3"/>
        <v>2706160</v>
      </c>
      <c r="K129" s="44">
        <v>451026.5</v>
      </c>
      <c r="L129" s="44">
        <v>451026.5</v>
      </c>
      <c r="M129" s="44">
        <v>360821</v>
      </c>
      <c r="N129" s="44">
        <v>0</v>
      </c>
      <c r="O129" s="44">
        <v>210479</v>
      </c>
      <c r="P129" s="1" t="b">
        <f t="shared" si="4"/>
        <v>1</v>
      </c>
      <c r="Q129" s="1" t="e">
        <f>O129=#REF!</f>
        <v>#REF!</v>
      </c>
      <c r="R129" s="1" t="e">
        <f>#REF!=#REF!</f>
        <v>#REF!</v>
      </c>
      <c r="AG129" s="1" t="b">
        <f t="shared" si="5"/>
        <v>1</v>
      </c>
      <c r="AI129" s="44">
        <v>2570852</v>
      </c>
      <c r="AJ129" s="44">
        <v>135308</v>
      </c>
    </row>
    <row r="130" spans="1:36" ht="16" hidden="1" customHeight="1" outlineLevel="1" x14ac:dyDescent="0.45">
      <c r="A130" s="29" t="s">
        <v>63</v>
      </c>
      <c r="B130" s="44">
        <v>7462530</v>
      </c>
      <c r="C130" s="44">
        <v>237680</v>
      </c>
      <c r="D130" s="44">
        <v>49600</v>
      </c>
      <c r="E130" s="44">
        <v>7175250</v>
      </c>
      <c r="F130" s="44">
        <v>4422092.9461609488</v>
      </c>
      <c r="G130" s="44"/>
      <c r="H130" s="44">
        <v>879967.05383905093</v>
      </c>
      <c r="I130" s="44"/>
      <c r="J130" s="44">
        <f t="shared" si="3"/>
        <v>0</v>
      </c>
      <c r="K130" s="44">
        <v>9720</v>
      </c>
      <c r="L130" s="44">
        <v>140500</v>
      </c>
      <c r="M130" s="44">
        <v>86600</v>
      </c>
      <c r="N130" s="44">
        <v>1636370</v>
      </c>
      <c r="O130" s="44">
        <v>0</v>
      </c>
      <c r="P130" s="1" t="b">
        <f t="shared" si="4"/>
        <v>1</v>
      </c>
      <c r="Q130" s="1" t="e">
        <f>O130=#REF!</f>
        <v>#REF!</v>
      </c>
      <c r="R130" s="1" t="e">
        <f>#REF!=#REF!</f>
        <v>#REF!</v>
      </c>
      <c r="AG130" s="1" t="b">
        <f t="shared" si="5"/>
        <v>1</v>
      </c>
      <c r="AI130" s="44">
        <v>0</v>
      </c>
      <c r="AJ130" s="44">
        <v>0</v>
      </c>
    </row>
    <row r="131" spans="1:36" ht="16" hidden="1" customHeight="1" outlineLevel="1" x14ac:dyDescent="0.45">
      <c r="A131" s="24" t="s">
        <v>192</v>
      </c>
      <c r="B131" s="45">
        <v>0</v>
      </c>
      <c r="C131" s="45">
        <v>0</v>
      </c>
      <c r="D131" s="45">
        <v>0</v>
      </c>
      <c r="E131" s="45">
        <v>0</v>
      </c>
      <c r="F131" s="45">
        <v>0</v>
      </c>
      <c r="G131" s="45"/>
      <c r="H131" s="45">
        <v>0</v>
      </c>
      <c r="I131" s="45"/>
      <c r="J131" s="45">
        <f t="shared" si="3"/>
        <v>0</v>
      </c>
      <c r="K131" s="45">
        <v>0</v>
      </c>
      <c r="L131" s="45">
        <v>0</v>
      </c>
      <c r="M131" s="45">
        <v>0</v>
      </c>
      <c r="N131" s="45">
        <v>0</v>
      </c>
      <c r="O131" s="45">
        <v>0</v>
      </c>
      <c r="P131" s="1" t="b">
        <f t="shared" si="4"/>
        <v>1</v>
      </c>
      <c r="Q131" s="1" t="e">
        <f>O131=#REF!</f>
        <v>#REF!</v>
      </c>
      <c r="R131" s="1" t="e">
        <f>#REF!=#REF!</f>
        <v>#REF!</v>
      </c>
      <c r="AG131" s="1" t="b">
        <f t="shared" si="5"/>
        <v>1</v>
      </c>
      <c r="AI131" s="45">
        <v>0</v>
      </c>
      <c r="AJ131" s="45">
        <v>0</v>
      </c>
    </row>
    <row r="132" spans="1:36" ht="16" hidden="1" customHeight="1" outlineLevel="1" x14ac:dyDescent="0.45">
      <c r="A132" s="29" t="s">
        <v>193</v>
      </c>
      <c r="B132" s="44">
        <v>0</v>
      </c>
      <c r="C132" s="44">
        <v>0</v>
      </c>
      <c r="D132" s="44">
        <v>0</v>
      </c>
      <c r="E132" s="44">
        <v>0</v>
      </c>
      <c r="F132" s="44">
        <v>0</v>
      </c>
      <c r="G132" s="44"/>
      <c r="H132" s="44">
        <v>0</v>
      </c>
      <c r="I132" s="44"/>
      <c r="J132" s="44">
        <f t="shared" ref="J132:J195" si="6">AI132+AJ132</f>
        <v>0</v>
      </c>
      <c r="K132" s="44">
        <v>0</v>
      </c>
      <c r="L132" s="44">
        <v>0</v>
      </c>
      <c r="M132" s="44">
        <v>0</v>
      </c>
      <c r="N132" s="44">
        <v>0</v>
      </c>
      <c r="O132" s="44">
        <v>0</v>
      </c>
      <c r="P132" s="1" t="b">
        <f t="shared" ref="P132:P195" si="7">B132=SUM(C132:E132)</f>
        <v>1</v>
      </c>
      <c r="Q132" s="1" t="e">
        <f>O132=#REF!</f>
        <v>#REF!</v>
      </c>
      <c r="R132" s="1" t="e">
        <f>#REF!=#REF!</f>
        <v>#REF!</v>
      </c>
      <c r="AG132" s="1" t="b">
        <f t="shared" ref="AG132:AG195" si="8">E132=SUM(F132:O132)</f>
        <v>1</v>
      </c>
      <c r="AI132" s="44">
        <v>0</v>
      </c>
      <c r="AJ132" s="44">
        <v>0</v>
      </c>
    </row>
    <row r="133" spans="1:36" s="1" customFormat="1" collapsed="1" x14ac:dyDescent="0.45">
      <c r="A133" s="28" t="s">
        <v>64</v>
      </c>
      <c r="B133" s="43">
        <v>82053048</v>
      </c>
      <c r="C133" s="43">
        <v>926270</v>
      </c>
      <c r="D133" s="43">
        <v>0</v>
      </c>
      <c r="E133" s="43">
        <v>81126778</v>
      </c>
      <c r="F133" s="43">
        <v>74779636.368482858</v>
      </c>
      <c r="G133" s="43"/>
      <c r="H133" s="43">
        <v>5675326.6315171439</v>
      </c>
      <c r="I133" s="43"/>
      <c r="J133" s="43">
        <f t="shared" si="6"/>
        <v>0</v>
      </c>
      <c r="K133" s="43">
        <v>0</v>
      </c>
      <c r="L133" s="43">
        <v>0</v>
      </c>
      <c r="M133" s="43">
        <v>16990</v>
      </c>
      <c r="N133" s="43">
        <v>0</v>
      </c>
      <c r="O133" s="43">
        <v>654825</v>
      </c>
      <c r="P133" s="1" t="b">
        <f t="shared" si="7"/>
        <v>1</v>
      </c>
      <c r="Q133" s="1" t="e">
        <f>O133=#REF!</f>
        <v>#REF!</v>
      </c>
      <c r="R133" s="1" t="e">
        <f>#REF!=#REF!</f>
        <v>#REF!</v>
      </c>
      <c r="AG133" s="1" t="b">
        <f t="shared" si="8"/>
        <v>1</v>
      </c>
      <c r="AI133" s="43">
        <v>0</v>
      </c>
      <c r="AJ133" s="43">
        <v>0</v>
      </c>
    </row>
    <row r="134" spans="1:36" ht="16" hidden="1" customHeight="1" outlineLevel="1" x14ac:dyDescent="0.45">
      <c r="A134" s="29" t="s">
        <v>65</v>
      </c>
      <c r="B134" s="44">
        <v>82053048</v>
      </c>
      <c r="C134" s="44">
        <v>926270</v>
      </c>
      <c r="D134" s="44">
        <v>0</v>
      </c>
      <c r="E134" s="44">
        <v>81126778</v>
      </c>
      <c r="F134" s="44">
        <v>74779636.368482858</v>
      </c>
      <c r="G134" s="44"/>
      <c r="H134" s="44">
        <v>5675326.6315171439</v>
      </c>
      <c r="I134" s="44"/>
      <c r="J134" s="44">
        <f t="shared" si="6"/>
        <v>0</v>
      </c>
      <c r="K134" s="44">
        <v>0</v>
      </c>
      <c r="L134" s="44">
        <v>0</v>
      </c>
      <c r="M134" s="44">
        <v>16990</v>
      </c>
      <c r="N134" s="44">
        <v>0</v>
      </c>
      <c r="O134" s="44">
        <v>654825</v>
      </c>
      <c r="P134" s="1" t="b">
        <f t="shared" si="7"/>
        <v>1</v>
      </c>
      <c r="Q134" s="1" t="e">
        <f>O134=#REF!</f>
        <v>#REF!</v>
      </c>
      <c r="R134" s="1" t="e">
        <f>#REF!=#REF!</f>
        <v>#REF!</v>
      </c>
      <c r="AG134" s="1" t="b">
        <f t="shared" si="8"/>
        <v>1</v>
      </c>
      <c r="AI134" s="44">
        <v>0</v>
      </c>
      <c r="AJ134" s="44">
        <v>0</v>
      </c>
    </row>
    <row r="135" spans="1:36" ht="16" hidden="1" customHeight="1" outlineLevel="1" x14ac:dyDescent="0.45">
      <c r="A135" s="29" t="s">
        <v>261</v>
      </c>
      <c r="B135" s="44">
        <v>0</v>
      </c>
      <c r="C135" s="44">
        <v>0</v>
      </c>
      <c r="D135" s="44">
        <v>0</v>
      </c>
      <c r="E135" s="44">
        <v>0</v>
      </c>
      <c r="F135" s="44">
        <v>0</v>
      </c>
      <c r="G135" s="44"/>
      <c r="H135" s="44">
        <v>0</v>
      </c>
      <c r="I135" s="44"/>
      <c r="J135" s="44">
        <f t="shared" si="6"/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1" t="b">
        <f t="shared" si="7"/>
        <v>1</v>
      </c>
      <c r="Q135" s="1" t="e">
        <f>O135=#REF!</f>
        <v>#REF!</v>
      </c>
      <c r="R135" s="1" t="e">
        <f>#REF!=#REF!</f>
        <v>#REF!</v>
      </c>
      <c r="AG135" s="1" t="b">
        <f t="shared" si="8"/>
        <v>1</v>
      </c>
      <c r="AI135" s="44">
        <v>0</v>
      </c>
      <c r="AJ135" s="44">
        <v>0</v>
      </c>
    </row>
    <row r="136" spans="1:36" s="1" customFormat="1" collapsed="1" x14ac:dyDescent="0.45">
      <c r="A136" s="28" t="s">
        <v>139</v>
      </c>
      <c r="B136" s="43">
        <v>17114580</v>
      </c>
      <c r="C136" s="43">
        <v>17114580</v>
      </c>
      <c r="D136" s="43">
        <v>0</v>
      </c>
      <c r="E136" s="43">
        <v>0</v>
      </c>
      <c r="F136" s="43">
        <v>0</v>
      </c>
      <c r="G136" s="43"/>
      <c r="H136" s="43">
        <v>0</v>
      </c>
      <c r="I136" s="43"/>
      <c r="J136" s="43">
        <f t="shared" si="6"/>
        <v>0</v>
      </c>
      <c r="K136" s="43">
        <v>0</v>
      </c>
      <c r="L136" s="43">
        <v>0</v>
      </c>
      <c r="M136" s="43">
        <v>0</v>
      </c>
      <c r="N136" s="43">
        <v>0</v>
      </c>
      <c r="O136" s="43">
        <v>0</v>
      </c>
      <c r="P136" s="1" t="b">
        <f t="shared" si="7"/>
        <v>1</v>
      </c>
      <c r="Q136" s="1" t="e">
        <f>O136=#REF!</f>
        <v>#REF!</v>
      </c>
      <c r="R136" s="1" t="e">
        <f>#REF!=#REF!</f>
        <v>#REF!</v>
      </c>
      <c r="AG136" s="1" t="b">
        <f t="shared" si="8"/>
        <v>1</v>
      </c>
      <c r="AI136" s="43">
        <v>0</v>
      </c>
      <c r="AJ136" s="43">
        <v>0</v>
      </c>
    </row>
    <row r="137" spans="1:36" ht="16" hidden="1" customHeight="1" outlineLevel="1" x14ac:dyDescent="0.45">
      <c r="A137" s="29" t="s">
        <v>140</v>
      </c>
      <c r="B137" s="44">
        <v>123500</v>
      </c>
      <c r="C137" s="44">
        <v>123500</v>
      </c>
      <c r="D137" s="44">
        <v>0</v>
      </c>
      <c r="E137" s="44">
        <v>0</v>
      </c>
      <c r="F137" s="44">
        <v>0</v>
      </c>
      <c r="G137" s="44"/>
      <c r="H137" s="44">
        <v>0</v>
      </c>
      <c r="I137" s="44"/>
      <c r="J137" s="44">
        <f t="shared" si="6"/>
        <v>0</v>
      </c>
      <c r="K137" s="44">
        <v>0</v>
      </c>
      <c r="L137" s="44">
        <v>0</v>
      </c>
      <c r="M137" s="44">
        <v>0</v>
      </c>
      <c r="N137" s="44">
        <v>0</v>
      </c>
      <c r="O137" s="44">
        <v>0</v>
      </c>
      <c r="P137" s="1" t="b">
        <f t="shared" si="7"/>
        <v>1</v>
      </c>
      <c r="Q137" s="1" t="e">
        <f>O137=#REF!</f>
        <v>#REF!</v>
      </c>
      <c r="R137" s="1" t="e">
        <f>#REF!=#REF!</f>
        <v>#REF!</v>
      </c>
      <c r="AG137" s="1" t="b">
        <f t="shared" si="8"/>
        <v>1</v>
      </c>
      <c r="AI137" s="44">
        <v>0</v>
      </c>
      <c r="AJ137" s="44">
        <v>0</v>
      </c>
    </row>
    <row r="138" spans="1:36" ht="16" hidden="1" customHeight="1" outlineLevel="1" x14ac:dyDescent="0.45">
      <c r="A138" s="29" t="s">
        <v>194</v>
      </c>
      <c r="B138" s="44">
        <v>64000</v>
      </c>
      <c r="C138" s="44">
        <v>64000</v>
      </c>
      <c r="D138" s="44">
        <v>0</v>
      </c>
      <c r="E138" s="44">
        <v>0</v>
      </c>
      <c r="F138" s="44">
        <v>0</v>
      </c>
      <c r="G138" s="44"/>
      <c r="H138" s="44">
        <v>0</v>
      </c>
      <c r="I138" s="44"/>
      <c r="J138" s="44">
        <f t="shared" si="6"/>
        <v>0</v>
      </c>
      <c r="K138" s="44">
        <v>0</v>
      </c>
      <c r="L138" s="44">
        <v>0</v>
      </c>
      <c r="M138" s="44">
        <v>0</v>
      </c>
      <c r="N138" s="44">
        <v>0</v>
      </c>
      <c r="O138" s="44">
        <v>0</v>
      </c>
      <c r="P138" s="1" t="b">
        <f t="shared" si="7"/>
        <v>1</v>
      </c>
      <c r="Q138" s="1" t="e">
        <f>O138=#REF!</f>
        <v>#REF!</v>
      </c>
      <c r="R138" s="1" t="e">
        <f>#REF!=#REF!</f>
        <v>#REF!</v>
      </c>
      <c r="AG138" s="1" t="b">
        <f t="shared" si="8"/>
        <v>1</v>
      </c>
      <c r="AI138" s="44">
        <v>0</v>
      </c>
      <c r="AJ138" s="44">
        <v>0</v>
      </c>
    </row>
    <row r="139" spans="1:36" ht="16" hidden="1" customHeight="1" outlineLevel="1" x14ac:dyDescent="0.45">
      <c r="A139" s="29" t="s">
        <v>195</v>
      </c>
      <c r="B139" s="44">
        <v>0</v>
      </c>
      <c r="C139" s="44">
        <v>0</v>
      </c>
      <c r="D139" s="44">
        <v>0</v>
      </c>
      <c r="E139" s="44">
        <v>0</v>
      </c>
      <c r="F139" s="44">
        <v>0</v>
      </c>
      <c r="G139" s="44"/>
      <c r="H139" s="44">
        <v>0</v>
      </c>
      <c r="I139" s="44"/>
      <c r="J139" s="44">
        <f t="shared" si="6"/>
        <v>0</v>
      </c>
      <c r="K139" s="44">
        <v>0</v>
      </c>
      <c r="L139" s="44">
        <v>0</v>
      </c>
      <c r="M139" s="44">
        <v>0</v>
      </c>
      <c r="N139" s="44">
        <v>0</v>
      </c>
      <c r="O139" s="44">
        <v>0</v>
      </c>
      <c r="P139" s="1" t="b">
        <f t="shared" si="7"/>
        <v>1</v>
      </c>
      <c r="Q139" s="1" t="e">
        <f>O139=#REF!</f>
        <v>#REF!</v>
      </c>
      <c r="R139" s="1" t="e">
        <f>#REF!=#REF!</f>
        <v>#REF!</v>
      </c>
      <c r="AG139" s="1" t="b">
        <f t="shared" si="8"/>
        <v>1</v>
      </c>
      <c r="AI139" s="44">
        <v>0</v>
      </c>
      <c r="AJ139" s="44">
        <v>0</v>
      </c>
    </row>
    <row r="140" spans="1:36" ht="16" hidden="1" customHeight="1" outlineLevel="1" x14ac:dyDescent="0.45">
      <c r="A140" s="29" t="s">
        <v>141</v>
      </c>
      <c r="B140" s="44">
        <v>16927080</v>
      </c>
      <c r="C140" s="44">
        <v>16927080</v>
      </c>
      <c r="D140" s="44">
        <v>0</v>
      </c>
      <c r="E140" s="44">
        <v>0</v>
      </c>
      <c r="F140" s="44">
        <v>0</v>
      </c>
      <c r="G140" s="44"/>
      <c r="H140" s="44">
        <v>0</v>
      </c>
      <c r="I140" s="44"/>
      <c r="J140" s="44">
        <f t="shared" si="6"/>
        <v>0</v>
      </c>
      <c r="K140" s="44">
        <v>0</v>
      </c>
      <c r="L140" s="44">
        <v>0</v>
      </c>
      <c r="M140" s="44">
        <v>0</v>
      </c>
      <c r="N140" s="44">
        <v>0</v>
      </c>
      <c r="O140" s="44">
        <v>0</v>
      </c>
      <c r="P140" s="1" t="b">
        <f t="shared" si="7"/>
        <v>1</v>
      </c>
      <c r="Q140" s="1" t="e">
        <f>O140=#REF!</f>
        <v>#REF!</v>
      </c>
      <c r="R140" s="1" t="e">
        <f>#REF!=#REF!</f>
        <v>#REF!</v>
      </c>
      <c r="AG140" s="1" t="b">
        <f t="shared" si="8"/>
        <v>1</v>
      </c>
      <c r="AI140" s="44">
        <v>0</v>
      </c>
      <c r="AJ140" s="44">
        <v>0</v>
      </c>
    </row>
    <row r="141" spans="1:36" s="1" customFormat="1" collapsed="1" x14ac:dyDescent="0.45">
      <c r="A141" s="28" t="s">
        <v>66</v>
      </c>
      <c r="B141" s="43">
        <v>44607273</v>
      </c>
      <c r="C141" s="43">
        <v>467949</v>
      </c>
      <c r="D141" s="43">
        <v>0</v>
      </c>
      <c r="E141" s="43">
        <v>44139324</v>
      </c>
      <c r="F141" s="43">
        <v>11813814.329197627</v>
      </c>
      <c r="G141" s="43"/>
      <c r="H141" s="43">
        <v>3325510.6708023734</v>
      </c>
      <c r="I141" s="43"/>
      <c r="J141" s="43">
        <f t="shared" si="6"/>
        <v>0</v>
      </c>
      <c r="K141" s="43">
        <v>0</v>
      </c>
      <c r="L141" s="43">
        <v>0</v>
      </c>
      <c r="M141" s="43">
        <v>0</v>
      </c>
      <c r="N141" s="43">
        <v>0</v>
      </c>
      <c r="O141" s="43">
        <v>28999999</v>
      </c>
      <c r="P141" s="1" t="b">
        <f t="shared" si="7"/>
        <v>1</v>
      </c>
      <c r="Q141" s="1" t="e">
        <f>O141=#REF!</f>
        <v>#REF!</v>
      </c>
      <c r="R141" s="1" t="e">
        <f>#REF!=#REF!</f>
        <v>#REF!</v>
      </c>
      <c r="AG141" s="1" t="b">
        <f t="shared" si="8"/>
        <v>1</v>
      </c>
      <c r="AI141" s="43">
        <v>0</v>
      </c>
      <c r="AJ141" s="43">
        <v>0</v>
      </c>
    </row>
    <row r="142" spans="1:36" s="1" customFormat="1" x14ac:dyDescent="0.45">
      <c r="A142" s="28" t="s">
        <v>67</v>
      </c>
      <c r="B142" s="43">
        <v>889458831</v>
      </c>
      <c r="C142" s="43">
        <v>192918114</v>
      </c>
      <c r="D142" s="43">
        <v>29440322</v>
      </c>
      <c r="E142" s="43">
        <v>667100395</v>
      </c>
      <c r="F142" s="43">
        <v>324731533.45812231</v>
      </c>
      <c r="G142" s="43"/>
      <c r="H142" s="43">
        <v>267888337.54187769</v>
      </c>
      <c r="I142" s="43"/>
      <c r="J142" s="43">
        <f t="shared" si="6"/>
        <v>22968309</v>
      </c>
      <c r="K142" s="43">
        <v>5077796</v>
      </c>
      <c r="L142" s="43">
        <v>5077796</v>
      </c>
      <c r="M142" s="43">
        <v>25458618</v>
      </c>
      <c r="N142" s="43">
        <v>7534915</v>
      </c>
      <c r="O142" s="43">
        <v>8363090</v>
      </c>
      <c r="P142" s="1" t="b">
        <f t="shared" si="7"/>
        <v>1</v>
      </c>
      <c r="Q142" s="1" t="e">
        <f>O142=#REF!</f>
        <v>#REF!</v>
      </c>
      <c r="R142" s="1" t="e">
        <f>#REF!=#REF!</f>
        <v>#REF!</v>
      </c>
      <c r="AG142" s="1" t="b">
        <f t="shared" si="8"/>
        <v>1</v>
      </c>
      <c r="AI142" s="43">
        <v>21819894</v>
      </c>
      <c r="AJ142" s="43">
        <v>1148415</v>
      </c>
    </row>
    <row r="143" spans="1:36" ht="16" hidden="1" customHeight="1" outlineLevel="1" x14ac:dyDescent="0.45">
      <c r="A143" s="29" t="s">
        <v>68</v>
      </c>
      <c r="B143" s="44">
        <v>174397142</v>
      </c>
      <c r="C143" s="44">
        <v>12843142</v>
      </c>
      <c r="D143" s="44">
        <v>1330000</v>
      </c>
      <c r="E143" s="44">
        <v>160224000</v>
      </c>
      <c r="F143" s="44">
        <v>36424408.533923134</v>
      </c>
      <c r="G143" s="44"/>
      <c r="H143" s="44">
        <v>123260591.46607687</v>
      </c>
      <c r="I143" s="44"/>
      <c r="J143" s="44">
        <f t="shared" si="6"/>
        <v>0</v>
      </c>
      <c r="K143" s="44">
        <v>0</v>
      </c>
      <c r="L143" s="44">
        <v>0</v>
      </c>
      <c r="M143" s="44">
        <v>539000</v>
      </c>
      <c r="N143" s="44">
        <v>0</v>
      </c>
      <c r="O143" s="44">
        <v>0</v>
      </c>
      <c r="P143" s="1" t="b">
        <f t="shared" si="7"/>
        <v>1</v>
      </c>
      <c r="Q143" s="1" t="e">
        <f>O143=#REF!</f>
        <v>#REF!</v>
      </c>
      <c r="R143" s="1" t="e">
        <f>#REF!=#REF!</f>
        <v>#REF!</v>
      </c>
      <c r="AG143" s="1" t="b">
        <f t="shared" si="8"/>
        <v>1</v>
      </c>
      <c r="AI143" s="44">
        <v>0</v>
      </c>
      <c r="AJ143" s="44">
        <v>0</v>
      </c>
    </row>
    <row r="144" spans="1:36" ht="16" hidden="1" customHeight="1" outlineLevel="1" x14ac:dyDescent="0.45">
      <c r="A144" s="29" t="s">
        <v>196</v>
      </c>
      <c r="B144" s="44">
        <v>0</v>
      </c>
      <c r="C144" s="44">
        <v>0</v>
      </c>
      <c r="D144" s="44">
        <v>0</v>
      </c>
      <c r="E144" s="44">
        <v>0</v>
      </c>
      <c r="F144" s="44">
        <v>0</v>
      </c>
      <c r="G144" s="44"/>
      <c r="H144" s="44">
        <v>0</v>
      </c>
      <c r="I144" s="44"/>
      <c r="J144" s="44">
        <f t="shared" si="6"/>
        <v>0</v>
      </c>
      <c r="K144" s="44">
        <v>0</v>
      </c>
      <c r="L144" s="44">
        <v>0</v>
      </c>
      <c r="M144" s="44">
        <v>0</v>
      </c>
      <c r="N144" s="44">
        <v>0</v>
      </c>
      <c r="O144" s="44">
        <v>0</v>
      </c>
      <c r="P144" s="1" t="b">
        <f t="shared" si="7"/>
        <v>1</v>
      </c>
      <c r="Q144" s="1" t="e">
        <f>O144=#REF!</f>
        <v>#REF!</v>
      </c>
      <c r="R144" s="1" t="e">
        <f>#REF!=#REF!</f>
        <v>#REF!</v>
      </c>
      <c r="AG144" s="1" t="b">
        <f t="shared" si="8"/>
        <v>1</v>
      </c>
      <c r="AI144" s="44">
        <v>0</v>
      </c>
      <c r="AJ144" s="44">
        <v>0</v>
      </c>
    </row>
    <row r="145" spans="1:36" ht="16" hidden="1" customHeight="1" outlineLevel="1" x14ac:dyDescent="0.45">
      <c r="A145" s="29" t="s">
        <v>69</v>
      </c>
      <c r="B145" s="44">
        <v>341663602</v>
      </c>
      <c r="C145" s="44">
        <v>69536994</v>
      </c>
      <c r="D145" s="44">
        <v>15200280</v>
      </c>
      <c r="E145" s="44">
        <v>256926328</v>
      </c>
      <c r="F145" s="44">
        <v>101586623.72203033</v>
      </c>
      <c r="G145" s="44"/>
      <c r="H145" s="44">
        <v>105912424.27796967</v>
      </c>
      <c r="I145" s="44"/>
      <c r="J145" s="44">
        <f t="shared" si="6"/>
        <v>12879212</v>
      </c>
      <c r="K145" s="44">
        <v>2700249.5</v>
      </c>
      <c r="L145" s="44">
        <v>2700249.5</v>
      </c>
      <c r="M145" s="44">
        <v>20317499</v>
      </c>
      <c r="N145" s="44">
        <v>4830070</v>
      </c>
      <c r="O145" s="44">
        <v>6000000</v>
      </c>
      <c r="P145" s="1" t="b">
        <f t="shared" si="7"/>
        <v>1</v>
      </c>
      <c r="Q145" s="1" t="e">
        <f>O145=#REF!</f>
        <v>#REF!</v>
      </c>
      <c r="R145" s="1" t="e">
        <f>#REF!=#REF!</f>
        <v>#REF!</v>
      </c>
      <c r="AG145" s="1" t="b">
        <f t="shared" si="8"/>
        <v>1</v>
      </c>
      <c r="AI145" s="44">
        <v>12235252</v>
      </c>
      <c r="AJ145" s="44">
        <v>643960</v>
      </c>
    </row>
    <row r="146" spans="1:36" ht="16" hidden="1" customHeight="1" outlineLevel="1" x14ac:dyDescent="0.45">
      <c r="A146" s="29" t="s">
        <v>70</v>
      </c>
      <c r="B146" s="44">
        <v>289974687</v>
      </c>
      <c r="C146" s="44">
        <v>29679178</v>
      </c>
      <c r="D146" s="44">
        <v>11627742</v>
      </c>
      <c r="E146" s="44">
        <v>248667767</v>
      </c>
      <c r="F146" s="44">
        <v>185438201.20216888</v>
      </c>
      <c r="G146" s="44"/>
      <c r="H146" s="44">
        <v>38715321.797831133</v>
      </c>
      <c r="I146" s="44"/>
      <c r="J146" s="44">
        <f t="shared" si="6"/>
        <v>10089097</v>
      </c>
      <c r="K146" s="44">
        <v>2377546.5</v>
      </c>
      <c r="L146" s="44">
        <v>2377546.5</v>
      </c>
      <c r="M146" s="44">
        <v>4602119</v>
      </c>
      <c r="N146" s="44">
        <v>2704845</v>
      </c>
      <c r="O146" s="44">
        <v>2363090</v>
      </c>
      <c r="P146" s="1" t="b">
        <f t="shared" si="7"/>
        <v>1</v>
      </c>
      <c r="Q146" s="1" t="e">
        <f>O146=#REF!</f>
        <v>#REF!</v>
      </c>
      <c r="R146" s="1" t="e">
        <f>#REF!=#REF!</f>
        <v>#REF!</v>
      </c>
      <c r="AG146" s="1" t="b">
        <f t="shared" si="8"/>
        <v>1</v>
      </c>
      <c r="AI146" s="44">
        <v>9584642</v>
      </c>
      <c r="AJ146" s="44">
        <v>504455</v>
      </c>
    </row>
    <row r="147" spans="1:36" ht="16" hidden="1" customHeight="1" outlineLevel="1" x14ac:dyDescent="0.45">
      <c r="A147" s="29" t="s">
        <v>142</v>
      </c>
      <c r="B147" s="44">
        <v>83423400</v>
      </c>
      <c r="C147" s="44">
        <v>80858800</v>
      </c>
      <c r="D147" s="44">
        <v>1282300</v>
      </c>
      <c r="E147" s="44">
        <v>1282300</v>
      </c>
      <c r="F147" s="44">
        <v>1282300</v>
      </c>
      <c r="G147" s="44"/>
      <c r="H147" s="44">
        <v>0</v>
      </c>
      <c r="I147" s="44"/>
      <c r="J147" s="44">
        <f t="shared" si="6"/>
        <v>0</v>
      </c>
      <c r="K147" s="44">
        <v>0</v>
      </c>
      <c r="L147" s="44">
        <v>0</v>
      </c>
      <c r="M147" s="44">
        <v>0</v>
      </c>
      <c r="N147" s="44">
        <v>0</v>
      </c>
      <c r="O147" s="44">
        <v>0</v>
      </c>
      <c r="P147" s="1" t="b">
        <f t="shared" si="7"/>
        <v>1</v>
      </c>
      <c r="Q147" s="1" t="e">
        <f>O147=#REF!</f>
        <v>#REF!</v>
      </c>
      <c r="R147" s="1" t="e">
        <f>#REF!=#REF!</f>
        <v>#REF!</v>
      </c>
      <c r="AG147" s="1" t="b">
        <f t="shared" si="8"/>
        <v>1</v>
      </c>
      <c r="AI147" s="44">
        <v>0</v>
      </c>
      <c r="AJ147" s="44">
        <v>0</v>
      </c>
    </row>
    <row r="148" spans="1:36" ht="16" hidden="1" customHeight="1" outlineLevel="1" x14ac:dyDescent="0.45">
      <c r="A148" s="29" t="s">
        <v>197</v>
      </c>
      <c r="B148" s="44">
        <v>0</v>
      </c>
      <c r="C148" s="44">
        <v>0</v>
      </c>
      <c r="D148" s="44">
        <v>0</v>
      </c>
      <c r="E148" s="44">
        <v>0</v>
      </c>
      <c r="F148" s="44">
        <v>0</v>
      </c>
      <c r="G148" s="44"/>
      <c r="H148" s="44">
        <v>0</v>
      </c>
      <c r="I148" s="44"/>
      <c r="J148" s="44">
        <f t="shared" si="6"/>
        <v>0</v>
      </c>
      <c r="K148" s="44">
        <v>0</v>
      </c>
      <c r="L148" s="44">
        <v>0</v>
      </c>
      <c r="M148" s="44">
        <v>0</v>
      </c>
      <c r="N148" s="44">
        <v>0</v>
      </c>
      <c r="O148" s="44">
        <v>0</v>
      </c>
      <c r="P148" s="1" t="b">
        <f t="shared" si="7"/>
        <v>1</v>
      </c>
      <c r="Q148" s="1" t="e">
        <f>O148=#REF!</f>
        <v>#REF!</v>
      </c>
      <c r="R148" s="1" t="e">
        <f>#REF!=#REF!</f>
        <v>#REF!</v>
      </c>
      <c r="AG148" s="1" t="b">
        <f t="shared" si="8"/>
        <v>1</v>
      </c>
      <c r="AI148" s="44">
        <v>0</v>
      </c>
      <c r="AJ148" s="44">
        <v>0</v>
      </c>
    </row>
    <row r="149" spans="1:36" ht="16" hidden="1" customHeight="1" outlineLevel="1" x14ac:dyDescent="0.45">
      <c r="A149" s="29" t="s">
        <v>262</v>
      </c>
      <c r="B149" s="44">
        <v>0</v>
      </c>
      <c r="C149" s="44">
        <v>0</v>
      </c>
      <c r="D149" s="44">
        <v>0</v>
      </c>
      <c r="E149" s="44">
        <v>0</v>
      </c>
      <c r="F149" s="44">
        <v>0</v>
      </c>
      <c r="G149" s="44"/>
      <c r="H149" s="44">
        <v>0</v>
      </c>
      <c r="I149" s="44"/>
      <c r="J149" s="44">
        <f t="shared" si="6"/>
        <v>0</v>
      </c>
      <c r="K149" s="44">
        <v>0</v>
      </c>
      <c r="L149" s="44">
        <v>0</v>
      </c>
      <c r="M149" s="44">
        <v>0</v>
      </c>
      <c r="N149" s="44">
        <v>0</v>
      </c>
      <c r="O149" s="44">
        <v>0</v>
      </c>
      <c r="P149" s="1" t="b">
        <f t="shared" si="7"/>
        <v>1</v>
      </c>
      <c r="Q149" s="1" t="e">
        <f>O149=#REF!</f>
        <v>#REF!</v>
      </c>
      <c r="R149" s="1" t="e">
        <f>#REF!=#REF!</f>
        <v>#REF!</v>
      </c>
      <c r="AG149" s="1" t="b">
        <f t="shared" si="8"/>
        <v>1</v>
      </c>
      <c r="AI149" s="44">
        <v>0</v>
      </c>
      <c r="AJ149" s="44">
        <v>0</v>
      </c>
    </row>
    <row r="150" spans="1:36" ht="16" hidden="1" customHeight="1" outlineLevel="1" x14ac:dyDescent="0.45">
      <c r="A150" s="29" t="s">
        <v>263</v>
      </c>
      <c r="B150" s="44">
        <v>0</v>
      </c>
      <c r="C150" s="44">
        <v>0</v>
      </c>
      <c r="D150" s="44">
        <v>0</v>
      </c>
      <c r="E150" s="44">
        <v>0</v>
      </c>
      <c r="F150" s="44">
        <v>0</v>
      </c>
      <c r="G150" s="44"/>
      <c r="H150" s="44">
        <v>0</v>
      </c>
      <c r="I150" s="44"/>
      <c r="J150" s="44">
        <f t="shared" si="6"/>
        <v>0</v>
      </c>
      <c r="K150" s="44">
        <v>0</v>
      </c>
      <c r="L150" s="44">
        <v>0</v>
      </c>
      <c r="M150" s="44">
        <v>0</v>
      </c>
      <c r="N150" s="44">
        <v>0</v>
      </c>
      <c r="O150" s="44">
        <v>0</v>
      </c>
      <c r="P150" s="1" t="b">
        <f t="shared" si="7"/>
        <v>1</v>
      </c>
      <c r="Q150" s="1" t="e">
        <f>O150=#REF!</f>
        <v>#REF!</v>
      </c>
      <c r="R150" s="1" t="e">
        <f>#REF!=#REF!</f>
        <v>#REF!</v>
      </c>
      <c r="AG150" s="1" t="b">
        <f t="shared" si="8"/>
        <v>1</v>
      </c>
      <c r="AI150" s="44">
        <v>0</v>
      </c>
      <c r="AJ150" s="44">
        <v>0</v>
      </c>
    </row>
    <row r="151" spans="1:36" s="1" customFormat="1" collapsed="1" x14ac:dyDescent="0.45">
      <c r="A151" s="28" t="s">
        <v>71</v>
      </c>
      <c r="B151" s="43">
        <v>73289780</v>
      </c>
      <c r="C151" s="43">
        <v>73204900</v>
      </c>
      <c r="D151" s="43">
        <v>0</v>
      </c>
      <c r="E151" s="43">
        <v>84880</v>
      </c>
      <c r="F151" s="43">
        <v>0</v>
      </c>
      <c r="G151" s="43"/>
      <c r="H151" s="43">
        <v>0</v>
      </c>
      <c r="I151" s="43"/>
      <c r="J151" s="43">
        <f t="shared" si="6"/>
        <v>0</v>
      </c>
      <c r="K151" s="43">
        <v>0</v>
      </c>
      <c r="L151" s="43">
        <v>0</v>
      </c>
      <c r="M151" s="43">
        <v>84880</v>
      </c>
      <c r="N151" s="43">
        <v>0</v>
      </c>
      <c r="O151" s="43">
        <v>0</v>
      </c>
      <c r="P151" s="1" t="b">
        <f t="shared" si="7"/>
        <v>1</v>
      </c>
      <c r="Q151" s="1" t="e">
        <f>O151=#REF!</f>
        <v>#REF!</v>
      </c>
      <c r="R151" s="1" t="e">
        <f>#REF!=#REF!</f>
        <v>#REF!</v>
      </c>
      <c r="AG151" s="1" t="b">
        <f t="shared" si="8"/>
        <v>1</v>
      </c>
      <c r="AI151" s="43">
        <v>0</v>
      </c>
      <c r="AJ151" s="43">
        <v>0</v>
      </c>
    </row>
    <row r="152" spans="1:36" ht="16" hidden="1" customHeight="1" outlineLevel="1" x14ac:dyDescent="0.45">
      <c r="A152" s="29" t="s">
        <v>143</v>
      </c>
      <c r="B152" s="44">
        <v>12994080</v>
      </c>
      <c r="C152" s="44">
        <v>12909200</v>
      </c>
      <c r="D152" s="44">
        <v>0</v>
      </c>
      <c r="E152" s="44">
        <v>84880</v>
      </c>
      <c r="F152" s="44">
        <v>0</v>
      </c>
      <c r="G152" s="44"/>
      <c r="H152" s="44">
        <v>0</v>
      </c>
      <c r="I152" s="44"/>
      <c r="J152" s="44">
        <f t="shared" si="6"/>
        <v>0</v>
      </c>
      <c r="K152" s="44">
        <v>0</v>
      </c>
      <c r="L152" s="44">
        <v>0</v>
      </c>
      <c r="M152" s="44">
        <v>84880</v>
      </c>
      <c r="N152" s="44">
        <v>0</v>
      </c>
      <c r="O152" s="44">
        <v>0</v>
      </c>
      <c r="P152" s="1" t="b">
        <f t="shared" si="7"/>
        <v>1</v>
      </c>
      <c r="Q152" s="1" t="e">
        <f>O152=#REF!</f>
        <v>#REF!</v>
      </c>
      <c r="R152" s="1" t="e">
        <f>#REF!=#REF!</f>
        <v>#REF!</v>
      </c>
      <c r="AG152" s="1" t="b">
        <f t="shared" si="8"/>
        <v>1</v>
      </c>
      <c r="AI152" s="44">
        <v>0</v>
      </c>
      <c r="AJ152" s="44">
        <v>0</v>
      </c>
    </row>
    <row r="153" spans="1:36" ht="16" hidden="1" customHeight="1" outlineLevel="1" x14ac:dyDescent="0.45">
      <c r="A153" s="29" t="s">
        <v>72</v>
      </c>
      <c r="B153" s="44">
        <v>14110127</v>
      </c>
      <c r="C153" s="44">
        <v>14110127</v>
      </c>
      <c r="D153" s="44">
        <v>0</v>
      </c>
      <c r="E153" s="44">
        <v>0</v>
      </c>
      <c r="F153" s="44">
        <v>0</v>
      </c>
      <c r="G153" s="44"/>
      <c r="H153" s="44">
        <v>0</v>
      </c>
      <c r="I153" s="44"/>
      <c r="J153" s="44">
        <f t="shared" si="6"/>
        <v>0</v>
      </c>
      <c r="K153" s="44">
        <v>0</v>
      </c>
      <c r="L153" s="44">
        <v>0</v>
      </c>
      <c r="M153" s="44">
        <v>0</v>
      </c>
      <c r="N153" s="44">
        <v>0</v>
      </c>
      <c r="O153" s="44">
        <v>0</v>
      </c>
      <c r="P153" s="1" t="b">
        <f t="shared" si="7"/>
        <v>1</v>
      </c>
      <c r="Q153" s="1" t="e">
        <f>O153=#REF!</f>
        <v>#REF!</v>
      </c>
      <c r="R153" s="1" t="e">
        <f>#REF!=#REF!</f>
        <v>#REF!</v>
      </c>
      <c r="AG153" s="1" t="b">
        <f t="shared" si="8"/>
        <v>1</v>
      </c>
      <c r="AI153" s="44">
        <v>0</v>
      </c>
      <c r="AJ153" s="44">
        <v>0</v>
      </c>
    </row>
    <row r="154" spans="1:36" ht="16" hidden="1" customHeight="1" outlineLevel="1" x14ac:dyDescent="0.45">
      <c r="A154" s="29" t="s">
        <v>144</v>
      </c>
      <c r="B154" s="44">
        <v>46185573</v>
      </c>
      <c r="C154" s="44">
        <v>46185573</v>
      </c>
      <c r="D154" s="44">
        <v>0</v>
      </c>
      <c r="E154" s="44">
        <v>0</v>
      </c>
      <c r="F154" s="44">
        <v>0</v>
      </c>
      <c r="G154" s="44"/>
      <c r="H154" s="44">
        <v>0</v>
      </c>
      <c r="I154" s="44"/>
      <c r="J154" s="44">
        <f t="shared" si="6"/>
        <v>0</v>
      </c>
      <c r="K154" s="44">
        <v>0</v>
      </c>
      <c r="L154" s="44">
        <v>0</v>
      </c>
      <c r="M154" s="44">
        <v>0</v>
      </c>
      <c r="N154" s="44">
        <v>0</v>
      </c>
      <c r="O154" s="44">
        <v>0</v>
      </c>
      <c r="P154" s="1" t="b">
        <f t="shared" si="7"/>
        <v>1</v>
      </c>
      <c r="Q154" s="1" t="e">
        <f>O154=#REF!</f>
        <v>#REF!</v>
      </c>
      <c r="R154" s="1" t="e">
        <f>#REF!=#REF!</f>
        <v>#REF!</v>
      </c>
      <c r="AG154" s="1" t="b">
        <f t="shared" si="8"/>
        <v>1</v>
      </c>
      <c r="AI154" s="44">
        <v>0</v>
      </c>
      <c r="AJ154" s="44">
        <v>0</v>
      </c>
    </row>
    <row r="155" spans="1:36" ht="16" hidden="1" customHeight="1" outlineLevel="1" x14ac:dyDescent="0.45">
      <c r="A155" s="29" t="s">
        <v>145</v>
      </c>
      <c r="B155" s="44">
        <v>0</v>
      </c>
      <c r="C155" s="44">
        <v>0</v>
      </c>
      <c r="D155" s="44">
        <v>0</v>
      </c>
      <c r="E155" s="44">
        <v>0</v>
      </c>
      <c r="F155" s="44">
        <v>0</v>
      </c>
      <c r="G155" s="44"/>
      <c r="H155" s="44">
        <v>0</v>
      </c>
      <c r="I155" s="44"/>
      <c r="J155" s="44">
        <f t="shared" si="6"/>
        <v>0</v>
      </c>
      <c r="K155" s="44">
        <v>0</v>
      </c>
      <c r="L155" s="44">
        <v>0</v>
      </c>
      <c r="M155" s="44">
        <v>0</v>
      </c>
      <c r="N155" s="44">
        <v>0</v>
      </c>
      <c r="O155" s="44">
        <v>0</v>
      </c>
      <c r="P155" s="1" t="b">
        <f t="shared" si="7"/>
        <v>1</v>
      </c>
      <c r="Q155" s="1" t="e">
        <f>O155=#REF!</f>
        <v>#REF!</v>
      </c>
      <c r="R155" s="1" t="e">
        <f>#REF!=#REF!</f>
        <v>#REF!</v>
      </c>
      <c r="AG155" s="1" t="b">
        <f t="shared" si="8"/>
        <v>1</v>
      </c>
      <c r="AI155" s="44">
        <v>0</v>
      </c>
      <c r="AJ155" s="44">
        <v>0</v>
      </c>
    </row>
    <row r="156" spans="1:36" s="1" customFormat="1" collapsed="1" x14ac:dyDescent="0.45">
      <c r="A156" s="28" t="s">
        <v>73</v>
      </c>
      <c r="B156" s="43">
        <v>105416647</v>
      </c>
      <c r="C156" s="43">
        <v>7165030.3992168307</v>
      </c>
      <c r="D156" s="43">
        <v>873200</v>
      </c>
      <c r="E156" s="43">
        <v>97378416.600783169</v>
      </c>
      <c r="F156" s="43">
        <v>17044786.335445087</v>
      </c>
      <c r="G156" s="43"/>
      <c r="H156" s="43">
        <v>55883511.28452225</v>
      </c>
      <c r="I156" s="43"/>
      <c r="J156" s="43">
        <f t="shared" si="6"/>
        <v>374120.3800326637</v>
      </c>
      <c r="K156" s="43">
        <v>406428.1797261585</v>
      </c>
      <c r="L156" s="43">
        <v>999360.43886235496</v>
      </c>
      <c r="M156" s="43">
        <v>3475877.7602133607</v>
      </c>
      <c r="N156" s="43">
        <v>19099032.221981306</v>
      </c>
      <c r="O156" s="43">
        <v>95300</v>
      </c>
      <c r="P156" s="1" t="b">
        <f t="shared" si="7"/>
        <v>1</v>
      </c>
      <c r="Q156" s="1" t="e">
        <f>O156=#REF!</f>
        <v>#REF!</v>
      </c>
      <c r="R156" s="1" t="e">
        <f>#REF!=#REF!</f>
        <v>#REF!</v>
      </c>
      <c r="AG156" s="1" t="b">
        <f t="shared" si="8"/>
        <v>1</v>
      </c>
      <c r="AI156" s="43">
        <v>372406.67362351785</v>
      </c>
      <c r="AJ156" s="43">
        <v>1713.7064091458342</v>
      </c>
    </row>
    <row r="157" spans="1:36" ht="16" hidden="1" customHeight="1" outlineLevel="1" x14ac:dyDescent="0.45">
      <c r="A157" s="29" t="s">
        <v>74</v>
      </c>
      <c r="B157" s="44">
        <v>25748959</v>
      </c>
      <c r="C157" s="44">
        <v>3818324.3577102274</v>
      </c>
      <c r="D157" s="44">
        <v>20200</v>
      </c>
      <c r="E157" s="44">
        <v>21910434.642289773</v>
      </c>
      <c r="F157" s="44">
        <v>5892516.030403072</v>
      </c>
      <c r="G157" s="44"/>
      <c r="H157" s="44">
        <v>11739522.969596928</v>
      </c>
      <c r="I157" s="44"/>
      <c r="J157" s="44">
        <f t="shared" si="6"/>
        <v>42000</v>
      </c>
      <c r="K157" s="44">
        <v>150398.42649867866</v>
      </c>
      <c r="L157" s="44">
        <v>406059.36237907136</v>
      </c>
      <c r="M157" s="44">
        <v>772156.47127894347</v>
      </c>
      <c r="N157" s="44">
        <v>2812481.3821330834</v>
      </c>
      <c r="O157" s="44">
        <v>95300</v>
      </c>
      <c r="P157" s="1" t="b">
        <f t="shared" si="7"/>
        <v>1</v>
      </c>
      <c r="Q157" s="1" t="e">
        <f>O157=#REF!</f>
        <v>#REF!</v>
      </c>
      <c r="R157" s="1" t="e">
        <f>#REF!=#REF!</f>
        <v>#REF!</v>
      </c>
      <c r="AG157" s="1" t="b">
        <f t="shared" si="8"/>
        <v>1</v>
      </c>
      <c r="AI157" s="44">
        <v>42000</v>
      </c>
      <c r="AJ157" s="44">
        <v>0</v>
      </c>
    </row>
    <row r="158" spans="1:36" ht="16" hidden="1" customHeight="1" outlineLevel="1" x14ac:dyDescent="0.45">
      <c r="A158" s="29" t="s">
        <v>75</v>
      </c>
      <c r="B158" s="44">
        <v>7893172</v>
      </c>
      <c r="C158" s="44">
        <v>1528981.041506595</v>
      </c>
      <c r="D158" s="44">
        <v>853000</v>
      </c>
      <c r="E158" s="44">
        <v>5511190.958493405</v>
      </c>
      <c r="F158" s="44">
        <v>3513472.3574487898</v>
      </c>
      <c r="G158" s="44"/>
      <c r="H158" s="44">
        <v>769107.26251854666</v>
      </c>
      <c r="I158" s="44"/>
      <c r="J158" s="44">
        <f t="shared" si="6"/>
        <v>332120.3800326637</v>
      </c>
      <c r="K158" s="44">
        <v>256029.75322747987</v>
      </c>
      <c r="L158" s="44">
        <v>254601.07648328366</v>
      </c>
      <c r="M158" s="44">
        <v>364131.28893441724</v>
      </c>
      <c r="N158" s="44">
        <v>21728.839848223251</v>
      </c>
      <c r="O158" s="44">
        <v>0</v>
      </c>
      <c r="P158" s="1" t="b">
        <f t="shared" si="7"/>
        <v>1</v>
      </c>
      <c r="Q158" s="1" t="e">
        <f>O158=#REF!</f>
        <v>#REF!</v>
      </c>
      <c r="R158" s="1" t="e">
        <f>#REF!=#REF!</f>
        <v>#REF!</v>
      </c>
      <c r="AG158" s="1" t="b">
        <f t="shared" si="8"/>
        <v>0</v>
      </c>
      <c r="AI158" s="44">
        <v>330406.67362351785</v>
      </c>
      <c r="AJ158" s="44">
        <v>1713.7064091458342</v>
      </c>
    </row>
    <row r="159" spans="1:36" ht="16" hidden="1" customHeight="1" outlineLevel="1" x14ac:dyDescent="0.45">
      <c r="A159" s="29" t="s">
        <v>76</v>
      </c>
      <c r="B159" s="44">
        <v>20726534</v>
      </c>
      <c r="C159" s="44">
        <v>350000</v>
      </c>
      <c r="D159" s="44">
        <v>0</v>
      </c>
      <c r="E159" s="44">
        <v>20376534</v>
      </c>
      <c r="F159" s="44">
        <v>1892986.5456183809</v>
      </c>
      <c r="G159" s="44"/>
      <c r="H159" s="44">
        <v>2348250.4543816191</v>
      </c>
      <c r="I159" s="44"/>
      <c r="J159" s="44">
        <f t="shared" si="6"/>
        <v>0</v>
      </c>
      <c r="K159" s="44">
        <v>0</v>
      </c>
      <c r="L159" s="44">
        <v>338700</v>
      </c>
      <c r="M159" s="44">
        <v>1976642</v>
      </c>
      <c r="N159" s="44">
        <v>13819955</v>
      </c>
      <c r="O159" s="44">
        <v>0</v>
      </c>
      <c r="P159" s="1" t="b">
        <f t="shared" si="7"/>
        <v>1</v>
      </c>
      <c r="Q159" s="1" t="e">
        <f>O159=#REF!</f>
        <v>#REF!</v>
      </c>
      <c r="R159" s="1" t="e">
        <f>#REF!=#REF!</f>
        <v>#REF!</v>
      </c>
      <c r="AG159" s="1" t="b">
        <f t="shared" si="8"/>
        <v>1</v>
      </c>
      <c r="AI159" s="44">
        <v>0</v>
      </c>
      <c r="AJ159" s="44">
        <v>0</v>
      </c>
    </row>
    <row r="160" spans="1:36" ht="16" hidden="1" customHeight="1" outlineLevel="1" x14ac:dyDescent="0.45">
      <c r="A160" s="29" t="s">
        <v>77</v>
      </c>
      <c r="B160" s="44">
        <v>51047982</v>
      </c>
      <c r="C160" s="44">
        <v>1467724.9999999925</v>
      </c>
      <c r="D160" s="44">
        <v>0</v>
      </c>
      <c r="E160" s="44">
        <v>49580257.000000007</v>
      </c>
      <c r="F160" s="44">
        <v>5745811.4019748466</v>
      </c>
      <c r="G160" s="44"/>
      <c r="H160" s="44">
        <v>41026630.598025158</v>
      </c>
      <c r="I160" s="44"/>
      <c r="J160" s="44">
        <f t="shared" si="6"/>
        <v>0</v>
      </c>
      <c r="K160" s="44">
        <v>0</v>
      </c>
      <c r="L160" s="44">
        <v>0</v>
      </c>
      <c r="M160" s="44">
        <v>362948</v>
      </c>
      <c r="N160" s="44">
        <v>2444867</v>
      </c>
      <c r="O160" s="44">
        <v>0</v>
      </c>
      <c r="P160" s="1" t="b">
        <f t="shared" si="7"/>
        <v>1</v>
      </c>
      <c r="Q160" s="1" t="e">
        <f>O160=#REF!</f>
        <v>#REF!</v>
      </c>
      <c r="R160" s="1" t="e">
        <f>#REF!=#REF!</f>
        <v>#REF!</v>
      </c>
      <c r="AG160" s="1" t="b">
        <f t="shared" si="8"/>
        <v>1</v>
      </c>
      <c r="AI160" s="44">
        <v>0</v>
      </c>
      <c r="AJ160" s="44">
        <v>0</v>
      </c>
    </row>
    <row r="161" spans="1:36" ht="16" hidden="1" customHeight="1" outlineLevel="1" x14ac:dyDescent="0.45">
      <c r="A161" s="29" t="s">
        <v>198</v>
      </c>
      <c r="B161" s="44">
        <v>0</v>
      </c>
      <c r="C161" s="44">
        <v>0</v>
      </c>
      <c r="D161" s="44">
        <v>0</v>
      </c>
      <c r="E161" s="44">
        <v>0</v>
      </c>
      <c r="F161" s="44">
        <v>0</v>
      </c>
      <c r="G161" s="44"/>
      <c r="H161" s="44">
        <v>0</v>
      </c>
      <c r="I161" s="44"/>
      <c r="J161" s="44">
        <f t="shared" si="6"/>
        <v>0</v>
      </c>
      <c r="K161" s="44">
        <v>0</v>
      </c>
      <c r="L161" s="44">
        <v>0</v>
      </c>
      <c r="M161" s="44">
        <v>0</v>
      </c>
      <c r="N161" s="44">
        <v>0</v>
      </c>
      <c r="O161" s="44">
        <v>0</v>
      </c>
      <c r="P161" s="1" t="b">
        <f t="shared" si="7"/>
        <v>1</v>
      </c>
      <c r="Q161" s="1" t="e">
        <f>O161=#REF!</f>
        <v>#REF!</v>
      </c>
      <c r="R161" s="1" t="e">
        <f>#REF!=#REF!</f>
        <v>#REF!</v>
      </c>
      <c r="AG161" s="1" t="b">
        <f t="shared" si="8"/>
        <v>1</v>
      </c>
      <c r="AI161" s="44">
        <v>0</v>
      </c>
      <c r="AJ161" s="44">
        <v>0</v>
      </c>
    </row>
    <row r="162" spans="1:36" ht="16" hidden="1" customHeight="1" outlineLevel="1" x14ac:dyDescent="0.45">
      <c r="A162" s="24" t="s">
        <v>199</v>
      </c>
      <c r="B162" s="45">
        <v>0</v>
      </c>
      <c r="C162" s="45">
        <v>0</v>
      </c>
      <c r="D162" s="45">
        <v>0</v>
      </c>
      <c r="E162" s="45">
        <v>0</v>
      </c>
      <c r="F162" s="45">
        <v>0</v>
      </c>
      <c r="G162" s="45"/>
      <c r="H162" s="45">
        <v>0</v>
      </c>
      <c r="I162" s="45"/>
      <c r="J162" s="45">
        <f t="shared" si="6"/>
        <v>0</v>
      </c>
      <c r="K162" s="45">
        <v>0</v>
      </c>
      <c r="L162" s="45">
        <v>0</v>
      </c>
      <c r="M162" s="45">
        <v>0</v>
      </c>
      <c r="N162" s="45">
        <v>0</v>
      </c>
      <c r="O162" s="45">
        <v>0</v>
      </c>
      <c r="P162" s="1" t="b">
        <f t="shared" si="7"/>
        <v>1</v>
      </c>
      <c r="Q162" s="1" t="e">
        <f>O162=#REF!</f>
        <v>#REF!</v>
      </c>
      <c r="R162" s="1" t="e">
        <f>#REF!=#REF!</f>
        <v>#REF!</v>
      </c>
      <c r="AG162" s="1" t="b">
        <f t="shared" si="8"/>
        <v>1</v>
      </c>
      <c r="AI162" s="45">
        <v>0</v>
      </c>
      <c r="AJ162" s="45">
        <v>0</v>
      </c>
    </row>
    <row r="163" spans="1:36" ht="16" hidden="1" customHeight="1" outlineLevel="1" x14ac:dyDescent="0.45">
      <c r="A163" s="30" t="s">
        <v>200</v>
      </c>
      <c r="B163" s="46">
        <v>0</v>
      </c>
      <c r="C163" s="46">
        <v>0</v>
      </c>
      <c r="D163" s="46">
        <v>0</v>
      </c>
      <c r="E163" s="46">
        <v>0</v>
      </c>
      <c r="F163" s="46">
        <v>0</v>
      </c>
      <c r="G163" s="46"/>
      <c r="H163" s="46">
        <v>0</v>
      </c>
      <c r="I163" s="46"/>
      <c r="J163" s="46">
        <f t="shared" si="6"/>
        <v>0</v>
      </c>
      <c r="K163" s="46">
        <v>0</v>
      </c>
      <c r="L163" s="46">
        <v>0</v>
      </c>
      <c r="M163" s="46">
        <v>0</v>
      </c>
      <c r="N163" s="46">
        <v>0</v>
      </c>
      <c r="O163" s="46">
        <v>0</v>
      </c>
      <c r="P163" s="1" t="b">
        <f t="shared" si="7"/>
        <v>1</v>
      </c>
      <c r="Q163" s="1" t="e">
        <f>O163=#REF!</f>
        <v>#REF!</v>
      </c>
      <c r="R163" s="1" t="e">
        <f>#REF!=#REF!</f>
        <v>#REF!</v>
      </c>
      <c r="AG163" s="1" t="b">
        <f t="shared" si="8"/>
        <v>1</v>
      </c>
      <c r="AI163" s="46">
        <v>0</v>
      </c>
      <c r="AJ163" s="46">
        <v>0</v>
      </c>
    </row>
    <row r="164" spans="1:36" s="1" customFormat="1" collapsed="1" x14ac:dyDescent="0.45">
      <c r="A164" s="28" t="s">
        <v>78</v>
      </c>
      <c r="B164" s="43">
        <v>294360733</v>
      </c>
      <c r="C164" s="43">
        <v>-103167795</v>
      </c>
      <c r="D164" s="43">
        <v>106189795</v>
      </c>
      <c r="E164" s="43">
        <v>291338733</v>
      </c>
      <c r="F164" s="43">
        <v>171879895</v>
      </c>
      <c r="G164" s="43"/>
      <c r="H164" s="43">
        <v>81253045</v>
      </c>
      <c r="I164" s="43"/>
      <c r="J164" s="43">
        <f t="shared" si="6"/>
        <v>30543591</v>
      </c>
      <c r="K164" s="43">
        <v>1002473.5</v>
      </c>
      <c r="L164" s="43">
        <v>1002473.5</v>
      </c>
      <c r="M164" s="43">
        <v>2996511</v>
      </c>
      <c r="N164" s="43">
        <v>0</v>
      </c>
      <c r="O164" s="43">
        <v>2660744</v>
      </c>
      <c r="P164" s="1" t="b">
        <f t="shared" si="7"/>
        <v>1</v>
      </c>
      <c r="Q164" s="1" t="e">
        <f>O164=#REF!</f>
        <v>#REF!</v>
      </c>
      <c r="R164" s="1" t="e">
        <f>#REF!=#REF!</f>
        <v>#REF!</v>
      </c>
      <c r="AG164" s="1" t="b">
        <f t="shared" si="8"/>
        <v>1</v>
      </c>
      <c r="AI164" s="43">
        <v>29016411</v>
      </c>
      <c r="AJ164" s="43">
        <v>1527180</v>
      </c>
    </row>
    <row r="165" spans="1:36" ht="16" hidden="1" customHeight="1" outlineLevel="1" x14ac:dyDescent="0.45">
      <c r="A165" s="30" t="s">
        <v>201</v>
      </c>
      <c r="B165" s="46">
        <v>0</v>
      </c>
      <c r="C165" s="46">
        <v>0</v>
      </c>
      <c r="D165" s="46">
        <v>0</v>
      </c>
      <c r="E165" s="46">
        <v>0</v>
      </c>
      <c r="F165" s="46">
        <v>0</v>
      </c>
      <c r="G165" s="46"/>
      <c r="H165" s="46">
        <v>0</v>
      </c>
      <c r="I165" s="46"/>
      <c r="J165" s="46">
        <f t="shared" si="6"/>
        <v>0</v>
      </c>
      <c r="K165" s="46">
        <v>0</v>
      </c>
      <c r="L165" s="46">
        <v>0</v>
      </c>
      <c r="M165" s="46">
        <v>0</v>
      </c>
      <c r="N165" s="46">
        <v>0</v>
      </c>
      <c r="O165" s="46">
        <v>0</v>
      </c>
      <c r="P165" s="1" t="b">
        <f t="shared" si="7"/>
        <v>1</v>
      </c>
      <c r="Q165" s="1" t="e">
        <f>O165=#REF!</f>
        <v>#REF!</v>
      </c>
      <c r="R165" s="1" t="e">
        <f>#REF!=#REF!</f>
        <v>#REF!</v>
      </c>
      <c r="AG165" s="1" t="b">
        <f t="shared" si="8"/>
        <v>1</v>
      </c>
      <c r="AI165" s="46">
        <v>0</v>
      </c>
      <c r="AJ165" s="46">
        <v>0</v>
      </c>
    </row>
    <row r="166" spans="1:36" ht="16" hidden="1" customHeight="1" outlineLevel="1" x14ac:dyDescent="0.45">
      <c r="A166" s="29" t="s">
        <v>79</v>
      </c>
      <c r="B166" s="44">
        <v>294360733</v>
      </c>
      <c r="C166" s="44">
        <v>-103167795</v>
      </c>
      <c r="D166" s="44">
        <v>106189795</v>
      </c>
      <c r="E166" s="44">
        <v>291338733</v>
      </c>
      <c r="F166" s="44">
        <v>171879895</v>
      </c>
      <c r="G166" s="44"/>
      <c r="H166" s="44">
        <v>81253045</v>
      </c>
      <c r="I166" s="44"/>
      <c r="J166" s="44">
        <f t="shared" si="6"/>
        <v>30543591</v>
      </c>
      <c r="K166" s="44">
        <v>1002473.5</v>
      </c>
      <c r="L166" s="44">
        <v>1002473.5</v>
      </c>
      <c r="M166" s="44">
        <v>2996511</v>
      </c>
      <c r="N166" s="44">
        <v>0</v>
      </c>
      <c r="O166" s="44">
        <v>2660744</v>
      </c>
      <c r="P166" s="1" t="b">
        <f t="shared" si="7"/>
        <v>1</v>
      </c>
      <c r="Q166" s="1" t="e">
        <f>O166=#REF!</f>
        <v>#REF!</v>
      </c>
      <c r="R166" s="1" t="e">
        <f>#REF!=#REF!</f>
        <v>#REF!</v>
      </c>
      <c r="AG166" s="1" t="b">
        <f t="shared" si="8"/>
        <v>1</v>
      </c>
      <c r="AI166" s="44">
        <v>29016411</v>
      </c>
      <c r="AJ166" s="44">
        <v>1527180</v>
      </c>
    </row>
    <row r="167" spans="1:36" ht="16" hidden="1" customHeight="1" outlineLevel="1" x14ac:dyDescent="0.45">
      <c r="A167" s="29" t="s">
        <v>202</v>
      </c>
      <c r="B167" s="44">
        <v>0</v>
      </c>
      <c r="C167" s="44">
        <v>0</v>
      </c>
      <c r="D167" s="44">
        <v>0</v>
      </c>
      <c r="E167" s="44">
        <v>0</v>
      </c>
      <c r="F167" s="44">
        <v>0</v>
      </c>
      <c r="G167" s="44"/>
      <c r="H167" s="44">
        <v>0</v>
      </c>
      <c r="I167" s="44"/>
      <c r="J167" s="44">
        <f t="shared" si="6"/>
        <v>0</v>
      </c>
      <c r="K167" s="44">
        <v>0</v>
      </c>
      <c r="L167" s="44">
        <v>0</v>
      </c>
      <c r="M167" s="44">
        <v>0</v>
      </c>
      <c r="N167" s="44">
        <v>0</v>
      </c>
      <c r="O167" s="44">
        <v>0</v>
      </c>
      <c r="P167" s="1" t="b">
        <f t="shared" si="7"/>
        <v>1</v>
      </c>
      <c r="Q167" s="1" t="e">
        <f>O167=#REF!</f>
        <v>#REF!</v>
      </c>
      <c r="R167" s="1" t="e">
        <f>#REF!=#REF!</f>
        <v>#REF!</v>
      </c>
      <c r="AG167" s="1" t="b">
        <f t="shared" si="8"/>
        <v>1</v>
      </c>
      <c r="AI167" s="44">
        <v>0</v>
      </c>
      <c r="AJ167" s="44">
        <v>0</v>
      </c>
    </row>
    <row r="168" spans="1:36" ht="16" hidden="1" customHeight="1" outlineLevel="1" x14ac:dyDescent="0.45">
      <c r="A168" s="24" t="s">
        <v>203</v>
      </c>
      <c r="B168" s="45">
        <v>0</v>
      </c>
      <c r="C168" s="45">
        <v>0</v>
      </c>
      <c r="D168" s="45">
        <v>0</v>
      </c>
      <c r="E168" s="45">
        <v>0</v>
      </c>
      <c r="F168" s="45">
        <v>0</v>
      </c>
      <c r="G168" s="45"/>
      <c r="H168" s="45">
        <v>0</v>
      </c>
      <c r="I168" s="45"/>
      <c r="J168" s="45">
        <f t="shared" si="6"/>
        <v>0</v>
      </c>
      <c r="K168" s="45">
        <v>0</v>
      </c>
      <c r="L168" s="45">
        <v>0</v>
      </c>
      <c r="M168" s="45">
        <v>0</v>
      </c>
      <c r="N168" s="45">
        <v>0</v>
      </c>
      <c r="O168" s="45">
        <v>0</v>
      </c>
      <c r="P168" s="1" t="b">
        <f t="shared" si="7"/>
        <v>1</v>
      </c>
      <c r="Q168" s="1" t="e">
        <f>O168=#REF!</f>
        <v>#REF!</v>
      </c>
      <c r="R168" s="1" t="e">
        <f>#REF!=#REF!</f>
        <v>#REF!</v>
      </c>
      <c r="AG168" s="1" t="b">
        <f t="shared" si="8"/>
        <v>1</v>
      </c>
      <c r="AI168" s="45">
        <v>0</v>
      </c>
      <c r="AJ168" s="45">
        <v>0</v>
      </c>
    </row>
    <row r="169" spans="1:36" ht="16" hidden="1" customHeight="1" outlineLevel="1" x14ac:dyDescent="0.45">
      <c r="A169" s="29" t="s">
        <v>204</v>
      </c>
      <c r="B169" s="44">
        <v>0</v>
      </c>
      <c r="C169" s="44">
        <v>0</v>
      </c>
      <c r="D169" s="44">
        <v>0</v>
      </c>
      <c r="E169" s="44">
        <v>0</v>
      </c>
      <c r="F169" s="44">
        <v>0</v>
      </c>
      <c r="G169" s="44"/>
      <c r="H169" s="44">
        <v>0</v>
      </c>
      <c r="I169" s="44"/>
      <c r="J169" s="44">
        <f t="shared" si="6"/>
        <v>0</v>
      </c>
      <c r="K169" s="44">
        <v>0</v>
      </c>
      <c r="L169" s="44">
        <v>0</v>
      </c>
      <c r="M169" s="44">
        <v>0</v>
      </c>
      <c r="N169" s="44">
        <v>0</v>
      </c>
      <c r="O169" s="44">
        <v>0</v>
      </c>
      <c r="P169" s="1" t="b">
        <f t="shared" si="7"/>
        <v>1</v>
      </c>
      <c r="Q169" s="1" t="e">
        <f>O169=#REF!</f>
        <v>#REF!</v>
      </c>
      <c r="R169" s="1" t="e">
        <f>#REF!=#REF!</f>
        <v>#REF!</v>
      </c>
      <c r="AG169" s="1" t="b">
        <f t="shared" si="8"/>
        <v>1</v>
      </c>
      <c r="AI169" s="44">
        <v>0</v>
      </c>
      <c r="AJ169" s="44">
        <v>0</v>
      </c>
    </row>
    <row r="170" spans="1:36" ht="16" hidden="1" customHeight="1" outlineLevel="1" x14ac:dyDescent="0.45">
      <c r="A170" s="30" t="s">
        <v>205</v>
      </c>
      <c r="B170" s="46">
        <v>0</v>
      </c>
      <c r="C170" s="46">
        <v>0</v>
      </c>
      <c r="D170" s="46">
        <v>0</v>
      </c>
      <c r="E170" s="46">
        <v>0</v>
      </c>
      <c r="F170" s="46">
        <v>0</v>
      </c>
      <c r="G170" s="46"/>
      <c r="H170" s="46">
        <v>0</v>
      </c>
      <c r="I170" s="46"/>
      <c r="J170" s="46">
        <f t="shared" si="6"/>
        <v>0</v>
      </c>
      <c r="K170" s="46">
        <v>0</v>
      </c>
      <c r="L170" s="46">
        <v>0</v>
      </c>
      <c r="M170" s="46">
        <v>0</v>
      </c>
      <c r="N170" s="46">
        <v>0</v>
      </c>
      <c r="O170" s="46">
        <v>0</v>
      </c>
      <c r="P170" s="1" t="b">
        <f t="shared" si="7"/>
        <v>1</v>
      </c>
      <c r="Q170" s="1" t="e">
        <f>O170=#REF!</f>
        <v>#REF!</v>
      </c>
      <c r="R170" s="1" t="e">
        <f>#REF!=#REF!</f>
        <v>#REF!</v>
      </c>
      <c r="AG170" s="1" t="b">
        <f t="shared" si="8"/>
        <v>1</v>
      </c>
      <c r="AI170" s="46">
        <v>0</v>
      </c>
      <c r="AJ170" s="46">
        <v>0</v>
      </c>
    </row>
    <row r="171" spans="1:36" s="1" customFormat="1" collapsed="1" x14ac:dyDescent="0.45">
      <c r="A171" s="28" t="s">
        <v>80</v>
      </c>
      <c r="B171" s="43">
        <v>30978331</v>
      </c>
      <c r="C171" s="43">
        <v>21418855</v>
      </c>
      <c r="D171" s="43">
        <v>5515749</v>
      </c>
      <c r="E171" s="43">
        <v>4043727</v>
      </c>
      <c r="F171" s="43">
        <v>3265151.6853016149</v>
      </c>
      <c r="G171" s="43"/>
      <c r="H171" s="43">
        <v>778575.31469838484</v>
      </c>
      <c r="I171" s="43"/>
      <c r="J171" s="43">
        <f t="shared" si="6"/>
        <v>0</v>
      </c>
      <c r="K171" s="43">
        <v>0</v>
      </c>
      <c r="L171" s="43">
        <v>0</v>
      </c>
      <c r="M171" s="43">
        <v>0</v>
      </c>
      <c r="N171" s="43">
        <v>0</v>
      </c>
      <c r="O171" s="43">
        <v>0</v>
      </c>
      <c r="P171" s="1" t="b">
        <f t="shared" si="7"/>
        <v>1</v>
      </c>
      <c r="Q171" s="1" t="e">
        <f>O171=#REF!</f>
        <v>#REF!</v>
      </c>
      <c r="R171" s="1" t="e">
        <f>#REF!=#REF!</f>
        <v>#REF!</v>
      </c>
      <c r="AG171" s="1" t="b">
        <f t="shared" si="8"/>
        <v>1</v>
      </c>
      <c r="AI171" s="43">
        <v>0</v>
      </c>
      <c r="AJ171" s="43">
        <v>0</v>
      </c>
    </row>
    <row r="172" spans="1:36" ht="16" hidden="1" customHeight="1" outlineLevel="1" x14ac:dyDescent="0.45">
      <c r="A172" s="29" t="s">
        <v>81</v>
      </c>
      <c r="B172" s="44">
        <v>12987876</v>
      </c>
      <c r="C172" s="44">
        <v>7449400</v>
      </c>
      <c r="D172" s="44">
        <v>5515749</v>
      </c>
      <c r="E172" s="44">
        <v>22727</v>
      </c>
      <c r="F172" s="44">
        <v>0</v>
      </c>
      <c r="G172" s="44"/>
      <c r="H172" s="44">
        <v>22727</v>
      </c>
      <c r="I172" s="44"/>
      <c r="J172" s="44">
        <f t="shared" si="6"/>
        <v>0</v>
      </c>
      <c r="K172" s="44">
        <v>0</v>
      </c>
      <c r="L172" s="44">
        <v>0</v>
      </c>
      <c r="M172" s="44">
        <v>0</v>
      </c>
      <c r="N172" s="44">
        <v>0</v>
      </c>
      <c r="O172" s="44">
        <v>0</v>
      </c>
      <c r="P172" s="1" t="b">
        <f t="shared" si="7"/>
        <v>1</v>
      </c>
      <c r="Q172" s="1" t="e">
        <f>O172=#REF!</f>
        <v>#REF!</v>
      </c>
      <c r="R172" s="1" t="e">
        <f>#REF!=#REF!</f>
        <v>#REF!</v>
      </c>
      <c r="AG172" s="1" t="b">
        <f t="shared" si="8"/>
        <v>1</v>
      </c>
      <c r="AI172" s="44">
        <v>0</v>
      </c>
      <c r="AJ172" s="44">
        <v>0</v>
      </c>
    </row>
    <row r="173" spans="1:36" ht="16" hidden="1" customHeight="1" outlineLevel="1" x14ac:dyDescent="0.45">
      <c r="A173" s="29" t="s">
        <v>206</v>
      </c>
      <c r="B173" s="44">
        <v>11492000</v>
      </c>
      <c r="C173" s="44">
        <v>11492000</v>
      </c>
      <c r="D173" s="44">
        <v>0</v>
      </c>
      <c r="E173" s="44">
        <v>0</v>
      </c>
      <c r="F173" s="44">
        <v>0</v>
      </c>
      <c r="G173" s="44"/>
      <c r="H173" s="44">
        <v>0</v>
      </c>
      <c r="I173" s="44"/>
      <c r="J173" s="44">
        <f t="shared" si="6"/>
        <v>0</v>
      </c>
      <c r="K173" s="44">
        <v>0</v>
      </c>
      <c r="L173" s="44">
        <v>0</v>
      </c>
      <c r="M173" s="44">
        <v>0</v>
      </c>
      <c r="N173" s="44">
        <v>0</v>
      </c>
      <c r="O173" s="44">
        <v>0</v>
      </c>
      <c r="P173" s="1" t="b">
        <f t="shared" si="7"/>
        <v>1</v>
      </c>
      <c r="Q173" s="1" t="e">
        <f>O173=#REF!</f>
        <v>#REF!</v>
      </c>
      <c r="R173" s="1" t="e">
        <f>#REF!=#REF!</f>
        <v>#REF!</v>
      </c>
      <c r="AG173" s="1" t="b">
        <f t="shared" si="8"/>
        <v>1</v>
      </c>
      <c r="AI173" s="44">
        <v>0</v>
      </c>
      <c r="AJ173" s="44">
        <v>0</v>
      </c>
    </row>
    <row r="174" spans="1:36" ht="16" hidden="1" customHeight="1" outlineLevel="1" x14ac:dyDescent="0.45">
      <c r="A174" s="29" t="s">
        <v>82</v>
      </c>
      <c r="B174" s="44">
        <v>6498455</v>
      </c>
      <c r="C174" s="44">
        <v>2477455</v>
      </c>
      <c r="D174" s="44">
        <v>0</v>
      </c>
      <c r="E174" s="44">
        <v>4021000</v>
      </c>
      <c r="F174" s="44">
        <v>3265151.6853016149</v>
      </c>
      <c r="G174" s="44"/>
      <c r="H174" s="44">
        <v>755848.31469838484</v>
      </c>
      <c r="I174" s="44"/>
      <c r="J174" s="44">
        <f t="shared" si="6"/>
        <v>0</v>
      </c>
      <c r="K174" s="44">
        <v>0</v>
      </c>
      <c r="L174" s="44">
        <v>0</v>
      </c>
      <c r="M174" s="44">
        <v>0</v>
      </c>
      <c r="N174" s="44">
        <v>0</v>
      </c>
      <c r="O174" s="44">
        <v>0</v>
      </c>
      <c r="P174" s="1" t="b">
        <f t="shared" si="7"/>
        <v>1</v>
      </c>
      <c r="Q174" s="1" t="e">
        <f>O174=#REF!</f>
        <v>#REF!</v>
      </c>
      <c r="R174" s="1" t="e">
        <f>#REF!=#REF!</f>
        <v>#REF!</v>
      </c>
      <c r="AG174" s="1" t="b">
        <f t="shared" si="8"/>
        <v>1</v>
      </c>
      <c r="AI174" s="44">
        <v>0</v>
      </c>
      <c r="AJ174" s="44">
        <v>0</v>
      </c>
    </row>
    <row r="175" spans="1:36" ht="16" hidden="1" customHeight="1" outlineLevel="1" x14ac:dyDescent="0.45">
      <c r="A175" s="24" t="s">
        <v>207</v>
      </c>
      <c r="B175" s="45">
        <v>0</v>
      </c>
      <c r="C175" s="45">
        <v>0</v>
      </c>
      <c r="D175" s="45">
        <v>0</v>
      </c>
      <c r="E175" s="45">
        <v>0</v>
      </c>
      <c r="F175" s="45">
        <v>0</v>
      </c>
      <c r="G175" s="45"/>
      <c r="H175" s="45">
        <v>0</v>
      </c>
      <c r="I175" s="45"/>
      <c r="J175" s="45">
        <f t="shared" si="6"/>
        <v>0</v>
      </c>
      <c r="K175" s="45">
        <v>0</v>
      </c>
      <c r="L175" s="45">
        <v>0</v>
      </c>
      <c r="M175" s="45">
        <v>0</v>
      </c>
      <c r="N175" s="45">
        <v>0</v>
      </c>
      <c r="O175" s="45">
        <v>0</v>
      </c>
      <c r="P175" s="1" t="b">
        <f t="shared" si="7"/>
        <v>1</v>
      </c>
      <c r="Q175" s="1" t="e">
        <f>O175=#REF!</f>
        <v>#REF!</v>
      </c>
      <c r="R175" s="1" t="e">
        <f>#REF!=#REF!</f>
        <v>#REF!</v>
      </c>
      <c r="AG175" s="1" t="b">
        <f t="shared" si="8"/>
        <v>1</v>
      </c>
      <c r="AI175" s="45">
        <v>0</v>
      </c>
      <c r="AJ175" s="45">
        <v>0</v>
      </c>
    </row>
    <row r="176" spans="1:36" ht="16" hidden="1" customHeight="1" outlineLevel="1" x14ac:dyDescent="0.45">
      <c r="A176" s="29" t="s">
        <v>256</v>
      </c>
      <c r="B176" s="44">
        <v>0</v>
      </c>
      <c r="C176" s="44">
        <v>0</v>
      </c>
      <c r="D176" s="44">
        <v>0</v>
      </c>
      <c r="E176" s="44">
        <v>0</v>
      </c>
      <c r="F176" s="44">
        <v>0</v>
      </c>
      <c r="G176" s="44"/>
      <c r="H176" s="44">
        <v>0</v>
      </c>
      <c r="I176" s="44"/>
      <c r="J176" s="44">
        <f t="shared" si="6"/>
        <v>0</v>
      </c>
      <c r="K176" s="44">
        <v>0</v>
      </c>
      <c r="L176" s="44">
        <v>0</v>
      </c>
      <c r="M176" s="44">
        <v>0</v>
      </c>
      <c r="N176" s="44">
        <v>0</v>
      </c>
      <c r="O176" s="44">
        <v>0</v>
      </c>
      <c r="P176" s="1" t="b">
        <f t="shared" si="7"/>
        <v>1</v>
      </c>
      <c r="Q176" s="1" t="e">
        <f>O176=#REF!</f>
        <v>#REF!</v>
      </c>
      <c r="R176" s="1" t="e">
        <f>#REF!=#REF!</f>
        <v>#REF!</v>
      </c>
      <c r="AG176" s="1" t="b">
        <f t="shared" si="8"/>
        <v>1</v>
      </c>
      <c r="AI176" s="44">
        <v>0</v>
      </c>
      <c r="AJ176" s="44">
        <v>0</v>
      </c>
    </row>
    <row r="177" spans="1:36" ht="16" hidden="1" customHeight="1" outlineLevel="1" x14ac:dyDescent="0.45">
      <c r="A177" s="29" t="s">
        <v>208</v>
      </c>
      <c r="B177" s="44">
        <v>0</v>
      </c>
      <c r="C177" s="44">
        <v>0</v>
      </c>
      <c r="D177" s="44">
        <v>0</v>
      </c>
      <c r="E177" s="44">
        <v>0</v>
      </c>
      <c r="F177" s="44">
        <v>0</v>
      </c>
      <c r="G177" s="44"/>
      <c r="H177" s="44">
        <v>0</v>
      </c>
      <c r="I177" s="44"/>
      <c r="J177" s="44">
        <f t="shared" si="6"/>
        <v>0</v>
      </c>
      <c r="K177" s="44">
        <v>0</v>
      </c>
      <c r="L177" s="44">
        <v>0</v>
      </c>
      <c r="M177" s="44">
        <v>0</v>
      </c>
      <c r="N177" s="44">
        <v>0</v>
      </c>
      <c r="O177" s="44">
        <v>0</v>
      </c>
      <c r="P177" s="1" t="b">
        <f t="shared" si="7"/>
        <v>1</v>
      </c>
      <c r="Q177" s="1" t="e">
        <f>O177=#REF!</f>
        <v>#REF!</v>
      </c>
      <c r="R177" s="1" t="e">
        <f>#REF!=#REF!</f>
        <v>#REF!</v>
      </c>
      <c r="AG177" s="1" t="b">
        <f t="shared" si="8"/>
        <v>1</v>
      </c>
      <c r="AI177" s="44">
        <v>0</v>
      </c>
      <c r="AJ177" s="44">
        <v>0</v>
      </c>
    </row>
    <row r="178" spans="1:36" s="1" customFormat="1" collapsed="1" x14ac:dyDescent="0.45">
      <c r="A178" s="28" t="s">
        <v>146</v>
      </c>
      <c r="B178" s="43">
        <v>230972</v>
      </c>
      <c r="C178" s="43">
        <v>230972</v>
      </c>
      <c r="D178" s="43">
        <v>0</v>
      </c>
      <c r="E178" s="43">
        <v>0</v>
      </c>
      <c r="F178" s="43">
        <v>0</v>
      </c>
      <c r="G178" s="43"/>
      <c r="H178" s="43">
        <v>0</v>
      </c>
      <c r="I178" s="43"/>
      <c r="J178" s="43">
        <f t="shared" si="6"/>
        <v>0</v>
      </c>
      <c r="K178" s="43">
        <v>0</v>
      </c>
      <c r="L178" s="43">
        <v>0</v>
      </c>
      <c r="M178" s="43">
        <v>0</v>
      </c>
      <c r="N178" s="43">
        <v>0</v>
      </c>
      <c r="O178" s="43">
        <v>0</v>
      </c>
      <c r="P178" s="1" t="b">
        <f t="shared" si="7"/>
        <v>1</v>
      </c>
      <c r="Q178" s="1" t="e">
        <f>O178=#REF!</f>
        <v>#REF!</v>
      </c>
      <c r="R178" s="1" t="e">
        <f>#REF!=#REF!</f>
        <v>#REF!</v>
      </c>
      <c r="AG178" s="1" t="b">
        <f t="shared" si="8"/>
        <v>1</v>
      </c>
      <c r="AI178" s="43">
        <v>0</v>
      </c>
      <c r="AJ178" s="43">
        <v>0</v>
      </c>
    </row>
    <row r="179" spans="1:36" ht="16" hidden="1" customHeight="1" outlineLevel="1" x14ac:dyDescent="0.45">
      <c r="A179" s="29" t="s">
        <v>147</v>
      </c>
      <c r="B179" s="44">
        <v>230972</v>
      </c>
      <c r="C179" s="44">
        <v>230972</v>
      </c>
      <c r="D179" s="44">
        <v>0</v>
      </c>
      <c r="E179" s="44">
        <v>0</v>
      </c>
      <c r="F179" s="44">
        <v>0</v>
      </c>
      <c r="G179" s="44"/>
      <c r="H179" s="44">
        <v>0</v>
      </c>
      <c r="I179" s="44"/>
      <c r="J179" s="44">
        <f t="shared" si="6"/>
        <v>0</v>
      </c>
      <c r="K179" s="44">
        <v>0</v>
      </c>
      <c r="L179" s="44">
        <v>0</v>
      </c>
      <c r="M179" s="44">
        <v>0</v>
      </c>
      <c r="N179" s="44">
        <v>0</v>
      </c>
      <c r="O179" s="44">
        <v>0</v>
      </c>
      <c r="P179" s="1" t="b">
        <f t="shared" si="7"/>
        <v>1</v>
      </c>
      <c r="Q179" s="1" t="e">
        <f>O179=#REF!</f>
        <v>#REF!</v>
      </c>
      <c r="R179" s="1" t="e">
        <f>#REF!=#REF!</f>
        <v>#REF!</v>
      </c>
      <c r="AG179" s="1" t="b">
        <f t="shared" si="8"/>
        <v>1</v>
      </c>
      <c r="AI179" s="44">
        <v>0</v>
      </c>
      <c r="AJ179" s="44">
        <v>0</v>
      </c>
    </row>
    <row r="180" spans="1:36" ht="16" hidden="1" customHeight="1" outlineLevel="1" x14ac:dyDescent="0.45">
      <c r="A180" s="29" t="s">
        <v>148</v>
      </c>
      <c r="B180" s="44">
        <v>0</v>
      </c>
      <c r="C180" s="44">
        <v>0</v>
      </c>
      <c r="D180" s="44">
        <v>0</v>
      </c>
      <c r="E180" s="44">
        <v>0</v>
      </c>
      <c r="F180" s="44">
        <v>0</v>
      </c>
      <c r="G180" s="44"/>
      <c r="H180" s="44">
        <v>0</v>
      </c>
      <c r="I180" s="44"/>
      <c r="J180" s="44">
        <f t="shared" si="6"/>
        <v>0</v>
      </c>
      <c r="K180" s="44">
        <v>0</v>
      </c>
      <c r="L180" s="44">
        <v>0</v>
      </c>
      <c r="M180" s="44">
        <v>0</v>
      </c>
      <c r="N180" s="44">
        <v>0</v>
      </c>
      <c r="O180" s="44">
        <v>0</v>
      </c>
      <c r="P180" s="1" t="b">
        <f t="shared" si="7"/>
        <v>1</v>
      </c>
      <c r="Q180" s="1" t="e">
        <f>O180=#REF!</f>
        <v>#REF!</v>
      </c>
      <c r="R180" s="1" t="e">
        <f>#REF!=#REF!</f>
        <v>#REF!</v>
      </c>
      <c r="AG180" s="1" t="b">
        <f t="shared" si="8"/>
        <v>1</v>
      </c>
      <c r="AI180" s="44">
        <v>0</v>
      </c>
      <c r="AJ180" s="44">
        <v>0</v>
      </c>
    </row>
    <row r="181" spans="1:36" s="1" customFormat="1" collapsed="1" x14ac:dyDescent="0.45">
      <c r="A181" s="28" t="s">
        <v>83</v>
      </c>
      <c r="B181" s="43">
        <v>436239941</v>
      </c>
      <c r="C181" s="43">
        <v>109478256.22859138</v>
      </c>
      <c r="D181" s="43">
        <v>21324057</v>
      </c>
      <c r="E181" s="43">
        <v>305437627.77140862</v>
      </c>
      <c r="F181" s="43">
        <v>173225627.66629249</v>
      </c>
      <c r="G181" s="43"/>
      <c r="H181" s="43">
        <v>56315702.945316114</v>
      </c>
      <c r="I181" s="43"/>
      <c r="J181" s="43">
        <f t="shared" si="6"/>
        <v>13502081.388391418</v>
      </c>
      <c r="K181" s="43">
        <v>1797738.5639646845</v>
      </c>
      <c r="L181" s="43">
        <v>1820979.5964673033</v>
      </c>
      <c r="M181" s="43">
        <v>5200828.6466420311</v>
      </c>
      <c r="N181" s="43">
        <v>28157330.964334562</v>
      </c>
      <c r="O181" s="43">
        <v>25417338</v>
      </c>
      <c r="P181" s="1" t="b">
        <f t="shared" si="7"/>
        <v>1</v>
      </c>
      <c r="Q181" s="1" t="e">
        <f>O181=#REF!</f>
        <v>#REF!</v>
      </c>
      <c r="R181" s="1" t="e">
        <f>#REF!=#REF!</f>
        <v>#REF!</v>
      </c>
      <c r="AG181" s="1" t="b">
        <f t="shared" si="8"/>
        <v>1</v>
      </c>
      <c r="AI181" s="43">
        <v>12808833.199641822</v>
      </c>
      <c r="AJ181" s="43">
        <v>693248.18874959706</v>
      </c>
    </row>
    <row r="182" spans="1:36" s="1" customFormat="1" ht="16" hidden="1" customHeight="1" outlineLevel="1" x14ac:dyDescent="0.45">
      <c r="A182" s="29" t="s">
        <v>84</v>
      </c>
      <c r="B182" s="44">
        <v>50932674</v>
      </c>
      <c r="C182" s="44">
        <v>1402829</v>
      </c>
      <c r="D182" s="44">
        <v>308002</v>
      </c>
      <c r="E182" s="44">
        <v>49221843</v>
      </c>
      <c r="F182" s="44">
        <v>33747464</v>
      </c>
      <c r="G182" s="44"/>
      <c r="H182" s="44">
        <v>8903445</v>
      </c>
      <c r="I182" s="44"/>
      <c r="J182" s="44">
        <f t="shared" si="6"/>
        <v>2807885</v>
      </c>
      <c r="K182" s="44">
        <v>322421</v>
      </c>
      <c r="L182" s="44">
        <v>402059</v>
      </c>
      <c r="M182" s="44">
        <v>1271113</v>
      </c>
      <c r="N182" s="44">
        <v>1767456</v>
      </c>
      <c r="O182" s="44">
        <v>0</v>
      </c>
      <c r="P182" s="1" t="b">
        <f t="shared" si="7"/>
        <v>1</v>
      </c>
      <c r="Q182" s="1" t="e">
        <f>O182=#REF!</f>
        <v>#REF!</v>
      </c>
      <c r="R182" s="1" t="e">
        <f>#REF!=#REF!</f>
        <v>#REF!</v>
      </c>
      <c r="AG182" s="1" t="b">
        <f t="shared" si="8"/>
        <v>1</v>
      </c>
      <c r="AI182" s="44">
        <v>2667490</v>
      </c>
      <c r="AJ182" s="44">
        <v>140395</v>
      </c>
    </row>
    <row r="183" spans="1:36" ht="16" hidden="1" customHeight="1" outlineLevel="1" x14ac:dyDescent="0.45">
      <c r="A183" s="29" t="s">
        <v>149</v>
      </c>
      <c r="B183" s="44">
        <v>2266874</v>
      </c>
      <c r="C183" s="44">
        <v>2266874</v>
      </c>
      <c r="D183" s="44">
        <v>0</v>
      </c>
      <c r="E183" s="44">
        <v>0</v>
      </c>
      <c r="F183" s="44">
        <v>0</v>
      </c>
      <c r="G183" s="44"/>
      <c r="H183" s="44">
        <v>0</v>
      </c>
      <c r="I183" s="44"/>
      <c r="J183" s="44">
        <f t="shared" si="6"/>
        <v>0</v>
      </c>
      <c r="K183" s="44">
        <v>0</v>
      </c>
      <c r="L183" s="44">
        <v>0</v>
      </c>
      <c r="M183" s="44">
        <v>0</v>
      </c>
      <c r="N183" s="44">
        <v>0</v>
      </c>
      <c r="O183" s="44">
        <v>0</v>
      </c>
      <c r="P183" s="1" t="b">
        <f t="shared" si="7"/>
        <v>1</v>
      </c>
      <c r="Q183" s="1" t="e">
        <f>O183=#REF!</f>
        <v>#REF!</v>
      </c>
      <c r="R183" s="1" t="e">
        <f>#REF!=#REF!</f>
        <v>#REF!</v>
      </c>
      <c r="AG183" s="1" t="b">
        <f t="shared" si="8"/>
        <v>1</v>
      </c>
      <c r="AI183" s="44">
        <v>0</v>
      </c>
      <c r="AJ183" s="44">
        <v>0</v>
      </c>
    </row>
    <row r="184" spans="1:36" ht="16" hidden="1" customHeight="1" outlineLevel="1" x14ac:dyDescent="0.45">
      <c r="A184" s="29" t="s">
        <v>85</v>
      </c>
      <c r="B184" s="44">
        <v>28214918</v>
      </c>
      <c r="C184" s="44">
        <v>10265237.228591422</v>
      </c>
      <c r="D184" s="44">
        <v>2954720</v>
      </c>
      <c r="E184" s="44">
        <v>14994960.771408578</v>
      </c>
      <c r="F184" s="44">
        <v>9164767.6531506665</v>
      </c>
      <c r="G184" s="44"/>
      <c r="H184" s="44">
        <v>3692140.2990490356</v>
      </c>
      <c r="I184" s="44"/>
      <c r="J184" s="44">
        <f t="shared" si="6"/>
        <v>66669.04780029814</v>
      </c>
      <c r="K184" s="44">
        <v>245415.56396468438</v>
      </c>
      <c r="L184" s="44">
        <v>239960.59646730332</v>
      </c>
      <c r="M184" s="44">
        <v>397593.64664203138</v>
      </c>
      <c r="N184" s="44">
        <v>461240.96433456073</v>
      </c>
      <c r="O184" s="44">
        <v>727173</v>
      </c>
      <c r="P184" s="1" t="b">
        <f t="shared" si="7"/>
        <v>1</v>
      </c>
      <c r="Q184" s="1" t="e">
        <f>O184=#REF!</f>
        <v>#REF!</v>
      </c>
      <c r="R184" s="1" t="e">
        <f>#REF!=#REF!</f>
        <v>#REF!</v>
      </c>
      <c r="AG184" s="1" t="b">
        <f t="shared" si="8"/>
        <v>1</v>
      </c>
      <c r="AI184" s="44">
        <v>48001.714416214658</v>
      </c>
      <c r="AJ184" s="44">
        <v>18667.333384083482</v>
      </c>
    </row>
    <row r="185" spans="1:36" ht="16" hidden="1" customHeight="1" outlineLevel="1" x14ac:dyDescent="0.45">
      <c r="A185" s="29" t="s">
        <v>86</v>
      </c>
      <c r="B185" s="44">
        <v>6491804</v>
      </c>
      <c r="C185" s="44">
        <v>1161023</v>
      </c>
      <c r="D185" s="44">
        <v>0</v>
      </c>
      <c r="E185" s="44">
        <v>5330781</v>
      </c>
      <c r="F185" s="44">
        <v>3837887</v>
      </c>
      <c r="G185" s="44"/>
      <c r="H185" s="44">
        <v>1492894</v>
      </c>
      <c r="I185" s="44"/>
      <c r="J185" s="44">
        <f t="shared" si="6"/>
        <v>0</v>
      </c>
      <c r="K185" s="44">
        <v>0</v>
      </c>
      <c r="L185" s="44">
        <v>0</v>
      </c>
      <c r="M185" s="44">
        <v>0</v>
      </c>
      <c r="N185" s="44">
        <v>0</v>
      </c>
      <c r="O185" s="44">
        <v>0</v>
      </c>
      <c r="P185" s="1" t="b">
        <f t="shared" si="7"/>
        <v>1</v>
      </c>
      <c r="Q185" s="1" t="e">
        <f>O185=#REF!</f>
        <v>#REF!</v>
      </c>
      <c r="R185" s="1" t="e">
        <f>#REF!=#REF!</f>
        <v>#REF!</v>
      </c>
      <c r="AG185" s="1" t="b">
        <f t="shared" si="8"/>
        <v>1</v>
      </c>
      <c r="AI185" s="44">
        <v>0</v>
      </c>
      <c r="AJ185" s="44">
        <v>0</v>
      </c>
    </row>
    <row r="186" spans="1:36" ht="16" hidden="1" customHeight="1" outlineLevel="1" x14ac:dyDescent="0.45">
      <c r="A186" s="29" t="s">
        <v>150</v>
      </c>
      <c r="B186" s="44">
        <v>0</v>
      </c>
      <c r="C186" s="44">
        <v>0</v>
      </c>
      <c r="D186" s="44">
        <v>0</v>
      </c>
      <c r="E186" s="44">
        <v>0</v>
      </c>
      <c r="F186" s="44">
        <v>0</v>
      </c>
      <c r="G186" s="44"/>
      <c r="H186" s="44">
        <v>0</v>
      </c>
      <c r="I186" s="44"/>
      <c r="J186" s="44">
        <f t="shared" si="6"/>
        <v>0</v>
      </c>
      <c r="K186" s="44">
        <v>0</v>
      </c>
      <c r="L186" s="44">
        <v>0</v>
      </c>
      <c r="M186" s="44">
        <v>0</v>
      </c>
      <c r="N186" s="44">
        <v>0</v>
      </c>
      <c r="O186" s="44">
        <v>0</v>
      </c>
      <c r="P186" s="1" t="b">
        <f t="shared" si="7"/>
        <v>1</v>
      </c>
      <c r="Q186" s="1" t="e">
        <f>O186=#REF!</f>
        <v>#REF!</v>
      </c>
      <c r="R186" s="1" t="e">
        <f>#REF!=#REF!</f>
        <v>#REF!</v>
      </c>
      <c r="AG186" s="1" t="b">
        <f t="shared" si="8"/>
        <v>1</v>
      </c>
      <c r="AI186" s="44">
        <v>0</v>
      </c>
      <c r="AJ186" s="44">
        <v>0</v>
      </c>
    </row>
    <row r="187" spans="1:36" s="1" customFormat="1" ht="16" hidden="1" customHeight="1" outlineLevel="1" x14ac:dyDescent="0.45">
      <c r="A187" s="29" t="s">
        <v>87</v>
      </c>
      <c r="B187" s="44">
        <v>25681992</v>
      </c>
      <c r="C187" s="44">
        <v>1268548</v>
      </c>
      <c r="D187" s="44">
        <v>0</v>
      </c>
      <c r="E187" s="44">
        <v>24413444</v>
      </c>
      <c r="F187" s="44">
        <v>8111489</v>
      </c>
      <c r="G187" s="44"/>
      <c r="H187" s="44">
        <v>10751373</v>
      </c>
      <c r="I187" s="44"/>
      <c r="J187" s="44">
        <f t="shared" si="6"/>
        <v>2997728</v>
      </c>
      <c r="K187" s="44">
        <v>0</v>
      </c>
      <c r="L187" s="44">
        <v>0</v>
      </c>
      <c r="M187" s="44">
        <v>0</v>
      </c>
      <c r="N187" s="44">
        <v>2552854</v>
      </c>
      <c r="O187" s="44">
        <v>0</v>
      </c>
      <c r="P187" s="1" t="b">
        <f t="shared" si="7"/>
        <v>1</v>
      </c>
      <c r="Q187" s="1" t="e">
        <f>O187=#REF!</f>
        <v>#REF!</v>
      </c>
      <c r="R187" s="1" t="e">
        <f>#REF!=#REF!</f>
        <v>#REF!</v>
      </c>
      <c r="AG187" s="1" t="b">
        <f t="shared" si="8"/>
        <v>1</v>
      </c>
      <c r="AI187" s="44">
        <v>2847842</v>
      </c>
      <c r="AJ187" s="44">
        <v>149886</v>
      </c>
    </row>
    <row r="188" spans="1:36" ht="16" hidden="1" customHeight="1" outlineLevel="1" x14ac:dyDescent="0.45">
      <c r="A188" s="29" t="s">
        <v>88</v>
      </c>
      <c r="B188" s="44">
        <v>183833304</v>
      </c>
      <c r="C188" s="44">
        <v>81997508</v>
      </c>
      <c r="D188" s="44">
        <v>17814601</v>
      </c>
      <c r="E188" s="44">
        <v>84021195</v>
      </c>
      <c r="F188" s="44">
        <v>19657550.217657913</v>
      </c>
      <c r="G188" s="44"/>
      <c r="H188" s="44">
        <v>26031216.441750966</v>
      </c>
      <c r="I188" s="44"/>
      <c r="J188" s="44">
        <f t="shared" si="6"/>
        <v>7629799.3405911205</v>
      </c>
      <c r="K188" s="44">
        <v>653727</v>
      </c>
      <c r="L188" s="44">
        <v>653727</v>
      </c>
      <c r="M188" s="44">
        <v>1453960</v>
      </c>
      <c r="N188" s="44">
        <v>3251050</v>
      </c>
      <c r="O188" s="44">
        <v>24690165</v>
      </c>
      <c r="P188" s="1" t="b">
        <f t="shared" si="7"/>
        <v>1</v>
      </c>
      <c r="Q188" s="1" t="e">
        <f>O188=#REF!</f>
        <v>#REF!</v>
      </c>
      <c r="R188" s="1" t="e">
        <f>#REF!=#REF!</f>
        <v>#REF!</v>
      </c>
      <c r="AG188" s="1" t="b">
        <f t="shared" si="8"/>
        <v>1</v>
      </c>
      <c r="AI188" s="44">
        <v>7245499.4852256067</v>
      </c>
      <c r="AJ188" s="44">
        <v>384299.85536551365</v>
      </c>
    </row>
    <row r="189" spans="1:36" ht="16" hidden="1" customHeight="1" outlineLevel="1" x14ac:dyDescent="0.45">
      <c r="A189" s="24" t="s">
        <v>89</v>
      </c>
      <c r="B189" s="45">
        <v>136819432</v>
      </c>
      <c r="C189" s="45">
        <v>10931173</v>
      </c>
      <c r="D189" s="45">
        <v>0</v>
      </c>
      <c r="E189" s="45">
        <v>125888259</v>
      </c>
      <c r="F189" s="45">
        <v>98007273.795483887</v>
      </c>
      <c r="G189" s="45"/>
      <c r="H189" s="45">
        <v>4641685.2045161109</v>
      </c>
      <c r="I189" s="45"/>
      <c r="J189" s="45">
        <f t="shared" si="6"/>
        <v>0</v>
      </c>
      <c r="K189" s="45">
        <v>576175</v>
      </c>
      <c r="L189" s="45">
        <v>525233</v>
      </c>
      <c r="M189" s="45">
        <v>2078162</v>
      </c>
      <c r="N189" s="45">
        <v>20059730</v>
      </c>
      <c r="O189" s="45">
        <v>0</v>
      </c>
      <c r="P189" s="1" t="b">
        <f t="shared" si="7"/>
        <v>1</v>
      </c>
      <c r="Q189" s="1" t="e">
        <f>O189=#REF!</f>
        <v>#REF!</v>
      </c>
      <c r="R189" s="1" t="e">
        <f>#REF!=#REF!</f>
        <v>#REF!</v>
      </c>
      <c r="AG189" s="1" t="b">
        <f t="shared" si="8"/>
        <v>1</v>
      </c>
      <c r="AI189" s="45">
        <v>0</v>
      </c>
      <c r="AJ189" s="45">
        <v>0</v>
      </c>
    </row>
    <row r="190" spans="1:36" ht="16" hidden="1" customHeight="1" outlineLevel="1" x14ac:dyDescent="0.45">
      <c r="A190" s="29" t="s">
        <v>209</v>
      </c>
      <c r="B190" s="44">
        <v>0</v>
      </c>
      <c r="C190" s="44">
        <v>0</v>
      </c>
      <c r="D190" s="44">
        <v>0</v>
      </c>
      <c r="E190" s="44">
        <v>0</v>
      </c>
      <c r="F190" s="44">
        <v>0</v>
      </c>
      <c r="G190" s="44"/>
      <c r="H190" s="44">
        <v>0</v>
      </c>
      <c r="I190" s="44"/>
      <c r="J190" s="44">
        <f t="shared" si="6"/>
        <v>0</v>
      </c>
      <c r="K190" s="44">
        <v>0</v>
      </c>
      <c r="L190" s="44">
        <v>0</v>
      </c>
      <c r="M190" s="44">
        <v>0</v>
      </c>
      <c r="N190" s="44">
        <v>0</v>
      </c>
      <c r="O190" s="44">
        <v>0</v>
      </c>
      <c r="P190" s="1" t="b">
        <f t="shared" si="7"/>
        <v>1</v>
      </c>
      <c r="Q190" s="1" t="e">
        <f>O190=#REF!</f>
        <v>#REF!</v>
      </c>
      <c r="R190" s="1" t="e">
        <f>#REF!=#REF!</f>
        <v>#REF!</v>
      </c>
      <c r="AG190" s="1" t="b">
        <f t="shared" si="8"/>
        <v>1</v>
      </c>
      <c r="AI190" s="44">
        <v>0</v>
      </c>
      <c r="AJ190" s="44">
        <v>0</v>
      </c>
    </row>
    <row r="191" spans="1:36" ht="16" hidden="1" customHeight="1" outlineLevel="1" x14ac:dyDescent="0.45">
      <c r="A191" s="29" t="s">
        <v>90</v>
      </c>
      <c r="B191" s="44">
        <v>1998943</v>
      </c>
      <c r="C191" s="44">
        <v>185064</v>
      </c>
      <c r="D191" s="44">
        <v>246734</v>
      </c>
      <c r="E191" s="44">
        <v>1567145</v>
      </c>
      <c r="F191" s="44">
        <v>699196</v>
      </c>
      <c r="G191" s="44"/>
      <c r="H191" s="44">
        <v>802949</v>
      </c>
      <c r="I191" s="44"/>
      <c r="J191" s="44">
        <f t="shared" si="6"/>
        <v>0</v>
      </c>
      <c r="K191" s="44">
        <v>0</v>
      </c>
      <c r="L191" s="44">
        <v>0</v>
      </c>
      <c r="M191" s="44">
        <v>0</v>
      </c>
      <c r="N191" s="44">
        <v>65000</v>
      </c>
      <c r="O191" s="44">
        <v>0</v>
      </c>
      <c r="P191" s="1" t="b">
        <f t="shared" si="7"/>
        <v>1</v>
      </c>
      <c r="Q191" s="1" t="e">
        <f>O191=#REF!</f>
        <v>#REF!</v>
      </c>
      <c r="R191" s="1" t="e">
        <f>#REF!=#REF!</f>
        <v>#REF!</v>
      </c>
      <c r="AG191" s="1" t="b">
        <f t="shared" si="8"/>
        <v>1</v>
      </c>
      <c r="AI191" s="44">
        <v>0</v>
      </c>
      <c r="AJ191" s="44">
        <v>0</v>
      </c>
    </row>
    <row r="192" spans="1:36" ht="16" hidden="1" customHeight="1" outlineLevel="1" x14ac:dyDescent="0.45">
      <c r="A192" s="30" t="s">
        <v>151</v>
      </c>
      <c r="B192" s="46">
        <v>0</v>
      </c>
      <c r="C192" s="46">
        <v>0</v>
      </c>
      <c r="D192" s="46">
        <v>0</v>
      </c>
      <c r="E192" s="46">
        <v>0</v>
      </c>
      <c r="F192" s="46">
        <v>0</v>
      </c>
      <c r="G192" s="46"/>
      <c r="H192" s="46">
        <v>0</v>
      </c>
      <c r="I192" s="46"/>
      <c r="J192" s="46">
        <f t="shared" si="6"/>
        <v>0</v>
      </c>
      <c r="K192" s="46">
        <v>0</v>
      </c>
      <c r="L192" s="46">
        <v>0</v>
      </c>
      <c r="M192" s="46">
        <v>0</v>
      </c>
      <c r="N192" s="46">
        <v>0</v>
      </c>
      <c r="O192" s="46">
        <v>0</v>
      </c>
      <c r="P192" s="1" t="b">
        <f t="shared" si="7"/>
        <v>1</v>
      </c>
      <c r="Q192" s="1" t="e">
        <f>O192=#REF!</f>
        <v>#REF!</v>
      </c>
      <c r="R192" s="1" t="e">
        <f>#REF!=#REF!</f>
        <v>#REF!</v>
      </c>
      <c r="AG192" s="1" t="b">
        <f t="shared" si="8"/>
        <v>1</v>
      </c>
      <c r="AI192" s="46">
        <v>0</v>
      </c>
      <c r="AJ192" s="46">
        <v>0</v>
      </c>
    </row>
    <row r="193" spans="1:36" s="1" customFormat="1" collapsed="1" x14ac:dyDescent="0.45">
      <c r="A193" s="28" t="s">
        <v>91</v>
      </c>
      <c r="B193" s="43">
        <v>131061374</v>
      </c>
      <c r="C193" s="43">
        <v>19374002</v>
      </c>
      <c r="D193" s="43">
        <v>3342493</v>
      </c>
      <c r="E193" s="43">
        <v>108344879</v>
      </c>
      <c r="F193" s="43">
        <v>51942778.088854216</v>
      </c>
      <c r="G193" s="43"/>
      <c r="H193" s="43">
        <v>5151734.9111457858</v>
      </c>
      <c r="I193" s="43"/>
      <c r="J193" s="43">
        <f t="shared" si="6"/>
        <v>23370639</v>
      </c>
      <c r="K193" s="43">
        <v>171009</v>
      </c>
      <c r="L193" s="43">
        <v>166281</v>
      </c>
      <c r="M193" s="43">
        <v>1435247</v>
      </c>
      <c r="N193" s="43">
        <v>3748132</v>
      </c>
      <c r="O193" s="43">
        <v>22359058</v>
      </c>
      <c r="P193" s="1" t="b">
        <f t="shared" si="7"/>
        <v>1</v>
      </c>
      <c r="Q193" s="1" t="e">
        <f>O193=#REF!</f>
        <v>#REF!</v>
      </c>
      <c r="R193" s="1" t="e">
        <f>#REF!=#REF!</f>
        <v>#REF!</v>
      </c>
      <c r="AG193" s="1" t="b">
        <f t="shared" si="8"/>
        <v>1</v>
      </c>
      <c r="AI193" s="43">
        <v>22202107</v>
      </c>
      <c r="AJ193" s="43">
        <v>1168532</v>
      </c>
    </row>
    <row r="194" spans="1:36" ht="16" hidden="1" customHeight="1" outlineLevel="1" x14ac:dyDescent="0.45">
      <c r="A194" s="29" t="s">
        <v>92</v>
      </c>
      <c r="B194" s="44">
        <v>29500955</v>
      </c>
      <c r="C194" s="44">
        <v>1510900</v>
      </c>
      <c r="D194" s="44">
        <v>112485</v>
      </c>
      <c r="E194" s="44">
        <v>27877570</v>
      </c>
      <c r="F194" s="44">
        <v>21875241.689472396</v>
      </c>
      <c r="G194" s="44"/>
      <c r="H194" s="44">
        <v>3890723.3105276027</v>
      </c>
      <c r="I194" s="44"/>
      <c r="J194" s="44">
        <f t="shared" si="6"/>
        <v>350770</v>
      </c>
      <c r="K194" s="44">
        <v>11765</v>
      </c>
      <c r="L194" s="44">
        <v>11765</v>
      </c>
      <c r="M194" s="44">
        <v>74165</v>
      </c>
      <c r="N194" s="44">
        <v>1622280</v>
      </c>
      <c r="O194" s="44">
        <v>40860</v>
      </c>
      <c r="P194" s="1" t="b">
        <f t="shared" si="7"/>
        <v>1</v>
      </c>
      <c r="Q194" s="1" t="e">
        <f>O194=#REF!</f>
        <v>#REF!</v>
      </c>
      <c r="R194" s="1" t="e">
        <f>#REF!=#REF!</f>
        <v>#REF!</v>
      </c>
      <c r="AG194" s="1" t="b">
        <f t="shared" si="8"/>
        <v>1</v>
      </c>
      <c r="AI194" s="44">
        <v>333232</v>
      </c>
      <c r="AJ194" s="44">
        <v>17538</v>
      </c>
    </row>
    <row r="195" spans="1:36" ht="16" hidden="1" customHeight="1" outlineLevel="1" x14ac:dyDescent="0.45">
      <c r="A195" s="29" t="s">
        <v>93</v>
      </c>
      <c r="B195" s="44">
        <v>80077728</v>
      </c>
      <c r="C195" s="44">
        <v>14485411</v>
      </c>
      <c r="D195" s="44">
        <v>1053044</v>
      </c>
      <c r="E195" s="44">
        <v>64539273</v>
      </c>
      <c r="F195" s="44">
        <v>17555927</v>
      </c>
      <c r="G195" s="44"/>
      <c r="H195" s="44">
        <v>0</v>
      </c>
      <c r="I195" s="44"/>
      <c r="J195" s="44">
        <f t="shared" si="6"/>
        <v>22607414</v>
      </c>
      <c r="K195" s="44">
        <v>154516</v>
      </c>
      <c r="L195" s="44">
        <v>154516</v>
      </c>
      <c r="M195" s="44">
        <v>356900</v>
      </c>
      <c r="N195" s="44">
        <v>2000000</v>
      </c>
      <c r="O195" s="44">
        <v>21710000</v>
      </c>
      <c r="P195" s="1" t="b">
        <f t="shared" si="7"/>
        <v>1</v>
      </c>
      <c r="Q195" s="1" t="e">
        <f>O195=#REF!</f>
        <v>#REF!</v>
      </c>
      <c r="R195" s="1" t="e">
        <f>#REF!=#REF!</f>
        <v>#REF!</v>
      </c>
      <c r="AG195" s="1" t="b">
        <f t="shared" si="8"/>
        <v>1</v>
      </c>
      <c r="AI195" s="44">
        <v>21477043</v>
      </c>
      <c r="AJ195" s="44">
        <v>1130371</v>
      </c>
    </row>
    <row r="196" spans="1:36" ht="16" hidden="1" customHeight="1" outlineLevel="1" x14ac:dyDescent="0.45">
      <c r="A196" s="29" t="s">
        <v>94</v>
      </c>
      <c r="B196" s="44">
        <v>21482691</v>
      </c>
      <c r="C196" s="44">
        <v>3377691</v>
      </c>
      <c r="D196" s="44">
        <v>2176964</v>
      </c>
      <c r="E196" s="44">
        <v>15928036</v>
      </c>
      <c r="F196" s="44">
        <v>12511609.399381816</v>
      </c>
      <c r="G196" s="44"/>
      <c r="H196" s="44">
        <v>1261011.6006181831</v>
      </c>
      <c r="I196" s="44"/>
      <c r="J196" s="44">
        <f t="shared" ref="J196:J259" si="9">AI196+AJ196</f>
        <v>412455</v>
      </c>
      <c r="K196" s="44">
        <v>4728</v>
      </c>
      <c r="L196" s="44">
        <v>0</v>
      </c>
      <c r="M196" s="44">
        <v>1004182</v>
      </c>
      <c r="N196" s="44">
        <v>125852</v>
      </c>
      <c r="O196" s="44">
        <v>608198</v>
      </c>
      <c r="P196" s="1" t="b">
        <f t="shared" ref="P196:P261" si="10">B196=SUM(C196:E196)</f>
        <v>1</v>
      </c>
      <c r="Q196" s="1" t="e">
        <f>O196=#REF!</f>
        <v>#REF!</v>
      </c>
      <c r="R196" s="1" t="e">
        <f>#REF!=#REF!</f>
        <v>#REF!</v>
      </c>
      <c r="AG196" s="1" t="b">
        <f t="shared" ref="AG196:AG261" si="11">E196=SUM(F196:O196)</f>
        <v>1</v>
      </c>
      <c r="AI196" s="44">
        <v>391832</v>
      </c>
      <c r="AJ196" s="44">
        <v>20623</v>
      </c>
    </row>
    <row r="197" spans="1:36" ht="16" hidden="1" customHeight="1" outlineLevel="1" x14ac:dyDescent="0.45">
      <c r="A197" s="29" t="s">
        <v>210</v>
      </c>
      <c r="B197" s="44">
        <v>0</v>
      </c>
      <c r="C197" s="44">
        <v>0</v>
      </c>
      <c r="D197" s="44">
        <v>0</v>
      </c>
      <c r="E197" s="44">
        <v>0</v>
      </c>
      <c r="F197" s="44">
        <v>0</v>
      </c>
      <c r="G197" s="44"/>
      <c r="H197" s="44">
        <v>0</v>
      </c>
      <c r="I197" s="44"/>
      <c r="J197" s="44">
        <f t="shared" si="9"/>
        <v>0</v>
      </c>
      <c r="K197" s="44">
        <v>0</v>
      </c>
      <c r="L197" s="44">
        <v>0</v>
      </c>
      <c r="M197" s="44">
        <v>0</v>
      </c>
      <c r="N197" s="44">
        <v>0</v>
      </c>
      <c r="O197" s="44">
        <v>0</v>
      </c>
      <c r="P197" s="1" t="b">
        <f t="shared" si="10"/>
        <v>1</v>
      </c>
      <c r="Q197" s="1" t="e">
        <f>O197=#REF!</f>
        <v>#REF!</v>
      </c>
      <c r="R197" s="1" t="e">
        <f>#REF!=#REF!</f>
        <v>#REF!</v>
      </c>
      <c r="AG197" s="1" t="b">
        <f t="shared" si="11"/>
        <v>1</v>
      </c>
      <c r="AI197" s="44">
        <v>0</v>
      </c>
      <c r="AJ197" s="44">
        <v>0</v>
      </c>
    </row>
    <row r="198" spans="1:36" s="1" customFormat="1" ht="16" hidden="1" customHeight="1" outlineLevel="1" x14ac:dyDescent="0.45">
      <c r="A198" s="24" t="s">
        <v>211</v>
      </c>
      <c r="B198" s="45">
        <v>0</v>
      </c>
      <c r="C198" s="45">
        <v>0</v>
      </c>
      <c r="D198" s="45">
        <v>0</v>
      </c>
      <c r="E198" s="45">
        <v>0</v>
      </c>
      <c r="F198" s="45">
        <v>0</v>
      </c>
      <c r="G198" s="45"/>
      <c r="H198" s="45">
        <v>0</v>
      </c>
      <c r="I198" s="45"/>
      <c r="J198" s="45">
        <f t="shared" si="9"/>
        <v>0</v>
      </c>
      <c r="K198" s="45">
        <v>0</v>
      </c>
      <c r="L198" s="45">
        <v>0</v>
      </c>
      <c r="M198" s="45">
        <v>0</v>
      </c>
      <c r="N198" s="45">
        <v>0</v>
      </c>
      <c r="O198" s="45">
        <v>0</v>
      </c>
      <c r="P198" s="1" t="b">
        <f t="shared" si="10"/>
        <v>1</v>
      </c>
      <c r="Q198" s="1" t="e">
        <f>O198=#REF!</f>
        <v>#REF!</v>
      </c>
      <c r="R198" s="1" t="e">
        <f>#REF!=#REF!</f>
        <v>#REF!</v>
      </c>
      <c r="AG198" s="1" t="b">
        <f t="shared" si="11"/>
        <v>1</v>
      </c>
      <c r="AI198" s="45">
        <v>0</v>
      </c>
      <c r="AJ198" s="45">
        <v>0</v>
      </c>
    </row>
    <row r="199" spans="1:36" s="1" customFormat="1" collapsed="1" x14ac:dyDescent="0.45">
      <c r="A199" s="28" t="s">
        <v>95</v>
      </c>
      <c r="B199" s="43">
        <v>1425933495</v>
      </c>
      <c r="C199" s="43">
        <v>169183543</v>
      </c>
      <c r="D199" s="43">
        <v>124156812</v>
      </c>
      <c r="E199" s="43">
        <v>1132593140</v>
      </c>
      <c r="F199" s="43">
        <v>203033733.94785309</v>
      </c>
      <c r="G199" s="43"/>
      <c r="H199" s="43">
        <v>14479121.052146923</v>
      </c>
      <c r="I199" s="43"/>
      <c r="J199" s="43">
        <f t="shared" si="9"/>
        <v>486838420</v>
      </c>
      <c r="K199" s="43">
        <v>1412189</v>
      </c>
      <c r="L199" s="43">
        <v>1412189</v>
      </c>
      <c r="M199" s="43">
        <v>9026771</v>
      </c>
      <c r="N199" s="43">
        <v>909884</v>
      </c>
      <c r="O199" s="43">
        <v>415480832</v>
      </c>
      <c r="P199" s="1" t="b">
        <f t="shared" si="10"/>
        <v>1</v>
      </c>
      <c r="Q199" s="1" t="e">
        <f>O199=#REF!</f>
        <v>#REF!</v>
      </c>
      <c r="R199" s="1" t="e">
        <f>#REF!=#REF!</f>
        <v>#REF!</v>
      </c>
      <c r="AG199" s="1" t="b">
        <f t="shared" si="11"/>
        <v>1</v>
      </c>
      <c r="AI199" s="43">
        <v>392259282</v>
      </c>
      <c r="AJ199" s="43">
        <v>94579138</v>
      </c>
    </row>
    <row r="200" spans="1:36" ht="16" hidden="1" customHeight="1" outlineLevel="1" x14ac:dyDescent="0.45">
      <c r="A200" s="29" t="s">
        <v>152</v>
      </c>
      <c r="B200" s="44">
        <v>270154830</v>
      </c>
      <c r="C200" s="44">
        <v>270154830</v>
      </c>
      <c r="D200" s="44">
        <v>0</v>
      </c>
      <c r="E200" s="44">
        <v>0</v>
      </c>
      <c r="F200" s="44">
        <v>0</v>
      </c>
      <c r="G200" s="44"/>
      <c r="H200" s="44">
        <v>0</v>
      </c>
      <c r="I200" s="44"/>
      <c r="J200" s="44">
        <f t="shared" si="9"/>
        <v>0</v>
      </c>
      <c r="K200" s="44">
        <v>0</v>
      </c>
      <c r="L200" s="44">
        <v>0</v>
      </c>
      <c r="M200" s="44">
        <v>0</v>
      </c>
      <c r="N200" s="44">
        <v>0</v>
      </c>
      <c r="O200" s="44">
        <v>0</v>
      </c>
      <c r="P200" s="1" t="b">
        <f t="shared" si="10"/>
        <v>1</v>
      </c>
      <c r="Q200" s="1" t="e">
        <f>O200=#REF!</f>
        <v>#REF!</v>
      </c>
      <c r="R200" s="1" t="e">
        <f>#REF!=#REF!</f>
        <v>#REF!</v>
      </c>
      <c r="AG200" s="1" t="b">
        <f t="shared" si="11"/>
        <v>1</v>
      </c>
      <c r="AI200" s="44">
        <v>0</v>
      </c>
      <c r="AJ200" s="44">
        <v>0</v>
      </c>
    </row>
    <row r="201" spans="1:36" ht="16" hidden="1" customHeight="1" outlineLevel="1" x14ac:dyDescent="0.45">
      <c r="A201" s="29" t="s">
        <v>153</v>
      </c>
      <c r="B201" s="44">
        <v>421232500</v>
      </c>
      <c r="C201" s="44">
        <v>-151686790</v>
      </c>
      <c r="D201" s="44">
        <v>2822000</v>
      </c>
      <c r="E201" s="44">
        <v>570097290</v>
      </c>
      <c r="F201" s="44">
        <v>1355500</v>
      </c>
      <c r="G201" s="44"/>
      <c r="H201" s="44">
        <v>3573600</v>
      </c>
      <c r="I201" s="44"/>
      <c r="J201" s="44">
        <f t="shared" si="9"/>
        <v>262388660</v>
      </c>
      <c r="K201" s="44">
        <v>0</v>
      </c>
      <c r="L201" s="44">
        <v>0</v>
      </c>
      <c r="M201" s="44">
        <v>0</v>
      </c>
      <c r="N201" s="44">
        <v>0</v>
      </c>
      <c r="O201" s="44">
        <v>302779530</v>
      </c>
      <c r="P201" s="1" t="b">
        <f t="shared" si="10"/>
        <v>1</v>
      </c>
      <c r="Q201" s="1" t="e">
        <f>O201=#REF!</f>
        <v>#REF!</v>
      </c>
      <c r="R201" s="1" t="e">
        <f>#REF!=#REF!</f>
        <v>#REF!</v>
      </c>
      <c r="AG201" s="1" t="b">
        <f t="shared" si="11"/>
        <v>1</v>
      </c>
      <c r="AI201" s="44">
        <v>167809522</v>
      </c>
      <c r="AJ201" s="44">
        <v>94579138</v>
      </c>
    </row>
    <row r="202" spans="1:36" ht="16" hidden="1" customHeight="1" outlineLevel="1" x14ac:dyDescent="0.45">
      <c r="A202" s="29" t="s">
        <v>117</v>
      </c>
      <c r="B202" s="44">
        <v>35783730</v>
      </c>
      <c r="C202" s="44">
        <v>35066130</v>
      </c>
      <c r="D202" s="44">
        <v>517600</v>
      </c>
      <c r="E202" s="44">
        <v>200000</v>
      </c>
      <c r="F202" s="44">
        <v>0</v>
      </c>
      <c r="G202" s="44"/>
      <c r="H202" s="44">
        <v>0</v>
      </c>
      <c r="I202" s="44"/>
      <c r="J202" s="44">
        <f t="shared" si="9"/>
        <v>200000</v>
      </c>
      <c r="K202" s="44">
        <v>0</v>
      </c>
      <c r="L202" s="44">
        <v>0</v>
      </c>
      <c r="M202" s="44">
        <v>0</v>
      </c>
      <c r="N202" s="44">
        <v>0</v>
      </c>
      <c r="O202" s="44">
        <v>0</v>
      </c>
      <c r="P202" s="1" t="b">
        <f t="shared" si="10"/>
        <v>1</v>
      </c>
      <c r="Q202" s="1" t="e">
        <f>O202=#REF!</f>
        <v>#REF!</v>
      </c>
      <c r="R202" s="1" t="e">
        <f>#REF!=#REF!</f>
        <v>#REF!</v>
      </c>
      <c r="AG202" s="1" t="b">
        <f t="shared" si="11"/>
        <v>1</v>
      </c>
      <c r="AI202" s="44">
        <v>200000</v>
      </c>
      <c r="AJ202" s="44">
        <v>0</v>
      </c>
    </row>
    <row r="203" spans="1:36" ht="16" hidden="1" customHeight="1" outlineLevel="1" x14ac:dyDescent="0.45">
      <c r="A203" s="29" t="s">
        <v>154</v>
      </c>
      <c r="B203" s="44">
        <v>16455</v>
      </c>
      <c r="C203" s="44">
        <v>16455</v>
      </c>
      <c r="D203" s="44">
        <v>0</v>
      </c>
      <c r="E203" s="44">
        <v>0</v>
      </c>
      <c r="F203" s="44">
        <v>0</v>
      </c>
      <c r="G203" s="44"/>
      <c r="H203" s="44">
        <v>0</v>
      </c>
      <c r="I203" s="44"/>
      <c r="J203" s="44">
        <f t="shared" si="9"/>
        <v>0</v>
      </c>
      <c r="K203" s="44">
        <v>0</v>
      </c>
      <c r="L203" s="44">
        <v>0</v>
      </c>
      <c r="M203" s="44">
        <v>0</v>
      </c>
      <c r="N203" s="44">
        <v>0</v>
      </c>
      <c r="O203" s="44">
        <v>0</v>
      </c>
      <c r="P203" s="1" t="b">
        <f t="shared" si="10"/>
        <v>1</v>
      </c>
      <c r="Q203" s="1" t="e">
        <f>O203=#REF!</f>
        <v>#REF!</v>
      </c>
      <c r="R203" s="1" t="e">
        <f>#REF!=#REF!</f>
        <v>#REF!</v>
      </c>
      <c r="AG203" s="1" t="b">
        <f t="shared" si="11"/>
        <v>1</v>
      </c>
      <c r="AI203" s="44">
        <v>0</v>
      </c>
      <c r="AJ203" s="44">
        <v>0</v>
      </c>
    </row>
    <row r="204" spans="1:36" ht="16" hidden="1" customHeight="1" outlineLevel="1" x14ac:dyDescent="0.45">
      <c r="A204" s="29" t="s">
        <v>96</v>
      </c>
      <c r="B204" s="44">
        <v>28818346</v>
      </c>
      <c r="C204" s="44">
        <v>2423000</v>
      </c>
      <c r="D204" s="44">
        <v>1149000</v>
      </c>
      <c r="E204" s="44">
        <v>25246346</v>
      </c>
      <c r="F204" s="44">
        <v>21666545.345325135</v>
      </c>
      <c r="G204" s="44"/>
      <c r="H204" s="44">
        <v>3142606.6546748667</v>
      </c>
      <c r="I204" s="44"/>
      <c r="J204" s="44">
        <f t="shared" si="9"/>
        <v>0</v>
      </c>
      <c r="K204" s="44">
        <v>0</v>
      </c>
      <c r="L204" s="44">
        <v>0</v>
      </c>
      <c r="M204" s="44">
        <v>178000</v>
      </c>
      <c r="N204" s="44">
        <v>205000</v>
      </c>
      <c r="O204" s="44">
        <v>54194</v>
      </c>
      <c r="P204" s="1" t="b">
        <f t="shared" si="10"/>
        <v>1</v>
      </c>
      <c r="Q204" s="1" t="e">
        <f>O204=#REF!</f>
        <v>#REF!</v>
      </c>
      <c r="R204" s="1" t="e">
        <f>#REF!=#REF!</f>
        <v>#REF!</v>
      </c>
      <c r="AG204" s="1" t="b">
        <f t="shared" si="11"/>
        <v>1</v>
      </c>
      <c r="AI204" s="44">
        <v>0</v>
      </c>
      <c r="AJ204" s="44">
        <v>0</v>
      </c>
    </row>
    <row r="205" spans="1:36" ht="16" hidden="1" customHeight="1" outlineLevel="1" x14ac:dyDescent="0.45">
      <c r="A205" s="29" t="s">
        <v>97</v>
      </c>
      <c r="B205" s="44">
        <v>155000</v>
      </c>
      <c r="C205" s="44">
        <v>131500</v>
      </c>
      <c r="D205" s="44">
        <v>0</v>
      </c>
      <c r="E205" s="44">
        <v>23500</v>
      </c>
      <c r="F205" s="44">
        <v>23500</v>
      </c>
      <c r="G205" s="44"/>
      <c r="H205" s="44">
        <v>0</v>
      </c>
      <c r="I205" s="44"/>
      <c r="J205" s="44">
        <f t="shared" si="9"/>
        <v>0</v>
      </c>
      <c r="K205" s="44">
        <v>0</v>
      </c>
      <c r="L205" s="44">
        <v>0</v>
      </c>
      <c r="M205" s="44">
        <v>0</v>
      </c>
      <c r="N205" s="44">
        <v>0</v>
      </c>
      <c r="O205" s="44">
        <v>0</v>
      </c>
      <c r="P205" s="1" t="b">
        <f t="shared" si="10"/>
        <v>1</v>
      </c>
      <c r="Q205" s="1" t="e">
        <f>O205=#REF!</f>
        <v>#REF!</v>
      </c>
      <c r="R205" s="1" t="e">
        <f>#REF!=#REF!</f>
        <v>#REF!</v>
      </c>
      <c r="AG205" s="1" t="b">
        <f t="shared" si="11"/>
        <v>1</v>
      </c>
      <c r="AI205" s="44">
        <v>0</v>
      </c>
      <c r="AJ205" s="44">
        <v>0</v>
      </c>
    </row>
    <row r="206" spans="1:36" ht="16" hidden="1" customHeight="1" outlineLevel="1" x14ac:dyDescent="0.45">
      <c r="A206" s="29" t="s">
        <v>98</v>
      </c>
      <c r="B206" s="44">
        <v>133828000</v>
      </c>
      <c r="C206" s="44">
        <v>21120000</v>
      </c>
      <c r="D206" s="44">
        <v>0</v>
      </c>
      <c r="E206" s="44">
        <v>112708000</v>
      </c>
      <c r="F206" s="44">
        <v>17846000</v>
      </c>
      <c r="G206" s="44"/>
      <c r="H206" s="44">
        <v>840000</v>
      </c>
      <c r="I206" s="44"/>
      <c r="J206" s="44">
        <f t="shared" si="9"/>
        <v>0</v>
      </c>
      <c r="K206" s="44">
        <v>0</v>
      </c>
      <c r="L206" s="44">
        <v>0</v>
      </c>
      <c r="M206" s="44">
        <v>0</v>
      </c>
      <c r="N206" s="44">
        <v>0</v>
      </c>
      <c r="O206" s="44">
        <v>94022000</v>
      </c>
      <c r="P206" s="1" t="b">
        <f t="shared" si="10"/>
        <v>1</v>
      </c>
      <c r="Q206" s="1" t="e">
        <f>O206=#REF!</f>
        <v>#REF!</v>
      </c>
      <c r="R206" s="1" t="e">
        <f>#REF!=#REF!</f>
        <v>#REF!</v>
      </c>
      <c r="AG206" s="1" t="b">
        <f t="shared" si="11"/>
        <v>1</v>
      </c>
      <c r="AI206" s="44">
        <v>0</v>
      </c>
      <c r="AJ206" s="44">
        <v>0</v>
      </c>
    </row>
    <row r="207" spans="1:36" ht="16" hidden="1" customHeight="1" outlineLevel="1" x14ac:dyDescent="0.45">
      <c r="A207" s="29" t="s">
        <v>99</v>
      </c>
      <c r="B207" s="44">
        <v>286236086</v>
      </c>
      <c r="C207" s="44">
        <v>78366823</v>
      </c>
      <c r="D207" s="44">
        <v>203500</v>
      </c>
      <c r="E207" s="44">
        <v>207665763</v>
      </c>
      <c r="F207" s="44">
        <v>23350495.572718672</v>
      </c>
      <c r="G207" s="44"/>
      <c r="H207" s="44">
        <v>2582265.4272813261</v>
      </c>
      <c r="I207" s="44"/>
      <c r="J207" s="44">
        <f t="shared" si="9"/>
        <v>157195110</v>
      </c>
      <c r="K207" s="44">
        <v>0</v>
      </c>
      <c r="L207" s="44">
        <v>0</v>
      </c>
      <c r="M207" s="44">
        <v>5207900</v>
      </c>
      <c r="N207" s="44">
        <v>704884</v>
      </c>
      <c r="O207" s="44">
        <v>18625108</v>
      </c>
      <c r="P207" s="1" t="b">
        <f t="shared" si="10"/>
        <v>1</v>
      </c>
      <c r="Q207" s="1" t="e">
        <f>O207=#REF!</f>
        <v>#REF!</v>
      </c>
      <c r="R207" s="1" t="e">
        <f>#REF!=#REF!</f>
        <v>#REF!</v>
      </c>
      <c r="AG207" s="1" t="b">
        <f t="shared" si="11"/>
        <v>1</v>
      </c>
      <c r="AI207" s="44">
        <v>157195110</v>
      </c>
      <c r="AJ207" s="44">
        <v>0</v>
      </c>
    </row>
    <row r="208" spans="1:36" ht="16" hidden="1" customHeight="1" outlineLevel="1" x14ac:dyDescent="0.45">
      <c r="A208" s="29" t="s">
        <v>155</v>
      </c>
      <c r="B208" s="44">
        <v>6129627</v>
      </c>
      <c r="C208" s="44">
        <v>6129627</v>
      </c>
      <c r="D208" s="44">
        <v>0</v>
      </c>
      <c r="E208" s="44">
        <v>0</v>
      </c>
      <c r="F208" s="44">
        <v>0</v>
      </c>
      <c r="G208" s="44"/>
      <c r="H208" s="44">
        <v>0</v>
      </c>
      <c r="I208" s="44"/>
      <c r="J208" s="44">
        <f t="shared" si="9"/>
        <v>0</v>
      </c>
      <c r="K208" s="44">
        <v>0</v>
      </c>
      <c r="L208" s="44">
        <v>0</v>
      </c>
      <c r="M208" s="44">
        <v>0</v>
      </c>
      <c r="N208" s="44">
        <v>0</v>
      </c>
      <c r="O208" s="44">
        <v>0</v>
      </c>
      <c r="P208" s="1" t="b">
        <f t="shared" si="10"/>
        <v>1</v>
      </c>
      <c r="Q208" s="1" t="e">
        <f>O208=#REF!</f>
        <v>#REF!</v>
      </c>
      <c r="R208" s="1" t="e">
        <f>#REF!=#REF!</f>
        <v>#REF!</v>
      </c>
      <c r="AG208" s="1" t="b">
        <f t="shared" si="11"/>
        <v>1</v>
      </c>
      <c r="AI208" s="44">
        <v>0</v>
      </c>
      <c r="AJ208" s="44">
        <v>0</v>
      </c>
    </row>
    <row r="209" spans="1:36" ht="16" hidden="1" customHeight="1" outlineLevel="1" x14ac:dyDescent="0.45">
      <c r="A209" s="29" t="s">
        <v>100</v>
      </c>
      <c r="B209" s="44">
        <v>240712030</v>
      </c>
      <c r="C209" s="44">
        <v>-95055832</v>
      </c>
      <c r="D209" s="44">
        <v>119464712</v>
      </c>
      <c r="E209" s="44">
        <v>216303150</v>
      </c>
      <c r="F209" s="44">
        <v>138791693.02980927</v>
      </c>
      <c r="G209" s="44"/>
      <c r="H209" s="44">
        <v>4340648.9701907309</v>
      </c>
      <c r="I209" s="44"/>
      <c r="J209" s="44">
        <f t="shared" si="9"/>
        <v>66705559</v>
      </c>
      <c r="K209" s="44">
        <v>1412189</v>
      </c>
      <c r="L209" s="44">
        <v>1412189</v>
      </c>
      <c r="M209" s="44">
        <v>3640871</v>
      </c>
      <c r="N209" s="44">
        <v>0</v>
      </c>
      <c r="O209" s="44">
        <v>0</v>
      </c>
      <c r="P209" s="1" t="b">
        <f t="shared" si="10"/>
        <v>1</v>
      </c>
      <c r="Q209" s="1" t="e">
        <f>O209=#REF!</f>
        <v>#REF!</v>
      </c>
      <c r="R209" s="1" t="e">
        <f>#REF!=#REF!</f>
        <v>#REF!</v>
      </c>
      <c r="AG209" s="1" t="b">
        <f t="shared" si="11"/>
        <v>1</v>
      </c>
      <c r="AI209" s="44">
        <v>66705559</v>
      </c>
      <c r="AJ209" s="44">
        <v>0</v>
      </c>
    </row>
    <row r="210" spans="1:36" ht="16" hidden="1" customHeight="1" outlineLevel="1" x14ac:dyDescent="0.45">
      <c r="A210" s="24" t="s">
        <v>212</v>
      </c>
      <c r="B210" s="45">
        <v>0</v>
      </c>
      <c r="C210" s="45">
        <v>0</v>
      </c>
      <c r="D210" s="45">
        <v>0</v>
      </c>
      <c r="E210" s="45">
        <v>0</v>
      </c>
      <c r="F210" s="45">
        <v>0</v>
      </c>
      <c r="G210" s="45"/>
      <c r="H210" s="45">
        <v>0</v>
      </c>
      <c r="I210" s="45"/>
      <c r="J210" s="45">
        <f t="shared" si="9"/>
        <v>0</v>
      </c>
      <c r="K210" s="45">
        <v>0</v>
      </c>
      <c r="L210" s="45">
        <v>0</v>
      </c>
      <c r="M210" s="45">
        <v>0</v>
      </c>
      <c r="N210" s="45">
        <v>0</v>
      </c>
      <c r="O210" s="45">
        <v>0</v>
      </c>
      <c r="P210" s="1" t="b">
        <f t="shared" si="10"/>
        <v>1</v>
      </c>
      <c r="Q210" s="1" t="e">
        <f>O210=#REF!</f>
        <v>#REF!</v>
      </c>
      <c r="R210" s="1" t="e">
        <f>#REF!=#REF!</f>
        <v>#REF!</v>
      </c>
      <c r="AG210" s="1" t="b">
        <f t="shared" si="11"/>
        <v>1</v>
      </c>
      <c r="AI210" s="45">
        <v>0</v>
      </c>
      <c r="AJ210" s="45">
        <v>0</v>
      </c>
    </row>
    <row r="211" spans="1:36" ht="16" hidden="1" customHeight="1" outlineLevel="1" x14ac:dyDescent="0.45">
      <c r="A211" s="29" t="s">
        <v>213</v>
      </c>
      <c r="B211" s="44">
        <v>0</v>
      </c>
      <c r="C211" s="44">
        <v>0</v>
      </c>
      <c r="D211" s="44">
        <v>0</v>
      </c>
      <c r="E211" s="44">
        <v>0</v>
      </c>
      <c r="F211" s="44">
        <v>0</v>
      </c>
      <c r="G211" s="44"/>
      <c r="H211" s="44">
        <v>0</v>
      </c>
      <c r="I211" s="44"/>
      <c r="J211" s="44">
        <f t="shared" si="9"/>
        <v>0</v>
      </c>
      <c r="K211" s="44">
        <v>0</v>
      </c>
      <c r="L211" s="44">
        <v>0</v>
      </c>
      <c r="M211" s="44">
        <v>0</v>
      </c>
      <c r="N211" s="44">
        <v>0</v>
      </c>
      <c r="O211" s="44">
        <v>0</v>
      </c>
      <c r="P211" s="1" t="b">
        <f t="shared" si="10"/>
        <v>1</v>
      </c>
      <c r="Q211" s="1" t="e">
        <f>O211=#REF!</f>
        <v>#REF!</v>
      </c>
      <c r="R211" s="1" t="e">
        <f>#REF!=#REF!</f>
        <v>#REF!</v>
      </c>
      <c r="AG211" s="1" t="b">
        <f t="shared" si="11"/>
        <v>1</v>
      </c>
      <c r="AI211" s="44">
        <v>0</v>
      </c>
      <c r="AJ211" s="44">
        <v>0</v>
      </c>
    </row>
    <row r="212" spans="1:36" ht="16" hidden="1" customHeight="1" outlineLevel="1" x14ac:dyDescent="0.45">
      <c r="A212" s="24" t="s">
        <v>214</v>
      </c>
      <c r="B212" s="45">
        <v>349091</v>
      </c>
      <c r="C212" s="45">
        <v>0</v>
      </c>
      <c r="D212" s="45">
        <v>0</v>
      </c>
      <c r="E212" s="45">
        <v>349091</v>
      </c>
      <c r="F212" s="45">
        <v>0</v>
      </c>
      <c r="G212" s="45"/>
      <c r="H212" s="45">
        <v>0</v>
      </c>
      <c r="I212" s="45"/>
      <c r="J212" s="45">
        <f t="shared" si="9"/>
        <v>349091</v>
      </c>
      <c r="K212" s="45">
        <v>0</v>
      </c>
      <c r="L212" s="45">
        <v>0</v>
      </c>
      <c r="M212" s="45">
        <v>0</v>
      </c>
      <c r="N212" s="45">
        <v>0</v>
      </c>
      <c r="O212" s="45">
        <v>0</v>
      </c>
      <c r="P212" s="1" t="b">
        <f t="shared" si="10"/>
        <v>1</v>
      </c>
      <c r="Q212" s="1" t="e">
        <f>O212=#REF!</f>
        <v>#REF!</v>
      </c>
      <c r="R212" s="1" t="e">
        <f>#REF!=#REF!</f>
        <v>#REF!</v>
      </c>
      <c r="AG212" s="1" t="b">
        <f t="shared" si="11"/>
        <v>1</v>
      </c>
      <c r="AI212" s="45">
        <v>349091</v>
      </c>
      <c r="AJ212" s="45">
        <v>0</v>
      </c>
    </row>
    <row r="213" spans="1:36" ht="16" hidden="1" customHeight="1" outlineLevel="1" x14ac:dyDescent="0.45">
      <c r="A213" s="29" t="s">
        <v>215</v>
      </c>
      <c r="B213" s="44">
        <v>2517800</v>
      </c>
      <c r="C213" s="44">
        <v>2517800</v>
      </c>
      <c r="D213" s="44">
        <v>0</v>
      </c>
      <c r="E213" s="44">
        <v>0</v>
      </c>
      <c r="F213" s="44">
        <v>0</v>
      </c>
      <c r="G213" s="44"/>
      <c r="H213" s="44">
        <v>0</v>
      </c>
      <c r="I213" s="44"/>
      <c r="J213" s="44">
        <f t="shared" si="9"/>
        <v>0</v>
      </c>
      <c r="K213" s="44">
        <v>0</v>
      </c>
      <c r="L213" s="44">
        <v>0</v>
      </c>
      <c r="M213" s="44">
        <v>0</v>
      </c>
      <c r="N213" s="44">
        <v>0</v>
      </c>
      <c r="O213" s="44">
        <v>0</v>
      </c>
      <c r="P213" s="1" t="b">
        <f t="shared" si="10"/>
        <v>1</v>
      </c>
      <c r="Q213" s="1" t="e">
        <f>O213=#REF!</f>
        <v>#REF!</v>
      </c>
      <c r="R213" s="1" t="e">
        <f>#REF!=#REF!</f>
        <v>#REF!</v>
      </c>
      <c r="AG213" s="1" t="b">
        <f t="shared" si="11"/>
        <v>1</v>
      </c>
      <c r="AI213" s="44">
        <v>0</v>
      </c>
      <c r="AJ213" s="44">
        <v>0</v>
      </c>
    </row>
    <row r="214" spans="1:36" ht="16" hidden="1" customHeight="1" outlineLevel="1" x14ac:dyDescent="0.45">
      <c r="A214" s="29" t="s">
        <v>257</v>
      </c>
      <c r="B214" s="44">
        <v>0</v>
      </c>
      <c r="C214" s="44">
        <v>0</v>
      </c>
      <c r="D214" s="44">
        <v>0</v>
      </c>
      <c r="E214" s="44">
        <v>0</v>
      </c>
      <c r="F214" s="44">
        <v>0</v>
      </c>
      <c r="G214" s="44"/>
      <c r="H214" s="44">
        <v>0</v>
      </c>
      <c r="I214" s="44"/>
      <c r="J214" s="44">
        <f t="shared" si="9"/>
        <v>0</v>
      </c>
      <c r="K214" s="44">
        <v>0</v>
      </c>
      <c r="L214" s="44">
        <v>0</v>
      </c>
      <c r="M214" s="44">
        <v>0</v>
      </c>
      <c r="N214" s="44">
        <v>0</v>
      </c>
      <c r="O214" s="44">
        <v>0</v>
      </c>
      <c r="P214" s="1" t="b">
        <f t="shared" si="10"/>
        <v>1</v>
      </c>
      <c r="Q214" s="1" t="e">
        <f>O214=#REF!</f>
        <v>#REF!</v>
      </c>
      <c r="R214" s="1" t="e">
        <f>#REF!=#REF!</f>
        <v>#REF!</v>
      </c>
      <c r="AG214" s="1" t="b">
        <f t="shared" si="11"/>
        <v>1</v>
      </c>
      <c r="AI214" s="44">
        <v>0</v>
      </c>
      <c r="AJ214" s="44">
        <v>0</v>
      </c>
    </row>
    <row r="215" spans="1:36" s="1" customFormat="1" collapsed="1" x14ac:dyDescent="0.45">
      <c r="A215" s="28" t="s">
        <v>156</v>
      </c>
      <c r="B215" s="43">
        <v>28159000</v>
      </c>
      <c r="C215" s="43">
        <v>0</v>
      </c>
      <c r="D215" s="43">
        <v>0</v>
      </c>
      <c r="E215" s="43">
        <v>28159000</v>
      </c>
      <c r="F215" s="43">
        <v>0</v>
      </c>
      <c r="G215" s="43"/>
      <c r="H215" s="43">
        <v>0</v>
      </c>
      <c r="I215" s="43"/>
      <c r="J215" s="43">
        <f t="shared" si="9"/>
        <v>28159000</v>
      </c>
      <c r="K215" s="43">
        <v>0</v>
      </c>
      <c r="L215" s="43">
        <v>0</v>
      </c>
      <c r="M215" s="43">
        <v>0</v>
      </c>
      <c r="N215" s="43">
        <v>0</v>
      </c>
      <c r="O215" s="43">
        <v>0</v>
      </c>
      <c r="P215" s="1" t="b">
        <f t="shared" si="10"/>
        <v>1</v>
      </c>
      <c r="Q215" s="1" t="e">
        <f>O215=#REF!</f>
        <v>#REF!</v>
      </c>
      <c r="R215" s="1" t="e">
        <f>#REF!=#REF!</f>
        <v>#REF!</v>
      </c>
      <c r="AG215" s="1" t="b">
        <f t="shared" si="11"/>
        <v>1</v>
      </c>
      <c r="AI215" s="43">
        <v>280000</v>
      </c>
      <c r="AJ215" s="43">
        <v>27879000</v>
      </c>
    </row>
    <row r="216" spans="1:36" ht="16" hidden="1" customHeight="1" outlineLevel="1" x14ac:dyDescent="0.45">
      <c r="A216" s="29" t="s">
        <v>157</v>
      </c>
      <c r="B216" s="44">
        <v>28159000</v>
      </c>
      <c r="C216" s="44">
        <v>0</v>
      </c>
      <c r="D216" s="44">
        <v>0</v>
      </c>
      <c r="E216" s="44">
        <v>28159000</v>
      </c>
      <c r="F216" s="44">
        <v>0</v>
      </c>
      <c r="G216" s="44"/>
      <c r="H216" s="44">
        <v>0</v>
      </c>
      <c r="I216" s="44"/>
      <c r="J216" s="44">
        <f t="shared" si="9"/>
        <v>28159000</v>
      </c>
      <c r="K216" s="44">
        <v>0</v>
      </c>
      <c r="L216" s="44">
        <v>0</v>
      </c>
      <c r="M216" s="44">
        <v>0</v>
      </c>
      <c r="N216" s="44">
        <v>0</v>
      </c>
      <c r="O216" s="44">
        <v>0</v>
      </c>
      <c r="P216" s="1" t="b">
        <f t="shared" si="10"/>
        <v>1</v>
      </c>
      <c r="Q216" s="1" t="e">
        <f>O216=#REF!</f>
        <v>#REF!</v>
      </c>
      <c r="R216" s="1" t="e">
        <f>#REF!=#REF!</f>
        <v>#REF!</v>
      </c>
      <c r="AG216" s="1" t="b">
        <f t="shared" si="11"/>
        <v>1</v>
      </c>
      <c r="AI216" s="44">
        <v>280000</v>
      </c>
      <c r="AJ216" s="44">
        <v>27879000</v>
      </c>
    </row>
    <row r="217" spans="1:36" s="1" customFormat="1" collapsed="1" x14ac:dyDescent="0.45">
      <c r="A217" s="28" t="s">
        <v>101</v>
      </c>
      <c r="B217" s="43">
        <v>2828579820</v>
      </c>
      <c r="C217" s="43">
        <v>-1182297584</v>
      </c>
      <c r="D217" s="43">
        <v>4641818</v>
      </c>
      <c r="E217" s="43">
        <v>4006235586</v>
      </c>
      <c r="F217" s="43">
        <v>1125615746.522743</v>
      </c>
      <c r="G217" s="43"/>
      <c r="H217" s="43">
        <v>56893505.477257043</v>
      </c>
      <c r="I217" s="43"/>
      <c r="J217" s="43">
        <f t="shared" si="9"/>
        <v>2491597893</v>
      </c>
      <c r="K217" s="43">
        <v>6818580</v>
      </c>
      <c r="L217" s="43">
        <v>367850</v>
      </c>
      <c r="M217" s="43">
        <v>45775335</v>
      </c>
      <c r="N217" s="43">
        <v>264253382</v>
      </c>
      <c r="O217" s="43">
        <v>14913294</v>
      </c>
      <c r="P217" s="1" t="b">
        <f t="shared" si="10"/>
        <v>1</v>
      </c>
      <c r="Q217" s="1" t="e">
        <f>O217=#REF!</f>
        <v>#REF!</v>
      </c>
      <c r="R217" s="1" t="e">
        <f>#REF!=#REF!</f>
        <v>#REF!</v>
      </c>
      <c r="AG217" s="1" t="b">
        <f t="shared" si="11"/>
        <v>1</v>
      </c>
      <c r="AI217" s="43">
        <v>2490742893</v>
      </c>
      <c r="AJ217" s="43">
        <v>855000</v>
      </c>
    </row>
    <row r="218" spans="1:36" s="1" customFormat="1" ht="16" hidden="1" customHeight="1" outlineLevel="1" x14ac:dyDescent="0.45">
      <c r="A218" s="28" t="s">
        <v>166</v>
      </c>
      <c r="B218" s="43">
        <v>0</v>
      </c>
      <c r="C218" s="43">
        <v>-250960906</v>
      </c>
      <c r="D218" s="43">
        <v>0</v>
      </c>
      <c r="E218" s="43">
        <v>250960906</v>
      </c>
      <c r="F218" s="43">
        <v>220130280</v>
      </c>
      <c r="G218" s="43"/>
      <c r="H218" s="43">
        <v>0</v>
      </c>
      <c r="I218" s="43"/>
      <c r="J218" s="43">
        <f t="shared" si="9"/>
        <v>1716000</v>
      </c>
      <c r="K218" s="43">
        <v>273800</v>
      </c>
      <c r="L218" s="43">
        <v>296536</v>
      </c>
      <c r="M218" s="43">
        <v>28344290</v>
      </c>
      <c r="N218" s="43">
        <v>200000</v>
      </c>
      <c r="O218" s="43">
        <v>0</v>
      </c>
      <c r="P218" s="1" t="b">
        <f t="shared" si="10"/>
        <v>1</v>
      </c>
      <c r="Q218" s="1" t="e">
        <f>O218=#REF!</f>
        <v>#REF!</v>
      </c>
      <c r="R218" s="1" t="e">
        <f>#REF!=#REF!</f>
        <v>#REF!</v>
      </c>
      <c r="AG218" s="1" t="b">
        <f t="shared" si="11"/>
        <v>1</v>
      </c>
      <c r="AI218" s="43">
        <v>1716000</v>
      </c>
      <c r="AJ218" s="43">
        <v>0</v>
      </c>
    </row>
    <row r="219" spans="1:36" ht="16" hidden="1" customHeight="1" outlineLevel="1" x14ac:dyDescent="0.45">
      <c r="A219" s="29" t="s">
        <v>216</v>
      </c>
      <c r="B219" s="44">
        <v>0</v>
      </c>
      <c r="C219" s="44">
        <v>0</v>
      </c>
      <c r="D219" s="44">
        <v>0</v>
      </c>
      <c r="E219" s="44">
        <v>0</v>
      </c>
      <c r="F219" s="44">
        <v>0</v>
      </c>
      <c r="G219" s="44"/>
      <c r="H219" s="44">
        <v>0</v>
      </c>
      <c r="I219" s="44"/>
      <c r="J219" s="44">
        <f t="shared" si="9"/>
        <v>0</v>
      </c>
      <c r="K219" s="44">
        <v>0</v>
      </c>
      <c r="L219" s="44">
        <v>0</v>
      </c>
      <c r="M219" s="44">
        <v>0</v>
      </c>
      <c r="N219" s="44">
        <v>0</v>
      </c>
      <c r="O219" s="44">
        <v>0</v>
      </c>
      <c r="P219" s="1" t="b">
        <f t="shared" si="10"/>
        <v>1</v>
      </c>
      <c r="Q219" s="1" t="e">
        <f>O219=#REF!</f>
        <v>#REF!</v>
      </c>
      <c r="R219" s="1" t="e">
        <f>#REF!=#REF!</f>
        <v>#REF!</v>
      </c>
      <c r="AG219" s="1" t="b">
        <f t="shared" si="11"/>
        <v>1</v>
      </c>
      <c r="AI219" s="44">
        <v>0</v>
      </c>
      <c r="AJ219" s="44">
        <v>0</v>
      </c>
    </row>
    <row r="220" spans="1:36" ht="16" hidden="1" customHeight="1" outlineLevel="1" x14ac:dyDescent="0.45">
      <c r="A220" s="29" t="s">
        <v>102</v>
      </c>
      <c r="B220" s="44">
        <v>0</v>
      </c>
      <c r="C220" s="44">
        <v>0</v>
      </c>
      <c r="D220" s="44">
        <v>0</v>
      </c>
      <c r="E220" s="44">
        <v>0</v>
      </c>
      <c r="F220" s="44">
        <v>0</v>
      </c>
      <c r="G220" s="44"/>
      <c r="H220" s="44">
        <v>0</v>
      </c>
      <c r="I220" s="44"/>
      <c r="J220" s="44">
        <f t="shared" si="9"/>
        <v>0</v>
      </c>
      <c r="K220" s="44">
        <v>0</v>
      </c>
      <c r="L220" s="44">
        <v>0</v>
      </c>
      <c r="M220" s="44">
        <v>0</v>
      </c>
      <c r="N220" s="44">
        <v>0</v>
      </c>
      <c r="O220" s="44">
        <v>0</v>
      </c>
      <c r="P220" s="1" t="b">
        <f t="shared" si="10"/>
        <v>1</v>
      </c>
      <c r="Q220" s="1" t="e">
        <f>O220=#REF!</f>
        <v>#REF!</v>
      </c>
      <c r="R220" s="1" t="e">
        <f>#REF!=#REF!</f>
        <v>#REF!</v>
      </c>
      <c r="AG220" s="1" t="b">
        <f t="shared" si="11"/>
        <v>1</v>
      </c>
      <c r="AI220" s="44">
        <v>0</v>
      </c>
      <c r="AJ220" s="44">
        <v>0</v>
      </c>
    </row>
    <row r="221" spans="1:36" ht="16" hidden="1" customHeight="1" outlineLevel="1" x14ac:dyDescent="0.45">
      <c r="A221" s="29" t="s">
        <v>103</v>
      </c>
      <c r="B221" s="44">
        <v>8847778</v>
      </c>
      <c r="C221" s="44">
        <v>623060</v>
      </c>
      <c r="D221" s="44">
        <v>0</v>
      </c>
      <c r="E221" s="44">
        <v>8224718</v>
      </c>
      <c r="F221" s="44">
        <v>6426487.0545472717</v>
      </c>
      <c r="G221" s="44"/>
      <c r="H221" s="44">
        <v>86916.945452728585</v>
      </c>
      <c r="I221" s="44"/>
      <c r="J221" s="44">
        <f t="shared" si="9"/>
        <v>1640000</v>
      </c>
      <c r="K221" s="44">
        <v>0</v>
      </c>
      <c r="L221" s="44">
        <v>71314</v>
      </c>
      <c r="M221" s="44">
        <v>0</v>
      </c>
      <c r="N221" s="44">
        <v>0</v>
      </c>
      <c r="O221" s="44">
        <v>0</v>
      </c>
      <c r="P221" s="1" t="b">
        <f t="shared" si="10"/>
        <v>1</v>
      </c>
      <c r="Q221" s="1" t="e">
        <f>O221=#REF!</f>
        <v>#REF!</v>
      </c>
      <c r="R221" s="1" t="e">
        <f>#REF!=#REF!</f>
        <v>#REF!</v>
      </c>
      <c r="AG221" s="1" t="b">
        <f t="shared" si="11"/>
        <v>1</v>
      </c>
      <c r="AI221" s="44">
        <v>1640000</v>
      </c>
      <c r="AJ221" s="44">
        <v>0</v>
      </c>
    </row>
    <row r="222" spans="1:36" s="1" customFormat="1" ht="16" hidden="1" customHeight="1" outlineLevel="1" collapsed="1" x14ac:dyDescent="0.45">
      <c r="A222" s="28" t="s">
        <v>104</v>
      </c>
      <c r="B222" s="43">
        <v>0</v>
      </c>
      <c r="C222" s="43">
        <v>-935949500</v>
      </c>
      <c r="D222" s="43">
        <v>0</v>
      </c>
      <c r="E222" s="43">
        <v>935949500</v>
      </c>
      <c r="F222" s="43">
        <v>692483500</v>
      </c>
      <c r="G222" s="43"/>
      <c r="H222" s="43">
        <v>0</v>
      </c>
      <c r="I222" s="43"/>
      <c r="J222" s="43">
        <f t="shared" si="9"/>
        <v>855000</v>
      </c>
      <c r="K222" s="43">
        <v>0</v>
      </c>
      <c r="L222" s="43">
        <v>0</v>
      </c>
      <c r="M222" s="43">
        <v>0</v>
      </c>
      <c r="N222" s="43">
        <v>242611000</v>
      </c>
      <c r="O222" s="43">
        <v>0</v>
      </c>
      <c r="P222" s="1" t="b">
        <f t="shared" si="10"/>
        <v>1</v>
      </c>
      <c r="Q222" s="1" t="e">
        <f>O222=#REF!</f>
        <v>#REF!</v>
      </c>
      <c r="R222" s="1" t="e">
        <f>#REF!=#REF!</f>
        <v>#REF!</v>
      </c>
      <c r="AG222" s="1" t="b">
        <f t="shared" si="11"/>
        <v>1</v>
      </c>
      <c r="AI222" s="43">
        <v>0</v>
      </c>
      <c r="AJ222" s="43">
        <v>855000</v>
      </c>
    </row>
    <row r="223" spans="1:36" ht="16" hidden="1" customHeight="1" outlineLevel="1" x14ac:dyDescent="0.45">
      <c r="A223" s="29" t="s">
        <v>116</v>
      </c>
      <c r="B223" s="44">
        <v>67117108</v>
      </c>
      <c r="C223" s="44">
        <v>0</v>
      </c>
      <c r="D223" s="44">
        <v>0</v>
      </c>
      <c r="E223" s="44">
        <v>67117108</v>
      </c>
      <c r="F223" s="44">
        <v>7439020</v>
      </c>
      <c r="G223" s="44"/>
      <c r="H223" s="44">
        <v>44764794</v>
      </c>
      <c r="I223" s="44"/>
      <c r="J223" s="44">
        <f t="shared" si="9"/>
        <v>0</v>
      </c>
      <c r="K223" s="44">
        <v>0</v>
      </c>
      <c r="L223" s="44">
        <v>0</v>
      </c>
      <c r="M223" s="44">
        <v>0</v>
      </c>
      <c r="N223" s="44">
        <v>0</v>
      </c>
      <c r="O223" s="44">
        <v>14913294</v>
      </c>
      <c r="P223" s="1" t="b">
        <f t="shared" si="10"/>
        <v>1</v>
      </c>
      <c r="Q223" s="1" t="e">
        <f>O223=#REF!</f>
        <v>#REF!</v>
      </c>
      <c r="R223" s="1" t="e">
        <f>#REF!=#REF!</f>
        <v>#REF!</v>
      </c>
      <c r="AG223" s="1" t="b">
        <f t="shared" si="11"/>
        <v>1</v>
      </c>
      <c r="AI223" s="44">
        <v>0</v>
      </c>
      <c r="AJ223" s="44">
        <v>0</v>
      </c>
    </row>
    <row r="224" spans="1:36" ht="16" hidden="1" customHeight="1" outlineLevel="1" x14ac:dyDescent="0.45">
      <c r="A224" s="29" t="s">
        <v>105</v>
      </c>
      <c r="B224" s="44">
        <v>2752614934</v>
      </c>
      <c r="C224" s="44">
        <v>3989762</v>
      </c>
      <c r="D224" s="44">
        <v>4641818</v>
      </c>
      <c r="E224" s="44">
        <v>2743983354</v>
      </c>
      <c r="F224" s="44">
        <v>199136459.46819568</v>
      </c>
      <c r="G224" s="44"/>
      <c r="H224" s="44">
        <v>12041794.531804318</v>
      </c>
      <c r="I224" s="44"/>
      <c r="J224" s="44">
        <f t="shared" si="9"/>
        <v>2487386893</v>
      </c>
      <c r="K224" s="44">
        <v>6544780</v>
      </c>
      <c r="L224" s="44">
        <v>0</v>
      </c>
      <c r="M224" s="44">
        <v>17431045</v>
      </c>
      <c r="N224" s="44">
        <v>21442382</v>
      </c>
      <c r="O224" s="44">
        <v>0</v>
      </c>
      <c r="P224" s="1" t="b">
        <f t="shared" si="10"/>
        <v>1</v>
      </c>
      <c r="Q224" s="1" t="e">
        <f>O224=#REF!</f>
        <v>#REF!</v>
      </c>
      <c r="R224" s="1" t="e">
        <f>#REF!=#REF!</f>
        <v>#REF!</v>
      </c>
      <c r="AG224" s="1" t="b">
        <f t="shared" si="11"/>
        <v>1</v>
      </c>
      <c r="AI224" s="44">
        <v>2487386893</v>
      </c>
      <c r="AJ224" s="44">
        <v>0</v>
      </c>
    </row>
    <row r="225" spans="1:36" ht="16" hidden="1" customHeight="1" outlineLevel="1" x14ac:dyDescent="0.45">
      <c r="A225" s="29" t="s">
        <v>217</v>
      </c>
      <c r="B225" s="44">
        <v>0</v>
      </c>
      <c r="C225" s="44">
        <v>0</v>
      </c>
      <c r="D225" s="44">
        <v>0</v>
      </c>
      <c r="E225" s="44">
        <v>0</v>
      </c>
      <c r="F225" s="44">
        <v>0</v>
      </c>
      <c r="G225" s="44"/>
      <c r="H225" s="44">
        <v>0</v>
      </c>
      <c r="I225" s="44"/>
      <c r="J225" s="44">
        <f t="shared" si="9"/>
        <v>0</v>
      </c>
      <c r="K225" s="44">
        <v>0</v>
      </c>
      <c r="L225" s="44">
        <v>0</v>
      </c>
      <c r="M225" s="44">
        <v>0</v>
      </c>
      <c r="N225" s="44">
        <v>0</v>
      </c>
      <c r="O225" s="44">
        <v>0</v>
      </c>
      <c r="P225" s="1" t="b">
        <f t="shared" si="10"/>
        <v>1</v>
      </c>
      <c r="Q225" s="1" t="e">
        <f>O225=#REF!</f>
        <v>#REF!</v>
      </c>
      <c r="R225" s="1" t="e">
        <f>#REF!=#REF!</f>
        <v>#REF!</v>
      </c>
      <c r="AG225" s="1" t="b">
        <f t="shared" si="11"/>
        <v>1</v>
      </c>
      <c r="AI225" s="44">
        <v>0</v>
      </c>
      <c r="AJ225" s="44">
        <v>0</v>
      </c>
    </row>
    <row r="226" spans="1:36" ht="16" hidden="1" customHeight="1" outlineLevel="1" x14ac:dyDescent="0.45">
      <c r="A226" s="29" t="s">
        <v>106</v>
      </c>
      <c r="B226" s="44">
        <v>0</v>
      </c>
      <c r="C226" s="44">
        <v>0</v>
      </c>
      <c r="D226" s="44">
        <v>0</v>
      </c>
      <c r="E226" s="44">
        <v>0</v>
      </c>
      <c r="F226" s="44">
        <v>0</v>
      </c>
      <c r="G226" s="44"/>
      <c r="H226" s="44">
        <v>0</v>
      </c>
      <c r="I226" s="44"/>
      <c r="J226" s="44">
        <f t="shared" si="9"/>
        <v>0</v>
      </c>
      <c r="K226" s="44">
        <v>0</v>
      </c>
      <c r="L226" s="44">
        <v>0</v>
      </c>
      <c r="M226" s="44">
        <v>0</v>
      </c>
      <c r="N226" s="44">
        <v>0</v>
      </c>
      <c r="O226" s="44">
        <v>0</v>
      </c>
      <c r="P226" s="1" t="b">
        <f t="shared" si="10"/>
        <v>1</v>
      </c>
      <c r="Q226" s="1" t="e">
        <f>O226=#REF!</f>
        <v>#REF!</v>
      </c>
      <c r="R226" s="1" t="e">
        <f>#REF!=#REF!</f>
        <v>#REF!</v>
      </c>
      <c r="AG226" s="1" t="b">
        <f t="shared" si="11"/>
        <v>1</v>
      </c>
      <c r="AI226" s="44">
        <v>0</v>
      </c>
      <c r="AJ226" s="44">
        <v>0</v>
      </c>
    </row>
    <row r="227" spans="1:36" s="1" customFormat="1" ht="16" hidden="1" customHeight="1" outlineLevel="1" collapsed="1" x14ac:dyDescent="0.45">
      <c r="A227" s="28" t="s">
        <v>306</v>
      </c>
      <c r="B227" s="43">
        <v>0</v>
      </c>
      <c r="C227" s="43">
        <v>0</v>
      </c>
      <c r="D227" s="43">
        <v>0</v>
      </c>
      <c r="E227" s="43">
        <v>0</v>
      </c>
      <c r="F227" s="43">
        <v>0</v>
      </c>
      <c r="G227" s="43"/>
      <c r="H227" s="43">
        <v>0</v>
      </c>
      <c r="I227" s="43"/>
      <c r="J227" s="43">
        <f t="shared" si="9"/>
        <v>0</v>
      </c>
      <c r="K227" s="43">
        <v>0</v>
      </c>
      <c r="L227" s="43">
        <v>0</v>
      </c>
      <c r="M227" s="43">
        <v>0</v>
      </c>
      <c r="N227" s="43">
        <v>0</v>
      </c>
      <c r="O227" s="43">
        <v>0</v>
      </c>
      <c r="P227" s="1" t="b">
        <f t="shared" si="10"/>
        <v>1</v>
      </c>
      <c r="Q227" s="1" t="e">
        <f>O227=#REF!</f>
        <v>#REF!</v>
      </c>
      <c r="R227" s="1" t="e">
        <f>#REF!=#REF!</f>
        <v>#REF!</v>
      </c>
      <c r="AG227" s="1" t="b">
        <f t="shared" si="11"/>
        <v>1</v>
      </c>
      <c r="AI227" s="43">
        <v>0</v>
      </c>
      <c r="AJ227" s="43">
        <v>0</v>
      </c>
    </row>
    <row r="228" spans="1:36" s="1" customFormat="1" collapsed="1" x14ac:dyDescent="0.45">
      <c r="A228" s="28" t="s">
        <v>218</v>
      </c>
      <c r="B228" s="43">
        <v>0</v>
      </c>
      <c r="C228" s="43">
        <v>0</v>
      </c>
      <c r="D228" s="43">
        <v>0</v>
      </c>
      <c r="E228" s="43">
        <v>0</v>
      </c>
      <c r="F228" s="43">
        <v>0</v>
      </c>
      <c r="G228" s="43"/>
      <c r="H228" s="43">
        <v>0</v>
      </c>
      <c r="I228" s="43"/>
      <c r="J228" s="43">
        <f t="shared" si="9"/>
        <v>0</v>
      </c>
      <c r="K228" s="43">
        <v>0</v>
      </c>
      <c r="L228" s="43">
        <v>0</v>
      </c>
      <c r="M228" s="43">
        <v>0</v>
      </c>
      <c r="N228" s="43">
        <v>0</v>
      </c>
      <c r="O228" s="43">
        <v>0</v>
      </c>
      <c r="P228" s="1" t="b">
        <f t="shared" si="10"/>
        <v>1</v>
      </c>
      <c r="Q228" s="1" t="e">
        <f>O228=#REF!</f>
        <v>#REF!</v>
      </c>
      <c r="R228" s="1" t="e">
        <f>#REF!=#REF!</f>
        <v>#REF!</v>
      </c>
      <c r="AG228" s="1" t="b">
        <f t="shared" si="11"/>
        <v>1</v>
      </c>
      <c r="AI228" s="43">
        <v>0</v>
      </c>
      <c r="AJ228" s="43">
        <v>0</v>
      </c>
    </row>
    <row r="229" spans="1:36" s="1" customFormat="1" x14ac:dyDescent="0.45">
      <c r="A229" s="28" t="s">
        <v>107</v>
      </c>
      <c r="B229" s="43">
        <v>609355230</v>
      </c>
      <c r="C229" s="43">
        <v>-139250515</v>
      </c>
      <c r="D229" s="43">
        <v>0</v>
      </c>
      <c r="E229" s="43">
        <v>748605745</v>
      </c>
      <c r="F229" s="43">
        <v>703768.55499147158</v>
      </c>
      <c r="G229" s="43"/>
      <c r="H229" s="43">
        <v>134310382.44500852</v>
      </c>
      <c r="I229" s="43"/>
      <c r="J229" s="43">
        <f t="shared" si="9"/>
        <v>25703182</v>
      </c>
      <c r="K229" s="43">
        <v>2010027</v>
      </c>
      <c r="L229" s="43">
        <v>633674520</v>
      </c>
      <c r="M229" s="43">
        <v>-47796135</v>
      </c>
      <c r="N229" s="43">
        <v>0</v>
      </c>
      <c r="O229" s="43">
        <v>0</v>
      </c>
      <c r="P229" s="1" t="b">
        <f t="shared" si="10"/>
        <v>1</v>
      </c>
      <c r="Q229" s="1" t="e">
        <f>O229=#REF!</f>
        <v>#REF!</v>
      </c>
      <c r="R229" s="1" t="e">
        <f>#REF!=#REF!</f>
        <v>#REF!</v>
      </c>
      <c r="AG229" s="1" t="b">
        <f t="shared" si="11"/>
        <v>1</v>
      </c>
      <c r="AI229" s="43">
        <v>22475000</v>
      </c>
      <c r="AJ229" s="43">
        <v>3228182</v>
      </c>
    </row>
    <row r="230" spans="1:36" ht="16" hidden="1" customHeight="1" outlineLevel="1" x14ac:dyDescent="0.45">
      <c r="A230" s="29" t="s">
        <v>158</v>
      </c>
      <c r="B230" s="44">
        <v>0</v>
      </c>
      <c r="C230" s="44">
        <v>0</v>
      </c>
      <c r="D230" s="44">
        <v>0</v>
      </c>
      <c r="E230" s="44">
        <v>0</v>
      </c>
      <c r="F230" s="44">
        <v>0</v>
      </c>
      <c r="G230" s="44"/>
      <c r="H230" s="44">
        <v>0</v>
      </c>
      <c r="I230" s="44"/>
      <c r="J230" s="44">
        <f t="shared" si="9"/>
        <v>0</v>
      </c>
      <c r="K230" s="44">
        <v>0</v>
      </c>
      <c r="L230" s="44">
        <v>0</v>
      </c>
      <c r="M230" s="44">
        <v>0</v>
      </c>
      <c r="N230" s="44">
        <v>0</v>
      </c>
      <c r="O230" s="44">
        <v>0</v>
      </c>
      <c r="P230" s="1" t="b">
        <f t="shared" si="10"/>
        <v>1</v>
      </c>
      <c r="Q230" s="1" t="e">
        <f>O230=#REF!</f>
        <v>#REF!</v>
      </c>
      <c r="R230" s="1" t="e">
        <f>#REF!=#REF!</f>
        <v>#REF!</v>
      </c>
      <c r="AG230" s="1" t="b">
        <f t="shared" si="11"/>
        <v>1</v>
      </c>
      <c r="AI230" s="44">
        <v>0</v>
      </c>
      <c r="AJ230" s="44">
        <v>0</v>
      </c>
    </row>
    <row r="231" spans="1:36" ht="16" hidden="1" customHeight="1" outlineLevel="1" x14ac:dyDescent="0.45">
      <c r="A231" s="29" t="s">
        <v>219</v>
      </c>
      <c r="B231" s="44">
        <v>0</v>
      </c>
      <c r="C231" s="44">
        <v>0</v>
      </c>
      <c r="D231" s="44">
        <v>0</v>
      </c>
      <c r="E231" s="44">
        <v>0</v>
      </c>
      <c r="F231" s="44">
        <v>0</v>
      </c>
      <c r="G231" s="44"/>
      <c r="H231" s="44">
        <v>0</v>
      </c>
      <c r="I231" s="44"/>
      <c r="J231" s="44">
        <f t="shared" si="9"/>
        <v>0</v>
      </c>
      <c r="K231" s="44">
        <v>0</v>
      </c>
      <c r="L231" s="44">
        <v>0</v>
      </c>
      <c r="M231" s="44">
        <v>0</v>
      </c>
      <c r="N231" s="44">
        <v>0</v>
      </c>
      <c r="O231" s="44">
        <v>0</v>
      </c>
      <c r="P231" s="1" t="b">
        <f t="shared" si="10"/>
        <v>1</v>
      </c>
      <c r="Q231" s="1" t="e">
        <f>O231=#REF!</f>
        <v>#REF!</v>
      </c>
      <c r="R231" s="1" t="e">
        <f>#REF!=#REF!</f>
        <v>#REF!</v>
      </c>
      <c r="AG231" s="1" t="b">
        <f t="shared" si="11"/>
        <v>1</v>
      </c>
      <c r="AI231" s="44">
        <v>0</v>
      </c>
      <c r="AJ231" s="44">
        <v>0</v>
      </c>
    </row>
    <row r="232" spans="1:36" ht="16" hidden="1" customHeight="1" outlineLevel="1" x14ac:dyDescent="0.45">
      <c r="A232" s="29" t="s">
        <v>307</v>
      </c>
      <c r="B232" s="44">
        <v>609355230</v>
      </c>
      <c r="C232" s="44">
        <v>0</v>
      </c>
      <c r="D232" s="44">
        <v>0</v>
      </c>
      <c r="E232" s="44">
        <v>609355230</v>
      </c>
      <c r="F232" s="44">
        <v>0</v>
      </c>
      <c r="G232" s="44"/>
      <c r="H232" s="44">
        <v>0</v>
      </c>
      <c r="I232" s="44"/>
      <c r="J232" s="44">
        <f t="shared" si="9"/>
        <v>21466818</v>
      </c>
      <c r="K232" s="44">
        <v>2010027</v>
      </c>
      <c r="L232" s="44">
        <v>633674520</v>
      </c>
      <c r="M232" s="43">
        <v>-47796135</v>
      </c>
      <c r="N232" s="44">
        <v>0</v>
      </c>
      <c r="O232" s="44">
        <v>0</v>
      </c>
      <c r="P232" s="1" t="b">
        <f t="shared" si="10"/>
        <v>1</v>
      </c>
      <c r="Q232" s="1" t="e">
        <f>O232=#REF!</f>
        <v>#REF!</v>
      </c>
      <c r="R232" s="1" t="e">
        <f>#REF!=#REF!</f>
        <v>#REF!</v>
      </c>
      <c r="AG232" s="1" t="b">
        <f t="shared" si="11"/>
        <v>1</v>
      </c>
      <c r="AI232" s="44">
        <v>22475000</v>
      </c>
      <c r="AJ232" s="43">
        <v>-1008182</v>
      </c>
    </row>
    <row r="233" spans="1:36" ht="16" hidden="1" customHeight="1" outlineLevel="1" x14ac:dyDescent="0.45">
      <c r="A233" s="29" t="s">
        <v>220</v>
      </c>
      <c r="B233" s="44">
        <v>0</v>
      </c>
      <c r="C233" s="44">
        <v>0</v>
      </c>
      <c r="D233" s="44">
        <v>0</v>
      </c>
      <c r="E233" s="44">
        <v>0</v>
      </c>
      <c r="F233" s="44">
        <v>0</v>
      </c>
      <c r="G233" s="44"/>
      <c r="H233" s="44">
        <v>0</v>
      </c>
      <c r="I233" s="44"/>
      <c r="J233" s="44">
        <f t="shared" si="9"/>
        <v>0</v>
      </c>
      <c r="K233" s="44">
        <v>0</v>
      </c>
      <c r="L233" s="44">
        <v>0</v>
      </c>
      <c r="M233" s="44">
        <v>0</v>
      </c>
      <c r="N233" s="44">
        <v>0</v>
      </c>
      <c r="O233" s="44">
        <v>0</v>
      </c>
      <c r="P233" s="1" t="b">
        <f t="shared" si="10"/>
        <v>1</v>
      </c>
      <c r="Q233" s="1" t="e">
        <f>O233=#REF!</f>
        <v>#REF!</v>
      </c>
      <c r="R233" s="1" t="e">
        <f>#REF!=#REF!</f>
        <v>#REF!</v>
      </c>
      <c r="AG233" s="1" t="b">
        <f t="shared" si="11"/>
        <v>1</v>
      </c>
      <c r="AI233" s="44">
        <v>0</v>
      </c>
      <c r="AJ233" s="44">
        <v>0</v>
      </c>
    </row>
    <row r="234" spans="1:36" s="1" customFormat="1" ht="16" hidden="1" customHeight="1" outlineLevel="1" collapsed="1" x14ac:dyDescent="0.45">
      <c r="A234" s="28" t="s">
        <v>108</v>
      </c>
      <c r="B234" s="43">
        <v>0</v>
      </c>
      <c r="C234" s="43">
        <v>-117291343</v>
      </c>
      <c r="D234" s="43">
        <v>0</v>
      </c>
      <c r="E234" s="43">
        <v>117291343</v>
      </c>
      <c r="F234" s="43">
        <v>0</v>
      </c>
      <c r="G234" s="43"/>
      <c r="H234" s="43">
        <v>117291343</v>
      </c>
      <c r="I234" s="43"/>
      <c r="J234" s="43">
        <f t="shared" si="9"/>
        <v>0</v>
      </c>
      <c r="K234" s="43">
        <v>0</v>
      </c>
      <c r="L234" s="43">
        <v>0</v>
      </c>
      <c r="M234" s="43">
        <v>0</v>
      </c>
      <c r="N234" s="43">
        <v>0</v>
      </c>
      <c r="O234" s="43">
        <v>0</v>
      </c>
      <c r="P234" s="1" t="b">
        <f t="shared" si="10"/>
        <v>1</v>
      </c>
      <c r="Q234" s="1" t="e">
        <f>O234=#REF!</f>
        <v>#REF!</v>
      </c>
      <c r="R234" s="1" t="e">
        <f>#REF!=#REF!</f>
        <v>#REF!</v>
      </c>
      <c r="AG234" s="1" t="b">
        <f t="shared" si="11"/>
        <v>1</v>
      </c>
      <c r="AI234" s="43">
        <v>0</v>
      </c>
      <c r="AJ234" s="43">
        <v>0</v>
      </c>
    </row>
    <row r="235" spans="1:36" ht="16" hidden="1" customHeight="1" outlineLevel="1" x14ac:dyDescent="0.45">
      <c r="A235" s="29" t="s">
        <v>221</v>
      </c>
      <c r="B235" s="44">
        <v>0</v>
      </c>
      <c r="C235" s="44">
        <v>0</v>
      </c>
      <c r="D235" s="44">
        <v>0</v>
      </c>
      <c r="E235" s="44">
        <v>0</v>
      </c>
      <c r="F235" s="44">
        <v>0</v>
      </c>
      <c r="G235" s="44"/>
      <c r="H235" s="44">
        <v>0</v>
      </c>
      <c r="I235" s="44"/>
      <c r="J235" s="44">
        <f t="shared" si="9"/>
        <v>0</v>
      </c>
      <c r="K235" s="44">
        <v>0</v>
      </c>
      <c r="L235" s="44">
        <v>0</v>
      </c>
      <c r="M235" s="44">
        <v>0</v>
      </c>
      <c r="N235" s="44">
        <v>0</v>
      </c>
      <c r="O235" s="44">
        <v>0</v>
      </c>
      <c r="P235" s="1" t="b">
        <f t="shared" si="10"/>
        <v>1</v>
      </c>
      <c r="Q235" s="1" t="e">
        <f>O235=#REF!</f>
        <v>#REF!</v>
      </c>
      <c r="R235" s="1" t="e">
        <f>#REF!=#REF!</f>
        <v>#REF!</v>
      </c>
      <c r="AG235" s="1" t="b">
        <f t="shared" si="11"/>
        <v>1</v>
      </c>
      <c r="AI235" s="44">
        <v>0</v>
      </c>
      <c r="AJ235" s="44">
        <v>0</v>
      </c>
    </row>
    <row r="236" spans="1:36" ht="16" hidden="1" customHeight="1" outlineLevel="1" x14ac:dyDescent="0.45">
      <c r="A236" s="29" t="s">
        <v>222</v>
      </c>
      <c r="B236" s="44">
        <v>0</v>
      </c>
      <c r="C236" s="44">
        <v>0</v>
      </c>
      <c r="D236" s="44">
        <v>0</v>
      </c>
      <c r="E236" s="44">
        <v>0</v>
      </c>
      <c r="F236" s="44">
        <v>0</v>
      </c>
      <c r="G236" s="44"/>
      <c r="H236" s="44">
        <v>0</v>
      </c>
      <c r="I236" s="44"/>
      <c r="J236" s="44">
        <f t="shared" si="9"/>
        <v>0</v>
      </c>
      <c r="K236" s="44">
        <v>0</v>
      </c>
      <c r="L236" s="44">
        <v>0</v>
      </c>
      <c r="M236" s="44">
        <v>0</v>
      </c>
      <c r="N236" s="44">
        <v>0</v>
      </c>
      <c r="O236" s="44">
        <v>0</v>
      </c>
      <c r="P236" s="1" t="b">
        <f t="shared" si="10"/>
        <v>1</v>
      </c>
      <c r="Q236" s="1" t="e">
        <f>O236=#REF!</f>
        <v>#REF!</v>
      </c>
      <c r="R236" s="1" t="e">
        <f>#REF!=#REF!</f>
        <v>#REF!</v>
      </c>
      <c r="AG236" s="1" t="b">
        <f t="shared" si="11"/>
        <v>1</v>
      </c>
      <c r="AI236" s="44">
        <v>0</v>
      </c>
      <c r="AJ236" s="44">
        <v>0</v>
      </c>
    </row>
    <row r="237" spans="1:36" s="1" customFormat="1" ht="16" hidden="1" customHeight="1" outlineLevel="1" collapsed="1" x14ac:dyDescent="0.45">
      <c r="A237" s="28" t="s">
        <v>109</v>
      </c>
      <c r="B237" s="43">
        <v>0</v>
      </c>
      <c r="C237" s="43">
        <v>-21959172</v>
      </c>
      <c r="D237" s="43">
        <v>0</v>
      </c>
      <c r="E237" s="43">
        <v>21959172</v>
      </c>
      <c r="F237" s="43">
        <v>703768.55499147158</v>
      </c>
      <c r="G237" s="43"/>
      <c r="H237" s="43">
        <v>17019039.445008527</v>
      </c>
      <c r="I237" s="43"/>
      <c r="J237" s="43">
        <f t="shared" si="9"/>
        <v>4236364</v>
      </c>
      <c r="K237" s="43">
        <v>0</v>
      </c>
      <c r="L237" s="43">
        <v>0</v>
      </c>
      <c r="M237" s="43">
        <v>0</v>
      </c>
      <c r="N237" s="43">
        <v>0</v>
      </c>
      <c r="O237" s="43">
        <v>0</v>
      </c>
      <c r="P237" s="1" t="b">
        <f t="shared" si="10"/>
        <v>1</v>
      </c>
      <c r="Q237" s="1" t="e">
        <f>O237=#REF!</f>
        <v>#REF!</v>
      </c>
      <c r="R237" s="1" t="e">
        <f>#REF!=#REF!</f>
        <v>#REF!</v>
      </c>
      <c r="AG237" s="1" t="b">
        <f t="shared" si="11"/>
        <v>1</v>
      </c>
      <c r="AI237" s="43">
        <v>0</v>
      </c>
      <c r="AJ237" s="43">
        <v>4236364</v>
      </c>
    </row>
    <row r="238" spans="1:36" s="1" customFormat="1" ht="16" customHeight="1" collapsed="1" x14ac:dyDescent="0.45">
      <c r="A238" s="28" t="s">
        <v>110</v>
      </c>
      <c r="B238" s="43">
        <v>20819317</v>
      </c>
      <c r="C238" s="43">
        <v>18077984</v>
      </c>
      <c r="D238" s="43">
        <v>0</v>
      </c>
      <c r="E238" s="43">
        <v>2741333</v>
      </c>
      <c r="F238" s="43">
        <v>241333</v>
      </c>
      <c r="G238" s="43"/>
      <c r="H238" s="43">
        <v>0</v>
      </c>
      <c r="I238" s="43"/>
      <c r="J238" s="43">
        <f t="shared" si="9"/>
        <v>0</v>
      </c>
      <c r="K238" s="43">
        <v>0</v>
      </c>
      <c r="L238" s="43">
        <v>0</v>
      </c>
      <c r="M238" s="43">
        <v>0</v>
      </c>
      <c r="N238" s="43">
        <v>0</v>
      </c>
      <c r="O238" s="43">
        <v>2500000</v>
      </c>
      <c r="P238" s="1" t="b">
        <f t="shared" si="10"/>
        <v>1</v>
      </c>
      <c r="Q238" s="1" t="e">
        <f>O238=#REF!</f>
        <v>#REF!</v>
      </c>
      <c r="R238" s="1" t="e">
        <f>#REF!=#REF!</f>
        <v>#REF!</v>
      </c>
      <c r="AG238" s="1" t="b">
        <f t="shared" si="11"/>
        <v>1</v>
      </c>
      <c r="AI238" s="43">
        <v>0</v>
      </c>
      <c r="AJ238" s="43">
        <v>0</v>
      </c>
    </row>
    <row r="239" spans="1:36" s="1" customFormat="1" x14ac:dyDescent="0.45">
      <c r="A239" s="27" t="s">
        <v>308</v>
      </c>
      <c r="B239" s="42">
        <v>-397778099</v>
      </c>
      <c r="C239" s="42">
        <v>995619754.69055676</v>
      </c>
      <c r="D239" s="42">
        <v>-504097693</v>
      </c>
      <c r="E239" s="42">
        <v>-889300160.69055676</v>
      </c>
      <c r="F239" s="42">
        <v>-1933660061.9684544</v>
      </c>
      <c r="G239" s="42"/>
      <c r="H239" s="42">
        <v>717072412.97530723</v>
      </c>
      <c r="I239" s="42"/>
      <c r="J239" s="42">
        <f t="shared" si="9"/>
        <v>494622966.99314708</v>
      </c>
      <c r="K239" s="42">
        <v>57989017.021316618</v>
      </c>
      <c r="L239" s="42">
        <v>93536135.679100752</v>
      </c>
      <c r="M239" s="42">
        <v>6972659.4608435035</v>
      </c>
      <c r="N239" s="42">
        <v>-427874915.85181767</v>
      </c>
      <c r="O239" s="42">
        <v>102041625</v>
      </c>
      <c r="P239" s="1" t="b">
        <f t="shared" si="10"/>
        <v>1</v>
      </c>
      <c r="Q239" s="1" t="e">
        <f>O239=#REF!</f>
        <v>#REF!</v>
      </c>
      <c r="R239" s="1" t="e">
        <f>#REF!=#REF!</f>
        <v>#REF!</v>
      </c>
      <c r="AG239" s="1" t="b">
        <f t="shared" si="11"/>
        <v>1</v>
      </c>
      <c r="AI239" s="42">
        <v>177730260.91506588</v>
      </c>
      <c r="AJ239" s="42">
        <v>316892706.07808119</v>
      </c>
    </row>
    <row r="240" spans="1:36" s="1" customFormat="1" x14ac:dyDescent="0.45">
      <c r="A240" s="28" t="s">
        <v>309</v>
      </c>
      <c r="B240" s="43">
        <v>60936860</v>
      </c>
      <c r="C240" s="43">
        <v>55686860</v>
      </c>
      <c r="D240" s="43">
        <v>0</v>
      </c>
      <c r="E240" s="43">
        <v>5250000</v>
      </c>
      <c r="F240" s="43">
        <v>0</v>
      </c>
      <c r="G240" s="43"/>
      <c r="H240" s="43">
        <v>5250000</v>
      </c>
      <c r="I240" s="43"/>
      <c r="J240" s="43">
        <f t="shared" si="9"/>
        <v>0</v>
      </c>
      <c r="K240" s="43">
        <v>0</v>
      </c>
      <c r="L240" s="43">
        <v>0</v>
      </c>
      <c r="M240" s="43">
        <v>0</v>
      </c>
      <c r="N240" s="43">
        <v>0</v>
      </c>
      <c r="O240" s="43">
        <v>0</v>
      </c>
      <c r="P240" s="1" t="b">
        <f t="shared" si="10"/>
        <v>1</v>
      </c>
      <c r="AG240" s="1" t="b">
        <f t="shared" si="11"/>
        <v>1</v>
      </c>
      <c r="AI240" s="43">
        <v>0</v>
      </c>
      <c r="AJ240" s="43">
        <v>0</v>
      </c>
    </row>
    <row r="241" spans="1:36" ht="16" hidden="1" customHeight="1" outlineLevel="1" x14ac:dyDescent="0.45">
      <c r="A241" s="29" t="s">
        <v>159</v>
      </c>
      <c r="B241" s="44">
        <v>47181259</v>
      </c>
      <c r="C241" s="44">
        <v>47181259</v>
      </c>
      <c r="D241" s="44">
        <v>0</v>
      </c>
      <c r="E241" s="44">
        <v>0</v>
      </c>
      <c r="F241" s="44">
        <v>0</v>
      </c>
      <c r="G241" s="44"/>
      <c r="H241" s="44">
        <v>0</v>
      </c>
      <c r="I241" s="44"/>
      <c r="J241" s="44">
        <f t="shared" si="9"/>
        <v>0</v>
      </c>
      <c r="K241" s="44">
        <v>0</v>
      </c>
      <c r="L241" s="44">
        <v>0</v>
      </c>
      <c r="M241" s="44">
        <v>0</v>
      </c>
      <c r="N241" s="44">
        <v>0</v>
      </c>
      <c r="O241" s="44">
        <v>0</v>
      </c>
      <c r="P241" s="1" t="b">
        <f t="shared" si="10"/>
        <v>1</v>
      </c>
      <c r="Q241" s="1"/>
      <c r="R241" s="1"/>
      <c r="AG241" s="1" t="b">
        <f t="shared" si="11"/>
        <v>1</v>
      </c>
      <c r="AI241" s="44">
        <v>0</v>
      </c>
      <c r="AJ241" s="44">
        <v>0</v>
      </c>
    </row>
    <row r="242" spans="1:36" ht="16" hidden="1" customHeight="1" outlineLevel="1" x14ac:dyDescent="0.45">
      <c r="A242" s="29" t="s">
        <v>160</v>
      </c>
      <c r="B242" s="44">
        <v>8505600</v>
      </c>
      <c r="C242" s="44">
        <v>8505600</v>
      </c>
      <c r="D242" s="44">
        <v>0</v>
      </c>
      <c r="E242" s="44">
        <v>0</v>
      </c>
      <c r="F242" s="44">
        <v>0</v>
      </c>
      <c r="G242" s="44"/>
      <c r="H242" s="44">
        <v>0</v>
      </c>
      <c r="I242" s="44"/>
      <c r="J242" s="44">
        <f t="shared" si="9"/>
        <v>0</v>
      </c>
      <c r="K242" s="44">
        <v>0</v>
      </c>
      <c r="L242" s="44">
        <v>0</v>
      </c>
      <c r="M242" s="44">
        <v>0</v>
      </c>
      <c r="N242" s="44">
        <v>0</v>
      </c>
      <c r="O242" s="44">
        <v>0</v>
      </c>
      <c r="P242" s="1" t="b">
        <f t="shared" si="10"/>
        <v>1</v>
      </c>
      <c r="Q242" s="1"/>
      <c r="R242" s="1"/>
      <c r="AG242" s="1" t="b">
        <f t="shared" si="11"/>
        <v>1</v>
      </c>
      <c r="AI242" s="44">
        <v>0</v>
      </c>
      <c r="AJ242" s="44">
        <v>0</v>
      </c>
    </row>
    <row r="243" spans="1:36" ht="16" hidden="1" customHeight="1" outlineLevel="1" x14ac:dyDescent="0.45">
      <c r="A243" s="29" t="s">
        <v>258</v>
      </c>
      <c r="B243" s="44">
        <v>0</v>
      </c>
      <c r="C243" s="44">
        <v>0</v>
      </c>
      <c r="D243" s="44">
        <v>0</v>
      </c>
      <c r="E243" s="44">
        <v>0</v>
      </c>
      <c r="F243" s="44">
        <v>0</v>
      </c>
      <c r="G243" s="44"/>
      <c r="H243" s="44">
        <v>0</v>
      </c>
      <c r="I243" s="44"/>
      <c r="J243" s="44">
        <f t="shared" si="9"/>
        <v>0</v>
      </c>
      <c r="K243" s="44">
        <v>0</v>
      </c>
      <c r="L243" s="44">
        <v>0</v>
      </c>
      <c r="M243" s="44">
        <v>0</v>
      </c>
      <c r="N243" s="44">
        <v>0</v>
      </c>
      <c r="O243" s="44">
        <v>0</v>
      </c>
      <c r="P243" s="1" t="b">
        <f t="shared" si="10"/>
        <v>1</v>
      </c>
      <c r="Q243" s="1"/>
      <c r="R243" s="1"/>
      <c r="AG243" s="1" t="b">
        <f t="shared" si="11"/>
        <v>1</v>
      </c>
      <c r="AI243" s="44">
        <v>0</v>
      </c>
      <c r="AJ243" s="44">
        <v>0</v>
      </c>
    </row>
    <row r="244" spans="1:36" ht="16" hidden="1" customHeight="1" outlineLevel="1" x14ac:dyDescent="0.45">
      <c r="A244" s="29" t="s">
        <v>223</v>
      </c>
      <c r="B244" s="44">
        <v>0</v>
      </c>
      <c r="C244" s="44">
        <v>0</v>
      </c>
      <c r="D244" s="44">
        <v>0</v>
      </c>
      <c r="E244" s="44">
        <v>0</v>
      </c>
      <c r="F244" s="44">
        <v>0</v>
      </c>
      <c r="G244" s="44"/>
      <c r="H244" s="44">
        <v>0</v>
      </c>
      <c r="I244" s="44"/>
      <c r="J244" s="44">
        <f t="shared" si="9"/>
        <v>0</v>
      </c>
      <c r="K244" s="44">
        <v>0</v>
      </c>
      <c r="L244" s="44">
        <v>0</v>
      </c>
      <c r="M244" s="44">
        <v>0</v>
      </c>
      <c r="N244" s="44">
        <v>0</v>
      </c>
      <c r="O244" s="44">
        <v>0</v>
      </c>
      <c r="P244" s="1" t="b">
        <f t="shared" si="10"/>
        <v>1</v>
      </c>
      <c r="Q244" s="1"/>
      <c r="R244" s="1"/>
      <c r="AG244" s="1" t="b">
        <f t="shared" si="11"/>
        <v>1</v>
      </c>
      <c r="AI244" s="44">
        <v>0</v>
      </c>
      <c r="AJ244" s="44">
        <v>0</v>
      </c>
    </row>
    <row r="245" spans="1:36" s="3" customFormat="1" ht="16" hidden="1" customHeight="1" outlineLevel="1" x14ac:dyDescent="0.45">
      <c r="A245" s="33" t="s">
        <v>243</v>
      </c>
      <c r="B245" s="33">
        <v>0</v>
      </c>
      <c r="C245" s="33">
        <v>0</v>
      </c>
      <c r="D245" s="33">
        <v>0</v>
      </c>
      <c r="E245" s="33">
        <v>0</v>
      </c>
      <c r="F245" s="33">
        <v>0</v>
      </c>
      <c r="G245" s="33"/>
      <c r="H245" s="33">
        <v>0</v>
      </c>
      <c r="I245" s="33"/>
      <c r="J245" s="33">
        <f t="shared" si="9"/>
        <v>0</v>
      </c>
      <c r="K245" s="33">
        <v>0</v>
      </c>
      <c r="L245" s="33">
        <v>0</v>
      </c>
      <c r="M245" s="33">
        <v>0</v>
      </c>
      <c r="N245" s="33">
        <v>0</v>
      </c>
      <c r="O245" s="33">
        <v>0</v>
      </c>
      <c r="P245" s="1" t="b">
        <f t="shared" si="10"/>
        <v>1</v>
      </c>
      <c r="Q245" s="1"/>
      <c r="R245" s="1"/>
      <c r="AG245" s="1" t="b">
        <f t="shared" si="11"/>
        <v>1</v>
      </c>
      <c r="AI245" s="33">
        <v>0</v>
      </c>
      <c r="AJ245" s="33">
        <v>0</v>
      </c>
    </row>
    <row r="246" spans="1:36" s="3" customFormat="1" ht="16" hidden="1" customHeight="1" outlineLevel="1" x14ac:dyDescent="0.45">
      <c r="A246" s="34" t="s">
        <v>264</v>
      </c>
      <c r="B246" s="33">
        <v>0</v>
      </c>
      <c r="C246" s="33">
        <v>0</v>
      </c>
      <c r="D246" s="33">
        <v>0</v>
      </c>
      <c r="E246" s="33">
        <v>0</v>
      </c>
      <c r="F246" s="33">
        <v>0</v>
      </c>
      <c r="G246" s="33"/>
      <c r="H246" s="33">
        <v>0</v>
      </c>
      <c r="I246" s="33"/>
      <c r="J246" s="33">
        <f t="shared" si="9"/>
        <v>0</v>
      </c>
      <c r="K246" s="33">
        <v>0</v>
      </c>
      <c r="L246" s="33">
        <v>0</v>
      </c>
      <c r="M246" s="33">
        <v>0</v>
      </c>
      <c r="N246" s="33">
        <v>0</v>
      </c>
      <c r="O246" s="33">
        <v>0</v>
      </c>
      <c r="P246" s="1" t="b">
        <f t="shared" si="10"/>
        <v>1</v>
      </c>
      <c r="Q246" s="1"/>
      <c r="R246" s="1"/>
      <c r="AG246" s="1" t="b">
        <f t="shared" si="11"/>
        <v>1</v>
      </c>
      <c r="AI246" s="33">
        <v>0</v>
      </c>
      <c r="AJ246" s="33">
        <v>0</v>
      </c>
    </row>
    <row r="247" spans="1:36" s="3" customFormat="1" ht="16" hidden="1" customHeight="1" outlineLevel="1" x14ac:dyDescent="0.45">
      <c r="A247" s="34" t="s">
        <v>247</v>
      </c>
      <c r="B247" s="33">
        <v>0</v>
      </c>
      <c r="C247" s="33">
        <v>0</v>
      </c>
      <c r="D247" s="33">
        <v>0</v>
      </c>
      <c r="E247" s="33">
        <v>0</v>
      </c>
      <c r="F247" s="33">
        <v>0</v>
      </c>
      <c r="G247" s="33"/>
      <c r="H247" s="33">
        <v>0</v>
      </c>
      <c r="I247" s="33"/>
      <c r="J247" s="33">
        <f t="shared" si="9"/>
        <v>0</v>
      </c>
      <c r="K247" s="33">
        <v>0</v>
      </c>
      <c r="L247" s="33">
        <v>0</v>
      </c>
      <c r="M247" s="33">
        <v>0</v>
      </c>
      <c r="N247" s="33">
        <v>0</v>
      </c>
      <c r="O247" s="33">
        <v>0</v>
      </c>
      <c r="P247" s="1" t="b">
        <f t="shared" si="10"/>
        <v>1</v>
      </c>
      <c r="Q247" s="1"/>
      <c r="R247" s="1"/>
      <c r="AG247" s="1" t="b">
        <f t="shared" si="11"/>
        <v>1</v>
      </c>
      <c r="AI247" s="33">
        <v>0</v>
      </c>
      <c r="AJ247" s="33">
        <v>0</v>
      </c>
    </row>
    <row r="248" spans="1:36" hidden="1" outlineLevel="1" x14ac:dyDescent="0.45">
      <c r="A248" s="29" t="s">
        <v>161</v>
      </c>
      <c r="B248" s="44">
        <v>5250001</v>
      </c>
      <c r="C248" s="44">
        <v>1</v>
      </c>
      <c r="D248" s="44">
        <v>0</v>
      </c>
      <c r="E248" s="44">
        <v>5250000</v>
      </c>
      <c r="F248" s="44">
        <v>0</v>
      </c>
      <c r="G248" s="44"/>
      <c r="H248" s="44">
        <v>5250000</v>
      </c>
      <c r="I248" s="44"/>
      <c r="J248" s="44">
        <f t="shared" si="9"/>
        <v>0</v>
      </c>
      <c r="K248" s="44">
        <v>0</v>
      </c>
      <c r="L248" s="44">
        <v>0</v>
      </c>
      <c r="M248" s="44">
        <v>0</v>
      </c>
      <c r="N248" s="44">
        <v>0</v>
      </c>
      <c r="O248" s="44">
        <v>0</v>
      </c>
      <c r="P248" s="1" t="b">
        <f t="shared" si="10"/>
        <v>1</v>
      </c>
      <c r="Q248" s="1"/>
      <c r="R248" s="1"/>
      <c r="AG248" s="1" t="b">
        <f t="shared" si="11"/>
        <v>1</v>
      </c>
      <c r="AI248" s="44">
        <v>0</v>
      </c>
      <c r="AJ248" s="44">
        <v>0</v>
      </c>
    </row>
    <row r="249" spans="1:36" ht="16" hidden="1" customHeight="1" outlineLevel="1" x14ac:dyDescent="0.45">
      <c r="A249" s="29" t="s">
        <v>224</v>
      </c>
      <c r="B249" s="44">
        <v>0</v>
      </c>
      <c r="C249" s="44">
        <v>0</v>
      </c>
      <c r="D249" s="44">
        <v>0</v>
      </c>
      <c r="E249" s="44">
        <v>0</v>
      </c>
      <c r="F249" s="44">
        <v>0</v>
      </c>
      <c r="G249" s="44"/>
      <c r="H249" s="44">
        <v>0</v>
      </c>
      <c r="I249" s="44"/>
      <c r="J249" s="44">
        <f t="shared" si="9"/>
        <v>0</v>
      </c>
      <c r="K249" s="44">
        <v>0</v>
      </c>
      <c r="L249" s="44">
        <v>0</v>
      </c>
      <c r="M249" s="44">
        <v>0</v>
      </c>
      <c r="N249" s="44">
        <v>0</v>
      </c>
      <c r="O249" s="44">
        <v>0</v>
      </c>
      <c r="P249" s="1" t="b">
        <f t="shared" si="10"/>
        <v>1</v>
      </c>
      <c r="Q249" s="1"/>
      <c r="R249" s="1"/>
      <c r="AG249" s="1" t="b">
        <f t="shared" si="11"/>
        <v>1</v>
      </c>
      <c r="AI249" s="44">
        <v>0</v>
      </c>
      <c r="AJ249" s="44">
        <v>0</v>
      </c>
    </row>
    <row r="250" spans="1:36" s="1" customFormat="1" collapsed="1" x14ac:dyDescent="0.45">
      <c r="A250" s="28" t="s">
        <v>111</v>
      </c>
      <c r="B250" s="43">
        <v>239293242</v>
      </c>
      <c r="C250" s="43">
        <v>239293242</v>
      </c>
      <c r="D250" s="43">
        <v>0</v>
      </c>
      <c r="E250" s="43">
        <v>0</v>
      </c>
      <c r="F250" s="43">
        <v>0</v>
      </c>
      <c r="G250" s="43"/>
      <c r="H250" s="43">
        <v>0</v>
      </c>
      <c r="I250" s="43"/>
      <c r="J250" s="43">
        <f t="shared" si="9"/>
        <v>0</v>
      </c>
      <c r="K250" s="43">
        <v>0</v>
      </c>
      <c r="L250" s="43">
        <v>0</v>
      </c>
      <c r="M250" s="43">
        <v>0</v>
      </c>
      <c r="N250" s="43">
        <v>0</v>
      </c>
      <c r="O250" s="43">
        <v>0</v>
      </c>
      <c r="P250" s="1" t="b">
        <f t="shared" si="10"/>
        <v>1</v>
      </c>
      <c r="AG250" s="1" t="b">
        <f t="shared" si="11"/>
        <v>1</v>
      </c>
      <c r="AI250" s="43">
        <v>0</v>
      </c>
      <c r="AJ250" s="43">
        <v>0</v>
      </c>
    </row>
    <row r="251" spans="1:36" ht="16" hidden="1" customHeight="1" outlineLevel="1" x14ac:dyDescent="0.45">
      <c r="A251" s="29" t="s">
        <v>162</v>
      </c>
      <c r="B251" s="44">
        <v>221696712</v>
      </c>
      <c r="C251" s="44">
        <v>221696712</v>
      </c>
      <c r="D251" s="44">
        <v>0</v>
      </c>
      <c r="E251" s="44">
        <v>0</v>
      </c>
      <c r="F251" s="44">
        <v>0</v>
      </c>
      <c r="G251" s="44"/>
      <c r="H251" s="44">
        <v>0</v>
      </c>
      <c r="I251" s="44"/>
      <c r="J251" s="44">
        <f t="shared" si="9"/>
        <v>0</v>
      </c>
      <c r="K251" s="44">
        <v>0</v>
      </c>
      <c r="L251" s="44">
        <v>0</v>
      </c>
      <c r="M251" s="44">
        <v>0</v>
      </c>
      <c r="N251" s="44">
        <v>0</v>
      </c>
      <c r="O251" s="44">
        <v>0</v>
      </c>
      <c r="P251" s="1" t="b">
        <f t="shared" si="10"/>
        <v>1</v>
      </c>
      <c r="Q251" s="1"/>
      <c r="R251" s="1"/>
      <c r="AG251" s="1" t="b">
        <f t="shared" si="11"/>
        <v>1</v>
      </c>
      <c r="AI251" s="44">
        <v>0</v>
      </c>
      <c r="AJ251" s="44">
        <v>0</v>
      </c>
    </row>
    <row r="252" spans="1:36" ht="16" hidden="1" customHeight="1" outlineLevel="1" x14ac:dyDescent="0.45">
      <c r="A252" s="29" t="s">
        <v>251</v>
      </c>
      <c r="B252" s="44">
        <v>17596530</v>
      </c>
      <c r="C252" s="44">
        <v>17596530</v>
      </c>
      <c r="D252" s="44">
        <v>0</v>
      </c>
      <c r="E252" s="44">
        <v>0</v>
      </c>
      <c r="F252" s="44">
        <v>0</v>
      </c>
      <c r="G252" s="44"/>
      <c r="H252" s="44">
        <v>0</v>
      </c>
      <c r="I252" s="44"/>
      <c r="J252" s="44">
        <f t="shared" si="9"/>
        <v>0</v>
      </c>
      <c r="K252" s="44">
        <v>0</v>
      </c>
      <c r="L252" s="44">
        <v>0</v>
      </c>
      <c r="M252" s="44">
        <v>0</v>
      </c>
      <c r="N252" s="44">
        <v>0</v>
      </c>
      <c r="O252" s="44">
        <v>0</v>
      </c>
      <c r="P252" s="1" t="b">
        <f t="shared" si="10"/>
        <v>1</v>
      </c>
      <c r="Q252" s="1"/>
      <c r="R252" s="1"/>
      <c r="AG252" s="1" t="b">
        <f t="shared" si="11"/>
        <v>1</v>
      </c>
      <c r="AI252" s="44">
        <v>0</v>
      </c>
      <c r="AJ252" s="44">
        <v>0</v>
      </c>
    </row>
    <row r="253" spans="1:36" ht="16" hidden="1" customHeight="1" outlineLevel="1" x14ac:dyDescent="0.45">
      <c r="A253" s="29" t="s">
        <v>252</v>
      </c>
      <c r="B253" s="44">
        <v>0</v>
      </c>
      <c r="C253" s="44">
        <v>0</v>
      </c>
      <c r="D253" s="44">
        <v>0</v>
      </c>
      <c r="E253" s="44">
        <v>0</v>
      </c>
      <c r="F253" s="44">
        <v>0</v>
      </c>
      <c r="G253" s="44"/>
      <c r="H253" s="44">
        <v>0</v>
      </c>
      <c r="I253" s="44"/>
      <c r="J253" s="44">
        <f t="shared" si="9"/>
        <v>0</v>
      </c>
      <c r="K253" s="44">
        <v>0</v>
      </c>
      <c r="L253" s="44">
        <v>0</v>
      </c>
      <c r="M253" s="44">
        <v>0</v>
      </c>
      <c r="N253" s="44">
        <v>0</v>
      </c>
      <c r="O253" s="44">
        <v>0</v>
      </c>
      <c r="P253" s="1" t="b">
        <f t="shared" si="10"/>
        <v>1</v>
      </c>
      <c r="Q253" s="1"/>
      <c r="R253" s="1"/>
      <c r="AG253" s="1" t="b">
        <f t="shared" si="11"/>
        <v>1</v>
      </c>
      <c r="AI253" s="44">
        <v>0</v>
      </c>
      <c r="AJ253" s="44">
        <v>0</v>
      </c>
    </row>
    <row r="254" spans="1:36" ht="16" hidden="1" customHeight="1" outlineLevel="1" x14ac:dyDescent="0.45">
      <c r="A254" s="29" t="s">
        <v>225</v>
      </c>
      <c r="B254" s="44">
        <v>0</v>
      </c>
      <c r="C254" s="44">
        <v>0</v>
      </c>
      <c r="D254" s="44">
        <v>0</v>
      </c>
      <c r="E254" s="44">
        <v>0</v>
      </c>
      <c r="F254" s="44">
        <v>0</v>
      </c>
      <c r="G254" s="44"/>
      <c r="H254" s="44">
        <v>0</v>
      </c>
      <c r="I254" s="44"/>
      <c r="J254" s="44">
        <f t="shared" si="9"/>
        <v>0</v>
      </c>
      <c r="K254" s="44">
        <v>0</v>
      </c>
      <c r="L254" s="44">
        <v>0</v>
      </c>
      <c r="M254" s="44">
        <v>0</v>
      </c>
      <c r="N254" s="44">
        <v>0</v>
      </c>
      <c r="O254" s="44">
        <v>0</v>
      </c>
      <c r="P254" s="1" t="b">
        <f t="shared" si="10"/>
        <v>1</v>
      </c>
      <c r="Q254" s="1"/>
      <c r="R254" s="1"/>
      <c r="AG254" s="1" t="b">
        <f t="shared" si="11"/>
        <v>1</v>
      </c>
      <c r="AI254" s="44">
        <v>0</v>
      </c>
      <c r="AJ254" s="44">
        <v>0</v>
      </c>
    </row>
    <row r="255" spans="1:36" ht="16" hidden="1" customHeight="1" outlineLevel="1" x14ac:dyDescent="0.45">
      <c r="A255" s="29" t="s">
        <v>226</v>
      </c>
      <c r="B255" s="44">
        <v>0</v>
      </c>
      <c r="C255" s="44">
        <v>0</v>
      </c>
      <c r="D255" s="44">
        <v>0</v>
      </c>
      <c r="E255" s="44">
        <v>0</v>
      </c>
      <c r="F255" s="44">
        <v>0</v>
      </c>
      <c r="G255" s="44"/>
      <c r="H255" s="44">
        <v>0</v>
      </c>
      <c r="I255" s="44"/>
      <c r="J255" s="44">
        <f t="shared" si="9"/>
        <v>0</v>
      </c>
      <c r="K255" s="44">
        <v>0</v>
      </c>
      <c r="L255" s="44">
        <v>0</v>
      </c>
      <c r="M255" s="44">
        <v>0</v>
      </c>
      <c r="N255" s="44">
        <v>0</v>
      </c>
      <c r="O255" s="44">
        <v>0</v>
      </c>
      <c r="P255" s="1" t="b">
        <f t="shared" si="10"/>
        <v>1</v>
      </c>
      <c r="Q255" s="1"/>
      <c r="R255" s="1"/>
      <c r="AG255" s="1" t="b">
        <f t="shared" si="11"/>
        <v>1</v>
      </c>
      <c r="AI255" s="44">
        <v>0</v>
      </c>
      <c r="AJ255" s="44">
        <v>0</v>
      </c>
    </row>
    <row r="256" spans="1:36" ht="16" hidden="1" customHeight="1" outlineLevel="1" x14ac:dyDescent="0.45">
      <c r="A256" s="29" t="s">
        <v>163</v>
      </c>
      <c r="B256" s="44">
        <v>0</v>
      </c>
      <c r="C256" s="44">
        <v>0</v>
      </c>
      <c r="D256" s="44">
        <v>0</v>
      </c>
      <c r="E256" s="44">
        <v>0</v>
      </c>
      <c r="F256" s="44">
        <v>0</v>
      </c>
      <c r="G256" s="44"/>
      <c r="H256" s="44">
        <v>0</v>
      </c>
      <c r="I256" s="44"/>
      <c r="J256" s="44">
        <f t="shared" si="9"/>
        <v>0</v>
      </c>
      <c r="K256" s="44">
        <v>0</v>
      </c>
      <c r="L256" s="44">
        <v>0</v>
      </c>
      <c r="M256" s="44">
        <v>0</v>
      </c>
      <c r="N256" s="44">
        <v>0</v>
      </c>
      <c r="O256" s="44">
        <v>0</v>
      </c>
      <c r="P256" s="1" t="b">
        <f t="shared" si="10"/>
        <v>1</v>
      </c>
      <c r="Q256" s="1"/>
      <c r="R256" s="1"/>
      <c r="AG256" s="1" t="b">
        <f t="shared" si="11"/>
        <v>1</v>
      </c>
      <c r="AI256" s="44">
        <v>0</v>
      </c>
      <c r="AJ256" s="44">
        <v>0</v>
      </c>
    </row>
    <row r="257" spans="1:36" ht="16" hidden="1" customHeight="1" outlineLevel="1" x14ac:dyDescent="0.45">
      <c r="A257" s="29" t="s">
        <v>164</v>
      </c>
      <c r="B257" s="44">
        <v>0</v>
      </c>
      <c r="C257" s="44">
        <v>0</v>
      </c>
      <c r="D257" s="44">
        <v>0</v>
      </c>
      <c r="E257" s="44">
        <v>0</v>
      </c>
      <c r="F257" s="44">
        <v>0</v>
      </c>
      <c r="G257" s="44"/>
      <c r="H257" s="44">
        <v>0</v>
      </c>
      <c r="I257" s="44"/>
      <c r="J257" s="44">
        <f t="shared" si="9"/>
        <v>0</v>
      </c>
      <c r="K257" s="44">
        <v>0</v>
      </c>
      <c r="L257" s="44">
        <v>0</v>
      </c>
      <c r="M257" s="44">
        <v>0</v>
      </c>
      <c r="N257" s="44">
        <v>0</v>
      </c>
      <c r="O257" s="44">
        <v>0</v>
      </c>
      <c r="P257" s="1" t="b">
        <f t="shared" si="10"/>
        <v>1</v>
      </c>
      <c r="Q257" s="1"/>
      <c r="R257" s="1"/>
      <c r="AG257" s="1" t="b">
        <f t="shared" si="11"/>
        <v>1</v>
      </c>
      <c r="AI257" s="44">
        <v>0</v>
      </c>
      <c r="AJ257" s="44">
        <v>0</v>
      </c>
    </row>
    <row r="258" spans="1:36" ht="16" hidden="1" customHeight="1" outlineLevel="1" x14ac:dyDescent="0.45">
      <c r="A258" s="29" t="s">
        <v>265</v>
      </c>
      <c r="B258" s="44">
        <v>0</v>
      </c>
      <c r="C258" s="44">
        <v>0</v>
      </c>
      <c r="D258" s="44">
        <v>0</v>
      </c>
      <c r="E258" s="44">
        <v>0</v>
      </c>
      <c r="F258" s="44">
        <v>0</v>
      </c>
      <c r="G258" s="44"/>
      <c r="H258" s="44">
        <v>0</v>
      </c>
      <c r="I258" s="44"/>
      <c r="J258" s="44">
        <f t="shared" si="9"/>
        <v>0</v>
      </c>
      <c r="K258" s="44">
        <v>0</v>
      </c>
      <c r="L258" s="44">
        <v>0</v>
      </c>
      <c r="M258" s="44">
        <v>0</v>
      </c>
      <c r="N258" s="44">
        <v>0</v>
      </c>
      <c r="O258" s="44">
        <v>0</v>
      </c>
      <c r="P258" s="1" t="b">
        <f t="shared" si="10"/>
        <v>1</v>
      </c>
      <c r="Q258" s="1"/>
      <c r="R258" s="1"/>
      <c r="AG258" s="1" t="b">
        <f t="shared" si="11"/>
        <v>1</v>
      </c>
      <c r="AI258" s="44">
        <v>0</v>
      </c>
      <c r="AJ258" s="44">
        <v>0</v>
      </c>
    </row>
    <row r="259" spans="1:36" ht="16" hidden="1" customHeight="1" outlineLevel="1" x14ac:dyDescent="0.45">
      <c r="A259" s="29" t="s">
        <v>165</v>
      </c>
      <c r="B259" s="44">
        <v>0</v>
      </c>
      <c r="C259" s="44">
        <v>0</v>
      </c>
      <c r="D259" s="44">
        <v>0</v>
      </c>
      <c r="E259" s="44">
        <v>0</v>
      </c>
      <c r="F259" s="44">
        <v>0</v>
      </c>
      <c r="G259" s="44"/>
      <c r="H259" s="44">
        <v>0</v>
      </c>
      <c r="I259" s="44"/>
      <c r="J259" s="44">
        <f t="shared" si="9"/>
        <v>0</v>
      </c>
      <c r="K259" s="44">
        <v>0</v>
      </c>
      <c r="L259" s="44">
        <v>0</v>
      </c>
      <c r="M259" s="44">
        <v>0</v>
      </c>
      <c r="N259" s="44">
        <v>0</v>
      </c>
      <c r="O259" s="44">
        <v>0</v>
      </c>
      <c r="P259" s="1" t="b">
        <f t="shared" si="10"/>
        <v>1</v>
      </c>
      <c r="Q259" s="1"/>
      <c r="R259" s="1"/>
      <c r="AG259" s="1" t="b">
        <f t="shared" si="11"/>
        <v>1</v>
      </c>
      <c r="AI259" s="44">
        <v>0</v>
      </c>
      <c r="AJ259" s="44">
        <v>0</v>
      </c>
    </row>
    <row r="260" spans="1:36" s="1" customFormat="1" collapsed="1" x14ac:dyDescent="0.45">
      <c r="A260" s="49" t="s">
        <v>112</v>
      </c>
      <c r="B260" s="50">
        <v>84970</v>
      </c>
      <c r="C260" s="50">
        <v>84970</v>
      </c>
      <c r="D260" s="50">
        <v>0</v>
      </c>
      <c r="E260" s="50">
        <v>0</v>
      </c>
      <c r="F260" s="50">
        <v>0</v>
      </c>
      <c r="G260" s="50"/>
      <c r="H260" s="50">
        <v>0</v>
      </c>
      <c r="I260" s="50"/>
      <c r="J260" s="50">
        <f t="shared" ref="J260:J271" si="12">AI260+AJ260</f>
        <v>0</v>
      </c>
      <c r="K260" s="50">
        <v>0</v>
      </c>
      <c r="L260" s="50">
        <v>0</v>
      </c>
      <c r="M260" s="50">
        <v>0</v>
      </c>
      <c r="N260" s="50">
        <v>0</v>
      </c>
      <c r="O260" s="50">
        <v>0</v>
      </c>
      <c r="P260" s="1" t="b">
        <f t="shared" si="10"/>
        <v>1</v>
      </c>
      <c r="AG260" s="1" t="b">
        <f t="shared" si="11"/>
        <v>1</v>
      </c>
      <c r="AI260" s="50">
        <v>0</v>
      </c>
      <c r="AJ260" s="50">
        <v>0</v>
      </c>
    </row>
    <row r="261" spans="1:36" s="1" customFormat="1" x14ac:dyDescent="0.45">
      <c r="A261" s="27" t="s">
        <v>311</v>
      </c>
      <c r="B261" s="42">
        <v>-576219451</v>
      </c>
      <c r="C261" s="42">
        <v>811928402.69055676</v>
      </c>
      <c r="D261" s="42">
        <v>-504097693</v>
      </c>
      <c r="E261" s="42">
        <v>-884050160.69055676</v>
      </c>
      <c r="F261" s="42">
        <v>-1933660061.9684544</v>
      </c>
      <c r="G261" s="42">
        <v>-1933660061.9684544</v>
      </c>
      <c r="H261" s="42">
        <v>722322412.97530723</v>
      </c>
      <c r="I261" s="42"/>
      <c r="J261" s="42">
        <f t="shared" si="12"/>
        <v>494622966.99314708</v>
      </c>
      <c r="K261" s="42">
        <v>57989017.021316618</v>
      </c>
      <c r="L261" s="42">
        <v>93536135.679100752</v>
      </c>
      <c r="M261" s="42">
        <v>6972659.4608435035</v>
      </c>
      <c r="N261" s="42">
        <v>-427874915.85181767</v>
      </c>
      <c r="O261" s="42">
        <v>102041625</v>
      </c>
      <c r="P261" s="1" t="b">
        <f t="shared" si="10"/>
        <v>1</v>
      </c>
      <c r="S261" s="1" t="s">
        <v>280</v>
      </c>
      <c r="AG261" s="1" t="b">
        <f t="shared" si="11"/>
        <v>0</v>
      </c>
      <c r="AI261" s="42">
        <v>177730260.91506588</v>
      </c>
      <c r="AJ261" s="42">
        <v>316892706.07808119</v>
      </c>
    </row>
    <row r="262" spans="1:36" ht="16" hidden="1" customHeight="1" x14ac:dyDescent="0.45">
      <c r="A262" s="4"/>
      <c r="B262" s="11"/>
      <c r="C262" s="11"/>
      <c r="D262" s="11"/>
      <c r="E262" s="11"/>
      <c r="F262" s="11"/>
      <c r="G262" s="11"/>
      <c r="H262" s="11"/>
      <c r="I262" s="11"/>
      <c r="J262" s="11">
        <f t="shared" si="12"/>
        <v>0</v>
      </c>
      <c r="K262" s="11"/>
      <c r="L262" s="11"/>
      <c r="M262" s="11"/>
      <c r="N262" s="11"/>
      <c r="O262" s="11"/>
      <c r="W262" s="2" t="s">
        <v>272</v>
      </c>
      <c r="X262" s="2" t="s">
        <v>248</v>
      </c>
      <c r="Y262" s="2" t="s">
        <v>242</v>
      </c>
      <c r="Z262" s="2" t="s">
        <v>273</v>
      </c>
      <c r="AA262" s="2" t="s">
        <v>274</v>
      </c>
      <c r="AB262" s="2" t="s">
        <v>275</v>
      </c>
      <c r="AC262" s="2" t="s">
        <v>276</v>
      </c>
      <c r="AD262" s="2" t="s">
        <v>277</v>
      </c>
      <c r="AE262" s="2" t="s">
        <v>278</v>
      </c>
      <c r="AF262" s="2" t="s">
        <v>279</v>
      </c>
      <c r="AI262" s="11"/>
      <c r="AJ262" s="11"/>
    </row>
    <row r="263" spans="1:36" s="4" customFormat="1" ht="15" hidden="1" customHeight="1" x14ac:dyDescent="0.45">
      <c r="A263" s="22" t="s">
        <v>298</v>
      </c>
      <c r="B263" s="23"/>
      <c r="C263" s="23"/>
      <c r="D263" s="23"/>
      <c r="E263" s="48">
        <v>1</v>
      </c>
      <c r="F263" s="48">
        <v>0.47</v>
      </c>
      <c r="G263" s="231"/>
      <c r="H263" s="48">
        <v>0.4</v>
      </c>
      <c r="I263" s="231"/>
      <c r="J263" s="48">
        <f t="shared" si="12"/>
        <v>4.9999999999999996E-2</v>
      </c>
      <c r="K263" s="48">
        <v>1.06E-2</v>
      </c>
      <c r="L263" s="48">
        <v>8.9999999999999993E-3</v>
      </c>
      <c r="M263" s="48">
        <v>2.0400000000000001E-2</v>
      </c>
      <c r="N263" s="48">
        <v>0.02</v>
      </c>
      <c r="O263" s="11">
        <v>0.02</v>
      </c>
      <c r="P263" s="11"/>
      <c r="S263" s="9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I263" s="48">
        <v>3.5999999999999997E-2</v>
      </c>
      <c r="AJ263" s="48">
        <v>1.4E-2</v>
      </c>
    </row>
    <row r="264" spans="1:36" s="4" customFormat="1" ht="15" customHeight="1" x14ac:dyDescent="0.45">
      <c r="B264" s="5"/>
      <c r="C264" s="5"/>
      <c r="D264" s="5"/>
      <c r="E264" s="5"/>
      <c r="F264" s="5"/>
      <c r="G264" s="5">
        <f>F261-F265-F268-B272</f>
        <v>-2291054748.963016</v>
      </c>
      <c r="H264" s="5"/>
      <c r="I264" s="5"/>
      <c r="J264" s="5"/>
      <c r="K264" s="5"/>
      <c r="L264" s="5"/>
      <c r="M264" s="5"/>
      <c r="N264" s="5"/>
      <c r="O264" s="11"/>
      <c r="P264" s="11"/>
      <c r="S264" s="9" t="s">
        <v>234</v>
      </c>
      <c r="T264" s="10"/>
      <c r="U264" s="10"/>
      <c r="V264" s="10"/>
      <c r="W264" s="21" t="e">
        <f>W263/$W$263</f>
        <v>#DIV/0!</v>
      </c>
      <c r="X264" s="21">
        <v>0.48</v>
      </c>
      <c r="Y264" s="21">
        <v>0.41</v>
      </c>
      <c r="Z264" s="21">
        <v>3.5999999999999997E-2</v>
      </c>
      <c r="AA264" s="21">
        <v>1.4E-2</v>
      </c>
      <c r="AB264" s="21">
        <v>6.0000000000000001E-3</v>
      </c>
      <c r="AC264" s="21">
        <v>4.4000000000000003E-3</v>
      </c>
      <c r="AD264" s="21">
        <v>4.5999999999999999E-3</v>
      </c>
      <c r="AE264" s="21">
        <v>2.5000000000000001E-2</v>
      </c>
      <c r="AF264" s="21">
        <v>0.02</v>
      </c>
      <c r="AI264" s="5"/>
      <c r="AJ264" s="5"/>
    </row>
    <row r="265" spans="1:36" s="4" customFormat="1" ht="15" customHeight="1" x14ac:dyDescent="0.45">
      <c r="A265" s="6" t="s">
        <v>312</v>
      </c>
      <c r="B265" s="55">
        <v>-504097693</v>
      </c>
      <c r="C265" s="55"/>
      <c r="D265" s="55"/>
      <c r="E265" s="55">
        <v>-504097693.00000006</v>
      </c>
      <c r="F265" s="55">
        <v>-236925915.70999998</v>
      </c>
      <c r="G265" s="232"/>
      <c r="H265" s="55">
        <v>-201639077.20000002</v>
      </c>
      <c r="I265" s="232"/>
      <c r="J265" s="55">
        <f t="shared" si="12"/>
        <v>-25204884.649999999</v>
      </c>
      <c r="K265" s="55">
        <v>-5343435.5458000004</v>
      </c>
      <c r="L265" s="55">
        <v>-4536879.2369999997</v>
      </c>
      <c r="M265" s="55">
        <v>-10283592.937200001</v>
      </c>
      <c r="N265" s="55">
        <v>-10081953.859999999</v>
      </c>
      <c r="O265" s="55">
        <v>-10081953.859999999</v>
      </c>
      <c r="P265" s="11"/>
      <c r="AI265" s="55">
        <v>-18147516.947999999</v>
      </c>
      <c r="AJ265" s="55">
        <v>-7057367.7020000005</v>
      </c>
    </row>
    <row r="266" spans="1:36" s="4" customFormat="1" ht="15" customHeight="1" x14ac:dyDescent="0.45">
      <c r="A266" s="8" t="s">
        <v>282</v>
      </c>
      <c r="B266" s="13">
        <v>-1393397853.6905568</v>
      </c>
      <c r="C266" s="13"/>
      <c r="D266" s="13"/>
      <c r="E266" s="13">
        <v>-1393397853.690557</v>
      </c>
      <c r="F266" s="13">
        <v>-2170585977.6784544</v>
      </c>
      <c r="G266" s="98"/>
      <c r="H266" s="13">
        <v>515433335.77530718</v>
      </c>
      <c r="I266" s="98"/>
      <c r="J266" s="13">
        <f t="shared" si="12"/>
        <v>469418082.34314704</v>
      </c>
      <c r="K266" s="13">
        <v>52645581.475516617</v>
      </c>
      <c r="L266" s="13">
        <v>88999256.442100748</v>
      </c>
      <c r="M266" s="13">
        <v>-3310933.476356497</v>
      </c>
      <c r="N266" s="13">
        <v>-437956869.71181768</v>
      </c>
      <c r="O266" s="13">
        <v>91959671.140000001</v>
      </c>
      <c r="P266" s="11"/>
      <c r="AI266" s="13">
        <v>159582743.96706587</v>
      </c>
      <c r="AJ266" s="13">
        <v>309835338.37608117</v>
      </c>
    </row>
    <row r="267" spans="1:36" s="14" customFormat="1" ht="15" customHeight="1" x14ac:dyDescent="0.4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12"/>
      <c r="AI267" s="2"/>
      <c r="AJ267" s="2"/>
    </row>
    <row r="268" spans="1:36" x14ac:dyDescent="0.45">
      <c r="A268" s="6" t="s">
        <v>283</v>
      </c>
      <c r="B268" s="7">
        <v>995619754.69055676</v>
      </c>
      <c r="C268" s="7"/>
      <c r="D268" s="7"/>
      <c r="E268" s="7">
        <v>995619754.69055676</v>
      </c>
      <c r="F268" s="7">
        <v>467941284.70456165</v>
      </c>
      <c r="G268" s="96"/>
      <c r="H268" s="7">
        <v>398247901.87622273</v>
      </c>
      <c r="I268" s="96"/>
      <c r="J268" s="7">
        <f t="shared" si="12"/>
        <v>49780987.734527834</v>
      </c>
      <c r="K268" s="7">
        <v>10553569.399719901</v>
      </c>
      <c r="L268" s="7">
        <v>8960577.7922150102</v>
      </c>
      <c r="M268" s="7">
        <v>20310642.995687358</v>
      </c>
      <c r="N268" s="7">
        <v>19912395.093811136</v>
      </c>
      <c r="O268" s="7">
        <v>19912395.093811136</v>
      </c>
      <c r="AI268" s="7">
        <v>35842311.168860041</v>
      </c>
      <c r="AJ268" s="7">
        <v>13938676.565667795</v>
      </c>
    </row>
    <row r="269" spans="1:36" s="4" customFormat="1" ht="15" customHeight="1" x14ac:dyDescent="0.45">
      <c r="A269" s="15" t="s">
        <v>284</v>
      </c>
      <c r="B269" s="16">
        <v>-397778099</v>
      </c>
      <c r="C269" s="16"/>
      <c r="D269" s="16"/>
      <c r="E269" s="16">
        <v>-397778099.00000018</v>
      </c>
      <c r="F269" s="16">
        <v>-1702644692.9738927</v>
      </c>
      <c r="G269" s="100"/>
      <c r="H269" s="16">
        <v>913681237.65152991</v>
      </c>
      <c r="I269" s="100"/>
      <c r="J269" s="16">
        <f t="shared" si="12"/>
        <v>519199070.07767487</v>
      </c>
      <c r="K269" s="16">
        <v>63199150.875236519</v>
      </c>
      <c r="L269" s="16">
        <v>97959834.234315753</v>
      </c>
      <c r="M269" s="16">
        <v>16999709.519330859</v>
      </c>
      <c r="N269" s="16">
        <v>-418044474.61800653</v>
      </c>
      <c r="O269" s="16">
        <v>111872066.23381114</v>
      </c>
      <c r="P269" s="11"/>
      <c r="AI269" s="16">
        <v>195425055.13592592</v>
      </c>
      <c r="AJ269" s="16">
        <v>323774014.94174898</v>
      </c>
    </row>
    <row r="270" spans="1:36" s="14" customFormat="1" ht="15" customHeight="1" x14ac:dyDescent="0.4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12"/>
      <c r="AI270" s="2"/>
      <c r="AJ270" s="2"/>
    </row>
    <row r="271" spans="1:36" x14ac:dyDescent="0.45">
      <c r="A271" s="17" t="s">
        <v>285</v>
      </c>
      <c r="B271" s="18">
        <v>-397778099.00000018</v>
      </c>
      <c r="C271" s="18"/>
      <c r="D271" s="18"/>
      <c r="E271" s="18">
        <v>-397778099</v>
      </c>
      <c r="F271" s="18">
        <v>-1829024010.9738927</v>
      </c>
      <c r="G271" s="103"/>
      <c r="H271" s="18">
        <v>1040060555.6515299</v>
      </c>
      <c r="I271" s="103"/>
      <c r="J271" s="18">
        <f t="shared" si="12"/>
        <v>519199070.07767487</v>
      </c>
      <c r="K271" s="18">
        <v>63199150.875236519</v>
      </c>
      <c r="L271" s="18">
        <v>97959834.234315753</v>
      </c>
      <c r="M271" s="18">
        <v>16999709.519330859</v>
      </c>
      <c r="N271" s="18">
        <v>-418044474.61800653</v>
      </c>
      <c r="O271" s="18">
        <v>111872066.23381114</v>
      </c>
      <c r="AI271" s="18">
        <v>195425055.13592592</v>
      </c>
      <c r="AJ271" s="18">
        <v>323774014.94174898</v>
      </c>
    </row>
    <row r="272" spans="1:36" s="1" customFormat="1" x14ac:dyDescent="0.45">
      <c r="A272" s="19" t="s">
        <v>286</v>
      </c>
      <c r="B272" s="19">
        <v>126379318</v>
      </c>
      <c r="C272" s="3"/>
      <c r="D272" s="3"/>
      <c r="E272" s="3"/>
      <c r="F272" s="230">
        <f>F271/100000000</f>
        <v>-18.290240109738928</v>
      </c>
      <c r="G272" s="230"/>
      <c r="H272" s="3"/>
      <c r="I272" s="3"/>
      <c r="J272" s="3"/>
      <c r="K272" s="3"/>
      <c r="L272" s="3"/>
      <c r="M272" s="3"/>
      <c r="N272" s="2"/>
      <c r="O272" s="2"/>
      <c r="AI272" s="3"/>
      <c r="AJ272" s="3"/>
    </row>
    <row r="273" spans="1:36" ht="15.65" customHeight="1" x14ac:dyDescent="0.45">
      <c r="A273" s="105" t="s">
        <v>321</v>
      </c>
      <c r="B273" s="106">
        <v>116849377</v>
      </c>
      <c r="C273" s="36"/>
      <c r="D273" s="36"/>
      <c r="E273" s="36"/>
      <c r="F273" s="36"/>
      <c r="G273" s="36"/>
      <c r="H273" s="36"/>
      <c r="I273" s="36"/>
      <c r="J273" s="35"/>
      <c r="K273" s="35"/>
      <c r="L273" s="35"/>
      <c r="M273" s="35"/>
      <c r="N273" s="35"/>
      <c r="O273" s="35"/>
      <c r="AI273" s="35"/>
      <c r="AJ273" s="35"/>
    </row>
    <row r="274" spans="1:36" ht="15.65" hidden="1" customHeight="1" x14ac:dyDescent="0.45">
      <c r="A274" s="37" t="s">
        <v>235</v>
      </c>
      <c r="B274" s="38">
        <f t="shared" ref="B274:O274" si="13">B28-B29-B30-B63-B70-B71-B73-B74-B115-B122-B126-B133-B136-B141-B142-B151-B156-B164-B171-B178-B181-B193-B199-B215-B217-B228-B229-B238</f>
        <v>0</v>
      </c>
      <c r="C274" s="38">
        <f t="shared" si="13"/>
        <v>-4.76837158203125E-7</v>
      </c>
      <c r="D274" s="38">
        <f t="shared" si="13"/>
        <v>0</v>
      </c>
      <c r="E274" s="38">
        <f t="shared" si="13"/>
        <v>-9.5367431640625E-7</v>
      </c>
      <c r="F274" s="38">
        <f t="shared" si="13"/>
        <v>-2.2631138563156128E-7</v>
      </c>
      <c r="G274" s="38"/>
      <c r="H274" s="38">
        <f t="shared" si="13"/>
        <v>-2.0861625671386719E-7</v>
      </c>
      <c r="I274" s="38"/>
      <c r="J274" s="38">
        <f t="shared" si="13"/>
        <v>0</v>
      </c>
      <c r="K274" s="38">
        <f t="shared" si="13"/>
        <v>-7.4505805969238281E-9</v>
      </c>
      <c r="L274" s="38">
        <f t="shared" si="13"/>
        <v>1.1920928955078125E-7</v>
      </c>
      <c r="M274" s="38">
        <f t="shared" si="13"/>
        <v>1.4901161193847656E-8</v>
      </c>
      <c r="N274" s="38">
        <f t="shared" si="13"/>
        <v>-1.1920928955078125E-7</v>
      </c>
      <c r="O274" s="38">
        <f t="shared" si="13"/>
        <v>0</v>
      </c>
      <c r="AI274" s="38">
        <f t="shared" ref="AI274:AJ274" si="14">AI28-AI29-AI30-AI63-AI70-AI71-AI73-AI74-AI115-AI122-AI126-AI133-AI136-AI141-AI142-AI151-AI156-AI164-AI171-AI178-AI181-AI193-AI199-AI215-AI217-AI228-AI229-AI238</f>
        <v>4.76837158203125E-7</v>
      </c>
      <c r="AJ274" s="38">
        <f t="shared" si="14"/>
        <v>0</v>
      </c>
    </row>
    <row r="275" spans="1:36" s="4" customFormat="1" ht="15" hidden="1" customHeight="1" x14ac:dyDescent="0.45">
      <c r="A275" s="37" t="s">
        <v>236</v>
      </c>
      <c r="B275" s="38">
        <f t="shared" ref="B275:O275" si="15">B28-B29-SUM(B31:B62)-SUM(B64:B69)-B70-B72-B73-SUM(B75:B114)-SUM(B116:B121)-SUM(B123:B125)-SUM(B127:B132)-B134-SUM(B137:B140)-B141-SUM(B143:B150)-SUM(B152:B155)-SUM(B157:B163)-SUM(B165:B170)-SUM(B172:B177)-SUM(B179:B180)-SUM(B182:B192)-SUM(B194:B198)-SUM(B200:B214)-B216-SUM(B218:B227)-B228-SUM(B230:B237)-B238-B135</f>
        <v>0</v>
      </c>
      <c r="C275" s="38">
        <f t="shared" si="15"/>
        <v>7.152557373046875E-7</v>
      </c>
      <c r="D275" s="38">
        <f t="shared" si="15"/>
        <v>0</v>
      </c>
      <c r="E275" s="38">
        <f t="shared" si="15"/>
        <v>0</v>
      </c>
      <c r="F275" s="38">
        <f t="shared" si="15"/>
        <v>7.2736293077468872E-7</v>
      </c>
      <c r="G275" s="38"/>
      <c r="H275" s="38">
        <f t="shared" si="15"/>
        <v>-2.0861625671386719E-7</v>
      </c>
      <c r="I275" s="38"/>
      <c r="J275" s="38">
        <f t="shared" si="15"/>
        <v>0</v>
      </c>
      <c r="K275" s="38">
        <f t="shared" si="15"/>
        <v>-7.4505805969238281E-9</v>
      </c>
      <c r="L275" s="38">
        <f t="shared" si="15"/>
        <v>1.1920928955078125E-7</v>
      </c>
      <c r="M275" s="38">
        <f t="shared" si="15"/>
        <v>1.4901161193847656E-8</v>
      </c>
      <c r="N275" s="38">
        <f t="shared" si="15"/>
        <v>-1.1920928955078125E-7</v>
      </c>
      <c r="O275" s="38">
        <f t="shared" si="15"/>
        <v>0</v>
      </c>
      <c r="P275" s="11"/>
      <c r="AI275" s="38">
        <f t="shared" ref="AI275:AJ275" si="16">AI28-AI29-SUM(AI31:AI62)-SUM(AI64:AI69)-AI70-AI72-AI73-SUM(AI75:AI114)-SUM(AI116:AI121)-SUM(AI123:AI125)-SUM(AI127:AI132)-AI134-SUM(AI137:AI140)-AI141-SUM(AI143:AI150)-SUM(AI152:AI155)-SUM(AI157:AI163)-SUM(AI165:AI170)-SUM(AI172:AI177)-SUM(AI179:AI180)-SUM(AI182:AI192)-SUM(AI194:AI198)-SUM(AI200:AI214)-AI216-SUM(AI218:AI227)-AI228-SUM(AI230:AI237)-AI238-AI135</f>
        <v>4.76837158203125E-7</v>
      </c>
      <c r="AJ275" s="38">
        <f t="shared" si="16"/>
        <v>0</v>
      </c>
    </row>
    <row r="276" spans="1:36" s="4" customFormat="1" ht="15" hidden="1" customHeight="1" x14ac:dyDescent="0.45">
      <c r="A276" s="37" t="s">
        <v>237</v>
      </c>
      <c r="B276" s="38">
        <f t="shared" ref="B276:O276" si="17">B3-B25-B28-B239</f>
        <v>0</v>
      </c>
      <c r="C276" s="38">
        <f t="shared" si="17"/>
        <v>-1.1920928955078125E-6</v>
      </c>
      <c r="D276" s="38">
        <f t="shared" si="17"/>
        <v>0</v>
      </c>
      <c r="E276" s="38">
        <f t="shared" si="17"/>
        <v>1.1920928955078125E-6</v>
      </c>
      <c r="F276" s="38">
        <f t="shared" si="17"/>
        <v>1.9073486328125E-6</v>
      </c>
      <c r="G276" s="38"/>
      <c r="H276" s="38">
        <f t="shared" si="17"/>
        <v>0</v>
      </c>
      <c r="I276" s="38"/>
      <c r="J276" s="38">
        <f t="shared" si="17"/>
        <v>0</v>
      </c>
      <c r="K276" s="38">
        <f t="shared" si="17"/>
        <v>0</v>
      </c>
      <c r="L276" s="38">
        <f t="shared" si="17"/>
        <v>0</v>
      </c>
      <c r="M276" s="38">
        <f t="shared" si="17"/>
        <v>0</v>
      </c>
      <c r="N276" s="38">
        <f t="shared" si="17"/>
        <v>0</v>
      </c>
      <c r="O276" s="38">
        <f t="shared" si="17"/>
        <v>0</v>
      </c>
      <c r="P276" s="11"/>
      <c r="AI276" s="38">
        <f t="shared" ref="AI276:AJ276" si="18">AI3-AI25-AI28-AI239</f>
        <v>0</v>
      </c>
      <c r="AJ276" s="38">
        <f t="shared" si="18"/>
        <v>0</v>
      </c>
    </row>
    <row r="277" spans="1:36" s="4" customFormat="1" ht="15" hidden="1" customHeight="1" x14ac:dyDescent="0.45">
      <c r="A277" s="37" t="s">
        <v>238</v>
      </c>
      <c r="B277" s="38">
        <f t="shared" ref="B277:O277" si="19">B239+B240-B250-B261-B260</f>
        <v>0</v>
      </c>
      <c r="C277" s="38">
        <f t="shared" si="19"/>
        <v>0</v>
      </c>
      <c r="D277" s="38">
        <f t="shared" si="19"/>
        <v>0</v>
      </c>
      <c r="E277" s="38">
        <f t="shared" si="19"/>
        <v>0</v>
      </c>
      <c r="F277" s="38">
        <f t="shared" si="19"/>
        <v>0</v>
      </c>
      <c r="G277" s="38"/>
      <c r="H277" s="38">
        <f t="shared" si="19"/>
        <v>0</v>
      </c>
      <c r="I277" s="38"/>
      <c r="J277" s="38">
        <f t="shared" si="19"/>
        <v>0</v>
      </c>
      <c r="K277" s="38">
        <f t="shared" si="19"/>
        <v>0</v>
      </c>
      <c r="L277" s="38">
        <f t="shared" si="19"/>
        <v>0</v>
      </c>
      <c r="M277" s="38">
        <f t="shared" si="19"/>
        <v>0</v>
      </c>
      <c r="N277" s="38">
        <f t="shared" si="19"/>
        <v>0</v>
      </c>
      <c r="O277" s="38">
        <f t="shared" si="19"/>
        <v>0</v>
      </c>
      <c r="P277" s="11"/>
      <c r="AI277" s="38">
        <f t="shared" ref="AI277:AJ277" si="20">AI239+AI240-AI250-AI261-AI260</f>
        <v>0</v>
      </c>
      <c r="AJ277" s="38">
        <f t="shared" si="20"/>
        <v>0</v>
      </c>
    </row>
    <row r="278" spans="1:36" s="4" customFormat="1" ht="15" hidden="1" customHeight="1" x14ac:dyDescent="0.45">
      <c r="A278" s="32" t="s">
        <v>244</v>
      </c>
      <c r="B278" s="32">
        <f t="shared" ref="B278:O278" si="21">B240-B241-B242-B244-B248-B249-B245-B247-B243-B246</f>
        <v>0</v>
      </c>
      <c r="C278" s="32">
        <f t="shared" si="21"/>
        <v>0</v>
      </c>
      <c r="D278" s="32">
        <f t="shared" si="21"/>
        <v>0</v>
      </c>
      <c r="E278" s="32">
        <f t="shared" si="21"/>
        <v>0</v>
      </c>
      <c r="F278" s="32">
        <f t="shared" si="21"/>
        <v>0</v>
      </c>
      <c r="G278" s="32"/>
      <c r="H278" s="32">
        <f t="shared" si="21"/>
        <v>0</v>
      </c>
      <c r="I278" s="32"/>
      <c r="J278" s="32">
        <f t="shared" si="21"/>
        <v>0</v>
      </c>
      <c r="K278" s="32">
        <f t="shared" si="21"/>
        <v>0</v>
      </c>
      <c r="L278" s="32">
        <f t="shared" si="21"/>
        <v>0</v>
      </c>
      <c r="M278" s="32">
        <f t="shared" si="21"/>
        <v>0</v>
      </c>
      <c r="N278" s="32">
        <f t="shared" si="21"/>
        <v>0</v>
      </c>
      <c r="O278" s="32">
        <f t="shared" si="21"/>
        <v>0</v>
      </c>
      <c r="P278" s="11"/>
      <c r="AI278" s="32">
        <f t="shared" ref="AI278:AJ278" si="22">AI240-AI241-AI242-AI244-AI248-AI249-AI245-AI247-AI243-AI246</f>
        <v>0</v>
      </c>
      <c r="AJ278" s="32">
        <f t="shared" si="22"/>
        <v>0</v>
      </c>
    </row>
    <row r="279" spans="1:36" ht="15.65" hidden="1" customHeight="1" x14ac:dyDescent="0.45">
      <c r="A279" s="32" t="s">
        <v>245</v>
      </c>
      <c r="B279" s="32">
        <f t="shared" ref="B279:O279" si="23">B250-B251-B254-B255-B256-B257-B259-B252-B253-B258</f>
        <v>0</v>
      </c>
      <c r="C279" s="32">
        <f t="shared" si="23"/>
        <v>0</v>
      </c>
      <c r="D279" s="32">
        <f t="shared" si="23"/>
        <v>0</v>
      </c>
      <c r="E279" s="32">
        <f t="shared" si="23"/>
        <v>0</v>
      </c>
      <c r="F279" s="32">
        <f t="shared" si="23"/>
        <v>0</v>
      </c>
      <c r="G279" s="32"/>
      <c r="H279" s="32">
        <f t="shared" si="23"/>
        <v>0</v>
      </c>
      <c r="I279" s="32"/>
      <c r="J279" s="32">
        <f t="shared" si="23"/>
        <v>0</v>
      </c>
      <c r="K279" s="32">
        <f t="shared" si="23"/>
        <v>0</v>
      </c>
      <c r="L279" s="32">
        <f t="shared" si="23"/>
        <v>0</v>
      </c>
      <c r="M279" s="32">
        <f t="shared" si="23"/>
        <v>0</v>
      </c>
      <c r="N279" s="32">
        <f t="shared" si="23"/>
        <v>0</v>
      </c>
      <c r="O279" s="32">
        <f t="shared" si="23"/>
        <v>0</v>
      </c>
      <c r="AI279" s="32">
        <f t="shared" ref="AI279:AJ279" si="24">AI250-AI251-AI254-AI255-AI256-AI257-AI259-AI252-AI253-AI258</f>
        <v>0</v>
      </c>
      <c r="AJ279" s="32">
        <f t="shared" si="24"/>
        <v>0</v>
      </c>
    </row>
    <row r="280" spans="1:36" ht="15.65" hidden="1" customHeight="1" x14ac:dyDescent="0.45">
      <c r="A280" s="35"/>
      <c r="B280" s="35"/>
      <c r="C280" s="36"/>
      <c r="D280" s="36"/>
      <c r="E280" s="36"/>
      <c r="F280" s="36"/>
      <c r="G280" s="36"/>
      <c r="H280" s="36"/>
      <c r="I280" s="36"/>
      <c r="J280" s="35"/>
      <c r="K280" s="35"/>
      <c r="L280" s="35"/>
      <c r="M280" s="35"/>
      <c r="N280" s="35"/>
      <c r="O280" s="36"/>
      <c r="AI280" s="35"/>
      <c r="AJ280" s="35"/>
    </row>
    <row r="281" spans="1:36" ht="15.65" hidden="1" customHeight="1" x14ac:dyDescent="0.45">
      <c r="A281" s="39" t="s">
        <v>239</v>
      </c>
      <c r="B281" s="38">
        <f>B4+B14+B21-B26-B53-B81-B131-B162-B168-B175-B189-B198-B210-B212-B218-B219-B221-B224-B230-B231-B232-B234-B235-B236-B227</f>
        <v>4579230278</v>
      </c>
      <c r="C281" s="38">
        <f>C4+C14+C21-C26-C53-C81-C131-C162-C168-C175-C189-C198-C210-C212-C219-C221-C224-C230-C231-C232-C235-C236</f>
        <v>1114049661</v>
      </c>
      <c r="D281" s="38"/>
      <c r="E281" s="38">
        <f>E4+E14+E21-E26-E53-E81-E131-E162-E168-E175-E189-E198-E210-E212-E218-E219-E221-E224-E230-E231-E232-E234-E235-E236-E227</f>
        <v>3099161277</v>
      </c>
      <c r="F281" s="38">
        <f>F4+F14+F21-F26-F53-F81-F131-F162-F168-F175-F189-F198-F210-F212-F218-F219-F221-F224-F230-F231-F232-F234-F235-F236-F227</f>
        <v>1563498485.3306599</v>
      </c>
      <c r="G281" s="38"/>
      <c r="H281" s="38">
        <f>H4+H14+H21-H26-H53-H81-H131-H162-H168-H175-H189-H198-H210-H212-H218-H219-H221-H224-H230-H231-H232-H234-H235-H236-H227</f>
        <v>-57649344.33065895</v>
      </c>
      <c r="I281" s="38"/>
      <c r="J281" s="38">
        <f t="shared" ref="J281:N281" si="25">J4+J14+J21-J26-J53-J81-J131-J162-J168-J175-J189-J198-J210-J212-J218-J219-J221-J224-J230-J231-J232-J234-J235-J236-J227-J164-J215</f>
        <v>637318228</v>
      </c>
      <c r="K281" s="38">
        <f t="shared" si="25"/>
        <v>69668091.5</v>
      </c>
      <c r="L281" s="38">
        <f t="shared" si="25"/>
        <v>58162651.5</v>
      </c>
      <c r="M281" s="38">
        <f t="shared" si="25"/>
        <v>88655290</v>
      </c>
      <c r="N281" s="38">
        <f t="shared" si="25"/>
        <v>-25284709</v>
      </c>
      <c r="O281" s="38">
        <f>O4+O14+O21-O26-O53-O81-O131-O162-O168-O175-O189-O198-O210-O212-O218-O219-O221-O224-O230-O231-O232-O234-O235-O236-O227</f>
        <v>701088535</v>
      </c>
      <c r="AI281" s="38">
        <f t="shared" ref="AI281:AJ281" si="26">AI4+AI14+AI21-AI26-AI53-AI81-AI131-AI162-AI168-AI175-AI189-AI198-AI210-AI212-AI218-AI219-AI221-AI224-AI230-AI231-AI232-AI234-AI235-AI236-AI227-AI164-AI215</f>
        <v>606250229</v>
      </c>
      <c r="AJ281" s="38">
        <f t="shared" si="26"/>
        <v>31067999</v>
      </c>
    </row>
    <row r="282" spans="1:36" s="4" customFormat="1" ht="15" hidden="1" customHeight="1" x14ac:dyDescent="0.45">
      <c r="A282" s="40" t="s">
        <v>240</v>
      </c>
      <c r="B282" s="38">
        <f>B18-B109-B163-B165-B170-B192-B222-B226-B237</f>
        <v>1165562066</v>
      </c>
      <c r="C282" s="38">
        <f>C18-C109-C163-C165-C170-C192-C226-C113</f>
        <v>-58739733</v>
      </c>
      <c r="D282" s="38"/>
      <c r="E282" s="38">
        <f t="shared" ref="E282:O282" si="27">E18-E109-E163-E165-E170-E192-E222-E226-E237-E113</f>
        <v>259120400</v>
      </c>
      <c r="F282" s="38">
        <f t="shared" si="27"/>
        <v>137425744.76695108</v>
      </c>
      <c r="G282" s="38"/>
      <c r="H282" s="38">
        <f t="shared" si="27"/>
        <v>-51542929.766951054</v>
      </c>
      <c r="I282" s="38"/>
      <c r="J282" s="38">
        <f t="shared" si="27"/>
        <v>17537691</v>
      </c>
      <c r="K282" s="38">
        <f t="shared" si="27"/>
        <v>0</v>
      </c>
      <c r="L282" s="38">
        <f t="shared" si="27"/>
        <v>0</v>
      </c>
      <c r="M282" s="38">
        <f t="shared" si="27"/>
        <v>9070606</v>
      </c>
      <c r="N282" s="38">
        <f t="shared" si="27"/>
        <v>146649288</v>
      </c>
      <c r="O282" s="38">
        <f t="shared" si="27"/>
        <v>-20000</v>
      </c>
      <c r="P282" s="11"/>
      <c r="AI282" s="38">
        <f t="shared" ref="AI282:AJ282" si="28">AI18-AI109-AI163-AI165-AI170-AI192-AI222-AI226-AI237-AI113</f>
        <v>20147247</v>
      </c>
      <c r="AJ282" s="38">
        <f t="shared" si="28"/>
        <v>-2609556</v>
      </c>
    </row>
    <row r="283" spans="1:36" s="4" customFormat="1" ht="15" hidden="1" customHeight="1" x14ac:dyDescent="0.45">
      <c r="A283" s="37" t="s">
        <v>241</v>
      </c>
      <c r="B283" s="41">
        <f>SUBTOTAL(9,B281:B282)</f>
        <v>5744792344</v>
      </c>
      <c r="C283" s="41">
        <f t="shared" ref="C283" si="29">SUBTOTAL(9,C281:C282)</f>
        <v>1055309928</v>
      </c>
      <c r="D283" s="41"/>
      <c r="E283" s="41">
        <f t="shared" ref="E283:N283" si="30">SUBTOTAL(9,E281:E282)</f>
        <v>3358281677</v>
      </c>
      <c r="F283" s="41">
        <f t="shared" si="30"/>
        <v>1700924230.097611</v>
      </c>
      <c r="G283" s="41"/>
      <c r="H283" s="41">
        <f t="shared" ref="H283:J284" si="31">SUBTOTAL(9,H281:H282)</f>
        <v>-109192274.09761</v>
      </c>
      <c r="I283" s="41"/>
      <c r="J283" s="41">
        <f t="shared" si="31"/>
        <v>654855919</v>
      </c>
      <c r="K283" s="41">
        <f t="shared" si="30"/>
        <v>69668091.5</v>
      </c>
      <c r="L283" s="41">
        <f t="shared" si="30"/>
        <v>58162651.5</v>
      </c>
      <c r="M283" s="41">
        <f t="shared" si="30"/>
        <v>97725896</v>
      </c>
      <c r="N283" s="41">
        <f t="shared" si="30"/>
        <v>121364579</v>
      </c>
      <c r="O283" s="41">
        <f>SUBTOTAL(9,O281:O282)</f>
        <v>701068535</v>
      </c>
      <c r="AI283" s="41">
        <f t="shared" ref="AI283:AJ283" si="32">SUBTOTAL(9,AI281:AI282)</f>
        <v>626397476</v>
      </c>
      <c r="AJ283" s="41">
        <f t="shared" si="32"/>
        <v>28458443</v>
      </c>
    </row>
    <row r="284" spans="1:36" s="4" customFormat="1" ht="15" hidden="1" customHeight="1" x14ac:dyDescent="0.45">
      <c r="A284" s="9" t="s">
        <v>241</v>
      </c>
      <c r="B284" s="10">
        <f>SUBTOTAL(9,B282:B283)</f>
        <v>1165562066</v>
      </c>
      <c r="C284" s="10">
        <f t="shared" ref="C284" si="33">SUBTOTAL(9,C282:C283)</f>
        <v>-58739733</v>
      </c>
      <c r="D284" s="10"/>
      <c r="E284" s="10">
        <f t="shared" ref="E284:N284" si="34">SUBTOTAL(9,E282:E283)</f>
        <v>259120400</v>
      </c>
      <c r="F284" s="10">
        <f t="shared" si="34"/>
        <v>137425744.76695108</v>
      </c>
      <c r="G284" s="41"/>
      <c r="H284" s="10">
        <f t="shared" si="31"/>
        <v>-51542929.766951054</v>
      </c>
      <c r="I284" s="41"/>
      <c r="J284" s="10">
        <f t="shared" si="31"/>
        <v>17537691</v>
      </c>
      <c r="K284" s="10">
        <f t="shared" si="34"/>
        <v>0</v>
      </c>
      <c r="L284" s="10">
        <f t="shared" si="34"/>
        <v>0</v>
      </c>
      <c r="M284" s="10">
        <f t="shared" si="34"/>
        <v>9070606</v>
      </c>
      <c r="N284" s="10">
        <f t="shared" si="34"/>
        <v>146649288</v>
      </c>
      <c r="O284" s="10">
        <f>SUBTOTAL(9,O282:O283)</f>
        <v>-20000</v>
      </c>
      <c r="P284" s="11"/>
      <c r="AI284" s="10">
        <f t="shared" ref="AI284:AJ284" si="35">SUBTOTAL(9,AI282:AI283)</f>
        <v>20147247</v>
      </c>
      <c r="AJ284" s="10">
        <f t="shared" si="35"/>
        <v>-2609556</v>
      </c>
    </row>
    <row r="285" spans="1:36" x14ac:dyDescent="0.45">
      <c r="J285" s="3"/>
      <c r="K285" s="3"/>
      <c r="L285" s="3"/>
      <c r="M285" s="3"/>
      <c r="N285" s="3"/>
      <c r="AI285" s="3"/>
      <c r="AJ285" s="3"/>
    </row>
    <row r="286" spans="1:36" x14ac:dyDescent="0.45">
      <c r="E286" s="20"/>
      <c r="F286" s="20">
        <f>F268+F265</f>
        <v>231015368.99456167</v>
      </c>
      <c r="G286" s="20">
        <f>F261+F265+F268-B272</f>
        <v>-1829024010.9738927</v>
      </c>
      <c r="H286" s="20"/>
      <c r="I286" s="20"/>
      <c r="J286" s="20"/>
      <c r="O286" s="2"/>
      <c r="AI286" s="20"/>
      <c r="AJ286" s="20"/>
    </row>
    <row r="287" spans="1:36" x14ac:dyDescent="0.45">
      <c r="J287" s="3"/>
      <c r="K287" s="3"/>
      <c r="L287" s="3"/>
      <c r="M287" s="3"/>
      <c r="N287" s="3"/>
      <c r="AI287" s="3"/>
      <c r="AJ287" s="3"/>
    </row>
    <row r="288" spans="1:36" x14ac:dyDescent="0.45">
      <c r="B288" s="3"/>
      <c r="J288" s="3"/>
      <c r="K288" s="3"/>
      <c r="L288" s="3"/>
      <c r="M288" s="3"/>
      <c r="N288" s="3"/>
      <c r="AI288" s="3"/>
      <c r="AJ288" s="3"/>
    </row>
    <row r="289" spans="1:36" x14ac:dyDescent="0.45">
      <c r="J289" s="3"/>
      <c r="K289" s="3"/>
      <c r="L289" s="3"/>
      <c r="M289" s="3"/>
      <c r="N289" s="3"/>
      <c r="AI289" s="3"/>
      <c r="AJ289" s="3"/>
    </row>
    <row r="290" spans="1:36" x14ac:dyDescent="0.45">
      <c r="J290" s="3"/>
      <c r="K290" s="3"/>
      <c r="L290" s="3"/>
      <c r="M290" s="3"/>
      <c r="N290" s="3"/>
      <c r="AI290" s="3"/>
      <c r="AJ290" s="3"/>
    </row>
    <row r="293" spans="1:36" s="3" customFormat="1" x14ac:dyDescent="0.45">
      <c r="A293" s="2"/>
      <c r="B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</row>
    <row r="295" spans="1:36" s="3" customFormat="1" x14ac:dyDescent="0.45">
      <c r="A295" s="2"/>
      <c r="B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</row>
  </sheetData>
  <mergeCells count="8">
    <mergeCell ref="K1:N1"/>
    <mergeCell ref="O1:O2"/>
    <mergeCell ref="A1:A2"/>
    <mergeCell ref="B1:B2"/>
    <mergeCell ref="C1:C2"/>
    <mergeCell ref="D1:D2"/>
    <mergeCell ref="E1:E2"/>
    <mergeCell ref="F1:J1"/>
  </mergeCells>
  <phoneticPr fontId="2" type="noConversion"/>
  <pageMargins left="0.75" right="0.75" top="1" bottom="1" header="0.5" footer="0.5"/>
  <pageSetup paperSize="8" scale="60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  <pageSetUpPr fitToPage="1"/>
  </sheetPr>
  <dimension ref="A1:P295"/>
  <sheetViews>
    <sheetView showGridLines="0" zoomScale="85" zoomScaleNormal="85" zoomScaleSheetLayoutView="85" workbookViewId="0">
      <pane xSplit="2" ySplit="3" topLeftCell="C4" activePane="bottomRight" state="frozen"/>
      <selection activeCell="J2" sqref="J2:J253"/>
      <selection pane="topRight" activeCell="J2" sqref="J2:J253"/>
      <selection pane="bottomLeft" activeCell="J2" sqref="J2:J253"/>
      <selection pane="bottomRight" sqref="A1:A2"/>
    </sheetView>
  </sheetViews>
  <sheetFormatPr defaultColWidth="9.08984375" defaultRowHeight="16" outlineLevelRow="1" x14ac:dyDescent="0.45"/>
  <cols>
    <col min="1" max="1" width="36.36328125" style="2" customWidth="1"/>
    <col min="2" max="2" width="19.08984375" style="2" customWidth="1"/>
    <col min="3" max="7" width="19.08984375" style="3" customWidth="1"/>
    <col min="8" max="12" width="19.08984375" style="2" customWidth="1"/>
    <col min="13" max="13" width="19.08984375" style="3" customWidth="1"/>
    <col min="14" max="14" width="9.08984375" style="2"/>
    <col min="15" max="16" width="19.08984375" style="2" hidden="1" customWidth="1"/>
    <col min="17" max="16384" width="9.08984375" style="2"/>
  </cols>
  <sheetData>
    <row r="1" spans="1:16" s="1" customFormat="1" ht="15.65" customHeight="1" x14ac:dyDescent="0.45">
      <c r="A1" s="208" t="s">
        <v>300</v>
      </c>
      <c r="B1" s="210" t="s">
        <v>233</v>
      </c>
      <c r="C1" s="210" t="s">
        <v>250</v>
      </c>
      <c r="D1" s="210" t="s">
        <v>288</v>
      </c>
      <c r="E1" s="212" t="s">
        <v>167</v>
      </c>
      <c r="F1" s="204" t="s">
        <v>289</v>
      </c>
      <c r="G1" s="205"/>
      <c r="H1" s="212"/>
      <c r="I1" s="202" t="s">
        <v>290</v>
      </c>
      <c r="J1" s="206"/>
      <c r="K1" s="206"/>
      <c r="L1" s="207"/>
      <c r="M1" s="202" t="s">
        <v>291</v>
      </c>
      <c r="O1" s="111"/>
      <c r="P1" s="112"/>
    </row>
    <row r="2" spans="1:16" s="1" customFormat="1" ht="15.65" customHeight="1" x14ac:dyDescent="0.45">
      <c r="A2" s="208"/>
      <c r="B2" s="211"/>
      <c r="C2" s="211"/>
      <c r="D2" s="211"/>
      <c r="E2" s="212"/>
      <c r="F2" s="56" t="s">
        <v>248</v>
      </c>
      <c r="G2" s="56" t="s">
        <v>242</v>
      </c>
      <c r="H2" s="26" t="s">
        <v>365</v>
      </c>
      <c r="I2" s="26" t="s">
        <v>168</v>
      </c>
      <c r="J2" s="26" t="s">
        <v>169</v>
      </c>
      <c r="K2" s="26" t="s">
        <v>294</v>
      </c>
      <c r="L2" s="26" t="s">
        <v>295</v>
      </c>
      <c r="M2" s="203"/>
      <c r="O2" s="26" t="s">
        <v>292</v>
      </c>
      <c r="P2" s="26" t="s">
        <v>293</v>
      </c>
    </row>
    <row r="3" spans="1:16" s="1" customFormat="1" ht="15.65" customHeight="1" x14ac:dyDescent="0.45">
      <c r="A3" s="27" t="s">
        <v>0</v>
      </c>
      <c r="B3" s="42">
        <v>100329392458</v>
      </c>
      <c r="C3" s="57">
        <v>-2269075858</v>
      </c>
      <c r="D3" s="57">
        <v>136020546</v>
      </c>
      <c r="E3" s="58">
        <v>102462447770</v>
      </c>
      <c r="F3" s="57">
        <v>42942144253.68055</v>
      </c>
      <c r="G3" s="57">
        <v>4557035495.3194523</v>
      </c>
      <c r="H3" s="59">
        <f>O3+P3</f>
        <v>22545248806</v>
      </c>
      <c r="I3" s="59">
        <v>868108383</v>
      </c>
      <c r="J3" s="59">
        <v>791916455</v>
      </c>
      <c r="K3" s="59">
        <v>22825156817</v>
      </c>
      <c r="L3" s="57">
        <v>1307134927</v>
      </c>
      <c r="M3" s="57">
        <v>6625702633</v>
      </c>
      <c r="O3" s="59">
        <v>21909893493</v>
      </c>
      <c r="P3" s="59">
        <v>635355313</v>
      </c>
    </row>
    <row r="4" spans="1:16" s="1" customFormat="1" x14ac:dyDescent="0.45">
      <c r="A4" s="28" t="s">
        <v>1</v>
      </c>
      <c r="B4" s="43">
        <v>73719830149</v>
      </c>
      <c r="C4" s="60">
        <v>337165846</v>
      </c>
      <c r="D4" s="60">
        <v>1966546</v>
      </c>
      <c r="E4" s="61">
        <v>73380697757</v>
      </c>
      <c r="F4" s="60">
        <v>25824693519</v>
      </c>
      <c r="G4" s="60">
        <v>813502483</v>
      </c>
      <c r="H4" s="62">
        <f t="shared" ref="H4:H67" si="0">O4+P4</f>
        <v>18668648874</v>
      </c>
      <c r="I4" s="62">
        <v>492455905</v>
      </c>
      <c r="J4" s="62">
        <v>6443541</v>
      </c>
      <c r="K4" s="62">
        <v>21498736720</v>
      </c>
      <c r="L4" s="62">
        <v>279414999</v>
      </c>
      <c r="M4" s="60">
        <v>5796801716</v>
      </c>
      <c r="O4" s="62">
        <v>18475018194</v>
      </c>
      <c r="P4" s="62">
        <v>193630680</v>
      </c>
    </row>
    <row r="5" spans="1:16" s="1" customFormat="1" hidden="1" outlineLevel="1" x14ac:dyDescent="0.45">
      <c r="A5" s="29" t="s">
        <v>2</v>
      </c>
      <c r="B5" s="44">
        <v>33350594598</v>
      </c>
      <c r="C5" s="63">
        <v>253609409</v>
      </c>
      <c r="D5" s="63">
        <v>0</v>
      </c>
      <c r="E5" s="64">
        <v>33096985189</v>
      </c>
      <c r="F5" s="63">
        <v>23409492</v>
      </c>
      <c r="G5" s="63">
        <v>808564050</v>
      </c>
      <c r="H5" s="65">
        <f t="shared" si="0"/>
        <v>7141026677</v>
      </c>
      <c r="I5" s="65">
        <v>5718182</v>
      </c>
      <c r="J5" s="65">
        <v>2321000</v>
      </c>
      <c r="K5" s="65">
        <v>20541554227</v>
      </c>
      <c r="L5" s="65">
        <v>0</v>
      </c>
      <c r="M5" s="63">
        <v>4574391561</v>
      </c>
      <c r="O5" s="65">
        <v>7014436678</v>
      </c>
      <c r="P5" s="65">
        <v>126589999</v>
      </c>
    </row>
    <row r="6" spans="1:16" ht="16" hidden="1" customHeight="1" outlineLevel="1" x14ac:dyDescent="0.45">
      <c r="A6" s="29" t="s">
        <v>3</v>
      </c>
      <c r="B6" s="44">
        <v>1246000</v>
      </c>
      <c r="C6" s="63">
        <v>0</v>
      </c>
      <c r="D6" s="63">
        <v>0</v>
      </c>
      <c r="E6" s="64">
        <v>1246000</v>
      </c>
      <c r="F6" s="63">
        <v>0</v>
      </c>
      <c r="G6" s="63">
        <v>1246000</v>
      </c>
      <c r="H6" s="65">
        <f t="shared" si="0"/>
        <v>0</v>
      </c>
      <c r="I6" s="65">
        <v>0</v>
      </c>
      <c r="J6" s="65">
        <v>0</v>
      </c>
      <c r="K6" s="65">
        <v>0</v>
      </c>
      <c r="L6" s="65">
        <v>0</v>
      </c>
      <c r="M6" s="63">
        <v>0</v>
      </c>
      <c r="N6" s="1"/>
      <c r="O6" s="65">
        <v>0</v>
      </c>
      <c r="P6" s="65">
        <v>0</v>
      </c>
    </row>
    <row r="7" spans="1:16" ht="16" hidden="1" customHeight="1" outlineLevel="1" x14ac:dyDescent="0.45">
      <c r="A7" s="29" t="s">
        <v>170</v>
      </c>
      <c r="B7" s="44">
        <v>0</v>
      </c>
      <c r="C7" s="63">
        <v>0</v>
      </c>
      <c r="D7" s="63">
        <v>0</v>
      </c>
      <c r="E7" s="64">
        <v>0</v>
      </c>
      <c r="F7" s="63">
        <v>0</v>
      </c>
      <c r="G7" s="63">
        <v>0</v>
      </c>
      <c r="H7" s="65">
        <f t="shared" si="0"/>
        <v>0</v>
      </c>
      <c r="I7" s="65">
        <v>0</v>
      </c>
      <c r="J7" s="65">
        <v>0</v>
      </c>
      <c r="K7" s="65">
        <v>0</v>
      </c>
      <c r="L7" s="65">
        <v>0</v>
      </c>
      <c r="M7" s="63">
        <v>0</v>
      </c>
      <c r="N7" s="1"/>
      <c r="O7" s="65">
        <v>0</v>
      </c>
      <c r="P7" s="65">
        <v>0</v>
      </c>
    </row>
    <row r="8" spans="1:16" ht="16" hidden="1" customHeight="1" outlineLevel="1" x14ac:dyDescent="0.45">
      <c r="A8" s="29" t="s">
        <v>4</v>
      </c>
      <c r="B8" s="44">
        <v>38463507270</v>
      </c>
      <c r="C8" s="63">
        <v>85515983</v>
      </c>
      <c r="D8" s="63">
        <v>0</v>
      </c>
      <c r="E8" s="64">
        <v>38377991287</v>
      </c>
      <c r="F8" s="63">
        <v>25199685161</v>
      </c>
      <c r="G8" s="63">
        <v>3692433</v>
      </c>
      <c r="H8" s="65">
        <f t="shared" si="0"/>
        <v>11456195840</v>
      </c>
      <c r="I8" s="65">
        <v>485627362</v>
      </c>
      <c r="J8" s="65">
        <v>1161999</v>
      </c>
      <c r="K8" s="65">
        <v>952262493</v>
      </c>
      <c r="L8" s="65">
        <v>279365999</v>
      </c>
      <c r="M8" s="63">
        <v>0</v>
      </c>
      <c r="N8" s="1"/>
      <c r="O8" s="65">
        <v>11455753025</v>
      </c>
      <c r="P8" s="65">
        <v>442815</v>
      </c>
    </row>
    <row r="9" spans="1:16" ht="16" hidden="1" customHeight="1" outlineLevel="1" x14ac:dyDescent="0.45">
      <c r="A9" s="29" t="s">
        <v>5</v>
      </c>
      <c r="B9" s="44">
        <v>313211800</v>
      </c>
      <c r="C9" s="63">
        <v>-1959546</v>
      </c>
      <c r="D9" s="63">
        <v>1966546</v>
      </c>
      <c r="E9" s="64">
        <v>313204800</v>
      </c>
      <c r="F9" s="63">
        <v>266189672</v>
      </c>
      <c r="G9" s="63">
        <v>0</v>
      </c>
      <c r="H9" s="65">
        <f t="shared" si="0"/>
        <v>7464855</v>
      </c>
      <c r="I9" s="65">
        <v>14000</v>
      </c>
      <c r="J9" s="65">
        <v>0</v>
      </c>
      <c r="K9" s="65">
        <v>60000</v>
      </c>
      <c r="L9" s="65">
        <v>49000</v>
      </c>
      <c r="M9" s="63">
        <v>39427273</v>
      </c>
      <c r="N9" s="1"/>
      <c r="O9" s="65">
        <v>7464855</v>
      </c>
      <c r="P9" s="65">
        <v>0</v>
      </c>
    </row>
    <row r="10" spans="1:16" ht="16" hidden="1" customHeight="1" outlineLevel="1" x14ac:dyDescent="0.45">
      <c r="A10" s="29" t="s">
        <v>118</v>
      </c>
      <c r="B10" s="44">
        <v>6280539</v>
      </c>
      <c r="C10" s="63">
        <v>0</v>
      </c>
      <c r="D10" s="63">
        <v>0</v>
      </c>
      <c r="E10" s="64">
        <v>6280539</v>
      </c>
      <c r="F10" s="63">
        <v>0</v>
      </c>
      <c r="G10" s="63">
        <v>0</v>
      </c>
      <c r="H10" s="65">
        <f t="shared" si="0"/>
        <v>-2636364</v>
      </c>
      <c r="I10" s="65">
        <v>1096361</v>
      </c>
      <c r="J10" s="65">
        <v>2960542</v>
      </c>
      <c r="K10" s="65">
        <v>4860000</v>
      </c>
      <c r="L10" s="65">
        <v>0</v>
      </c>
      <c r="M10" s="63">
        <v>0</v>
      </c>
      <c r="N10" s="1"/>
      <c r="O10" s="65">
        <v>-2636364</v>
      </c>
      <c r="P10" s="65">
        <v>0</v>
      </c>
    </row>
    <row r="11" spans="1:16" ht="16" hidden="1" customHeight="1" outlineLevel="1" x14ac:dyDescent="0.45">
      <c r="A11" s="29" t="s">
        <v>6</v>
      </c>
      <c r="B11" s="44">
        <v>402007060</v>
      </c>
      <c r="C11" s="63">
        <v>0</v>
      </c>
      <c r="D11" s="63">
        <v>0</v>
      </c>
      <c r="E11" s="64">
        <v>402007060</v>
      </c>
      <c r="F11" s="63">
        <v>335409194</v>
      </c>
      <c r="G11" s="63">
        <v>0</v>
      </c>
      <c r="H11" s="65">
        <f t="shared" si="0"/>
        <v>66597866</v>
      </c>
      <c r="I11" s="65">
        <v>0</v>
      </c>
      <c r="J11" s="65">
        <v>0</v>
      </c>
      <c r="K11" s="65">
        <v>0</v>
      </c>
      <c r="L11" s="65">
        <v>0</v>
      </c>
      <c r="M11" s="63">
        <v>0</v>
      </c>
      <c r="N11" s="1"/>
      <c r="O11" s="65">
        <v>0</v>
      </c>
      <c r="P11" s="65">
        <v>66597866</v>
      </c>
    </row>
    <row r="12" spans="1:16" ht="16" hidden="1" customHeight="1" outlineLevel="1" x14ac:dyDescent="0.45">
      <c r="A12" s="29" t="s">
        <v>301</v>
      </c>
      <c r="B12" s="44">
        <v>1182982882</v>
      </c>
      <c r="C12" s="63">
        <v>0</v>
      </c>
      <c r="D12" s="63">
        <v>0</v>
      </c>
      <c r="E12" s="64">
        <v>1182982882</v>
      </c>
      <c r="F12" s="63">
        <v>0</v>
      </c>
      <c r="G12" s="63">
        <v>0</v>
      </c>
      <c r="H12" s="65">
        <f t="shared" si="0"/>
        <v>0</v>
      </c>
      <c r="I12" s="65">
        <v>0</v>
      </c>
      <c r="J12" s="65">
        <v>0</v>
      </c>
      <c r="K12" s="65">
        <v>0</v>
      </c>
      <c r="L12" s="65">
        <v>0</v>
      </c>
      <c r="M12" s="63">
        <v>1182982882</v>
      </c>
      <c r="N12" s="1"/>
      <c r="O12" s="65">
        <v>0</v>
      </c>
      <c r="P12" s="65">
        <v>0</v>
      </c>
    </row>
    <row r="13" spans="1:16" ht="16" customHeight="1" collapsed="1" x14ac:dyDescent="0.45">
      <c r="A13" s="28" t="s">
        <v>7</v>
      </c>
      <c r="B13" s="43">
        <v>26609562309</v>
      </c>
      <c r="C13" s="60">
        <v>-2606241704</v>
      </c>
      <c r="D13" s="60">
        <v>134054000</v>
      </c>
      <c r="E13" s="61">
        <v>29081750013</v>
      </c>
      <c r="F13" s="60">
        <v>17117450734.680548</v>
      </c>
      <c r="G13" s="60">
        <v>3743533012.3194523</v>
      </c>
      <c r="H13" s="62">
        <f t="shared" si="0"/>
        <v>3876599932</v>
      </c>
      <c r="I13" s="62">
        <v>375652478</v>
      </c>
      <c r="J13" s="62">
        <v>785472914</v>
      </c>
      <c r="K13" s="62">
        <v>1326420097</v>
      </c>
      <c r="L13" s="62">
        <v>1027719928</v>
      </c>
      <c r="M13" s="60">
        <v>828900917</v>
      </c>
      <c r="N13" s="1"/>
      <c r="O13" s="62">
        <v>3434875299</v>
      </c>
      <c r="P13" s="62">
        <v>441724633</v>
      </c>
    </row>
    <row r="14" spans="1:16" s="1" customFormat="1" hidden="1" outlineLevel="1" collapsed="1" x14ac:dyDescent="0.45">
      <c r="A14" s="24" t="s">
        <v>8</v>
      </c>
      <c r="B14" s="45">
        <v>16589201199</v>
      </c>
      <c r="C14" s="63">
        <v>-408141367</v>
      </c>
      <c r="D14" s="63">
        <v>0</v>
      </c>
      <c r="E14" s="64">
        <v>16997342566</v>
      </c>
      <c r="F14" s="63">
        <v>11147497729</v>
      </c>
      <c r="G14" s="63">
        <v>252156634</v>
      </c>
      <c r="H14" s="65">
        <f t="shared" si="0"/>
        <v>2856479853</v>
      </c>
      <c r="I14" s="65">
        <v>299457673</v>
      </c>
      <c r="J14" s="65">
        <v>639534950</v>
      </c>
      <c r="K14" s="65">
        <v>893129442</v>
      </c>
      <c r="L14" s="65">
        <v>129452917</v>
      </c>
      <c r="M14" s="63">
        <v>779633368</v>
      </c>
      <c r="O14" s="65">
        <v>2863043645</v>
      </c>
      <c r="P14" s="65">
        <v>-6563792</v>
      </c>
    </row>
    <row r="15" spans="1:16" ht="16" hidden="1" customHeight="1" outlineLevel="1" x14ac:dyDescent="0.45">
      <c r="A15" s="29" t="s">
        <v>9</v>
      </c>
      <c r="B15" s="44">
        <v>124053878</v>
      </c>
      <c r="C15" s="63">
        <v>43893637</v>
      </c>
      <c r="D15" s="63">
        <v>0</v>
      </c>
      <c r="E15" s="64">
        <v>80160241</v>
      </c>
      <c r="F15" s="63">
        <v>24805176</v>
      </c>
      <c r="G15" s="63">
        <v>1272727</v>
      </c>
      <c r="H15" s="65">
        <f t="shared" si="0"/>
        <v>14461272</v>
      </c>
      <c r="I15" s="65">
        <v>0</v>
      </c>
      <c r="J15" s="65">
        <v>72727</v>
      </c>
      <c r="K15" s="65">
        <v>0</v>
      </c>
      <c r="L15" s="65">
        <v>19320790</v>
      </c>
      <c r="M15" s="63">
        <v>20227549</v>
      </c>
      <c r="N15" s="1"/>
      <c r="O15" s="65">
        <v>0</v>
      </c>
      <c r="P15" s="65">
        <v>14461272</v>
      </c>
    </row>
    <row r="16" spans="1:16" ht="16" hidden="1" customHeight="1" outlineLevel="1" x14ac:dyDescent="0.45">
      <c r="A16" s="29" t="s">
        <v>10</v>
      </c>
      <c r="B16" s="44">
        <v>4433260923</v>
      </c>
      <c r="C16" s="63">
        <v>-90196034</v>
      </c>
      <c r="D16" s="63">
        <v>0</v>
      </c>
      <c r="E16" s="64">
        <v>4523456957</v>
      </c>
      <c r="F16" s="63">
        <v>2586710064.6805477</v>
      </c>
      <c r="G16" s="63">
        <v>791618956.3194524</v>
      </c>
      <c r="H16" s="65">
        <f t="shared" si="0"/>
        <v>535201037</v>
      </c>
      <c r="I16" s="65">
        <v>76167078</v>
      </c>
      <c r="J16" s="65">
        <v>125388737</v>
      </c>
      <c r="K16" s="65">
        <v>271953886</v>
      </c>
      <c r="L16" s="65">
        <v>136417198</v>
      </c>
      <c r="M16" s="63">
        <v>0</v>
      </c>
      <c r="N16" s="1"/>
      <c r="O16" s="65">
        <v>316117720</v>
      </c>
      <c r="P16" s="65">
        <v>219083317</v>
      </c>
    </row>
    <row r="17" spans="1:16" ht="16" hidden="1" customHeight="1" outlineLevel="1" x14ac:dyDescent="0.45">
      <c r="A17" s="29" t="s">
        <v>11</v>
      </c>
      <c r="B17" s="44">
        <v>66603878</v>
      </c>
      <c r="C17" s="63">
        <v>260500</v>
      </c>
      <c r="D17" s="63">
        <v>0</v>
      </c>
      <c r="E17" s="64">
        <v>66343378</v>
      </c>
      <c r="F17" s="63">
        <v>64227151</v>
      </c>
      <c r="G17" s="63">
        <v>111000</v>
      </c>
      <c r="H17" s="65">
        <f t="shared" si="0"/>
        <v>1518500</v>
      </c>
      <c r="I17" s="65">
        <v>27727</v>
      </c>
      <c r="J17" s="65">
        <v>403500</v>
      </c>
      <c r="K17" s="65">
        <v>55500</v>
      </c>
      <c r="L17" s="65">
        <v>0</v>
      </c>
      <c r="M17" s="63">
        <v>0</v>
      </c>
      <c r="N17" s="1"/>
      <c r="O17" s="65">
        <v>1511000</v>
      </c>
      <c r="P17" s="65">
        <v>7500</v>
      </c>
    </row>
    <row r="18" spans="1:16" ht="16" hidden="1" customHeight="1" outlineLevel="1" x14ac:dyDescent="0.45">
      <c r="A18" s="30" t="s">
        <v>12</v>
      </c>
      <c r="B18" s="46">
        <v>3072485845</v>
      </c>
      <c r="C18" s="63">
        <v>-51775464</v>
      </c>
      <c r="D18" s="63">
        <v>0</v>
      </c>
      <c r="E18" s="64">
        <v>3124261309</v>
      </c>
      <c r="F18" s="63">
        <v>2362594338</v>
      </c>
      <c r="G18" s="63">
        <v>-3967215</v>
      </c>
      <c r="H18" s="65">
        <f t="shared" si="0"/>
        <v>17149076</v>
      </c>
      <c r="I18" s="65">
        <v>0</v>
      </c>
      <c r="J18" s="65">
        <v>0</v>
      </c>
      <c r="K18" s="65">
        <v>5956087</v>
      </c>
      <c r="L18" s="65">
        <v>742529023</v>
      </c>
      <c r="M18" s="63">
        <v>0</v>
      </c>
      <c r="N18" s="1"/>
      <c r="O18" s="65">
        <v>17354530</v>
      </c>
      <c r="P18" s="65">
        <v>-205454</v>
      </c>
    </row>
    <row r="19" spans="1:16" ht="16" hidden="1" customHeight="1" outlineLevel="1" x14ac:dyDescent="0.45">
      <c r="A19" s="29" t="s">
        <v>119</v>
      </c>
      <c r="B19" s="44">
        <v>-1969047658</v>
      </c>
      <c r="C19" s="63">
        <v>-1969047658</v>
      </c>
      <c r="D19" s="63">
        <v>0</v>
      </c>
      <c r="E19" s="64">
        <v>0</v>
      </c>
      <c r="F19" s="63">
        <v>0</v>
      </c>
      <c r="G19" s="63">
        <v>0</v>
      </c>
      <c r="H19" s="65">
        <f t="shared" si="0"/>
        <v>0</v>
      </c>
      <c r="I19" s="65">
        <v>0</v>
      </c>
      <c r="J19" s="65">
        <v>0</v>
      </c>
      <c r="K19" s="65">
        <v>0</v>
      </c>
      <c r="L19" s="65">
        <v>0</v>
      </c>
      <c r="M19" s="63">
        <v>0</v>
      </c>
      <c r="N19" s="1"/>
      <c r="O19" s="65">
        <v>0</v>
      </c>
      <c r="P19" s="65">
        <v>0</v>
      </c>
    </row>
    <row r="20" spans="1:16" ht="16" hidden="1" customHeight="1" outlineLevel="1" x14ac:dyDescent="0.45">
      <c r="A20" s="29" t="s">
        <v>120</v>
      </c>
      <c r="B20" s="44">
        <v>0</v>
      </c>
      <c r="C20" s="63">
        <v>0</v>
      </c>
      <c r="D20" s="63">
        <v>0</v>
      </c>
      <c r="E20" s="64">
        <v>0</v>
      </c>
      <c r="F20" s="63">
        <v>0</v>
      </c>
      <c r="G20" s="63">
        <v>0</v>
      </c>
      <c r="H20" s="65">
        <f t="shared" si="0"/>
        <v>0</v>
      </c>
      <c r="I20" s="65">
        <v>0</v>
      </c>
      <c r="J20" s="65">
        <v>0</v>
      </c>
      <c r="K20" s="65">
        <v>0</v>
      </c>
      <c r="L20" s="65">
        <v>0</v>
      </c>
      <c r="M20" s="63">
        <v>0</v>
      </c>
      <c r="N20" s="1"/>
      <c r="O20" s="65">
        <v>0</v>
      </c>
      <c r="P20" s="65">
        <v>0</v>
      </c>
    </row>
    <row r="21" spans="1:16" ht="16" hidden="1" customHeight="1" outlineLevel="1" x14ac:dyDescent="0.45">
      <c r="A21" s="24" t="s">
        <v>13</v>
      </c>
      <c r="B21" s="45">
        <v>-250524414</v>
      </c>
      <c r="C21" s="63">
        <v>0</v>
      </c>
      <c r="D21" s="63">
        <v>0</v>
      </c>
      <c r="E21" s="64">
        <v>-250524414</v>
      </c>
      <c r="F21" s="63">
        <v>3220000</v>
      </c>
      <c r="G21" s="63">
        <v>0</v>
      </c>
      <c r="H21" s="65">
        <f t="shared" si="0"/>
        <v>-375929596</v>
      </c>
      <c r="I21" s="65">
        <v>0</v>
      </c>
      <c r="J21" s="65">
        <v>0</v>
      </c>
      <c r="K21" s="65">
        <v>122185182</v>
      </c>
      <c r="L21" s="65">
        <v>0</v>
      </c>
      <c r="M21" s="63">
        <v>0</v>
      </c>
      <c r="N21" s="1"/>
      <c r="O21" s="65">
        <v>-412339596</v>
      </c>
      <c r="P21" s="65">
        <v>36410000</v>
      </c>
    </row>
    <row r="22" spans="1:16" s="1" customFormat="1" ht="16" hidden="1" customHeight="1" outlineLevel="1" x14ac:dyDescent="0.45">
      <c r="A22" s="29" t="s">
        <v>121</v>
      </c>
      <c r="B22" s="44">
        <v>3746367700</v>
      </c>
      <c r="C22" s="63">
        <v>-134054000</v>
      </c>
      <c r="D22" s="63">
        <v>134054000</v>
      </c>
      <c r="E22" s="64">
        <v>3746367700</v>
      </c>
      <c r="F22" s="63">
        <v>134054000</v>
      </c>
      <c r="G22" s="63">
        <v>2702340910</v>
      </c>
      <c r="H22" s="65">
        <f t="shared" si="0"/>
        <v>827719790</v>
      </c>
      <c r="I22" s="65">
        <v>0</v>
      </c>
      <c r="J22" s="65">
        <v>20073000</v>
      </c>
      <c r="K22" s="65">
        <v>33140000</v>
      </c>
      <c r="L22" s="65">
        <v>0</v>
      </c>
      <c r="M22" s="63">
        <v>29040000</v>
      </c>
      <c r="O22" s="65">
        <v>649188000</v>
      </c>
      <c r="P22" s="65">
        <v>178531790</v>
      </c>
    </row>
    <row r="23" spans="1:16" ht="16" hidden="1" customHeight="1" outlineLevel="1" x14ac:dyDescent="0.45">
      <c r="A23" s="29" t="s">
        <v>249</v>
      </c>
      <c r="B23" s="44">
        <v>797160958</v>
      </c>
      <c r="C23" s="63">
        <v>2818682</v>
      </c>
      <c r="D23" s="63">
        <v>0</v>
      </c>
      <c r="E23" s="64">
        <v>794342276</v>
      </c>
      <c r="F23" s="63">
        <v>794342276</v>
      </c>
      <c r="G23" s="63">
        <v>0</v>
      </c>
      <c r="H23" s="65">
        <f t="shared" si="0"/>
        <v>0</v>
      </c>
      <c r="I23" s="65">
        <v>0</v>
      </c>
      <c r="J23" s="65">
        <v>0</v>
      </c>
      <c r="K23" s="65">
        <v>0</v>
      </c>
      <c r="L23" s="65">
        <v>0</v>
      </c>
      <c r="M23" s="63">
        <v>0</v>
      </c>
      <c r="N23" s="1"/>
      <c r="O23" s="65">
        <v>0</v>
      </c>
      <c r="P23" s="65">
        <v>0</v>
      </c>
    </row>
    <row r="24" spans="1:16" ht="16" hidden="1" customHeight="1" outlineLevel="1" x14ac:dyDescent="0.45">
      <c r="A24" s="24" t="s">
        <v>287</v>
      </c>
      <c r="B24" s="45">
        <v>0</v>
      </c>
      <c r="C24" s="63">
        <v>0</v>
      </c>
      <c r="D24" s="63">
        <v>0</v>
      </c>
      <c r="E24" s="64">
        <v>0</v>
      </c>
      <c r="F24" s="63">
        <v>0</v>
      </c>
      <c r="G24" s="63">
        <v>0</v>
      </c>
      <c r="H24" s="65">
        <f t="shared" si="0"/>
        <v>0</v>
      </c>
      <c r="I24" s="65">
        <v>0</v>
      </c>
      <c r="J24" s="65">
        <v>0</v>
      </c>
      <c r="K24" s="65">
        <v>0</v>
      </c>
      <c r="L24" s="65">
        <v>0</v>
      </c>
      <c r="M24" s="63">
        <v>0</v>
      </c>
      <c r="N24" s="1"/>
      <c r="O24" s="65">
        <v>0</v>
      </c>
      <c r="P24" s="65">
        <v>0</v>
      </c>
    </row>
    <row r="25" spans="1:16" ht="16" customHeight="1" collapsed="1" x14ac:dyDescent="0.45">
      <c r="A25" s="27" t="s">
        <v>14</v>
      </c>
      <c r="B25" s="42">
        <v>79057613643</v>
      </c>
      <c r="C25" s="57">
        <v>1599480585</v>
      </c>
      <c r="D25" s="57">
        <v>0</v>
      </c>
      <c r="E25" s="58">
        <v>77458133058</v>
      </c>
      <c r="F25" s="58">
        <v>28907519407</v>
      </c>
      <c r="G25" s="58">
        <v>593748000</v>
      </c>
      <c r="H25" s="58">
        <f t="shared" si="0"/>
        <v>20681805314</v>
      </c>
      <c r="I25" s="58">
        <v>747853557</v>
      </c>
      <c r="J25" s="58">
        <v>-125560448</v>
      </c>
      <c r="K25" s="58">
        <v>21968348420</v>
      </c>
      <c r="L25" s="58">
        <v>386542545</v>
      </c>
      <c r="M25" s="58">
        <v>4297876263</v>
      </c>
      <c r="N25" s="1"/>
      <c r="O25" s="58">
        <v>20555407454</v>
      </c>
      <c r="P25" s="58">
        <v>126397860</v>
      </c>
    </row>
    <row r="26" spans="1:16" s="1" customFormat="1" hidden="1" outlineLevel="1" collapsed="1" x14ac:dyDescent="0.45">
      <c r="A26" s="28" t="s">
        <v>15</v>
      </c>
      <c r="B26" s="43">
        <v>79057613643</v>
      </c>
      <c r="C26" s="60">
        <v>1599480585</v>
      </c>
      <c r="D26" s="60">
        <v>0</v>
      </c>
      <c r="E26" s="61">
        <v>77458133058</v>
      </c>
      <c r="F26" s="60">
        <v>28907519407</v>
      </c>
      <c r="G26" s="60">
        <v>593748000</v>
      </c>
      <c r="H26" s="62">
        <f t="shared" si="0"/>
        <v>20681805314</v>
      </c>
      <c r="I26" s="62">
        <v>747853557</v>
      </c>
      <c r="J26" s="62">
        <v>-125560448</v>
      </c>
      <c r="K26" s="62">
        <v>21968348420</v>
      </c>
      <c r="L26" s="62">
        <v>386542545</v>
      </c>
      <c r="M26" s="60">
        <v>4297876263</v>
      </c>
      <c r="O26" s="62">
        <v>20555407454</v>
      </c>
      <c r="P26" s="62">
        <v>126397860</v>
      </c>
    </row>
    <row r="27" spans="1:16" s="1" customFormat="1" ht="16" customHeight="1" collapsed="1" x14ac:dyDescent="0.45">
      <c r="A27" s="27" t="s">
        <v>16</v>
      </c>
      <c r="B27" s="42">
        <v>21271778815</v>
      </c>
      <c r="C27" s="57">
        <v>-3868556443</v>
      </c>
      <c r="D27" s="57">
        <v>136020546</v>
      </c>
      <c r="E27" s="58">
        <v>25004314712</v>
      </c>
      <c r="F27" s="57">
        <v>14034624846.680548</v>
      </c>
      <c r="G27" s="57">
        <v>3963287495.3194523</v>
      </c>
      <c r="H27" s="59">
        <f t="shared" si="0"/>
        <v>1863443492</v>
      </c>
      <c r="I27" s="59">
        <v>120254826</v>
      </c>
      <c r="J27" s="59">
        <v>917476903</v>
      </c>
      <c r="K27" s="59">
        <v>856808397</v>
      </c>
      <c r="L27" s="59">
        <v>920592382</v>
      </c>
      <c r="M27" s="57">
        <v>2327826370</v>
      </c>
      <c r="O27" s="59">
        <v>1354486039</v>
      </c>
      <c r="P27" s="59">
        <v>508957453</v>
      </c>
    </row>
    <row r="28" spans="1:16" s="1" customFormat="1" collapsed="1" x14ac:dyDescent="0.45">
      <c r="A28" s="27" t="s">
        <v>17</v>
      </c>
      <c r="B28" s="42">
        <v>16607569453</v>
      </c>
      <c r="C28" s="57">
        <v>329865655</v>
      </c>
      <c r="D28" s="57">
        <v>693110215</v>
      </c>
      <c r="E28" s="58">
        <v>15584593583</v>
      </c>
      <c r="F28" s="57">
        <v>8247017801.9793997</v>
      </c>
      <c r="G28" s="57">
        <v>2306057460.1315041</v>
      </c>
      <c r="H28" s="59">
        <f t="shared" si="0"/>
        <v>1758037883.8890967</v>
      </c>
      <c r="I28" s="59">
        <v>62985290.892245598</v>
      </c>
      <c r="J28" s="59">
        <v>828923333.92383051</v>
      </c>
      <c r="K28" s="59">
        <v>541210083.48293984</v>
      </c>
      <c r="L28" s="59">
        <v>991516811.700984</v>
      </c>
      <c r="M28" s="57">
        <v>848844917</v>
      </c>
      <c r="O28" s="59">
        <v>1592210795.6801496</v>
      </c>
      <c r="P28" s="59">
        <v>165827088.20894706</v>
      </c>
    </row>
    <row r="29" spans="1:16" s="1" customFormat="1" x14ac:dyDescent="0.45">
      <c r="A29" s="28" t="s">
        <v>18</v>
      </c>
      <c r="B29" s="43">
        <v>106522650</v>
      </c>
      <c r="C29" s="60">
        <v>33674330</v>
      </c>
      <c r="D29" s="60">
        <v>16000000</v>
      </c>
      <c r="E29" s="61">
        <v>56848320</v>
      </c>
      <c r="F29" s="60">
        <v>52143646.567078054</v>
      </c>
      <c r="G29" s="60">
        <v>4704673.4329219498</v>
      </c>
      <c r="H29" s="62">
        <f t="shared" si="0"/>
        <v>0</v>
      </c>
      <c r="I29" s="62">
        <v>0</v>
      </c>
      <c r="J29" s="62">
        <v>0</v>
      </c>
      <c r="K29" s="62">
        <v>0</v>
      </c>
      <c r="L29" s="62">
        <v>0</v>
      </c>
      <c r="M29" s="60">
        <v>0</v>
      </c>
      <c r="O29" s="62">
        <v>0</v>
      </c>
      <c r="P29" s="62">
        <v>0</v>
      </c>
    </row>
    <row r="30" spans="1:16" s="1" customFormat="1" x14ac:dyDescent="0.45">
      <c r="A30" s="28" t="s">
        <v>19</v>
      </c>
      <c r="B30" s="43">
        <v>6553103580</v>
      </c>
      <c r="C30" s="66">
        <v>308884189.99999905</v>
      </c>
      <c r="D30" s="60">
        <v>179308410</v>
      </c>
      <c r="E30" s="61">
        <v>6064910980.000001</v>
      </c>
      <c r="F30" s="60">
        <v>3728640052.5211997</v>
      </c>
      <c r="G30" s="60">
        <v>1230536779.5170522</v>
      </c>
      <c r="H30" s="62">
        <f t="shared" si="0"/>
        <v>374540077.96174806</v>
      </c>
      <c r="I30" s="62">
        <v>44822774.397492893</v>
      </c>
      <c r="J30" s="62">
        <v>42677375.928981751</v>
      </c>
      <c r="K30" s="62">
        <v>172912434.28175312</v>
      </c>
      <c r="L30" s="62">
        <v>390363715.39177227</v>
      </c>
      <c r="M30" s="60">
        <v>80417770</v>
      </c>
      <c r="O30" s="62">
        <v>336941352.33245862</v>
      </c>
      <c r="P30" s="62">
        <v>37598725.629289463</v>
      </c>
    </row>
    <row r="31" spans="1:16" s="1" customFormat="1" hidden="1" outlineLevel="1" x14ac:dyDescent="0.45">
      <c r="A31" s="29" t="s">
        <v>20</v>
      </c>
      <c r="B31" s="44">
        <v>689218400</v>
      </c>
      <c r="C31" s="63">
        <v>157121009.99999994</v>
      </c>
      <c r="D31" s="63">
        <v>74553090</v>
      </c>
      <c r="E31" s="64">
        <v>457544300.00000006</v>
      </c>
      <c r="F31" s="63">
        <v>256255661.9728705</v>
      </c>
      <c r="G31" s="63">
        <v>91759597.019935787</v>
      </c>
      <c r="H31" s="65">
        <f t="shared" si="0"/>
        <v>23688261.007193729</v>
      </c>
      <c r="I31" s="65">
        <v>8146143.2686715825</v>
      </c>
      <c r="J31" s="65">
        <v>8109233.9646654883</v>
      </c>
      <c r="K31" s="65">
        <v>17735734.941350691</v>
      </c>
      <c r="L31" s="65">
        <v>9488037.82531224</v>
      </c>
      <c r="M31" s="63">
        <v>42361630</v>
      </c>
      <c r="O31" s="65">
        <v>21223384.925179485</v>
      </c>
      <c r="P31" s="65">
        <v>2464876.082014244</v>
      </c>
    </row>
    <row r="32" spans="1:16" ht="16" hidden="1" customHeight="1" outlineLevel="1" x14ac:dyDescent="0.45">
      <c r="A32" s="29" t="s">
        <v>21</v>
      </c>
      <c r="B32" s="44">
        <v>127764810</v>
      </c>
      <c r="C32" s="63">
        <v>29121460</v>
      </c>
      <c r="D32" s="63">
        <v>13659710</v>
      </c>
      <c r="E32" s="64">
        <v>84983640</v>
      </c>
      <c r="F32" s="63">
        <v>48016082.613149352</v>
      </c>
      <c r="G32" s="63">
        <v>16599670.331175309</v>
      </c>
      <c r="H32" s="65">
        <f t="shared" si="0"/>
        <v>4398437.055675339</v>
      </c>
      <c r="I32" s="65">
        <v>1523174.4326815214</v>
      </c>
      <c r="J32" s="65">
        <v>1515053.1311129867</v>
      </c>
      <c r="K32" s="65">
        <v>3363421.6109769936</v>
      </c>
      <c r="L32" s="65">
        <v>1808530.8252284983</v>
      </c>
      <c r="M32" s="63">
        <v>7759270</v>
      </c>
      <c r="N32" s="1"/>
      <c r="O32" s="65">
        <v>3939060.280086244</v>
      </c>
      <c r="P32" s="65">
        <v>459376.7755890949</v>
      </c>
    </row>
    <row r="33" spans="1:16" ht="16" hidden="1" customHeight="1" outlineLevel="1" x14ac:dyDescent="0.45">
      <c r="A33" s="29" t="s">
        <v>22</v>
      </c>
      <c r="B33" s="44">
        <v>27800000</v>
      </c>
      <c r="C33" s="63">
        <v>6900000</v>
      </c>
      <c r="D33" s="63">
        <v>2800000</v>
      </c>
      <c r="E33" s="64">
        <v>18100000</v>
      </c>
      <c r="F33" s="63">
        <v>9088750.4191578235</v>
      </c>
      <c r="G33" s="63">
        <v>2712939.8808722831</v>
      </c>
      <c r="H33" s="65">
        <f t="shared" si="0"/>
        <v>1098309.6999698936</v>
      </c>
      <c r="I33" s="65">
        <v>565369.7375735566</v>
      </c>
      <c r="J33" s="65">
        <v>555061.2747136628</v>
      </c>
      <c r="K33" s="65">
        <v>1530829.9987014863</v>
      </c>
      <c r="L33" s="65">
        <v>848738.98901129456</v>
      </c>
      <c r="M33" s="63">
        <v>1700000</v>
      </c>
      <c r="N33" s="1"/>
      <c r="O33" s="65">
        <v>970782.98397832329</v>
      </c>
      <c r="P33" s="65">
        <v>127526.71599157018</v>
      </c>
    </row>
    <row r="34" spans="1:16" ht="16" hidden="1" customHeight="1" outlineLevel="1" x14ac:dyDescent="0.45">
      <c r="A34" s="29" t="s">
        <v>171</v>
      </c>
      <c r="B34" s="44">
        <v>0</v>
      </c>
      <c r="C34" s="63">
        <v>0</v>
      </c>
      <c r="D34" s="63">
        <v>0</v>
      </c>
      <c r="E34" s="64">
        <v>0</v>
      </c>
      <c r="F34" s="63">
        <v>0</v>
      </c>
      <c r="G34" s="63">
        <v>0</v>
      </c>
      <c r="H34" s="65">
        <f t="shared" si="0"/>
        <v>0</v>
      </c>
      <c r="I34" s="65">
        <v>0</v>
      </c>
      <c r="J34" s="65">
        <v>0</v>
      </c>
      <c r="K34" s="65">
        <v>0</v>
      </c>
      <c r="L34" s="65">
        <v>0</v>
      </c>
      <c r="M34" s="63">
        <v>0</v>
      </c>
      <c r="N34" s="1"/>
      <c r="O34" s="65">
        <v>0</v>
      </c>
      <c r="P34" s="65">
        <v>0</v>
      </c>
    </row>
    <row r="35" spans="1:16" ht="16" hidden="1" customHeight="1" outlineLevel="1" x14ac:dyDescent="0.45">
      <c r="A35" s="29" t="s">
        <v>23</v>
      </c>
      <c r="B35" s="44">
        <v>18688610</v>
      </c>
      <c r="C35" s="63">
        <v>2162290</v>
      </c>
      <c r="D35" s="63">
        <v>1533510</v>
      </c>
      <c r="E35" s="64">
        <v>14992810</v>
      </c>
      <c r="F35" s="63">
        <v>9379188.803295467</v>
      </c>
      <c r="G35" s="63">
        <v>4293851.196704532</v>
      </c>
      <c r="H35" s="65">
        <f t="shared" si="0"/>
        <v>452610</v>
      </c>
      <c r="I35" s="65">
        <v>0</v>
      </c>
      <c r="J35" s="65">
        <v>0</v>
      </c>
      <c r="K35" s="65">
        <v>0</v>
      </c>
      <c r="L35" s="65">
        <v>0</v>
      </c>
      <c r="M35" s="63">
        <v>867160</v>
      </c>
      <c r="N35" s="1"/>
      <c r="O35" s="65">
        <v>407349</v>
      </c>
      <c r="P35" s="65">
        <v>45261</v>
      </c>
    </row>
    <row r="36" spans="1:16" ht="16" hidden="1" customHeight="1" outlineLevel="1" x14ac:dyDescent="0.45">
      <c r="A36" s="29" t="s">
        <v>24</v>
      </c>
      <c r="B36" s="44">
        <v>17346940</v>
      </c>
      <c r="C36" s="63">
        <v>3531860.0000000019</v>
      </c>
      <c r="D36" s="63">
        <v>1691790</v>
      </c>
      <c r="E36" s="64">
        <v>12123289.999999998</v>
      </c>
      <c r="F36" s="63">
        <v>6011834.7141880319</v>
      </c>
      <c r="G36" s="63">
        <v>1702279.3751138104</v>
      </c>
      <c r="H36" s="65">
        <f t="shared" si="0"/>
        <v>552665.91069815715</v>
      </c>
      <c r="I36" s="65">
        <v>272022.45190630254</v>
      </c>
      <c r="J36" s="65">
        <v>259064.34593202817</v>
      </c>
      <c r="K36" s="65">
        <v>1544382.9808677216</v>
      </c>
      <c r="L36" s="65">
        <v>186970.22129394769</v>
      </c>
      <c r="M36" s="63">
        <v>1594070</v>
      </c>
      <c r="N36" s="1"/>
      <c r="O36" s="65">
        <v>487919.45570267318</v>
      </c>
      <c r="P36" s="65">
        <v>64746.454995484019</v>
      </c>
    </row>
    <row r="37" spans="1:16" ht="16" hidden="1" customHeight="1" outlineLevel="1" x14ac:dyDescent="0.45">
      <c r="A37" s="29" t="s">
        <v>122</v>
      </c>
      <c r="B37" s="44">
        <v>281406110</v>
      </c>
      <c r="C37" s="63">
        <v>0</v>
      </c>
      <c r="D37" s="63">
        <v>0</v>
      </c>
      <c r="E37" s="64">
        <v>281406110</v>
      </c>
      <c r="F37" s="63">
        <v>24718920</v>
      </c>
      <c r="G37" s="63">
        <v>0</v>
      </c>
      <c r="H37" s="65">
        <f t="shared" si="0"/>
        <v>248131590</v>
      </c>
      <c r="I37" s="65">
        <v>0</v>
      </c>
      <c r="J37" s="65">
        <v>0</v>
      </c>
      <c r="K37" s="65">
        <v>8555600</v>
      </c>
      <c r="L37" s="65">
        <v>0</v>
      </c>
      <c r="M37" s="63">
        <v>0</v>
      </c>
      <c r="N37" s="1"/>
      <c r="O37" s="65">
        <v>223318431</v>
      </c>
      <c r="P37" s="65">
        <v>24813159</v>
      </c>
    </row>
    <row r="38" spans="1:16" ht="16" hidden="1" customHeight="1" outlineLevel="1" x14ac:dyDescent="0.45">
      <c r="A38" s="29" t="s">
        <v>123</v>
      </c>
      <c r="B38" s="44">
        <v>48855810</v>
      </c>
      <c r="C38" s="63">
        <v>0</v>
      </c>
      <c r="D38" s="63">
        <v>0</v>
      </c>
      <c r="E38" s="64">
        <v>48855810</v>
      </c>
      <c r="F38" s="63">
        <v>4482620</v>
      </c>
      <c r="G38" s="63">
        <v>0</v>
      </c>
      <c r="H38" s="65">
        <f t="shared" si="0"/>
        <v>42928250</v>
      </c>
      <c r="I38" s="65">
        <v>0</v>
      </c>
      <c r="J38" s="65">
        <v>0</v>
      </c>
      <c r="K38" s="65">
        <v>1444940</v>
      </c>
      <c r="L38" s="65">
        <v>0</v>
      </c>
      <c r="M38" s="63">
        <v>0</v>
      </c>
      <c r="N38" s="1"/>
      <c r="O38" s="65">
        <v>38635425</v>
      </c>
      <c r="P38" s="65">
        <v>4292825</v>
      </c>
    </row>
    <row r="39" spans="1:16" ht="16" hidden="1" customHeight="1" outlineLevel="1" x14ac:dyDescent="0.45">
      <c r="A39" s="29" t="s">
        <v>124</v>
      </c>
      <c r="B39" s="44">
        <v>600000</v>
      </c>
      <c r="C39" s="63">
        <v>0</v>
      </c>
      <c r="D39" s="63">
        <v>0</v>
      </c>
      <c r="E39" s="64">
        <v>600000</v>
      </c>
      <c r="F39" s="63">
        <v>0</v>
      </c>
      <c r="G39" s="63">
        <v>0</v>
      </c>
      <c r="H39" s="65">
        <f t="shared" si="0"/>
        <v>600000</v>
      </c>
      <c r="I39" s="65">
        <v>0</v>
      </c>
      <c r="J39" s="65">
        <v>0</v>
      </c>
      <c r="K39" s="65">
        <v>0</v>
      </c>
      <c r="L39" s="65">
        <v>0</v>
      </c>
      <c r="M39" s="63">
        <v>0</v>
      </c>
      <c r="N39" s="1"/>
      <c r="O39" s="65">
        <v>540000</v>
      </c>
      <c r="P39" s="65">
        <v>60000</v>
      </c>
    </row>
    <row r="40" spans="1:16" ht="16" hidden="1" customHeight="1" outlineLevel="1" x14ac:dyDescent="0.45">
      <c r="A40" s="29" t="s">
        <v>125</v>
      </c>
      <c r="B40" s="44">
        <v>0</v>
      </c>
      <c r="C40" s="63">
        <v>0</v>
      </c>
      <c r="D40" s="63">
        <v>0</v>
      </c>
      <c r="E40" s="64">
        <v>0</v>
      </c>
      <c r="F40" s="63">
        <v>0</v>
      </c>
      <c r="G40" s="63">
        <v>0</v>
      </c>
      <c r="H40" s="65">
        <f t="shared" si="0"/>
        <v>0</v>
      </c>
      <c r="I40" s="65">
        <v>0</v>
      </c>
      <c r="J40" s="65">
        <v>0</v>
      </c>
      <c r="K40" s="65">
        <v>0</v>
      </c>
      <c r="L40" s="65">
        <v>0</v>
      </c>
      <c r="M40" s="63">
        <v>0</v>
      </c>
      <c r="N40" s="1"/>
      <c r="O40" s="65">
        <v>0</v>
      </c>
      <c r="P40" s="65">
        <v>0</v>
      </c>
    </row>
    <row r="41" spans="1:16" ht="16" hidden="1" customHeight="1" outlineLevel="1" x14ac:dyDescent="0.45">
      <c r="A41" s="29" t="s">
        <v>172</v>
      </c>
      <c r="B41" s="44">
        <v>0</v>
      </c>
      <c r="C41" s="63">
        <v>0</v>
      </c>
      <c r="D41" s="63">
        <v>0</v>
      </c>
      <c r="E41" s="64">
        <v>0</v>
      </c>
      <c r="F41" s="63">
        <v>0</v>
      </c>
      <c r="G41" s="63">
        <v>0</v>
      </c>
      <c r="H41" s="65">
        <f t="shared" si="0"/>
        <v>0</v>
      </c>
      <c r="I41" s="65">
        <v>0</v>
      </c>
      <c r="J41" s="65">
        <v>0</v>
      </c>
      <c r="K41" s="65">
        <v>0</v>
      </c>
      <c r="L41" s="65">
        <v>0</v>
      </c>
      <c r="M41" s="63">
        <v>0</v>
      </c>
      <c r="N41" s="1"/>
      <c r="O41" s="65">
        <v>0</v>
      </c>
      <c r="P41" s="65">
        <v>0</v>
      </c>
    </row>
    <row r="42" spans="1:16" ht="16" hidden="1" customHeight="1" outlineLevel="1" x14ac:dyDescent="0.45">
      <c r="A42" s="29" t="s">
        <v>173</v>
      </c>
      <c r="B42" s="44">
        <v>0</v>
      </c>
      <c r="C42" s="63">
        <v>0</v>
      </c>
      <c r="D42" s="63">
        <v>0</v>
      </c>
      <c r="E42" s="64">
        <v>0</v>
      </c>
      <c r="F42" s="63">
        <v>0</v>
      </c>
      <c r="G42" s="63">
        <v>0</v>
      </c>
      <c r="H42" s="65">
        <f t="shared" si="0"/>
        <v>0</v>
      </c>
      <c r="I42" s="65">
        <v>0</v>
      </c>
      <c r="J42" s="65">
        <v>0</v>
      </c>
      <c r="K42" s="65">
        <v>0</v>
      </c>
      <c r="L42" s="65">
        <v>0</v>
      </c>
      <c r="M42" s="63">
        <v>0</v>
      </c>
      <c r="N42" s="1"/>
      <c r="O42" s="65">
        <v>0</v>
      </c>
      <c r="P42" s="65">
        <v>0</v>
      </c>
    </row>
    <row r="43" spans="1:16" ht="16" hidden="1" customHeight="1" outlineLevel="1" x14ac:dyDescent="0.45">
      <c r="A43" s="29" t="s">
        <v>25</v>
      </c>
      <c r="B43" s="44">
        <v>27440000</v>
      </c>
      <c r="C43" s="63">
        <v>6505000</v>
      </c>
      <c r="D43" s="63">
        <v>2945000</v>
      </c>
      <c r="E43" s="64">
        <v>17990000</v>
      </c>
      <c r="F43" s="63">
        <v>10116683.719397862</v>
      </c>
      <c r="G43" s="63">
        <v>3832431.9923911858</v>
      </c>
      <c r="H43" s="65">
        <f t="shared" si="0"/>
        <v>1095884.2882109524</v>
      </c>
      <c r="I43" s="65">
        <v>256344.50665992947</v>
      </c>
      <c r="J43" s="65">
        <v>255203.21255758411</v>
      </c>
      <c r="K43" s="65">
        <v>556984.74985623593</v>
      </c>
      <c r="L43" s="65">
        <v>326467.53092625045</v>
      </c>
      <c r="M43" s="63">
        <v>1550000</v>
      </c>
      <c r="N43" s="1"/>
      <c r="O43" s="65">
        <v>984336.68751188577</v>
      </c>
      <c r="P43" s="65">
        <v>111547.60069906669</v>
      </c>
    </row>
    <row r="44" spans="1:16" ht="16" hidden="1" customHeight="1" outlineLevel="1" x14ac:dyDescent="0.45">
      <c r="A44" s="29" t="s">
        <v>174</v>
      </c>
      <c r="B44" s="44">
        <v>0</v>
      </c>
      <c r="C44" s="63">
        <v>0</v>
      </c>
      <c r="D44" s="63">
        <v>0</v>
      </c>
      <c r="E44" s="64">
        <v>0</v>
      </c>
      <c r="F44" s="63">
        <v>0</v>
      </c>
      <c r="G44" s="63">
        <v>0</v>
      </c>
      <c r="H44" s="65">
        <f t="shared" si="0"/>
        <v>0</v>
      </c>
      <c r="I44" s="65">
        <v>0</v>
      </c>
      <c r="J44" s="65">
        <v>0</v>
      </c>
      <c r="K44" s="65">
        <v>0</v>
      </c>
      <c r="L44" s="65">
        <v>0</v>
      </c>
      <c r="M44" s="63">
        <v>0</v>
      </c>
      <c r="N44" s="1"/>
      <c r="O44" s="65">
        <v>0</v>
      </c>
      <c r="P44" s="65">
        <v>0</v>
      </c>
    </row>
    <row r="45" spans="1:16" ht="16" hidden="1" customHeight="1" outlineLevel="1" x14ac:dyDescent="0.45">
      <c r="A45" s="29" t="s">
        <v>126</v>
      </c>
      <c r="B45" s="44">
        <v>20600000</v>
      </c>
      <c r="C45" s="63">
        <v>0</v>
      </c>
      <c r="D45" s="63">
        <v>0</v>
      </c>
      <c r="E45" s="64">
        <v>20600000</v>
      </c>
      <c r="F45" s="63">
        <v>1840000</v>
      </c>
      <c r="G45" s="63">
        <v>0</v>
      </c>
      <c r="H45" s="65">
        <f t="shared" si="0"/>
        <v>18140000</v>
      </c>
      <c r="I45" s="65">
        <v>0</v>
      </c>
      <c r="J45" s="65">
        <v>0</v>
      </c>
      <c r="K45" s="65">
        <v>620000</v>
      </c>
      <c r="L45" s="65">
        <v>0</v>
      </c>
      <c r="M45" s="63">
        <v>0</v>
      </c>
      <c r="N45" s="1"/>
      <c r="O45" s="65">
        <v>16326000</v>
      </c>
      <c r="P45" s="65">
        <v>1814000</v>
      </c>
    </row>
    <row r="46" spans="1:16" ht="16" hidden="1" customHeight="1" outlineLevel="1" x14ac:dyDescent="0.45">
      <c r="A46" s="29" t="s">
        <v>175</v>
      </c>
      <c r="B46" s="44">
        <v>0</v>
      </c>
      <c r="C46" s="63">
        <v>0</v>
      </c>
      <c r="D46" s="63">
        <v>0</v>
      </c>
      <c r="E46" s="64">
        <v>0</v>
      </c>
      <c r="F46" s="63">
        <v>0</v>
      </c>
      <c r="G46" s="63">
        <v>0</v>
      </c>
      <c r="H46" s="65">
        <f t="shared" si="0"/>
        <v>0</v>
      </c>
      <c r="I46" s="65">
        <v>0</v>
      </c>
      <c r="J46" s="65">
        <v>0</v>
      </c>
      <c r="K46" s="65">
        <v>0</v>
      </c>
      <c r="L46" s="65">
        <v>0</v>
      </c>
      <c r="M46" s="63">
        <v>0</v>
      </c>
      <c r="N46" s="1"/>
      <c r="O46" s="65">
        <v>0</v>
      </c>
      <c r="P46" s="65">
        <v>0</v>
      </c>
    </row>
    <row r="47" spans="1:16" ht="16" hidden="1" customHeight="1" outlineLevel="1" x14ac:dyDescent="0.45">
      <c r="A47" s="29" t="s">
        <v>176</v>
      </c>
      <c r="B47" s="44">
        <v>0</v>
      </c>
      <c r="C47" s="63">
        <v>0</v>
      </c>
      <c r="D47" s="63">
        <v>0</v>
      </c>
      <c r="E47" s="64">
        <v>0</v>
      </c>
      <c r="F47" s="63">
        <v>0</v>
      </c>
      <c r="G47" s="63">
        <v>0</v>
      </c>
      <c r="H47" s="65">
        <f t="shared" si="0"/>
        <v>0</v>
      </c>
      <c r="I47" s="65">
        <v>0</v>
      </c>
      <c r="J47" s="65">
        <v>0</v>
      </c>
      <c r="K47" s="65">
        <v>0</v>
      </c>
      <c r="L47" s="65">
        <v>0</v>
      </c>
      <c r="M47" s="63">
        <v>0</v>
      </c>
      <c r="N47" s="1"/>
      <c r="O47" s="65">
        <v>0</v>
      </c>
      <c r="P47" s="65">
        <v>0</v>
      </c>
    </row>
    <row r="48" spans="1:16" ht="16" hidden="1" customHeight="1" outlineLevel="1" x14ac:dyDescent="0.45">
      <c r="A48" s="29" t="s">
        <v>26</v>
      </c>
      <c r="B48" s="44">
        <v>4052222980</v>
      </c>
      <c r="C48" s="63">
        <v>75688680</v>
      </c>
      <c r="D48" s="63">
        <v>65464200</v>
      </c>
      <c r="E48" s="64">
        <v>3911070100</v>
      </c>
      <c r="F48" s="63">
        <v>2590407108.3134875</v>
      </c>
      <c r="G48" s="63">
        <v>861915641.68651259</v>
      </c>
      <c r="H48" s="65">
        <f t="shared" si="0"/>
        <v>25450120</v>
      </c>
      <c r="I48" s="65">
        <v>27329485</v>
      </c>
      <c r="J48" s="65">
        <v>25702425</v>
      </c>
      <c r="K48" s="65">
        <v>108986280</v>
      </c>
      <c r="L48" s="65">
        <v>252414310</v>
      </c>
      <c r="M48" s="63">
        <v>18864730</v>
      </c>
      <c r="N48" s="1"/>
      <c r="O48" s="65">
        <v>22905108</v>
      </c>
      <c r="P48" s="65">
        <v>2545012</v>
      </c>
    </row>
    <row r="49" spans="1:16" ht="16" hidden="1" customHeight="1" outlineLevel="1" x14ac:dyDescent="0.45">
      <c r="A49" s="29" t="s">
        <v>27</v>
      </c>
      <c r="B49" s="44">
        <v>727723900</v>
      </c>
      <c r="C49" s="63">
        <v>12896600</v>
      </c>
      <c r="D49" s="63">
        <v>10987940</v>
      </c>
      <c r="E49" s="64">
        <v>703839360</v>
      </c>
      <c r="F49" s="63">
        <v>472971505.28936082</v>
      </c>
      <c r="G49" s="63">
        <v>152869784.71063918</v>
      </c>
      <c r="H49" s="65">
        <f t="shared" si="0"/>
        <v>4630010</v>
      </c>
      <c r="I49" s="65">
        <v>4352570</v>
      </c>
      <c r="J49" s="65">
        <v>4058670</v>
      </c>
      <c r="K49" s="65">
        <v>18509260</v>
      </c>
      <c r="L49" s="65">
        <v>43270080</v>
      </c>
      <c r="M49" s="63">
        <v>3177480</v>
      </c>
      <c r="N49" s="1"/>
      <c r="O49" s="65">
        <v>4167009</v>
      </c>
      <c r="P49" s="65">
        <v>463001</v>
      </c>
    </row>
    <row r="50" spans="1:16" ht="16" hidden="1" customHeight="1" outlineLevel="1" x14ac:dyDescent="0.45">
      <c r="A50" s="29" t="s">
        <v>28</v>
      </c>
      <c r="B50" s="44">
        <v>132706510</v>
      </c>
      <c r="C50" s="63">
        <v>6290330</v>
      </c>
      <c r="D50" s="63">
        <v>600000</v>
      </c>
      <c r="E50" s="64">
        <v>125816180</v>
      </c>
      <c r="F50" s="63">
        <v>91025850</v>
      </c>
      <c r="G50" s="63">
        <v>25600000</v>
      </c>
      <c r="H50" s="65">
        <f t="shared" si="0"/>
        <v>1200000</v>
      </c>
      <c r="I50" s="65">
        <v>445165</v>
      </c>
      <c r="J50" s="65">
        <v>445165</v>
      </c>
      <c r="K50" s="65">
        <v>2700000</v>
      </c>
      <c r="L50" s="65">
        <v>4400000</v>
      </c>
      <c r="M50" s="63">
        <v>0</v>
      </c>
      <c r="N50" s="1"/>
      <c r="O50" s="65">
        <v>1080000</v>
      </c>
      <c r="P50" s="65">
        <v>120000</v>
      </c>
    </row>
    <row r="51" spans="1:16" ht="16" hidden="1" customHeight="1" outlineLevel="1" x14ac:dyDescent="0.45">
      <c r="A51" s="29" t="s">
        <v>29</v>
      </c>
      <c r="B51" s="44">
        <v>283530000</v>
      </c>
      <c r="C51" s="63">
        <v>4580000</v>
      </c>
      <c r="D51" s="63">
        <v>4380000</v>
      </c>
      <c r="E51" s="64">
        <v>274570000</v>
      </c>
      <c r="F51" s="63">
        <v>183397592.43543839</v>
      </c>
      <c r="G51" s="63">
        <v>59772407.564561605</v>
      </c>
      <c r="H51" s="65">
        <f t="shared" si="0"/>
        <v>1705000</v>
      </c>
      <c r="I51" s="65">
        <v>1932500</v>
      </c>
      <c r="J51" s="65">
        <v>1777500</v>
      </c>
      <c r="K51" s="65">
        <v>7365000</v>
      </c>
      <c r="L51" s="65">
        <v>17300000</v>
      </c>
      <c r="M51" s="63">
        <v>1320000</v>
      </c>
      <c r="N51" s="1"/>
      <c r="O51" s="65">
        <v>1534500</v>
      </c>
      <c r="P51" s="65">
        <v>170500</v>
      </c>
    </row>
    <row r="52" spans="1:16" ht="16" hidden="1" customHeight="1" outlineLevel="1" x14ac:dyDescent="0.45">
      <c r="A52" s="29" t="s">
        <v>127</v>
      </c>
      <c r="B52" s="44">
        <v>120000</v>
      </c>
      <c r="C52" s="63">
        <v>60000</v>
      </c>
      <c r="D52" s="63">
        <v>40000</v>
      </c>
      <c r="E52" s="64">
        <v>20000</v>
      </c>
      <c r="F52" s="63">
        <v>20000</v>
      </c>
      <c r="G52" s="63">
        <v>0</v>
      </c>
      <c r="H52" s="65">
        <f t="shared" si="0"/>
        <v>0</v>
      </c>
      <c r="I52" s="65">
        <v>0</v>
      </c>
      <c r="J52" s="65">
        <v>0</v>
      </c>
      <c r="K52" s="65">
        <v>0</v>
      </c>
      <c r="L52" s="65">
        <v>0</v>
      </c>
      <c r="M52" s="63">
        <v>0</v>
      </c>
      <c r="N52" s="1"/>
      <c r="O52" s="65">
        <v>0</v>
      </c>
      <c r="P52" s="65">
        <v>0</v>
      </c>
    </row>
    <row r="53" spans="1:16" ht="16" hidden="1" customHeight="1" outlineLevel="1" x14ac:dyDescent="0.45">
      <c r="A53" s="29" t="s">
        <v>177</v>
      </c>
      <c r="B53" s="44">
        <v>0</v>
      </c>
      <c r="C53" s="63">
        <v>0</v>
      </c>
      <c r="D53" s="63">
        <v>0</v>
      </c>
      <c r="E53" s="64">
        <v>0</v>
      </c>
      <c r="F53" s="63">
        <v>0</v>
      </c>
      <c r="G53" s="63">
        <v>0</v>
      </c>
      <c r="H53" s="65">
        <f t="shared" si="0"/>
        <v>0</v>
      </c>
      <c r="I53" s="65">
        <v>0</v>
      </c>
      <c r="J53" s="65">
        <v>0</v>
      </c>
      <c r="K53" s="65">
        <v>0</v>
      </c>
      <c r="L53" s="65">
        <v>0</v>
      </c>
      <c r="M53" s="63">
        <v>0</v>
      </c>
      <c r="N53" s="1"/>
      <c r="O53" s="65">
        <v>0</v>
      </c>
      <c r="P53" s="65">
        <v>0</v>
      </c>
    </row>
    <row r="54" spans="1:16" ht="16" hidden="1" customHeight="1" outlineLevel="1" x14ac:dyDescent="0.45">
      <c r="A54" s="29" t="s">
        <v>30</v>
      </c>
      <c r="B54" s="44">
        <v>7765290</v>
      </c>
      <c r="C54" s="63">
        <v>0</v>
      </c>
      <c r="D54" s="63">
        <v>0</v>
      </c>
      <c r="E54" s="64">
        <v>7765290</v>
      </c>
      <c r="F54" s="63">
        <v>7417910</v>
      </c>
      <c r="G54" s="63">
        <v>176100</v>
      </c>
      <c r="H54" s="65">
        <f t="shared" si="0"/>
        <v>0</v>
      </c>
      <c r="I54" s="65">
        <v>0</v>
      </c>
      <c r="J54" s="65">
        <v>0</v>
      </c>
      <c r="K54" s="65">
        <v>0</v>
      </c>
      <c r="L54" s="65">
        <v>171280</v>
      </c>
      <c r="M54" s="63">
        <v>0</v>
      </c>
      <c r="N54" s="1"/>
      <c r="O54" s="65">
        <v>0</v>
      </c>
      <c r="P54" s="65">
        <v>0</v>
      </c>
    </row>
    <row r="55" spans="1:16" ht="16" hidden="1" customHeight="1" outlineLevel="1" x14ac:dyDescent="0.45">
      <c r="A55" s="29" t="s">
        <v>128</v>
      </c>
      <c r="B55" s="44">
        <v>59582880</v>
      </c>
      <c r="C55" s="63">
        <v>0</v>
      </c>
      <c r="D55" s="63">
        <v>0</v>
      </c>
      <c r="E55" s="64">
        <v>59582880</v>
      </c>
      <c r="F55" s="63">
        <v>0</v>
      </c>
      <c r="G55" s="63">
        <v>0</v>
      </c>
      <c r="H55" s="65">
        <f t="shared" si="0"/>
        <v>0</v>
      </c>
      <c r="I55" s="65">
        <v>0</v>
      </c>
      <c r="J55" s="65">
        <v>0</v>
      </c>
      <c r="K55" s="65">
        <v>0</v>
      </c>
      <c r="L55" s="65">
        <v>59582880</v>
      </c>
      <c r="M55" s="63">
        <v>0</v>
      </c>
      <c r="N55" s="1"/>
      <c r="O55" s="65">
        <v>0</v>
      </c>
      <c r="P55" s="65">
        <v>0</v>
      </c>
    </row>
    <row r="56" spans="1:16" ht="16" hidden="1" customHeight="1" outlineLevel="1" x14ac:dyDescent="0.45">
      <c r="A56" s="29" t="s">
        <v>129</v>
      </c>
      <c r="B56" s="44">
        <v>0</v>
      </c>
      <c r="C56" s="63">
        <v>0</v>
      </c>
      <c r="D56" s="63">
        <v>0</v>
      </c>
      <c r="E56" s="64">
        <v>0</v>
      </c>
      <c r="F56" s="63">
        <v>0</v>
      </c>
      <c r="G56" s="63">
        <v>0</v>
      </c>
      <c r="H56" s="65">
        <f t="shared" si="0"/>
        <v>0</v>
      </c>
      <c r="I56" s="65">
        <v>0</v>
      </c>
      <c r="J56" s="65">
        <v>0</v>
      </c>
      <c r="K56" s="65">
        <v>0</v>
      </c>
      <c r="L56" s="65">
        <v>0</v>
      </c>
      <c r="M56" s="63">
        <v>0</v>
      </c>
      <c r="N56" s="1"/>
      <c r="O56" s="65">
        <v>0</v>
      </c>
      <c r="P56" s="65">
        <v>0</v>
      </c>
    </row>
    <row r="57" spans="1:16" ht="16" hidden="1" customHeight="1" outlineLevel="1" x14ac:dyDescent="0.45">
      <c r="A57" s="29" t="s">
        <v>178</v>
      </c>
      <c r="B57" s="44">
        <v>0</v>
      </c>
      <c r="C57" s="63">
        <v>0</v>
      </c>
      <c r="D57" s="63">
        <v>0</v>
      </c>
      <c r="E57" s="64">
        <v>0</v>
      </c>
      <c r="F57" s="63">
        <v>0</v>
      </c>
      <c r="G57" s="63">
        <v>0</v>
      </c>
      <c r="H57" s="65">
        <f t="shared" si="0"/>
        <v>0</v>
      </c>
      <c r="I57" s="65">
        <v>0</v>
      </c>
      <c r="J57" s="65">
        <v>0</v>
      </c>
      <c r="K57" s="65">
        <v>0</v>
      </c>
      <c r="L57" s="65">
        <v>0</v>
      </c>
      <c r="M57" s="63">
        <v>0</v>
      </c>
      <c r="N57" s="1"/>
      <c r="O57" s="65">
        <v>0</v>
      </c>
      <c r="P57" s="65">
        <v>0</v>
      </c>
    </row>
    <row r="58" spans="1:16" ht="16" hidden="1" customHeight="1" outlineLevel="1" x14ac:dyDescent="0.45">
      <c r="A58" s="29" t="s">
        <v>31</v>
      </c>
      <c r="B58" s="44">
        <v>19816600</v>
      </c>
      <c r="C58" s="63">
        <v>2826960</v>
      </c>
      <c r="D58" s="63">
        <v>153170</v>
      </c>
      <c r="E58" s="64">
        <v>16836470</v>
      </c>
      <c r="F58" s="63">
        <v>10730850.638851603</v>
      </c>
      <c r="G58" s="63">
        <v>5346829.3611483965</v>
      </c>
      <c r="H58" s="65">
        <f t="shared" si="0"/>
        <v>468940</v>
      </c>
      <c r="I58" s="65">
        <v>0</v>
      </c>
      <c r="J58" s="65">
        <v>0</v>
      </c>
      <c r="K58" s="65">
        <v>0</v>
      </c>
      <c r="L58" s="65">
        <v>66420</v>
      </c>
      <c r="M58" s="63">
        <v>223430</v>
      </c>
      <c r="N58" s="1"/>
      <c r="O58" s="65">
        <v>422046</v>
      </c>
      <c r="P58" s="65">
        <v>46894</v>
      </c>
    </row>
    <row r="59" spans="1:16" ht="16" hidden="1" customHeight="1" outlineLevel="1" x14ac:dyDescent="0.45">
      <c r="A59" s="29" t="s">
        <v>113</v>
      </c>
      <c r="B59" s="44">
        <v>0</v>
      </c>
      <c r="C59" s="63">
        <v>0</v>
      </c>
      <c r="D59" s="63">
        <v>0</v>
      </c>
      <c r="E59" s="64">
        <v>0</v>
      </c>
      <c r="F59" s="63">
        <v>0</v>
      </c>
      <c r="G59" s="63">
        <v>0</v>
      </c>
      <c r="H59" s="65">
        <f t="shared" si="0"/>
        <v>0</v>
      </c>
      <c r="I59" s="65">
        <v>0</v>
      </c>
      <c r="J59" s="65">
        <v>0</v>
      </c>
      <c r="K59" s="65">
        <v>0</v>
      </c>
      <c r="L59" s="65">
        <v>0</v>
      </c>
      <c r="M59" s="63">
        <v>0</v>
      </c>
      <c r="N59" s="1"/>
      <c r="O59" s="65">
        <v>0</v>
      </c>
      <c r="P59" s="65">
        <v>0</v>
      </c>
    </row>
    <row r="60" spans="1:16" ht="16" hidden="1" customHeight="1" outlineLevel="1" x14ac:dyDescent="0.45">
      <c r="A60" s="29" t="s">
        <v>32</v>
      </c>
      <c r="B60" s="44">
        <v>9914740</v>
      </c>
      <c r="C60" s="63">
        <v>1200000</v>
      </c>
      <c r="D60" s="63">
        <v>500000</v>
      </c>
      <c r="E60" s="64">
        <v>8214740</v>
      </c>
      <c r="F60" s="63">
        <v>2759493.6020024074</v>
      </c>
      <c r="G60" s="63">
        <v>3955246.3979975926</v>
      </c>
      <c r="H60" s="65">
        <f t="shared" si="0"/>
        <v>0</v>
      </c>
      <c r="I60" s="65">
        <v>0</v>
      </c>
      <c r="J60" s="65">
        <v>0</v>
      </c>
      <c r="K60" s="65">
        <v>0</v>
      </c>
      <c r="L60" s="65">
        <v>500000</v>
      </c>
      <c r="M60" s="63">
        <v>1000000</v>
      </c>
      <c r="N60" s="1"/>
      <c r="O60" s="65">
        <v>0</v>
      </c>
      <c r="P60" s="65">
        <v>0</v>
      </c>
    </row>
    <row r="61" spans="1:16" ht="16" hidden="1" customHeight="1" outlineLevel="1" x14ac:dyDescent="0.45">
      <c r="A61" s="29" t="s">
        <v>130</v>
      </c>
      <c r="B61" s="44">
        <v>0</v>
      </c>
      <c r="C61" s="63">
        <v>0</v>
      </c>
      <c r="D61" s="63">
        <v>0</v>
      </c>
      <c r="E61" s="64">
        <v>0</v>
      </c>
      <c r="F61" s="63">
        <v>0</v>
      </c>
      <c r="G61" s="63">
        <v>0</v>
      </c>
      <c r="H61" s="65">
        <f t="shared" si="0"/>
        <v>0</v>
      </c>
      <c r="I61" s="65">
        <v>0</v>
      </c>
      <c r="J61" s="65">
        <v>0</v>
      </c>
      <c r="K61" s="65">
        <v>0</v>
      </c>
      <c r="L61" s="65">
        <v>0</v>
      </c>
      <c r="M61" s="63">
        <v>0</v>
      </c>
      <c r="N61" s="1"/>
      <c r="O61" s="65">
        <v>0</v>
      </c>
      <c r="P61" s="65">
        <v>0</v>
      </c>
    </row>
    <row r="62" spans="1:16" ht="16" hidden="1" customHeight="1" outlineLevel="1" x14ac:dyDescent="0.45">
      <c r="A62" s="29" t="s">
        <v>302</v>
      </c>
      <c r="B62" s="44">
        <v>0</v>
      </c>
      <c r="C62" s="63">
        <v>0</v>
      </c>
      <c r="D62" s="63">
        <v>0</v>
      </c>
      <c r="E62" s="64">
        <v>0</v>
      </c>
      <c r="F62" s="63">
        <v>0</v>
      </c>
      <c r="G62" s="63">
        <v>0</v>
      </c>
      <c r="H62" s="65">
        <f t="shared" si="0"/>
        <v>0</v>
      </c>
      <c r="I62" s="65">
        <v>0</v>
      </c>
      <c r="J62" s="65">
        <v>0</v>
      </c>
      <c r="K62" s="65">
        <v>0</v>
      </c>
      <c r="L62" s="65">
        <v>0</v>
      </c>
      <c r="M62" s="63">
        <v>0</v>
      </c>
      <c r="N62" s="1"/>
      <c r="O62" s="65">
        <v>0</v>
      </c>
      <c r="P62" s="65">
        <v>0</v>
      </c>
    </row>
    <row r="63" spans="1:16" ht="16" customHeight="1" collapsed="1" x14ac:dyDescent="0.45">
      <c r="A63" s="28" t="s">
        <v>33</v>
      </c>
      <c r="B63" s="43">
        <v>903872764</v>
      </c>
      <c r="C63" s="60">
        <v>869814664</v>
      </c>
      <c r="D63" s="60">
        <v>0</v>
      </c>
      <c r="E63" s="61">
        <v>34058100</v>
      </c>
      <c r="F63" s="60">
        <v>1100000</v>
      </c>
      <c r="G63" s="60">
        <v>0</v>
      </c>
      <c r="H63" s="62">
        <f t="shared" si="0"/>
        <v>24988100</v>
      </c>
      <c r="I63" s="62">
        <v>0</v>
      </c>
      <c r="J63" s="62">
        <v>0</v>
      </c>
      <c r="K63" s="62">
        <v>870000</v>
      </c>
      <c r="L63" s="62">
        <v>7100000</v>
      </c>
      <c r="M63" s="60">
        <v>0</v>
      </c>
      <c r="N63" s="1"/>
      <c r="O63" s="62">
        <v>22489290</v>
      </c>
      <c r="P63" s="62">
        <v>2498810</v>
      </c>
    </row>
    <row r="64" spans="1:16" s="1" customFormat="1" hidden="1" outlineLevel="1" collapsed="1" x14ac:dyDescent="0.45">
      <c r="A64" s="29" t="s">
        <v>34</v>
      </c>
      <c r="B64" s="44">
        <v>111799000</v>
      </c>
      <c r="C64" s="63">
        <v>111799000</v>
      </c>
      <c r="D64" s="63">
        <v>0</v>
      </c>
      <c r="E64" s="64">
        <v>0</v>
      </c>
      <c r="F64" s="63">
        <v>0</v>
      </c>
      <c r="G64" s="63">
        <v>0</v>
      </c>
      <c r="H64" s="65">
        <f t="shared" si="0"/>
        <v>0</v>
      </c>
      <c r="I64" s="65">
        <v>0</v>
      </c>
      <c r="J64" s="65">
        <v>0</v>
      </c>
      <c r="K64" s="65">
        <v>0</v>
      </c>
      <c r="L64" s="65">
        <v>0</v>
      </c>
      <c r="M64" s="63">
        <v>0</v>
      </c>
      <c r="O64" s="65">
        <v>0</v>
      </c>
      <c r="P64" s="65">
        <v>0</v>
      </c>
    </row>
    <row r="65" spans="1:16" ht="16" hidden="1" customHeight="1" outlineLevel="1" x14ac:dyDescent="0.45">
      <c r="A65" s="29" t="s">
        <v>179</v>
      </c>
      <c r="B65" s="44">
        <v>184797144</v>
      </c>
      <c r="C65" s="63">
        <v>184797144</v>
      </c>
      <c r="D65" s="63">
        <v>0</v>
      </c>
      <c r="E65" s="64">
        <v>0</v>
      </c>
      <c r="F65" s="63">
        <v>0</v>
      </c>
      <c r="G65" s="63">
        <v>0</v>
      </c>
      <c r="H65" s="65">
        <f t="shared" si="0"/>
        <v>0</v>
      </c>
      <c r="I65" s="65">
        <v>0</v>
      </c>
      <c r="J65" s="65">
        <v>0</v>
      </c>
      <c r="K65" s="65">
        <v>0</v>
      </c>
      <c r="L65" s="65">
        <v>0</v>
      </c>
      <c r="M65" s="63">
        <v>0</v>
      </c>
      <c r="N65" s="1"/>
      <c r="O65" s="65">
        <v>0</v>
      </c>
      <c r="P65" s="65">
        <v>0</v>
      </c>
    </row>
    <row r="66" spans="1:16" ht="16" hidden="1" customHeight="1" outlineLevel="1" x14ac:dyDescent="0.45">
      <c r="A66" s="29" t="s">
        <v>180</v>
      </c>
      <c r="B66" s="44">
        <v>0</v>
      </c>
      <c r="C66" s="63">
        <v>0</v>
      </c>
      <c r="D66" s="63">
        <v>0</v>
      </c>
      <c r="E66" s="64">
        <v>0</v>
      </c>
      <c r="F66" s="63">
        <v>0</v>
      </c>
      <c r="G66" s="63">
        <v>0</v>
      </c>
      <c r="H66" s="65">
        <f t="shared" si="0"/>
        <v>0</v>
      </c>
      <c r="I66" s="65">
        <v>0</v>
      </c>
      <c r="J66" s="65">
        <v>0</v>
      </c>
      <c r="K66" s="65">
        <v>0</v>
      </c>
      <c r="L66" s="65">
        <v>0</v>
      </c>
      <c r="M66" s="63">
        <v>0</v>
      </c>
      <c r="N66" s="1"/>
      <c r="O66" s="65">
        <v>0</v>
      </c>
      <c r="P66" s="65">
        <v>0</v>
      </c>
    </row>
    <row r="67" spans="1:16" ht="16" hidden="1" customHeight="1" outlineLevel="1" x14ac:dyDescent="0.45">
      <c r="A67" s="29" t="s">
        <v>131</v>
      </c>
      <c r="B67" s="44">
        <v>26958100</v>
      </c>
      <c r="C67" s="63">
        <v>0</v>
      </c>
      <c r="D67" s="63">
        <v>0</v>
      </c>
      <c r="E67" s="64">
        <v>26958100</v>
      </c>
      <c r="F67" s="63">
        <v>1100000</v>
      </c>
      <c r="G67" s="63">
        <v>0</v>
      </c>
      <c r="H67" s="65">
        <f t="shared" si="0"/>
        <v>24988100</v>
      </c>
      <c r="I67" s="65">
        <v>0</v>
      </c>
      <c r="J67" s="65">
        <v>0</v>
      </c>
      <c r="K67" s="65">
        <v>870000</v>
      </c>
      <c r="L67" s="65">
        <v>0</v>
      </c>
      <c r="M67" s="63">
        <v>0</v>
      </c>
      <c r="N67" s="1"/>
      <c r="O67" s="65">
        <v>22489290</v>
      </c>
      <c r="P67" s="65">
        <v>2498810</v>
      </c>
    </row>
    <row r="68" spans="1:16" ht="16" hidden="1" customHeight="1" outlineLevel="1" x14ac:dyDescent="0.45">
      <c r="A68" s="29" t="s">
        <v>35</v>
      </c>
      <c r="B68" s="44">
        <v>573218520</v>
      </c>
      <c r="C68" s="63">
        <v>573218520</v>
      </c>
      <c r="D68" s="63">
        <v>0</v>
      </c>
      <c r="E68" s="64">
        <v>0</v>
      </c>
      <c r="F68" s="63">
        <v>0</v>
      </c>
      <c r="G68" s="63">
        <v>0</v>
      </c>
      <c r="H68" s="65">
        <f t="shared" ref="H68:H131" si="1">O68+P68</f>
        <v>0</v>
      </c>
      <c r="I68" s="65">
        <v>0</v>
      </c>
      <c r="J68" s="65">
        <v>0</v>
      </c>
      <c r="K68" s="65">
        <v>0</v>
      </c>
      <c r="L68" s="65">
        <v>0</v>
      </c>
      <c r="M68" s="63">
        <v>0</v>
      </c>
      <c r="N68" s="1"/>
      <c r="O68" s="65">
        <v>0</v>
      </c>
      <c r="P68" s="65">
        <v>0</v>
      </c>
    </row>
    <row r="69" spans="1:16" ht="16" hidden="1" customHeight="1" outlineLevel="1" x14ac:dyDescent="0.45">
      <c r="A69" s="29" t="s">
        <v>132</v>
      </c>
      <c r="B69" s="44">
        <v>7100000</v>
      </c>
      <c r="C69" s="63">
        <v>0</v>
      </c>
      <c r="D69" s="63">
        <v>0</v>
      </c>
      <c r="E69" s="64">
        <v>7100000</v>
      </c>
      <c r="F69" s="63">
        <v>0</v>
      </c>
      <c r="G69" s="63">
        <v>0</v>
      </c>
      <c r="H69" s="65">
        <f t="shared" si="1"/>
        <v>0</v>
      </c>
      <c r="I69" s="65">
        <v>0</v>
      </c>
      <c r="J69" s="65">
        <v>0</v>
      </c>
      <c r="K69" s="65">
        <v>0</v>
      </c>
      <c r="L69" s="65">
        <v>7100000</v>
      </c>
      <c r="M69" s="63">
        <v>0</v>
      </c>
      <c r="N69" s="1"/>
      <c r="O69" s="65">
        <v>0</v>
      </c>
      <c r="P69" s="65">
        <v>0</v>
      </c>
    </row>
    <row r="70" spans="1:16" ht="16" customHeight="1" collapsed="1" x14ac:dyDescent="0.45">
      <c r="A70" s="28" t="s">
        <v>133</v>
      </c>
      <c r="B70" s="43">
        <v>1048680</v>
      </c>
      <c r="C70" s="60">
        <v>586680</v>
      </c>
      <c r="D70" s="60">
        <v>0</v>
      </c>
      <c r="E70" s="61">
        <v>462000</v>
      </c>
      <c r="F70" s="60">
        <v>0</v>
      </c>
      <c r="G70" s="60">
        <v>0</v>
      </c>
      <c r="H70" s="62">
        <f t="shared" si="1"/>
        <v>0</v>
      </c>
      <c r="I70" s="62">
        <v>0</v>
      </c>
      <c r="J70" s="62">
        <v>0</v>
      </c>
      <c r="K70" s="62">
        <v>0</v>
      </c>
      <c r="L70" s="62">
        <v>0</v>
      </c>
      <c r="M70" s="60">
        <v>462000</v>
      </c>
      <c r="N70" s="1"/>
      <c r="O70" s="62">
        <v>0</v>
      </c>
      <c r="P70" s="62">
        <v>0</v>
      </c>
    </row>
    <row r="71" spans="1:16" s="1" customFormat="1" collapsed="1" x14ac:dyDescent="0.45">
      <c r="A71" s="28" t="s">
        <v>36</v>
      </c>
      <c r="B71" s="43">
        <v>743627707</v>
      </c>
      <c r="C71" s="60">
        <v>39900378.000000119</v>
      </c>
      <c r="D71" s="60">
        <v>19665650</v>
      </c>
      <c r="E71" s="61">
        <v>684061678.99999988</v>
      </c>
      <c r="F71" s="60">
        <v>423295216.17044961</v>
      </c>
      <c r="G71" s="60">
        <v>134674636.6721873</v>
      </c>
      <c r="H71" s="62">
        <f t="shared" si="1"/>
        <v>36171264.157363065</v>
      </c>
      <c r="I71" s="62">
        <v>4366488.4252555538</v>
      </c>
      <c r="J71" s="62">
        <v>4242292.2092286926</v>
      </c>
      <c r="K71" s="62">
        <v>16879997.844168928</v>
      </c>
      <c r="L71" s="62">
        <v>56213909.52134683</v>
      </c>
      <c r="M71" s="60">
        <v>8217874</v>
      </c>
      <c r="O71" s="62">
        <v>32543471.033301409</v>
      </c>
      <c r="P71" s="62">
        <v>3627793.1240616585</v>
      </c>
    </row>
    <row r="72" spans="1:16" s="1" customFormat="1" hidden="1" outlineLevel="1" x14ac:dyDescent="0.45">
      <c r="A72" s="29" t="s">
        <v>37</v>
      </c>
      <c r="B72" s="44">
        <v>743627707</v>
      </c>
      <c r="C72" s="63">
        <v>39900378.000000119</v>
      </c>
      <c r="D72" s="63">
        <v>19665650</v>
      </c>
      <c r="E72" s="64">
        <v>684061678.99999988</v>
      </c>
      <c r="F72" s="63">
        <v>423295216.17044961</v>
      </c>
      <c r="G72" s="63">
        <v>134674636.6721873</v>
      </c>
      <c r="H72" s="65">
        <f t="shared" si="1"/>
        <v>36171264.157363065</v>
      </c>
      <c r="I72" s="65">
        <v>4366488.4252555538</v>
      </c>
      <c r="J72" s="65">
        <v>4242292.2092286926</v>
      </c>
      <c r="K72" s="65">
        <v>16879997.844168928</v>
      </c>
      <c r="L72" s="65">
        <v>56213909.52134683</v>
      </c>
      <c r="M72" s="63">
        <v>8217874</v>
      </c>
      <c r="O72" s="65">
        <v>32543471.033301409</v>
      </c>
      <c r="P72" s="65">
        <v>3627793.1240616585</v>
      </c>
    </row>
    <row r="73" spans="1:16" ht="16" customHeight="1" collapsed="1" x14ac:dyDescent="0.45">
      <c r="A73" s="28" t="s">
        <v>181</v>
      </c>
      <c r="B73" s="43">
        <v>11543053</v>
      </c>
      <c r="C73" s="60">
        <v>9543053</v>
      </c>
      <c r="D73" s="60">
        <v>0</v>
      </c>
      <c r="E73" s="61">
        <v>2000000</v>
      </c>
      <c r="F73" s="60">
        <v>1000000</v>
      </c>
      <c r="G73" s="60">
        <v>1000000</v>
      </c>
      <c r="H73" s="62">
        <f t="shared" si="1"/>
        <v>0</v>
      </c>
      <c r="I73" s="62">
        <v>0</v>
      </c>
      <c r="J73" s="62">
        <v>0</v>
      </c>
      <c r="K73" s="62">
        <v>0</v>
      </c>
      <c r="L73" s="62">
        <v>0</v>
      </c>
      <c r="M73" s="60">
        <v>0</v>
      </c>
      <c r="N73" s="1"/>
      <c r="O73" s="62">
        <v>0</v>
      </c>
      <c r="P73" s="62">
        <v>0</v>
      </c>
    </row>
    <row r="74" spans="1:16" s="1" customFormat="1" collapsed="1" x14ac:dyDescent="0.45">
      <c r="A74" s="28" t="s">
        <v>38</v>
      </c>
      <c r="B74" s="43">
        <v>1860378584</v>
      </c>
      <c r="C74" s="60">
        <v>208737948.00000024</v>
      </c>
      <c r="D74" s="60">
        <v>48103530</v>
      </c>
      <c r="E74" s="61">
        <v>1603537105.9999998</v>
      </c>
      <c r="F74" s="60">
        <v>973748318.05778635</v>
      </c>
      <c r="G74" s="60">
        <v>306065479.56722248</v>
      </c>
      <c r="H74" s="62">
        <f t="shared" si="1"/>
        <v>100309021.37499121</v>
      </c>
      <c r="I74" s="62">
        <v>7271959.0296622124</v>
      </c>
      <c r="J74" s="62">
        <v>7466189.846821622</v>
      </c>
      <c r="K74" s="62">
        <v>30094728.02630578</v>
      </c>
      <c r="L74" s="62">
        <v>164749960.09721038</v>
      </c>
      <c r="M74" s="60">
        <v>13831450</v>
      </c>
      <c r="O74" s="62">
        <v>90262746.149993673</v>
      </c>
      <c r="P74" s="62">
        <v>10046275.224997537</v>
      </c>
    </row>
    <row r="75" spans="1:16" s="1" customFormat="1" hidden="1" outlineLevel="1" x14ac:dyDescent="0.45">
      <c r="A75" s="29" t="s">
        <v>39</v>
      </c>
      <c r="B75" s="44">
        <v>7202000</v>
      </c>
      <c r="C75" s="63">
        <v>1202000</v>
      </c>
      <c r="D75" s="63">
        <v>4000000</v>
      </c>
      <c r="E75" s="64">
        <v>2000000</v>
      </c>
      <c r="F75" s="63">
        <v>1820123.1133011056</v>
      </c>
      <c r="G75" s="63">
        <v>179876.88669889449</v>
      </c>
      <c r="H75" s="65">
        <f t="shared" si="1"/>
        <v>0</v>
      </c>
      <c r="I75" s="65">
        <v>0</v>
      </c>
      <c r="J75" s="65">
        <v>0</v>
      </c>
      <c r="K75" s="65">
        <v>0</v>
      </c>
      <c r="L75" s="65">
        <v>0</v>
      </c>
      <c r="M75" s="63">
        <v>0</v>
      </c>
      <c r="O75" s="65">
        <v>0</v>
      </c>
      <c r="P75" s="65">
        <v>0</v>
      </c>
    </row>
    <row r="76" spans="1:16" ht="16" hidden="1" customHeight="1" outlineLevel="1" x14ac:dyDescent="0.45">
      <c r="A76" s="29" t="s">
        <v>40</v>
      </c>
      <c r="B76" s="44">
        <v>64278500</v>
      </c>
      <c r="C76" s="63">
        <v>3024993</v>
      </c>
      <c r="D76" s="63">
        <v>1779843</v>
      </c>
      <c r="E76" s="64">
        <v>59473664</v>
      </c>
      <c r="F76" s="63">
        <v>36239703.0108134</v>
      </c>
      <c r="G76" s="63">
        <v>11875279.266514696</v>
      </c>
      <c r="H76" s="65">
        <f t="shared" si="1"/>
        <v>3799475.7226718995</v>
      </c>
      <c r="I76" s="65">
        <v>405770.81208085816</v>
      </c>
      <c r="J76" s="65">
        <v>390294.57397862087</v>
      </c>
      <c r="K76" s="65">
        <v>1580540.1744265319</v>
      </c>
      <c r="L76" s="65">
        <v>4489370.4395139888</v>
      </c>
      <c r="M76" s="63">
        <v>693230</v>
      </c>
      <c r="N76" s="1"/>
      <c r="O76" s="65">
        <v>3418335.5203237678</v>
      </c>
      <c r="P76" s="65">
        <v>381140.20234813186</v>
      </c>
    </row>
    <row r="77" spans="1:16" ht="16" hidden="1" customHeight="1" outlineLevel="1" x14ac:dyDescent="0.45">
      <c r="A77" s="29" t="s">
        <v>41</v>
      </c>
      <c r="B77" s="44">
        <v>325288290</v>
      </c>
      <c r="C77" s="63">
        <v>17453800</v>
      </c>
      <c r="D77" s="63">
        <v>8602430</v>
      </c>
      <c r="E77" s="64">
        <v>299232060</v>
      </c>
      <c r="F77" s="63">
        <v>185163858.11481893</v>
      </c>
      <c r="G77" s="63">
        <v>58911309.021723278</v>
      </c>
      <c r="H77" s="65">
        <f t="shared" si="1"/>
        <v>15822552.863457777</v>
      </c>
      <c r="I77" s="65">
        <v>1910052.0234365985</v>
      </c>
      <c r="J77" s="65">
        <v>1855724.2045594687</v>
      </c>
      <c r="K77" s="65">
        <v>7383889.9675052287</v>
      </c>
      <c r="L77" s="65">
        <v>24589893.804498702</v>
      </c>
      <c r="M77" s="63">
        <v>3594780</v>
      </c>
      <c r="N77" s="1"/>
      <c r="O77" s="65">
        <v>14235631.461689599</v>
      </c>
      <c r="P77" s="65">
        <v>1586921.4017681773</v>
      </c>
    </row>
    <row r="78" spans="1:16" ht="16" hidden="1" customHeight="1" outlineLevel="1" x14ac:dyDescent="0.45">
      <c r="A78" s="29" t="s">
        <v>42</v>
      </c>
      <c r="B78" s="44">
        <v>341679140</v>
      </c>
      <c r="C78" s="63">
        <v>16682809.99999994</v>
      </c>
      <c r="D78" s="63">
        <v>8352270</v>
      </c>
      <c r="E78" s="64">
        <v>316644060.00000006</v>
      </c>
      <c r="F78" s="63">
        <v>199796488.59648573</v>
      </c>
      <c r="G78" s="63">
        <v>62339244.483373828</v>
      </c>
      <c r="H78" s="65">
        <f t="shared" si="1"/>
        <v>17583036.920140456</v>
      </c>
      <c r="I78" s="65">
        <v>1961962.4340266413</v>
      </c>
      <c r="J78" s="65">
        <v>1908938.0449458917</v>
      </c>
      <c r="K78" s="65">
        <v>7861601.3922424773</v>
      </c>
      <c r="L78" s="65">
        <v>21726568.128784992</v>
      </c>
      <c r="M78" s="63">
        <v>3466220</v>
      </c>
      <c r="N78" s="1"/>
      <c r="O78" s="65">
        <v>15821223.782501129</v>
      </c>
      <c r="P78" s="65">
        <v>1761813.1376393281</v>
      </c>
    </row>
    <row r="79" spans="1:16" ht="16" hidden="1" customHeight="1" outlineLevel="1" x14ac:dyDescent="0.45">
      <c r="A79" s="29" t="s">
        <v>43</v>
      </c>
      <c r="B79" s="44">
        <v>147110340</v>
      </c>
      <c r="C79" s="63">
        <v>6526764</v>
      </c>
      <c r="D79" s="63">
        <v>4084937</v>
      </c>
      <c r="E79" s="64">
        <v>136498639</v>
      </c>
      <c r="F79" s="63">
        <v>83174136.008240938</v>
      </c>
      <c r="G79" s="63">
        <v>27255071.306925301</v>
      </c>
      <c r="H79" s="65">
        <f t="shared" si="1"/>
        <v>8720213.6848337725</v>
      </c>
      <c r="I79" s="65">
        <v>931288.52960156056</v>
      </c>
      <c r="J79" s="65">
        <v>895768.93888326455</v>
      </c>
      <c r="K79" s="65">
        <v>3627516.2425813833</v>
      </c>
      <c r="L79" s="65">
        <v>10303604.288933791</v>
      </c>
      <c r="M79" s="63">
        <v>1591040</v>
      </c>
      <c r="N79" s="1"/>
      <c r="O79" s="65">
        <v>7845454.8130803155</v>
      </c>
      <c r="P79" s="65">
        <v>874758.87175345607</v>
      </c>
    </row>
    <row r="80" spans="1:16" ht="16" hidden="1" customHeight="1" outlineLevel="1" x14ac:dyDescent="0.45">
      <c r="A80" s="29" t="s">
        <v>134</v>
      </c>
      <c r="B80" s="44">
        <v>1500000</v>
      </c>
      <c r="C80" s="63">
        <v>1500000</v>
      </c>
      <c r="D80" s="63">
        <v>0</v>
      </c>
      <c r="E80" s="64">
        <v>0</v>
      </c>
      <c r="F80" s="63">
        <v>0</v>
      </c>
      <c r="G80" s="63">
        <v>0</v>
      </c>
      <c r="H80" s="65">
        <f t="shared" si="1"/>
        <v>0</v>
      </c>
      <c r="I80" s="65">
        <v>0</v>
      </c>
      <c r="J80" s="65">
        <v>0</v>
      </c>
      <c r="K80" s="65">
        <v>0</v>
      </c>
      <c r="L80" s="65">
        <v>0</v>
      </c>
      <c r="M80" s="63">
        <v>0</v>
      </c>
      <c r="N80" s="1"/>
      <c r="O80" s="65">
        <v>0</v>
      </c>
      <c r="P80" s="65">
        <v>0</v>
      </c>
    </row>
    <row r="81" spans="1:16" ht="16" hidden="1" customHeight="1" outlineLevel="1" x14ac:dyDescent="0.45">
      <c r="A81" s="24" t="s">
        <v>44</v>
      </c>
      <c r="B81" s="45">
        <v>305705091</v>
      </c>
      <c r="C81" s="63">
        <v>-3506000</v>
      </c>
      <c r="D81" s="63">
        <v>3650000</v>
      </c>
      <c r="E81" s="64">
        <v>305561091</v>
      </c>
      <c r="F81" s="63">
        <v>226445950.91171262</v>
      </c>
      <c r="G81" s="63">
        <v>29679940.088287387</v>
      </c>
      <c r="H81" s="65">
        <f t="shared" si="1"/>
        <v>44415200</v>
      </c>
      <c r="I81" s="65">
        <v>425383.55268382549</v>
      </c>
      <c r="J81" s="65">
        <v>964647.2339081188</v>
      </c>
      <c r="K81" s="65">
        <v>3119344.9999072491</v>
      </c>
      <c r="L81" s="65">
        <v>510624.21350080677</v>
      </c>
      <c r="M81" s="63">
        <v>0</v>
      </c>
      <c r="N81" s="1"/>
      <c r="O81" s="65">
        <v>39973680</v>
      </c>
      <c r="P81" s="65">
        <v>4441520</v>
      </c>
    </row>
    <row r="82" spans="1:16" ht="16" hidden="1" customHeight="1" outlineLevel="1" x14ac:dyDescent="0.45">
      <c r="A82" s="29" t="s">
        <v>45</v>
      </c>
      <c r="B82" s="44">
        <v>27220000</v>
      </c>
      <c r="C82" s="63">
        <v>2100000</v>
      </c>
      <c r="D82" s="63">
        <v>4670000</v>
      </c>
      <c r="E82" s="64">
        <v>20450000</v>
      </c>
      <c r="F82" s="63">
        <v>9824312.8199205045</v>
      </c>
      <c r="G82" s="63">
        <v>5625687.1800794955</v>
      </c>
      <c r="H82" s="65">
        <f t="shared" si="1"/>
        <v>1400000</v>
      </c>
      <c r="I82" s="65">
        <v>100000</v>
      </c>
      <c r="J82" s="65">
        <v>100000</v>
      </c>
      <c r="K82" s="65">
        <v>1000000</v>
      </c>
      <c r="L82" s="65">
        <v>1600000</v>
      </c>
      <c r="M82" s="63">
        <v>800000</v>
      </c>
      <c r="N82" s="1"/>
      <c r="O82" s="65">
        <v>1260000</v>
      </c>
      <c r="P82" s="65">
        <v>140000</v>
      </c>
    </row>
    <row r="83" spans="1:16" ht="16" hidden="1" customHeight="1" outlineLevel="1" x14ac:dyDescent="0.45">
      <c r="A83" s="29" t="s">
        <v>46</v>
      </c>
      <c r="B83" s="44">
        <v>117791727</v>
      </c>
      <c r="C83" s="63">
        <v>117060227</v>
      </c>
      <c r="D83" s="63">
        <v>0</v>
      </c>
      <c r="E83" s="64">
        <v>731500.00000000023</v>
      </c>
      <c r="F83" s="63">
        <v>260794.94278884633</v>
      </c>
      <c r="G83" s="63">
        <v>67552.873323855514</v>
      </c>
      <c r="H83" s="65">
        <f t="shared" si="1"/>
        <v>18152.183887298186</v>
      </c>
      <c r="I83" s="65">
        <v>59226.677832728063</v>
      </c>
      <c r="J83" s="65">
        <v>56391.850546257265</v>
      </c>
      <c r="K83" s="65">
        <v>228478.24964290869</v>
      </c>
      <c r="L83" s="65">
        <v>40903.221978106012</v>
      </c>
      <c r="M83" s="63">
        <v>0</v>
      </c>
      <c r="N83" s="1"/>
      <c r="O83" s="65">
        <v>13069.572398854694</v>
      </c>
      <c r="P83" s="65">
        <v>5082.6114884434928</v>
      </c>
    </row>
    <row r="84" spans="1:16" ht="16" hidden="1" customHeight="1" outlineLevel="1" x14ac:dyDescent="0.45">
      <c r="A84" s="29" t="s">
        <v>47</v>
      </c>
      <c r="B84" s="44">
        <v>1534090</v>
      </c>
      <c r="C84" s="63">
        <v>0</v>
      </c>
      <c r="D84" s="63">
        <v>0</v>
      </c>
      <c r="E84" s="64">
        <v>1534090</v>
      </c>
      <c r="F84" s="63">
        <v>1071237.8169596894</v>
      </c>
      <c r="G84" s="63">
        <v>229670.18304031051</v>
      </c>
      <c r="H84" s="65">
        <f t="shared" si="1"/>
        <v>0</v>
      </c>
      <c r="I84" s="65">
        <v>0</v>
      </c>
      <c r="J84" s="65">
        <v>0</v>
      </c>
      <c r="K84" s="65">
        <v>77727</v>
      </c>
      <c r="L84" s="65">
        <v>15545</v>
      </c>
      <c r="M84" s="63">
        <v>139910</v>
      </c>
      <c r="N84" s="1"/>
      <c r="O84" s="65">
        <v>0</v>
      </c>
      <c r="P84" s="65">
        <v>0</v>
      </c>
    </row>
    <row r="85" spans="1:16" ht="16" hidden="1" customHeight="1" outlineLevel="1" x14ac:dyDescent="0.45">
      <c r="A85" s="29" t="s">
        <v>246</v>
      </c>
      <c r="B85" s="44">
        <v>11400000</v>
      </c>
      <c r="C85" s="63">
        <v>0</v>
      </c>
      <c r="D85" s="63">
        <v>0</v>
      </c>
      <c r="E85" s="64">
        <v>11400000</v>
      </c>
      <c r="F85" s="63">
        <v>7750000</v>
      </c>
      <c r="G85" s="63">
        <v>3650000</v>
      </c>
      <c r="H85" s="65">
        <f t="shared" si="1"/>
        <v>0</v>
      </c>
      <c r="I85" s="65">
        <v>0</v>
      </c>
      <c r="J85" s="65">
        <v>0</v>
      </c>
      <c r="K85" s="65">
        <v>0</v>
      </c>
      <c r="L85" s="65">
        <v>0</v>
      </c>
      <c r="M85" s="63">
        <v>0</v>
      </c>
      <c r="N85" s="1"/>
      <c r="O85" s="65">
        <v>0</v>
      </c>
      <c r="P85" s="65">
        <v>0</v>
      </c>
    </row>
    <row r="86" spans="1:16" ht="16" hidden="1" customHeight="1" outlineLevel="1" x14ac:dyDescent="0.45">
      <c r="A86" s="29" t="s">
        <v>48</v>
      </c>
      <c r="B86" s="44">
        <v>60591860</v>
      </c>
      <c r="C86" s="63">
        <v>3768820</v>
      </c>
      <c r="D86" s="63">
        <v>5173050</v>
      </c>
      <c r="E86" s="64">
        <v>51649990</v>
      </c>
      <c r="F86" s="63">
        <v>28526761.620414793</v>
      </c>
      <c r="G86" s="63">
        <v>12944398.379585207</v>
      </c>
      <c r="H86" s="65">
        <f t="shared" si="1"/>
        <v>1736390</v>
      </c>
      <c r="I86" s="65">
        <v>1353275</v>
      </c>
      <c r="J86" s="65">
        <v>1269425</v>
      </c>
      <c r="K86" s="65">
        <v>3395630</v>
      </c>
      <c r="L86" s="65">
        <v>1388840</v>
      </c>
      <c r="M86" s="63">
        <v>1035270</v>
      </c>
      <c r="N86" s="1"/>
      <c r="O86" s="65">
        <v>1562751</v>
      </c>
      <c r="P86" s="65">
        <v>173639</v>
      </c>
    </row>
    <row r="87" spans="1:16" ht="16" hidden="1" customHeight="1" outlineLevel="1" x14ac:dyDescent="0.45">
      <c r="A87" s="29" t="s">
        <v>49</v>
      </c>
      <c r="B87" s="44">
        <v>11545560</v>
      </c>
      <c r="C87" s="63">
        <v>1120600</v>
      </c>
      <c r="D87" s="63">
        <v>500000</v>
      </c>
      <c r="E87" s="64">
        <v>9924960</v>
      </c>
      <c r="F87" s="63">
        <v>7151111.8830410298</v>
      </c>
      <c r="G87" s="63">
        <v>1773848.1169589702</v>
      </c>
      <c r="H87" s="65">
        <f t="shared" si="1"/>
        <v>0</v>
      </c>
      <c r="I87" s="65">
        <v>0</v>
      </c>
      <c r="J87" s="65">
        <v>0</v>
      </c>
      <c r="K87" s="65">
        <v>0</v>
      </c>
      <c r="L87" s="65">
        <v>1000000</v>
      </c>
      <c r="M87" s="63">
        <v>0</v>
      </c>
      <c r="N87" s="1"/>
      <c r="O87" s="65">
        <v>0</v>
      </c>
      <c r="P87" s="65">
        <v>0</v>
      </c>
    </row>
    <row r="88" spans="1:16" ht="16" hidden="1" customHeight="1" outlineLevel="1" x14ac:dyDescent="0.45">
      <c r="A88" s="29" t="s">
        <v>182</v>
      </c>
      <c r="B88" s="44">
        <v>0</v>
      </c>
      <c r="C88" s="63">
        <v>0</v>
      </c>
      <c r="D88" s="63">
        <v>0</v>
      </c>
      <c r="E88" s="64">
        <v>0</v>
      </c>
      <c r="F88" s="63">
        <v>0</v>
      </c>
      <c r="G88" s="63">
        <v>0</v>
      </c>
      <c r="H88" s="65">
        <f t="shared" si="1"/>
        <v>0</v>
      </c>
      <c r="I88" s="65">
        <v>0</v>
      </c>
      <c r="J88" s="65">
        <v>0</v>
      </c>
      <c r="K88" s="65">
        <v>0</v>
      </c>
      <c r="L88" s="65">
        <v>0</v>
      </c>
      <c r="M88" s="63">
        <v>0</v>
      </c>
      <c r="N88" s="1"/>
      <c r="O88" s="65">
        <v>0</v>
      </c>
      <c r="P88" s="65">
        <v>0</v>
      </c>
    </row>
    <row r="89" spans="1:16" ht="16" hidden="1" customHeight="1" outlineLevel="1" x14ac:dyDescent="0.45">
      <c r="A89" s="29" t="s">
        <v>50</v>
      </c>
      <c r="B89" s="44">
        <v>2400000</v>
      </c>
      <c r="C89" s="63">
        <v>1300000</v>
      </c>
      <c r="D89" s="63">
        <v>0</v>
      </c>
      <c r="E89" s="64">
        <v>1100000</v>
      </c>
      <c r="F89" s="63">
        <v>273018.4669951658</v>
      </c>
      <c r="G89" s="63">
        <v>826981.5330048342</v>
      </c>
      <c r="H89" s="65">
        <f t="shared" si="1"/>
        <v>0</v>
      </c>
      <c r="I89" s="65">
        <v>0</v>
      </c>
      <c r="J89" s="65">
        <v>0</v>
      </c>
      <c r="K89" s="65">
        <v>0</v>
      </c>
      <c r="L89" s="65">
        <v>0</v>
      </c>
      <c r="M89" s="63">
        <v>0</v>
      </c>
      <c r="N89" s="1"/>
      <c r="O89" s="65">
        <v>0</v>
      </c>
      <c r="P89" s="65">
        <v>0</v>
      </c>
    </row>
    <row r="90" spans="1:16" ht="16" hidden="1" customHeight="1" outlineLevel="1" x14ac:dyDescent="0.45">
      <c r="A90" s="29" t="s">
        <v>183</v>
      </c>
      <c r="B90" s="44">
        <v>0</v>
      </c>
      <c r="C90" s="63">
        <v>0</v>
      </c>
      <c r="D90" s="63">
        <v>0</v>
      </c>
      <c r="E90" s="64">
        <v>0</v>
      </c>
      <c r="F90" s="63">
        <v>0</v>
      </c>
      <c r="G90" s="63">
        <v>0</v>
      </c>
      <c r="H90" s="65">
        <f t="shared" si="1"/>
        <v>0</v>
      </c>
      <c r="I90" s="65">
        <v>0</v>
      </c>
      <c r="J90" s="65">
        <v>0</v>
      </c>
      <c r="K90" s="65">
        <v>0</v>
      </c>
      <c r="L90" s="65">
        <v>0</v>
      </c>
      <c r="M90" s="63">
        <v>0</v>
      </c>
      <c r="N90" s="1"/>
      <c r="O90" s="65">
        <v>0</v>
      </c>
      <c r="P90" s="65">
        <v>0</v>
      </c>
    </row>
    <row r="91" spans="1:16" ht="16" hidden="1" customHeight="1" outlineLevel="1" x14ac:dyDescent="0.45">
      <c r="A91" s="29" t="s">
        <v>51</v>
      </c>
      <c r="B91" s="44">
        <v>21100000</v>
      </c>
      <c r="C91" s="63">
        <v>100000</v>
      </c>
      <c r="D91" s="63">
        <v>0</v>
      </c>
      <c r="E91" s="64">
        <v>21000000</v>
      </c>
      <c r="F91" s="63">
        <v>11000000</v>
      </c>
      <c r="G91" s="63">
        <v>6700000</v>
      </c>
      <c r="H91" s="65">
        <f t="shared" si="1"/>
        <v>0</v>
      </c>
      <c r="I91" s="65">
        <v>100000</v>
      </c>
      <c r="J91" s="65">
        <v>0</v>
      </c>
      <c r="K91" s="65">
        <v>1300000</v>
      </c>
      <c r="L91" s="65">
        <v>1900000</v>
      </c>
      <c r="M91" s="63">
        <v>0</v>
      </c>
      <c r="N91" s="1"/>
      <c r="O91" s="65">
        <v>0</v>
      </c>
      <c r="P91" s="65">
        <v>0</v>
      </c>
    </row>
    <row r="92" spans="1:16" ht="16" hidden="1" customHeight="1" outlineLevel="1" x14ac:dyDescent="0.45">
      <c r="A92" s="31" t="s">
        <v>303</v>
      </c>
      <c r="B92" s="47">
        <v>0</v>
      </c>
      <c r="C92" s="63">
        <v>0</v>
      </c>
      <c r="D92" s="63">
        <v>0</v>
      </c>
      <c r="E92" s="64">
        <v>0</v>
      </c>
      <c r="F92" s="63">
        <v>0</v>
      </c>
      <c r="G92" s="63">
        <v>0</v>
      </c>
      <c r="H92" s="65">
        <f t="shared" si="1"/>
        <v>0</v>
      </c>
      <c r="I92" s="65">
        <v>0</v>
      </c>
      <c r="J92" s="65">
        <v>0</v>
      </c>
      <c r="K92" s="65">
        <v>0</v>
      </c>
      <c r="L92" s="65">
        <v>0</v>
      </c>
      <c r="M92" s="63">
        <v>0</v>
      </c>
      <c r="N92" s="1"/>
      <c r="O92" s="65">
        <v>0</v>
      </c>
      <c r="P92" s="65">
        <v>0</v>
      </c>
    </row>
    <row r="93" spans="1:16" ht="16" hidden="1" customHeight="1" outlineLevel="1" x14ac:dyDescent="0.45">
      <c r="A93" s="29" t="s">
        <v>184</v>
      </c>
      <c r="B93" s="44">
        <v>0</v>
      </c>
      <c r="C93" s="63">
        <v>0</v>
      </c>
      <c r="D93" s="63">
        <v>0</v>
      </c>
      <c r="E93" s="64">
        <v>0</v>
      </c>
      <c r="F93" s="63">
        <v>0</v>
      </c>
      <c r="G93" s="63">
        <v>0</v>
      </c>
      <c r="H93" s="65">
        <f t="shared" si="1"/>
        <v>0</v>
      </c>
      <c r="I93" s="65">
        <v>0</v>
      </c>
      <c r="J93" s="65">
        <v>0</v>
      </c>
      <c r="K93" s="65">
        <v>0</v>
      </c>
      <c r="L93" s="65">
        <v>0</v>
      </c>
      <c r="M93" s="63">
        <v>0</v>
      </c>
      <c r="N93" s="1"/>
      <c r="O93" s="65">
        <v>0</v>
      </c>
      <c r="P93" s="65">
        <v>0</v>
      </c>
    </row>
    <row r="94" spans="1:16" ht="16" hidden="1" customHeight="1" outlineLevel="1" x14ac:dyDescent="0.45">
      <c r="A94" s="31" t="s">
        <v>185</v>
      </c>
      <c r="B94" s="47">
        <v>0</v>
      </c>
      <c r="C94" s="63">
        <v>0</v>
      </c>
      <c r="D94" s="63">
        <v>0</v>
      </c>
      <c r="E94" s="64">
        <v>0</v>
      </c>
      <c r="F94" s="63">
        <v>0</v>
      </c>
      <c r="G94" s="63">
        <v>0</v>
      </c>
      <c r="H94" s="65">
        <f t="shared" si="1"/>
        <v>0</v>
      </c>
      <c r="I94" s="65">
        <v>0</v>
      </c>
      <c r="J94" s="65">
        <v>0</v>
      </c>
      <c r="K94" s="65">
        <v>0</v>
      </c>
      <c r="L94" s="65">
        <v>0</v>
      </c>
      <c r="M94" s="63">
        <v>0</v>
      </c>
      <c r="N94" s="1"/>
      <c r="O94" s="65">
        <v>0</v>
      </c>
      <c r="P94" s="65">
        <v>0</v>
      </c>
    </row>
    <row r="95" spans="1:16" ht="16" hidden="1" customHeight="1" outlineLevel="1" x14ac:dyDescent="0.45">
      <c r="A95" s="29" t="s">
        <v>186</v>
      </c>
      <c r="B95" s="44">
        <v>0</v>
      </c>
      <c r="C95" s="63">
        <v>0</v>
      </c>
      <c r="D95" s="63">
        <v>0</v>
      </c>
      <c r="E95" s="64">
        <v>0</v>
      </c>
      <c r="F95" s="63">
        <v>0</v>
      </c>
      <c r="G95" s="63">
        <v>0</v>
      </c>
      <c r="H95" s="65">
        <f t="shared" si="1"/>
        <v>0</v>
      </c>
      <c r="I95" s="65">
        <v>0</v>
      </c>
      <c r="J95" s="65">
        <v>0</v>
      </c>
      <c r="K95" s="65">
        <v>0</v>
      </c>
      <c r="L95" s="65">
        <v>0</v>
      </c>
      <c r="M95" s="63">
        <v>0</v>
      </c>
      <c r="N95" s="1"/>
      <c r="O95" s="65">
        <v>0</v>
      </c>
      <c r="P95" s="65">
        <v>0</v>
      </c>
    </row>
    <row r="96" spans="1:16" ht="16" hidden="1" customHeight="1" outlineLevel="1" x14ac:dyDescent="0.45">
      <c r="A96" s="31" t="s">
        <v>304</v>
      </c>
      <c r="B96" s="47">
        <v>0</v>
      </c>
      <c r="C96" s="63">
        <v>0</v>
      </c>
      <c r="D96" s="63">
        <v>0</v>
      </c>
      <c r="E96" s="64">
        <v>0</v>
      </c>
      <c r="F96" s="63">
        <v>0</v>
      </c>
      <c r="G96" s="63">
        <v>0</v>
      </c>
      <c r="H96" s="65">
        <f t="shared" si="1"/>
        <v>0</v>
      </c>
      <c r="I96" s="65">
        <v>0</v>
      </c>
      <c r="J96" s="65">
        <v>0</v>
      </c>
      <c r="K96" s="65">
        <v>0</v>
      </c>
      <c r="L96" s="65">
        <v>0</v>
      </c>
      <c r="M96" s="63">
        <v>0</v>
      </c>
      <c r="N96" s="1"/>
      <c r="O96" s="65">
        <v>0</v>
      </c>
      <c r="P96" s="65">
        <v>0</v>
      </c>
    </row>
    <row r="97" spans="1:16" ht="16" hidden="1" customHeight="1" outlineLevel="1" x14ac:dyDescent="0.45">
      <c r="A97" s="29" t="s">
        <v>135</v>
      </c>
      <c r="B97" s="44">
        <v>0</v>
      </c>
      <c r="C97" s="63">
        <v>0</v>
      </c>
      <c r="D97" s="63">
        <v>0</v>
      </c>
      <c r="E97" s="64">
        <v>0</v>
      </c>
      <c r="F97" s="63">
        <v>0</v>
      </c>
      <c r="G97" s="63">
        <v>0</v>
      </c>
      <c r="H97" s="65">
        <f t="shared" si="1"/>
        <v>0</v>
      </c>
      <c r="I97" s="65">
        <v>0</v>
      </c>
      <c r="J97" s="65">
        <v>0</v>
      </c>
      <c r="K97" s="65">
        <v>0</v>
      </c>
      <c r="L97" s="65">
        <v>0</v>
      </c>
      <c r="M97" s="63">
        <v>0</v>
      </c>
      <c r="N97" s="1"/>
      <c r="O97" s="65">
        <v>0</v>
      </c>
      <c r="P97" s="65">
        <v>0</v>
      </c>
    </row>
    <row r="98" spans="1:16" ht="16" hidden="1" customHeight="1" outlineLevel="1" x14ac:dyDescent="0.45">
      <c r="A98" s="29" t="s">
        <v>52</v>
      </c>
      <c r="B98" s="44">
        <v>0</v>
      </c>
      <c r="C98" s="63">
        <v>0</v>
      </c>
      <c r="D98" s="63">
        <v>0</v>
      </c>
      <c r="E98" s="64">
        <v>0</v>
      </c>
      <c r="F98" s="63">
        <v>0</v>
      </c>
      <c r="G98" s="63">
        <v>0</v>
      </c>
      <c r="H98" s="65">
        <f t="shared" si="1"/>
        <v>0</v>
      </c>
      <c r="I98" s="65">
        <v>0</v>
      </c>
      <c r="J98" s="65">
        <v>0</v>
      </c>
      <c r="K98" s="65">
        <v>0</v>
      </c>
      <c r="L98" s="65">
        <v>0</v>
      </c>
      <c r="M98" s="63">
        <v>0</v>
      </c>
      <c r="N98" s="1"/>
      <c r="O98" s="65">
        <v>0</v>
      </c>
      <c r="P98" s="65">
        <v>0</v>
      </c>
    </row>
    <row r="99" spans="1:16" ht="16" hidden="1" customHeight="1" outlineLevel="1" x14ac:dyDescent="0.45">
      <c r="A99" s="31" t="s">
        <v>187</v>
      </c>
      <c r="B99" s="47">
        <v>0</v>
      </c>
      <c r="C99" s="63">
        <v>0</v>
      </c>
      <c r="D99" s="63">
        <v>0</v>
      </c>
      <c r="E99" s="64">
        <v>0</v>
      </c>
      <c r="F99" s="63">
        <v>0</v>
      </c>
      <c r="G99" s="63">
        <v>0</v>
      </c>
      <c r="H99" s="65">
        <f t="shared" si="1"/>
        <v>0</v>
      </c>
      <c r="I99" s="65">
        <v>0</v>
      </c>
      <c r="J99" s="65">
        <v>0</v>
      </c>
      <c r="K99" s="65">
        <v>0</v>
      </c>
      <c r="L99" s="65">
        <v>0</v>
      </c>
      <c r="M99" s="63">
        <v>0</v>
      </c>
      <c r="N99" s="1"/>
      <c r="O99" s="65">
        <v>0</v>
      </c>
      <c r="P99" s="65">
        <v>0</v>
      </c>
    </row>
    <row r="100" spans="1:16" ht="16" hidden="1" customHeight="1" outlineLevel="1" x14ac:dyDescent="0.45">
      <c r="A100" s="29" t="s">
        <v>114</v>
      </c>
      <c r="B100" s="44">
        <v>0</v>
      </c>
      <c r="C100" s="63">
        <v>0</v>
      </c>
      <c r="D100" s="63">
        <v>0</v>
      </c>
      <c r="E100" s="64">
        <v>0</v>
      </c>
      <c r="F100" s="63">
        <v>0</v>
      </c>
      <c r="G100" s="63">
        <v>0</v>
      </c>
      <c r="H100" s="65">
        <f t="shared" si="1"/>
        <v>0</v>
      </c>
      <c r="I100" s="65">
        <v>0</v>
      </c>
      <c r="J100" s="65">
        <v>0</v>
      </c>
      <c r="K100" s="65">
        <v>0</v>
      </c>
      <c r="L100" s="65">
        <v>0</v>
      </c>
      <c r="M100" s="63">
        <v>0</v>
      </c>
      <c r="N100" s="1"/>
      <c r="O100" s="65">
        <v>0</v>
      </c>
      <c r="P100" s="65">
        <v>0</v>
      </c>
    </row>
    <row r="101" spans="1:16" ht="16" hidden="1" customHeight="1" outlineLevel="1" x14ac:dyDescent="0.45">
      <c r="A101" s="29" t="s">
        <v>188</v>
      </c>
      <c r="B101" s="44">
        <v>0</v>
      </c>
      <c r="C101" s="63">
        <v>0</v>
      </c>
      <c r="D101" s="63">
        <v>0</v>
      </c>
      <c r="E101" s="64">
        <v>0</v>
      </c>
      <c r="F101" s="63">
        <v>0</v>
      </c>
      <c r="G101" s="63">
        <v>0</v>
      </c>
      <c r="H101" s="65">
        <f t="shared" si="1"/>
        <v>0</v>
      </c>
      <c r="I101" s="65">
        <v>0</v>
      </c>
      <c r="J101" s="65">
        <v>0</v>
      </c>
      <c r="K101" s="65">
        <v>0</v>
      </c>
      <c r="L101" s="65">
        <v>0</v>
      </c>
      <c r="M101" s="63">
        <v>0</v>
      </c>
      <c r="N101" s="1"/>
      <c r="O101" s="65">
        <v>0</v>
      </c>
      <c r="P101" s="65">
        <v>0</v>
      </c>
    </row>
    <row r="102" spans="1:16" ht="16" hidden="1" customHeight="1" outlineLevel="1" x14ac:dyDescent="0.45">
      <c r="A102" s="29" t="s">
        <v>259</v>
      </c>
      <c r="B102" s="44">
        <v>3284000</v>
      </c>
      <c r="C102" s="63">
        <v>4.6566128730773926E-10</v>
      </c>
      <c r="D102" s="63">
        <v>0</v>
      </c>
      <c r="E102" s="64">
        <v>3283999.9999999995</v>
      </c>
      <c r="F102" s="63">
        <v>3127317.2478257595</v>
      </c>
      <c r="G102" s="63">
        <v>156682.75217424022</v>
      </c>
      <c r="H102" s="65">
        <f t="shared" si="1"/>
        <v>0</v>
      </c>
      <c r="I102" s="65">
        <v>0</v>
      </c>
      <c r="J102" s="65">
        <v>0</v>
      </c>
      <c r="K102" s="65">
        <v>0</v>
      </c>
      <c r="L102" s="65">
        <v>0</v>
      </c>
      <c r="M102" s="63">
        <v>0</v>
      </c>
      <c r="N102" s="1"/>
      <c r="O102" s="65">
        <v>0</v>
      </c>
      <c r="P102" s="65">
        <v>0</v>
      </c>
    </row>
    <row r="103" spans="1:16" ht="16" hidden="1" customHeight="1" outlineLevel="1" x14ac:dyDescent="0.45">
      <c r="A103" s="29" t="s">
        <v>189</v>
      </c>
      <c r="B103" s="44">
        <v>17508000</v>
      </c>
      <c r="C103" s="63">
        <v>12000000</v>
      </c>
      <c r="D103" s="63">
        <v>0</v>
      </c>
      <c r="E103" s="64">
        <v>5508000</v>
      </c>
      <c r="F103" s="63">
        <v>2762982.8788777804</v>
      </c>
      <c r="G103" s="63">
        <v>354017.12112221972</v>
      </c>
      <c r="H103" s="65">
        <f t="shared" si="1"/>
        <v>0</v>
      </c>
      <c r="I103" s="65">
        <v>0</v>
      </c>
      <c r="J103" s="65">
        <v>0</v>
      </c>
      <c r="K103" s="65">
        <v>0</v>
      </c>
      <c r="L103" s="65">
        <v>0</v>
      </c>
      <c r="M103" s="63">
        <v>2391000</v>
      </c>
      <c r="N103" s="1"/>
      <c r="O103" s="65">
        <v>0</v>
      </c>
      <c r="P103" s="65">
        <v>0</v>
      </c>
    </row>
    <row r="104" spans="1:16" ht="16" hidden="1" customHeight="1" outlineLevel="1" x14ac:dyDescent="0.45">
      <c r="A104" s="29" t="s">
        <v>115</v>
      </c>
      <c r="B104" s="44">
        <v>17735000</v>
      </c>
      <c r="C104" s="63">
        <v>0</v>
      </c>
      <c r="D104" s="63">
        <v>7141000</v>
      </c>
      <c r="E104" s="64">
        <v>10594000</v>
      </c>
      <c r="F104" s="63">
        <v>4935000</v>
      </c>
      <c r="G104" s="63">
        <v>2775000</v>
      </c>
      <c r="H104" s="65">
        <f t="shared" si="1"/>
        <v>0</v>
      </c>
      <c r="I104" s="65">
        <v>0</v>
      </c>
      <c r="J104" s="65">
        <v>0</v>
      </c>
      <c r="K104" s="65">
        <v>0</v>
      </c>
      <c r="L104" s="65">
        <v>2884000</v>
      </c>
      <c r="M104" s="63">
        <v>0</v>
      </c>
      <c r="N104" s="1"/>
      <c r="O104" s="65">
        <v>0</v>
      </c>
      <c r="P104" s="65">
        <v>0</v>
      </c>
    </row>
    <row r="105" spans="1:16" ht="16" hidden="1" customHeight="1" outlineLevel="1" x14ac:dyDescent="0.45">
      <c r="A105" s="29" t="s">
        <v>53</v>
      </c>
      <c r="B105" s="44">
        <v>39050000</v>
      </c>
      <c r="C105" s="63">
        <v>250000</v>
      </c>
      <c r="D105" s="63">
        <v>50000</v>
      </c>
      <c r="E105" s="64">
        <v>38750000</v>
      </c>
      <c r="F105" s="63">
        <v>22263545.736376442</v>
      </c>
      <c r="G105" s="63">
        <v>6786454.263623558</v>
      </c>
      <c r="H105" s="65">
        <f t="shared" si="1"/>
        <v>6650000</v>
      </c>
      <c r="I105" s="65">
        <v>25000</v>
      </c>
      <c r="J105" s="65">
        <v>25000</v>
      </c>
      <c r="K105" s="65">
        <v>350000</v>
      </c>
      <c r="L105" s="65">
        <v>2600000</v>
      </c>
      <c r="M105" s="63">
        <v>50000</v>
      </c>
      <c r="N105" s="1"/>
      <c r="O105" s="65">
        <v>5985000</v>
      </c>
      <c r="P105" s="65">
        <v>665000</v>
      </c>
    </row>
    <row r="106" spans="1:16" ht="16" hidden="1" customHeight="1" outlineLevel="1" x14ac:dyDescent="0.45">
      <c r="A106" s="29" t="s">
        <v>54</v>
      </c>
      <c r="B106" s="44">
        <v>3750660</v>
      </c>
      <c r="C106" s="63">
        <v>662900</v>
      </c>
      <c r="D106" s="63">
        <v>100000</v>
      </c>
      <c r="E106" s="64">
        <v>2987760</v>
      </c>
      <c r="F106" s="63">
        <v>2065460</v>
      </c>
      <c r="G106" s="63">
        <v>536500</v>
      </c>
      <c r="H106" s="65">
        <f t="shared" si="1"/>
        <v>164000</v>
      </c>
      <c r="I106" s="65">
        <v>0</v>
      </c>
      <c r="J106" s="65">
        <v>0</v>
      </c>
      <c r="K106" s="65">
        <v>100000</v>
      </c>
      <c r="L106" s="65">
        <v>121800</v>
      </c>
      <c r="M106" s="63">
        <v>0</v>
      </c>
      <c r="N106" s="1"/>
      <c r="O106" s="65">
        <v>147600</v>
      </c>
      <c r="P106" s="65">
        <v>16400</v>
      </c>
    </row>
    <row r="107" spans="1:16" ht="16" hidden="1" customHeight="1" outlineLevel="1" x14ac:dyDescent="0.45">
      <c r="A107" s="29" t="s">
        <v>55</v>
      </c>
      <c r="B107" s="44">
        <v>1954860</v>
      </c>
      <c r="C107" s="63">
        <v>0</v>
      </c>
      <c r="D107" s="63">
        <v>0</v>
      </c>
      <c r="E107" s="64">
        <v>1954860</v>
      </c>
      <c r="F107" s="63">
        <v>1315224.5426280852</v>
      </c>
      <c r="G107" s="63">
        <v>429635.45737191464</v>
      </c>
      <c r="H107" s="65">
        <f t="shared" si="1"/>
        <v>0</v>
      </c>
      <c r="I107" s="65">
        <v>0</v>
      </c>
      <c r="J107" s="65">
        <v>0</v>
      </c>
      <c r="K107" s="65">
        <v>70000</v>
      </c>
      <c r="L107" s="65">
        <v>70000</v>
      </c>
      <c r="M107" s="63">
        <v>70000</v>
      </c>
      <c r="N107" s="1"/>
      <c r="O107" s="65">
        <v>0</v>
      </c>
      <c r="P107" s="65">
        <v>0</v>
      </c>
    </row>
    <row r="108" spans="1:16" ht="16" hidden="1" customHeight="1" outlineLevel="1" x14ac:dyDescent="0.45">
      <c r="A108" s="29" t="s">
        <v>190</v>
      </c>
      <c r="B108" s="44">
        <v>0</v>
      </c>
      <c r="C108" s="63">
        <v>0</v>
      </c>
      <c r="D108" s="63">
        <v>0</v>
      </c>
      <c r="E108" s="64">
        <v>0</v>
      </c>
      <c r="F108" s="63">
        <v>0</v>
      </c>
      <c r="G108" s="63">
        <v>0</v>
      </c>
      <c r="H108" s="65">
        <f t="shared" si="1"/>
        <v>0</v>
      </c>
      <c r="I108" s="65">
        <v>0</v>
      </c>
      <c r="J108" s="65">
        <v>0</v>
      </c>
      <c r="K108" s="65">
        <v>0</v>
      </c>
      <c r="L108" s="65">
        <v>0</v>
      </c>
      <c r="M108" s="63">
        <v>0</v>
      </c>
      <c r="N108" s="1"/>
      <c r="O108" s="65">
        <v>0</v>
      </c>
      <c r="P108" s="65">
        <v>0</v>
      </c>
    </row>
    <row r="109" spans="1:16" ht="16" hidden="1" customHeight="1" outlineLevel="1" x14ac:dyDescent="0.45">
      <c r="A109" s="30" t="s">
        <v>56</v>
      </c>
      <c r="B109" s="46">
        <v>305035466</v>
      </c>
      <c r="C109" s="63">
        <v>1777034</v>
      </c>
      <c r="D109" s="63">
        <v>0</v>
      </c>
      <c r="E109" s="64">
        <v>303258432</v>
      </c>
      <c r="F109" s="63">
        <v>138781290.34658551</v>
      </c>
      <c r="G109" s="63">
        <v>72968330.653414488</v>
      </c>
      <c r="H109" s="65">
        <f t="shared" si="1"/>
        <v>0</v>
      </c>
      <c r="I109" s="65">
        <v>0</v>
      </c>
      <c r="J109" s="65">
        <v>0</v>
      </c>
      <c r="K109" s="65">
        <v>0</v>
      </c>
      <c r="L109" s="65">
        <v>91508811</v>
      </c>
      <c r="M109" s="63">
        <v>0</v>
      </c>
      <c r="N109" s="1"/>
      <c r="O109" s="65">
        <v>0</v>
      </c>
      <c r="P109" s="65">
        <v>0</v>
      </c>
    </row>
    <row r="110" spans="1:16" ht="16" hidden="1" customHeight="1" outlineLevel="1" x14ac:dyDescent="0.45">
      <c r="A110" s="29" t="s">
        <v>305</v>
      </c>
      <c r="B110" s="44">
        <v>0</v>
      </c>
      <c r="C110" s="63">
        <v>0</v>
      </c>
      <c r="D110" s="63">
        <v>0</v>
      </c>
      <c r="E110" s="64">
        <v>0</v>
      </c>
      <c r="F110" s="63">
        <v>0</v>
      </c>
      <c r="G110" s="63">
        <v>0</v>
      </c>
      <c r="H110" s="65">
        <f t="shared" si="1"/>
        <v>0</v>
      </c>
      <c r="I110" s="65">
        <v>0</v>
      </c>
      <c r="J110" s="65">
        <v>0</v>
      </c>
      <c r="K110" s="65">
        <v>0</v>
      </c>
      <c r="L110" s="65">
        <v>0</v>
      </c>
      <c r="M110" s="63">
        <v>0</v>
      </c>
      <c r="N110" s="1"/>
      <c r="O110" s="65">
        <v>0</v>
      </c>
      <c r="P110" s="65">
        <v>0</v>
      </c>
    </row>
    <row r="111" spans="1:16" ht="16" hidden="1" customHeight="1" outlineLevel="1" x14ac:dyDescent="0.45">
      <c r="A111" s="29" t="s">
        <v>253</v>
      </c>
      <c r="B111" s="44">
        <v>0</v>
      </c>
      <c r="C111" s="63">
        <v>0</v>
      </c>
      <c r="D111" s="63">
        <v>0</v>
      </c>
      <c r="E111" s="64">
        <v>0</v>
      </c>
      <c r="F111" s="63">
        <v>0</v>
      </c>
      <c r="G111" s="63">
        <v>0</v>
      </c>
      <c r="H111" s="65">
        <f t="shared" si="1"/>
        <v>0</v>
      </c>
      <c r="I111" s="65">
        <v>0</v>
      </c>
      <c r="J111" s="65">
        <v>0</v>
      </c>
      <c r="K111" s="65">
        <v>0</v>
      </c>
      <c r="L111" s="65">
        <v>0</v>
      </c>
      <c r="M111" s="63">
        <v>0</v>
      </c>
      <c r="N111" s="1"/>
      <c r="O111" s="65">
        <v>0</v>
      </c>
      <c r="P111" s="65">
        <v>0</v>
      </c>
    </row>
    <row r="112" spans="1:16" ht="16" hidden="1" customHeight="1" outlineLevel="1" x14ac:dyDescent="0.45">
      <c r="A112" s="29" t="s">
        <v>255</v>
      </c>
      <c r="B112" s="44">
        <v>0</v>
      </c>
      <c r="C112" s="63">
        <v>0</v>
      </c>
      <c r="D112" s="63">
        <v>0</v>
      </c>
      <c r="E112" s="64">
        <v>0</v>
      </c>
      <c r="F112" s="63">
        <v>0</v>
      </c>
      <c r="G112" s="63">
        <v>0</v>
      </c>
      <c r="H112" s="65">
        <f t="shared" si="1"/>
        <v>0</v>
      </c>
      <c r="I112" s="65">
        <v>0</v>
      </c>
      <c r="J112" s="65">
        <v>0</v>
      </c>
      <c r="K112" s="65">
        <v>0</v>
      </c>
      <c r="L112" s="65">
        <v>0</v>
      </c>
      <c r="M112" s="63">
        <v>0</v>
      </c>
      <c r="N112" s="1"/>
      <c r="O112" s="65">
        <v>0</v>
      </c>
      <c r="P112" s="65">
        <v>0</v>
      </c>
    </row>
    <row r="113" spans="1:16" ht="16" hidden="1" customHeight="1" outlineLevel="1" x14ac:dyDescent="0.45">
      <c r="A113" s="29" t="s">
        <v>254</v>
      </c>
      <c r="B113" s="44">
        <v>0</v>
      </c>
      <c r="C113" s="63">
        <v>0</v>
      </c>
      <c r="D113" s="63">
        <v>0</v>
      </c>
      <c r="E113" s="64">
        <v>0</v>
      </c>
      <c r="F113" s="63">
        <v>0</v>
      </c>
      <c r="G113" s="63">
        <v>0</v>
      </c>
      <c r="H113" s="65">
        <f t="shared" si="1"/>
        <v>0</v>
      </c>
      <c r="I113" s="65">
        <v>0</v>
      </c>
      <c r="J113" s="65">
        <v>0</v>
      </c>
      <c r="K113" s="65">
        <v>0</v>
      </c>
      <c r="L113" s="65">
        <v>0</v>
      </c>
      <c r="M113" s="63">
        <v>0</v>
      </c>
      <c r="N113" s="1"/>
      <c r="O113" s="65">
        <v>0</v>
      </c>
      <c r="P113" s="65">
        <v>0</v>
      </c>
    </row>
    <row r="114" spans="1:16" ht="16" hidden="1" customHeight="1" outlineLevel="1" x14ac:dyDescent="0.45">
      <c r="A114" s="29" t="s">
        <v>269</v>
      </c>
      <c r="B114" s="44">
        <v>25714000</v>
      </c>
      <c r="C114" s="63">
        <v>25714000</v>
      </c>
      <c r="D114" s="63">
        <v>0</v>
      </c>
      <c r="E114" s="64">
        <v>0</v>
      </c>
      <c r="F114" s="63">
        <v>0</v>
      </c>
      <c r="G114" s="63">
        <v>0</v>
      </c>
      <c r="H114" s="65">
        <f t="shared" si="1"/>
        <v>0</v>
      </c>
      <c r="I114" s="65">
        <v>0</v>
      </c>
      <c r="J114" s="65">
        <v>0</v>
      </c>
      <c r="K114" s="65">
        <v>0</v>
      </c>
      <c r="L114" s="65">
        <v>0</v>
      </c>
      <c r="M114" s="63">
        <v>0</v>
      </c>
      <c r="N114" s="1"/>
      <c r="O114" s="65">
        <v>0</v>
      </c>
      <c r="P114" s="65">
        <v>0</v>
      </c>
    </row>
    <row r="115" spans="1:16" ht="16" customHeight="1" collapsed="1" x14ac:dyDescent="0.45">
      <c r="A115" s="28" t="s">
        <v>57</v>
      </c>
      <c r="B115" s="43">
        <v>53513152</v>
      </c>
      <c r="C115" s="60">
        <v>8671444</v>
      </c>
      <c r="D115" s="60">
        <v>4267750</v>
      </c>
      <c r="E115" s="61">
        <v>40573958</v>
      </c>
      <c r="F115" s="60">
        <v>18525233.168732692</v>
      </c>
      <c r="G115" s="60">
        <v>7597001.8312673084</v>
      </c>
      <c r="H115" s="62">
        <f t="shared" si="1"/>
        <v>677000</v>
      </c>
      <c r="I115" s="62">
        <v>396150</v>
      </c>
      <c r="J115" s="62">
        <v>319750</v>
      </c>
      <c r="K115" s="62">
        <v>1862600</v>
      </c>
      <c r="L115" s="62">
        <v>9977223</v>
      </c>
      <c r="M115" s="60">
        <v>1219000</v>
      </c>
      <c r="N115" s="1"/>
      <c r="O115" s="62">
        <v>609300</v>
      </c>
      <c r="P115" s="62">
        <v>67700</v>
      </c>
    </row>
    <row r="116" spans="1:16" s="1" customFormat="1" hidden="1" outlineLevel="1" collapsed="1" x14ac:dyDescent="0.45">
      <c r="A116" s="29" t="s">
        <v>58</v>
      </c>
      <c r="B116" s="44">
        <v>32288339</v>
      </c>
      <c r="C116" s="63">
        <v>2626174</v>
      </c>
      <c r="D116" s="63">
        <v>1423700</v>
      </c>
      <c r="E116" s="64">
        <v>28238465</v>
      </c>
      <c r="F116" s="63">
        <v>12808032.059025049</v>
      </c>
      <c r="G116" s="63">
        <v>4593182.9409749508</v>
      </c>
      <c r="H116" s="65">
        <f t="shared" si="1"/>
        <v>0</v>
      </c>
      <c r="I116" s="65">
        <v>190650</v>
      </c>
      <c r="J116" s="65">
        <v>114250</v>
      </c>
      <c r="K116" s="65">
        <v>1309700</v>
      </c>
      <c r="L116" s="65">
        <v>9222650</v>
      </c>
      <c r="M116" s="63">
        <v>0</v>
      </c>
      <c r="O116" s="65">
        <v>0</v>
      </c>
      <c r="P116" s="65">
        <v>0</v>
      </c>
    </row>
    <row r="117" spans="1:16" ht="16" hidden="1" customHeight="1" outlineLevel="1" x14ac:dyDescent="0.45">
      <c r="A117" s="29" t="s">
        <v>266</v>
      </c>
      <c r="B117" s="44">
        <v>169000</v>
      </c>
      <c r="C117" s="63">
        <v>0</v>
      </c>
      <c r="D117" s="63">
        <v>0</v>
      </c>
      <c r="E117" s="64">
        <v>169000</v>
      </c>
      <c r="F117" s="63">
        <v>149805.61646786809</v>
      </c>
      <c r="G117" s="63">
        <v>19194.383532131898</v>
      </c>
      <c r="H117" s="65">
        <f t="shared" si="1"/>
        <v>0</v>
      </c>
      <c r="I117" s="65">
        <v>0</v>
      </c>
      <c r="J117" s="65">
        <v>0</v>
      </c>
      <c r="K117" s="65">
        <v>0</v>
      </c>
      <c r="L117" s="65">
        <v>0</v>
      </c>
      <c r="M117" s="63">
        <v>0</v>
      </c>
      <c r="N117" s="1"/>
      <c r="O117" s="65">
        <v>0</v>
      </c>
      <c r="P117" s="65">
        <v>0</v>
      </c>
    </row>
    <row r="118" spans="1:16" ht="16" hidden="1" customHeight="1" outlineLevel="1" x14ac:dyDescent="0.45">
      <c r="A118" s="29" t="s">
        <v>296</v>
      </c>
      <c r="B118" s="44">
        <v>0</v>
      </c>
      <c r="C118" s="63">
        <v>0</v>
      </c>
      <c r="D118" s="63">
        <v>0</v>
      </c>
      <c r="E118" s="64">
        <v>0</v>
      </c>
      <c r="F118" s="63">
        <v>0</v>
      </c>
      <c r="G118" s="63">
        <v>0</v>
      </c>
      <c r="H118" s="65">
        <f t="shared" si="1"/>
        <v>0</v>
      </c>
      <c r="I118" s="65">
        <v>0</v>
      </c>
      <c r="J118" s="65">
        <v>0</v>
      </c>
      <c r="K118" s="65">
        <v>0</v>
      </c>
      <c r="L118" s="65">
        <v>0</v>
      </c>
      <c r="M118" s="63">
        <v>0</v>
      </c>
      <c r="N118" s="1"/>
      <c r="O118" s="65">
        <v>0</v>
      </c>
      <c r="P118" s="65">
        <v>0</v>
      </c>
    </row>
    <row r="119" spans="1:16" ht="16" hidden="1" customHeight="1" outlineLevel="1" x14ac:dyDescent="0.45">
      <c r="A119" s="29" t="s">
        <v>270</v>
      </c>
      <c r="B119" s="44">
        <v>9343520</v>
      </c>
      <c r="C119" s="63">
        <v>1492500</v>
      </c>
      <c r="D119" s="63">
        <v>136000</v>
      </c>
      <c r="E119" s="64">
        <v>7715020</v>
      </c>
      <c r="F119" s="63">
        <v>4617395.4932397753</v>
      </c>
      <c r="G119" s="63">
        <v>2484624.5067602252</v>
      </c>
      <c r="H119" s="65">
        <f t="shared" si="1"/>
        <v>27000</v>
      </c>
      <c r="I119" s="65">
        <v>55500</v>
      </c>
      <c r="J119" s="65">
        <v>55500</v>
      </c>
      <c r="K119" s="65">
        <v>155000</v>
      </c>
      <c r="L119" s="65">
        <v>101000</v>
      </c>
      <c r="M119" s="63">
        <v>219000</v>
      </c>
      <c r="N119" s="1"/>
      <c r="O119" s="65">
        <v>24300</v>
      </c>
      <c r="P119" s="65">
        <v>2700</v>
      </c>
    </row>
    <row r="120" spans="1:16" ht="16" hidden="1" customHeight="1" outlineLevel="1" x14ac:dyDescent="0.45">
      <c r="A120" s="29" t="s">
        <v>271</v>
      </c>
      <c r="B120" s="44">
        <v>1448170</v>
      </c>
      <c r="C120" s="63">
        <v>1448170</v>
      </c>
      <c r="D120" s="63">
        <v>0</v>
      </c>
      <c r="E120" s="64">
        <v>0</v>
      </c>
      <c r="F120" s="63">
        <v>0</v>
      </c>
      <c r="G120" s="63">
        <v>0</v>
      </c>
      <c r="H120" s="65">
        <f t="shared" si="1"/>
        <v>0</v>
      </c>
      <c r="I120" s="65">
        <v>0</v>
      </c>
      <c r="J120" s="65">
        <v>0</v>
      </c>
      <c r="K120" s="65">
        <v>0</v>
      </c>
      <c r="L120" s="65">
        <v>0</v>
      </c>
      <c r="M120" s="63">
        <v>0</v>
      </c>
      <c r="N120" s="1"/>
      <c r="O120" s="65">
        <v>0</v>
      </c>
      <c r="P120" s="65">
        <v>0</v>
      </c>
    </row>
    <row r="121" spans="1:16" ht="16" hidden="1" customHeight="1" outlineLevel="1" x14ac:dyDescent="0.45">
      <c r="A121" s="29" t="s">
        <v>297</v>
      </c>
      <c r="B121" s="44">
        <v>10264123</v>
      </c>
      <c r="C121" s="63">
        <v>3104600</v>
      </c>
      <c r="D121" s="63">
        <v>2708050</v>
      </c>
      <c r="E121" s="64">
        <v>4451473</v>
      </c>
      <c r="F121" s="63">
        <v>950000</v>
      </c>
      <c r="G121" s="63">
        <v>500000</v>
      </c>
      <c r="H121" s="65">
        <f t="shared" si="1"/>
        <v>650000</v>
      </c>
      <c r="I121" s="65">
        <v>150000</v>
      </c>
      <c r="J121" s="65">
        <v>150000</v>
      </c>
      <c r="K121" s="65">
        <v>397900</v>
      </c>
      <c r="L121" s="65">
        <v>653573</v>
      </c>
      <c r="M121" s="63">
        <v>1000000</v>
      </c>
      <c r="N121" s="1"/>
      <c r="O121" s="65">
        <v>585000</v>
      </c>
      <c r="P121" s="65">
        <v>65000</v>
      </c>
    </row>
    <row r="122" spans="1:16" s="1" customFormat="1" collapsed="1" x14ac:dyDescent="0.45">
      <c r="A122" s="28" t="s">
        <v>136</v>
      </c>
      <c r="B122" s="43">
        <v>5758000</v>
      </c>
      <c r="C122" s="60">
        <v>4258000</v>
      </c>
      <c r="D122" s="60">
        <v>200000</v>
      </c>
      <c r="E122" s="61">
        <v>1300000</v>
      </c>
      <c r="F122" s="60">
        <v>655030.77832527645</v>
      </c>
      <c r="G122" s="60">
        <v>44969.221674723623</v>
      </c>
      <c r="H122" s="62">
        <f t="shared" si="1"/>
        <v>0</v>
      </c>
      <c r="I122" s="62">
        <v>0</v>
      </c>
      <c r="J122" s="62">
        <v>0</v>
      </c>
      <c r="K122" s="62">
        <v>0</v>
      </c>
      <c r="L122" s="62">
        <v>100000</v>
      </c>
      <c r="M122" s="60">
        <v>500000</v>
      </c>
      <c r="O122" s="62">
        <v>0</v>
      </c>
      <c r="P122" s="62">
        <v>0</v>
      </c>
    </row>
    <row r="123" spans="1:16" ht="16" hidden="1" customHeight="1" outlineLevel="1" x14ac:dyDescent="0.45">
      <c r="A123" s="29" t="s">
        <v>137</v>
      </c>
      <c r="B123" s="44">
        <v>0</v>
      </c>
      <c r="C123" s="63">
        <v>0</v>
      </c>
      <c r="D123" s="63">
        <v>0</v>
      </c>
      <c r="E123" s="64">
        <v>0</v>
      </c>
      <c r="F123" s="63">
        <v>0</v>
      </c>
      <c r="G123" s="63">
        <v>0</v>
      </c>
      <c r="H123" s="65">
        <f t="shared" si="1"/>
        <v>0</v>
      </c>
      <c r="I123" s="65">
        <v>0</v>
      </c>
      <c r="J123" s="65">
        <v>0</v>
      </c>
      <c r="K123" s="65">
        <v>0</v>
      </c>
      <c r="L123" s="65">
        <v>0</v>
      </c>
      <c r="M123" s="63">
        <v>0</v>
      </c>
      <c r="N123" s="1"/>
      <c r="O123" s="65">
        <v>0</v>
      </c>
      <c r="P123" s="65">
        <v>0</v>
      </c>
    </row>
    <row r="124" spans="1:16" ht="16" hidden="1" customHeight="1" outlineLevel="1" x14ac:dyDescent="0.45">
      <c r="A124" s="29" t="s">
        <v>191</v>
      </c>
      <c r="B124" s="44">
        <v>0</v>
      </c>
      <c r="C124" s="63">
        <v>0</v>
      </c>
      <c r="D124" s="63">
        <v>0</v>
      </c>
      <c r="E124" s="64">
        <v>0</v>
      </c>
      <c r="F124" s="63">
        <v>0</v>
      </c>
      <c r="G124" s="63">
        <v>0</v>
      </c>
      <c r="H124" s="65">
        <f t="shared" si="1"/>
        <v>0</v>
      </c>
      <c r="I124" s="65">
        <v>0</v>
      </c>
      <c r="J124" s="65">
        <v>0</v>
      </c>
      <c r="K124" s="65">
        <v>0</v>
      </c>
      <c r="L124" s="65">
        <v>0</v>
      </c>
      <c r="M124" s="63">
        <v>0</v>
      </c>
      <c r="N124" s="1"/>
      <c r="O124" s="65">
        <v>0</v>
      </c>
      <c r="P124" s="65">
        <v>0</v>
      </c>
    </row>
    <row r="125" spans="1:16" ht="16" hidden="1" customHeight="1" outlineLevel="1" x14ac:dyDescent="0.45">
      <c r="A125" s="29" t="s">
        <v>138</v>
      </c>
      <c r="B125" s="44">
        <v>5758000</v>
      </c>
      <c r="C125" s="63">
        <v>4258000</v>
      </c>
      <c r="D125" s="63">
        <v>200000</v>
      </c>
      <c r="E125" s="64">
        <v>1300000</v>
      </c>
      <c r="F125" s="63">
        <v>655030.77832527645</v>
      </c>
      <c r="G125" s="63">
        <v>44969.221674723623</v>
      </c>
      <c r="H125" s="65">
        <f t="shared" si="1"/>
        <v>0</v>
      </c>
      <c r="I125" s="65">
        <v>0</v>
      </c>
      <c r="J125" s="65">
        <v>0</v>
      </c>
      <c r="K125" s="65">
        <v>0</v>
      </c>
      <c r="L125" s="65">
        <v>100000</v>
      </c>
      <c r="M125" s="63">
        <v>500000</v>
      </c>
      <c r="N125" s="1"/>
      <c r="O125" s="65">
        <v>0</v>
      </c>
      <c r="P125" s="65">
        <v>0</v>
      </c>
    </row>
    <row r="126" spans="1:16" s="1" customFormat="1" collapsed="1" x14ac:dyDescent="0.45">
      <c r="A126" s="28" t="s">
        <v>59</v>
      </c>
      <c r="B126" s="43">
        <v>76536135</v>
      </c>
      <c r="C126" s="60">
        <v>28487223</v>
      </c>
      <c r="D126" s="60">
        <v>1317185</v>
      </c>
      <c r="E126" s="61">
        <v>46731727</v>
      </c>
      <c r="F126" s="60">
        <v>18153418.028731156</v>
      </c>
      <c r="G126" s="60">
        <v>6714657.9712688429</v>
      </c>
      <c r="H126" s="62">
        <f t="shared" si="1"/>
        <v>6199130</v>
      </c>
      <c r="I126" s="62">
        <v>469632.5</v>
      </c>
      <c r="J126" s="62">
        <v>12613459.5</v>
      </c>
      <c r="K126" s="62">
        <v>1098032</v>
      </c>
      <c r="L126" s="62">
        <v>606485</v>
      </c>
      <c r="M126" s="60">
        <v>876912</v>
      </c>
      <c r="O126" s="62">
        <v>5579217</v>
      </c>
      <c r="P126" s="62">
        <v>619913</v>
      </c>
    </row>
    <row r="127" spans="1:16" ht="16" hidden="1" customHeight="1" outlineLevel="1" x14ac:dyDescent="0.45">
      <c r="A127" s="29" t="s">
        <v>60</v>
      </c>
      <c r="B127" s="44">
        <v>29792045</v>
      </c>
      <c r="C127" s="63">
        <v>12023583</v>
      </c>
      <c r="D127" s="63">
        <v>794900</v>
      </c>
      <c r="E127" s="64">
        <v>16973562</v>
      </c>
      <c r="F127" s="63">
        <v>9967234.3391563669</v>
      </c>
      <c r="G127" s="63">
        <v>5735161.6608436331</v>
      </c>
      <c r="H127" s="65">
        <f t="shared" si="1"/>
        <v>715993</v>
      </c>
      <c r="I127" s="65">
        <v>0</v>
      </c>
      <c r="J127" s="65">
        <v>0</v>
      </c>
      <c r="K127" s="65">
        <v>382000</v>
      </c>
      <c r="L127" s="65">
        <v>66065</v>
      </c>
      <c r="M127" s="63">
        <v>107108</v>
      </c>
      <c r="N127" s="1"/>
      <c r="O127" s="65">
        <v>644394</v>
      </c>
      <c r="P127" s="65">
        <v>71599</v>
      </c>
    </row>
    <row r="128" spans="1:16" ht="16" hidden="1" customHeight="1" outlineLevel="1" x14ac:dyDescent="0.45">
      <c r="A128" s="29" t="s">
        <v>61</v>
      </c>
      <c r="B128" s="44">
        <v>26331405</v>
      </c>
      <c r="C128" s="63">
        <v>10892374</v>
      </c>
      <c r="D128" s="63">
        <v>0</v>
      </c>
      <c r="E128" s="64">
        <v>15439031</v>
      </c>
      <c r="F128" s="63">
        <v>0</v>
      </c>
      <c r="G128" s="63">
        <v>0</v>
      </c>
      <c r="H128" s="65">
        <f t="shared" si="1"/>
        <v>2664482</v>
      </c>
      <c r="I128" s="65">
        <v>0</v>
      </c>
      <c r="J128" s="65">
        <v>12065517</v>
      </c>
      <c r="K128" s="65">
        <v>173078</v>
      </c>
      <c r="L128" s="65">
        <v>0</v>
      </c>
      <c r="M128" s="63">
        <v>535954</v>
      </c>
      <c r="N128" s="1"/>
      <c r="O128" s="65">
        <v>2398034</v>
      </c>
      <c r="P128" s="65">
        <v>266448</v>
      </c>
    </row>
    <row r="129" spans="1:16" ht="16" hidden="1" customHeight="1" outlineLevel="1" x14ac:dyDescent="0.45">
      <c r="A129" s="29" t="s">
        <v>62</v>
      </c>
      <c r="B129" s="44">
        <v>9996535</v>
      </c>
      <c r="C129" s="63">
        <v>5208146</v>
      </c>
      <c r="D129" s="63">
        <v>494285</v>
      </c>
      <c r="E129" s="64">
        <v>4294104</v>
      </c>
      <c r="F129" s="63">
        <v>0</v>
      </c>
      <c r="G129" s="63">
        <v>0</v>
      </c>
      <c r="H129" s="65">
        <f t="shared" si="1"/>
        <v>2780355</v>
      </c>
      <c r="I129" s="65">
        <v>463392.5</v>
      </c>
      <c r="J129" s="65">
        <v>463392.5</v>
      </c>
      <c r="K129" s="65">
        <v>370714</v>
      </c>
      <c r="L129" s="65">
        <v>0</v>
      </c>
      <c r="M129" s="63">
        <v>216250</v>
      </c>
      <c r="N129" s="1"/>
      <c r="O129" s="65">
        <v>2502320</v>
      </c>
      <c r="P129" s="65">
        <v>278035</v>
      </c>
    </row>
    <row r="130" spans="1:16" ht="16" hidden="1" customHeight="1" outlineLevel="1" x14ac:dyDescent="0.45">
      <c r="A130" s="29" t="s">
        <v>63</v>
      </c>
      <c r="B130" s="44">
        <v>10416150</v>
      </c>
      <c r="C130" s="63">
        <v>363120</v>
      </c>
      <c r="D130" s="63">
        <v>28000</v>
      </c>
      <c r="E130" s="64">
        <v>10025030</v>
      </c>
      <c r="F130" s="63">
        <v>8186183.6895747911</v>
      </c>
      <c r="G130" s="63">
        <v>979496.31042520946</v>
      </c>
      <c r="H130" s="65">
        <f t="shared" si="1"/>
        <v>38300</v>
      </c>
      <c r="I130" s="65">
        <v>6240</v>
      </c>
      <c r="J130" s="65">
        <v>84550</v>
      </c>
      <c r="K130" s="65">
        <v>172240</v>
      </c>
      <c r="L130" s="65">
        <v>540420</v>
      </c>
      <c r="M130" s="63">
        <v>17600</v>
      </c>
      <c r="N130" s="1"/>
      <c r="O130" s="65">
        <v>34470</v>
      </c>
      <c r="P130" s="65">
        <v>3830</v>
      </c>
    </row>
    <row r="131" spans="1:16" ht="16" hidden="1" customHeight="1" outlineLevel="1" x14ac:dyDescent="0.45">
      <c r="A131" s="24" t="s">
        <v>192</v>
      </c>
      <c r="B131" s="45">
        <v>0</v>
      </c>
      <c r="C131" s="63">
        <v>0</v>
      </c>
      <c r="D131" s="63">
        <v>0</v>
      </c>
      <c r="E131" s="64">
        <v>0</v>
      </c>
      <c r="F131" s="63">
        <v>0</v>
      </c>
      <c r="G131" s="63">
        <v>0</v>
      </c>
      <c r="H131" s="65">
        <f t="shared" si="1"/>
        <v>0</v>
      </c>
      <c r="I131" s="65">
        <v>0</v>
      </c>
      <c r="J131" s="65">
        <v>0</v>
      </c>
      <c r="K131" s="65">
        <v>0</v>
      </c>
      <c r="L131" s="65">
        <v>0</v>
      </c>
      <c r="M131" s="63">
        <v>0</v>
      </c>
      <c r="N131" s="1"/>
      <c r="O131" s="65">
        <v>0</v>
      </c>
      <c r="P131" s="65">
        <v>0</v>
      </c>
    </row>
    <row r="132" spans="1:16" ht="16" hidden="1" customHeight="1" outlineLevel="1" x14ac:dyDescent="0.45">
      <c r="A132" s="29" t="s">
        <v>193</v>
      </c>
      <c r="B132" s="44">
        <v>0</v>
      </c>
      <c r="C132" s="63">
        <v>0</v>
      </c>
      <c r="D132" s="63">
        <v>0</v>
      </c>
      <c r="E132" s="64">
        <v>0</v>
      </c>
      <c r="F132" s="63">
        <v>0</v>
      </c>
      <c r="G132" s="63">
        <v>0</v>
      </c>
      <c r="H132" s="65">
        <f t="shared" ref="H132:H195" si="2">O132+P132</f>
        <v>0</v>
      </c>
      <c r="I132" s="65">
        <v>0</v>
      </c>
      <c r="J132" s="65">
        <v>0</v>
      </c>
      <c r="K132" s="65">
        <v>0</v>
      </c>
      <c r="L132" s="65">
        <v>0</v>
      </c>
      <c r="M132" s="63">
        <v>0</v>
      </c>
      <c r="N132" s="1"/>
      <c r="O132" s="65">
        <v>0</v>
      </c>
      <c r="P132" s="65">
        <v>0</v>
      </c>
    </row>
    <row r="133" spans="1:16" s="1" customFormat="1" collapsed="1" x14ac:dyDescent="0.45">
      <c r="A133" s="28" t="s">
        <v>64</v>
      </c>
      <c r="B133" s="43">
        <v>88010606</v>
      </c>
      <c r="C133" s="60">
        <v>-1639680</v>
      </c>
      <c r="D133" s="60">
        <v>0</v>
      </c>
      <c r="E133" s="61">
        <v>89650286</v>
      </c>
      <c r="F133" s="60">
        <v>80040591.904989958</v>
      </c>
      <c r="G133" s="60">
        <v>9159575.0950100441</v>
      </c>
      <c r="H133" s="62">
        <f t="shared" si="2"/>
        <v>0</v>
      </c>
      <c r="I133" s="62">
        <v>0</v>
      </c>
      <c r="J133" s="62">
        <v>0</v>
      </c>
      <c r="K133" s="62">
        <v>0</v>
      </c>
      <c r="L133" s="62">
        <v>0</v>
      </c>
      <c r="M133" s="60">
        <v>450119</v>
      </c>
      <c r="O133" s="62">
        <v>0</v>
      </c>
      <c r="P133" s="62">
        <v>0</v>
      </c>
    </row>
    <row r="134" spans="1:16" ht="16" hidden="1" customHeight="1" outlineLevel="1" x14ac:dyDescent="0.45">
      <c r="A134" s="29" t="s">
        <v>65</v>
      </c>
      <c r="B134" s="44">
        <v>88010606</v>
      </c>
      <c r="C134" s="63">
        <v>-1639680</v>
      </c>
      <c r="D134" s="63">
        <v>0</v>
      </c>
      <c r="E134" s="64">
        <v>89650286</v>
      </c>
      <c r="F134" s="63">
        <v>80040591.904989958</v>
      </c>
      <c r="G134" s="63">
        <v>9159575.0950100441</v>
      </c>
      <c r="H134" s="65">
        <f t="shared" si="2"/>
        <v>0</v>
      </c>
      <c r="I134" s="65">
        <v>0</v>
      </c>
      <c r="J134" s="65">
        <v>0</v>
      </c>
      <c r="K134" s="65">
        <v>0</v>
      </c>
      <c r="L134" s="65">
        <v>0</v>
      </c>
      <c r="M134" s="63">
        <v>450119</v>
      </c>
      <c r="N134" s="1"/>
      <c r="O134" s="65">
        <v>0</v>
      </c>
      <c r="P134" s="65">
        <v>0</v>
      </c>
    </row>
    <row r="135" spans="1:16" ht="16" hidden="1" customHeight="1" outlineLevel="1" x14ac:dyDescent="0.45">
      <c r="A135" s="29" t="s">
        <v>261</v>
      </c>
      <c r="B135" s="44">
        <v>0</v>
      </c>
      <c r="C135" s="63">
        <v>0</v>
      </c>
      <c r="D135" s="63">
        <v>0</v>
      </c>
      <c r="E135" s="64">
        <v>0</v>
      </c>
      <c r="F135" s="63">
        <v>0</v>
      </c>
      <c r="G135" s="63">
        <v>0</v>
      </c>
      <c r="H135" s="65">
        <f t="shared" si="2"/>
        <v>0</v>
      </c>
      <c r="I135" s="65">
        <v>0</v>
      </c>
      <c r="J135" s="65">
        <v>0</v>
      </c>
      <c r="K135" s="65">
        <v>0</v>
      </c>
      <c r="L135" s="65">
        <v>0</v>
      </c>
      <c r="M135" s="63">
        <v>0</v>
      </c>
      <c r="N135" s="1"/>
      <c r="O135" s="65">
        <v>0</v>
      </c>
      <c r="P135" s="65">
        <v>0</v>
      </c>
    </row>
    <row r="136" spans="1:16" s="1" customFormat="1" collapsed="1" x14ac:dyDescent="0.45">
      <c r="A136" s="28" t="s">
        <v>139</v>
      </c>
      <c r="B136" s="43">
        <v>11417200</v>
      </c>
      <c r="C136" s="60">
        <v>11417200</v>
      </c>
      <c r="D136" s="60">
        <v>0</v>
      </c>
      <c r="E136" s="61">
        <v>0</v>
      </c>
      <c r="F136" s="60">
        <v>0</v>
      </c>
      <c r="G136" s="60">
        <v>0</v>
      </c>
      <c r="H136" s="62">
        <f t="shared" si="2"/>
        <v>0</v>
      </c>
      <c r="I136" s="62">
        <v>0</v>
      </c>
      <c r="J136" s="62">
        <v>0</v>
      </c>
      <c r="K136" s="62">
        <v>0</v>
      </c>
      <c r="L136" s="62">
        <v>0</v>
      </c>
      <c r="M136" s="60">
        <v>0</v>
      </c>
      <c r="O136" s="62">
        <v>0</v>
      </c>
      <c r="P136" s="62">
        <v>0</v>
      </c>
    </row>
    <row r="137" spans="1:16" ht="16" hidden="1" customHeight="1" outlineLevel="1" x14ac:dyDescent="0.45">
      <c r="A137" s="29" t="s">
        <v>140</v>
      </c>
      <c r="B137" s="44">
        <v>0</v>
      </c>
      <c r="C137" s="63">
        <v>0</v>
      </c>
      <c r="D137" s="63">
        <v>0</v>
      </c>
      <c r="E137" s="64">
        <v>0</v>
      </c>
      <c r="F137" s="63">
        <v>0</v>
      </c>
      <c r="G137" s="63">
        <v>0</v>
      </c>
      <c r="H137" s="65">
        <f t="shared" si="2"/>
        <v>0</v>
      </c>
      <c r="I137" s="65">
        <v>0</v>
      </c>
      <c r="J137" s="65">
        <v>0</v>
      </c>
      <c r="K137" s="65">
        <v>0</v>
      </c>
      <c r="L137" s="65">
        <v>0</v>
      </c>
      <c r="M137" s="63">
        <v>0</v>
      </c>
      <c r="N137" s="1"/>
      <c r="O137" s="65">
        <v>0</v>
      </c>
      <c r="P137" s="65">
        <v>0</v>
      </c>
    </row>
    <row r="138" spans="1:16" ht="16" hidden="1" customHeight="1" outlineLevel="1" x14ac:dyDescent="0.45">
      <c r="A138" s="29" t="s">
        <v>194</v>
      </c>
      <c r="B138" s="44">
        <v>0</v>
      </c>
      <c r="C138" s="63">
        <v>0</v>
      </c>
      <c r="D138" s="63">
        <v>0</v>
      </c>
      <c r="E138" s="64">
        <v>0</v>
      </c>
      <c r="F138" s="63">
        <v>0</v>
      </c>
      <c r="G138" s="63">
        <v>0</v>
      </c>
      <c r="H138" s="65">
        <f t="shared" si="2"/>
        <v>0</v>
      </c>
      <c r="I138" s="65">
        <v>0</v>
      </c>
      <c r="J138" s="65">
        <v>0</v>
      </c>
      <c r="K138" s="65">
        <v>0</v>
      </c>
      <c r="L138" s="65">
        <v>0</v>
      </c>
      <c r="M138" s="63">
        <v>0</v>
      </c>
      <c r="N138" s="1"/>
      <c r="O138" s="65">
        <v>0</v>
      </c>
      <c r="P138" s="65">
        <v>0</v>
      </c>
    </row>
    <row r="139" spans="1:16" ht="16" hidden="1" customHeight="1" outlineLevel="1" x14ac:dyDescent="0.45">
      <c r="A139" s="29" t="s">
        <v>195</v>
      </c>
      <c r="B139" s="44">
        <v>0</v>
      </c>
      <c r="C139" s="63">
        <v>0</v>
      </c>
      <c r="D139" s="63">
        <v>0</v>
      </c>
      <c r="E139" s="64">
        <v>0</v>
      </c>
      <c r="F139" s="63">
        <v>0</v>
      </c>
      <c r="G139" s="63">
        <v>0</v>
      </c>
      <c r="H139" s="65">
        <f t="shared" si="2"/>
        <v>0</v>
      </c>
      <c r="I139" s="65">
        <v>0</v>
      </c>
      <c r="J139" s="65">
        <v>0</v>
      </c>
      <c r="K139" s="65">
        <v>0</v>
      </c>
      <c r="L139" s="65">
        <v>0</v>
      </c>
      <c r="M139" s="63">
        <v>0</v>
      </c>
      <c r="N139" s="1"/>
      <c r="O139" s="65">
        <v>0</v>
      </c>
      <c r="P139" s="65">
        <v>0</v>
      </c>
    </row>
    <row r="140" spans="1:16" ht="16" hidden="1" customHeight="1" outlineLevel="1" x14ac:dyDescent="0.45">
      <c r="A140" s="29" t="s">
        <v>141</v>
      </c>
      <c r="B140" s="44">
        <v>11417200</v>
      </c>
      <c r="C140" s="63">
        <v>11417200</v>
      </c>
      <c r="D140" s="63">
        <v>0</v>
      </c>
      <c r="E140" s="64">
        <v>0</v>
      </c>
      <c r="F140" s="63">
        <v>0</v>
      </c>
      <c r="G140" s="63">
        <v>0</v>
      </c>
      <c r="H140" s="65">
        <f t="shared" si="2"/>
        <v>0</v>
      </c>
      <c r="I140" s="65">
        <v>0</v>
      </c>
      <c r="J140" s="65">
        <v>0</v>
      </c>
      <c r="K140" s="65">
        <v>0</v>
      </c>
      <c r="L140" s="65">
        <v>0</v>
      </c>
      <c r="M140" s="63">
        <v>0</v>
      </c>
      <c r="N140" s="1"/>
      <c r="O140" s="65">
        <v>0</v>
      </c>
      <c r="P140" s="65">
        <v>0</v>
      </c>
    </row>
    <row r="141" spans="1:16" s="1" customFormat="1" collapsed="1" x14ac:dyDescent="0.45">
      <c r="A141" s="28" t="s">
        <v>66</v>
      </c>
      <c r="B141" s="43">
        <v>44607273</v>
      </c>
      <c r="C141" s="66">
        <v>467949</v>
      </c>
      <c r="D141" s="66">
        <v>0</v>
      </c>
      <c r="E141" s="61">
        <v>44139324</v>
      </c>
      <c r="F141" s="60">
        <v>12160764.426916484</v>
      </c>
      <c r="G141" s="60">
        <v>2978560.5730835162</v>
      </c>
      <c r="H141" s="62">
        <f t="shared" si="2"/>
        <v>0</v>
      </c>
      <c r="I141" s="62">
        <v>0</v>
      </c>
      <c r="J141" s="62">
        <v>0</v>
      </c>
      <c r="K141" s="62">
        <v>0</v>
      </c>
      <c r="L141" s="62">
        <v>0</v>
      </c>
      <c r="M141" s="60">
        <v>28999999</v>
      </c>
      <c r="O141" s="62">
        <v>0</v>
      </c>
      <c r="P141" s="62">
        <v>0</v>
      </c>
    </row>
    <row r="142" spans="1:16" s="1" customFormat="1" x14ac:dyDescent="0.45">
      <c r="A142" s="28" t="s">
        <v>67</v>
      </c>
      <c r="B142" s="43">
        <v>875807906</v>
      </c>
      <c r="C142" s="66">
        <v>168842188</v>
      </c>
      <c r="D142" s="66">
        <v>31827757</v>
      </c>
      <c r="E142" s="61">
        <v>675137961</v>
      </c>
      <c r="F142" s="60">
        <v>296728917.26802737</v>
      </c>
      <c r="G142" s="60">
        <v>251289467.73197263</v>
      </c>
      <c r="H142" s="62">
        <f t="shared" si="2"/>
        <v>38513278</v>
      </c>
      <c r="I142" s="62">
        <v>7332844</v>
      </c>
      <c r="J142" s="62">
        <v>7332844</v>
      </c>
      <c r="K142" s="62">
        <v>27602411</v>
      </c>
      <c r="L142" s="62">
        <v>37832009</v>
      </c>
      <c r="M142" s="60">
        <v>8506190</v>
      </c>
      <c r="O142" s="62">
        <v>34661950</v>
      </c>
      <c r="P142" s="62">
        <v>3851328</v>
      </c>
    </row>
    <row r="143" spans="1:16" ht="16" hidden="1" customHeight="1" outlineLevel="1" x14ac:dyDescent="0.45">
      <c r="A143" s="29" t="s">
        <v>68</v>
      </c>
      <c r="B143" s="44">
        <v>176759566</v>
      </c>
      <c r="C143" s="67">
        <v>14951566</v>
      </c>
      <c r="D143" s="67">
        <v>1330000</v>
      </c>
      <c r="E143" s="64">
        <v>160478000</v>
      </c>
      <c r="F143" s="63">
        <v>25292511.756469913</v>
      </c>
      <c r="G143" s="63">
        <v>119554488.24353009</v>
      </c>
      <c r="H143" s="65">
        <f t="shared" si="2"/>
        <v>0</v>
      </c>
      <c r="I143" s="65">
        <v>0</v>
      </c>
      <c r="J143" s="65">
        <v>0</v>
      </c>
      <c r="K143" s="65">
        <v>0</v>
      </c>
      <c r="L143" s="65">
        <v>15631000</v>
      </c>
      <c r="M143" s="63">
        <v>0</v>
      </c>
      <c r="N143" s="1"/>
      <c r="O143" s="65">
        <v>0</v>
      </c>
      <c r="P143" s="65">
        <v>0</v>
      </c>
    </row>
    <row r="144" spans="1:16" ht="16" hidden="1" customHeight="1" outlineLevel="1" x14ac:dyDescent="0.45">
      <c r="A144" s="29" t="s">
        <v>196</v>
      </c>
      <c r="B144" s="44">
        <v>0</v>
      </c>
      <c r="C144" s="67">
        <v>0</v>
      </c>
      <c r="D144" s="67">
        <v>0</v>
      </c>
      <c r="E144" s="64">
        <v>0</v>
      </c>
      <c r="F144" s="63">
        <v>0</v>
      </c>
      <c r="G144" s="63">
        <v>0</v>
      </c>
      <c r="H144" s="65">
        <f t="shared" si="2"/>
        <v>0</v>
      </c>
      <c r="I144" s="65">
        <v>0</v>
      </c>
      <c r="J144" s="65">
        <v>0</v>
      </c>
      <c r="K144" s="65">
        <v>0</v>
      </c>
      <c r="L144" s="65">
        <v>0</v>
      </c>
      <c r="M144" s="63">
        <v>0</v>
      </c>
      <c r="N144" s="1"/>
      <c r="O144" s="65">
        <v>0</v>
      </c>
      <c r="P144" s="65">
        <v>0</v>
      </c>
    </row>
    <row r="145" spans="1:16" ht="16" hidden="1" customHeight="1" outlineLevel="1" x14ac:dyDescent="0.45">
      <c r="A145" s="29" t="s">
        <v>69</v>
      </c>
      <c r="B145" s="44">
        <v>325734285</v>
      </c>
      <c r="C145" s="67">
        <v>45136994</v>
      </c>
      <c r="D145" s="67">
        <v>17527552</v>
      </c>
      <c r="E145" s="64">
        <v>263069739</v>
      </c>
      <c r="F145" s="63">
        <v>89054202.264776364</v>
      </c>
      <c r="G145" s="63">
        <v>94915528.735223636</v>
      </c>
      <c r="H145" s="65">
        <f t="shared" si="2"/>
        <v>27715575</v>
      </c>
      <c r="I145" s="65">
        <v>4882068</v>
      </c>
      <c r="J145" s="65">
        <v>4882068</v>
      </c>
      <c r="K145" s="65">
        <v>22790227</v>
      </c>
      <c r="L145" s="65">
        <v>12830070</v>
      </c>
      <c r="M145" s="63">
        <v>6000000</v>
      </c>
      <c r="N145" s="1"/>
      <c r="O145" s="65">
        <v>24944017</v>
      </c>
      <c r="P145" s="65">
        <v>2771558</v>
      </c>
    </row>
    <row r="146" spans="1:16" ht="16" hidden="1" customHeight="1" outlineLevel="1" x14ac:dyDescent="0.45">
      <c r="A146" s="29" t="s">
        <v>70</v>
      </c>
      <c r="B146" s="44">
        <v>289989855</v>
      </c>
      <c r="C146" s="67">
        <v>27994028</v>
      </c>
      <c r="D146" s="67">
        <v>11687905</v>
      </c>
      <c r="E146" s="64">
        <v>250307922</v>
      </c>
      <c r="F146" s="63">
        <v>181099903.24678111</v>
      </c>
      <c r="G146" s="63">
        <v>36819450.753218889</v>
      </c>
      <c r="H146" s="65">
        <f t="shared" si="2"/>
        <v>10797703</v>
      </c>
      <c r="I146" s="65">
        <v>2450776</v>
      </c>
      <c r="J146" s="65">
        <v>2450776</v>
      </c>
      <c r="K146" s="65">
        <v>4812184</v>
      </c>
      <c r="L146" s="65">
        <v>9370939</v>
      </c>
      <c r="M146" s="63">
        <v>2506190</v>
      </c>
      <c r="N146" s="1"/>
      <c r="O146" s="65">
        <v>9717933</v>
      </c>
      <c r="P146" s="65">
        <v>1079770</v>
      </c>
    </row>
    <row r="147" spans="1:16" ht="16" hidden="1" customHeight="1" outlineLevel="1" x14ac:dyDescent="0.45">
      <c r="A147" s="29" t="s">
        <v>142</v>
      </c>
      <c r="B147" s="44">
        <v>83324200</v>
      </c>
      <c r="C147" s="63">
        <v>80759600</v>
      </c>
      <c r="D147" s="63">
        <v>1282300</v>
      </c>
      <c r="E147" s="64">
        <v>1282300</v>
      </c>
      <c r="F147" s="63">
        <v>1282300</v>
      </c>
      <c r="G147" s="63">
        <v>0</v>
      </c>
      <c r="H147" s="65">
        <f t="shared" si="2"/>
        <v>0</v>
      </c>
      <c r="I147" s="65">
        <v>0</v>
      </c>
      <c r="J147" s="65">
        <v>0</v>
      </c>
      <c r="K147" s="65">
        <v>0</v>
      </c>
      <c r="L147" s="65">
        <v>0</v>
      </c>
      <c r="M147" s="63">
        <v>0</v>
      </c>
      <c r="N147" s="1"/>
      <c r="O147" s="65">
        <v>0</v>
      </c>
      <c r="P147" s="65">
        <v>0</v>
      </c>
    </row>
    <row r="148" spans="1:16" ht="16" hidden="1" customHeight="1" outlineLevel="1" x14ac:dyDescent="0.45">
      <c r="A148" s="29" t="s">
        <v>197</v>
      </c>
      <c r="B148" s="44">
        <v>0</v>
      </c>
      <c r="C148" s="63">
        <v>0</v>
      </c>
      <c r="D148" s="63">
        <v>0</v>
      </c>
      <c r="E148" s="64">
        <v>0</v>
      </c>
      <c r="F148" s="63">
        <v>0</v>
      </c>
      <c r="G148" s="63">
        <v>0</v>
      </c>
      <c r="H148" s="65">
        <f t="shared" si="2"/>
        <v>0</v>
      </c>
      <c r="I148" s="65">
        <v>0</v>
      </c>
      <c r="J148" s="65">
        <v>0</v>
      </c>
      <c r="K148" s="65">
        <v>0</v>
      </c>
      <c r="L148" s="65">
        <v>0</v>
      </c>
      <c r="M148" s="63">
        <v>0</v>
      </c>
      <c r="N148" s="1"/>
      <c r="O148" s="65">
        <v>0</v>
      </c>
      <c r="P148" s="65">
        <v>0</v>
      </c>
    </row>
    <row r="149" spans="1:16" ht="16" hidden="1" customHeight="1" outlineLevel="1" x14ac:dyDescent="0.45">
      <c r="A149" s="29" t="s">
        <v>262</v>
      </c>
      <c r="B149" s="44">
        <v>0</v>
      </c>
      <c r="C149" s="63">
        <v>0</v>
      </c>
      <c r="D149" s="63">
        <v>0</v>
      </c>
      <c r="E149" s="64">
        <v>0</v>
      </c>
      <c r="F149" s="63">
        <v>0</v>
      </c>
      <c r="G149" s="63">
        <v>0</v>
      </c>
      <c r="H149" s="65">
        <f t="shared" si="2"/>
        <v>0</v>
      </c>
      <c r="I149" s="65">
        <v>0</v>
      </c>
      <c r="J149" s="65">
        <v>0</v>
      </c>
      <c r="K149" s="65">
        <v>0</v>
      </c>
      <c r="L149" s="65">
        <v>0</v>
      </c>
      <c r="M149" s="63">
        <v>0</v>
      </c>
      <c r="N149" s="1"/>
      <c r="O149" s="65">
        <v>0</v>
      </c>
      <c r="P149" s="65">
        <v>0</v>
      </c>
    </row>
    <row r="150" spans="1:16" ht="16" hidden="1" customHeight="1" outlineLevel="1" x14ac:dyDescent="0.45">
      <c r="A150" s="29" t="s">
        <v>263</v>
      </c>
      <c r="B150" s="44">
        <v>0</v>
      </c>
      <c r="C150" s="63">
        <v>0</v>
      </c>
      <c r="D150" s="63">
        <v>0</v>
      </c>
      <c r="E150" s="64">
        <v>0</v>
      </c>
      <c r="F150" s="63">
        <v>0</v>
      </c>
      <c r="G150" s="63">
        <v>0</v>
      </c>
      <c r="H150" s="65">
        <f t="shared" si="2"/>
        <v>0</v>
      </c>
      <c r="I150" s="65">
        <v>0</v>
      </c>
      <c r="J150" s="65">
        <v>0</v>
      </c>
      <c r="K150" s="65">
        <v>0</v>
      </c>
      <c r="L150" s="65">
        <v>0</v>
      </c>
      <c r="M150" s="63">
        <v>0</v>
      </c>
      <c r="N150" s="1"/>
      <c r="O150" s="65">
        <v>0</v>
      </c>
      <c r="P150" s="65">
        <v>0</v>
      </c>
    </row>
    <row r="151" spans="1:16" s="1" customFormat="1" collapsed="1" x14ac:dyDescent="0.45">
      <c r="A151" s="28" t="s">
        <v>71</v>
      </c>
      <c r="B151" s="43">
        <v>55032052</v>
      </c>
      <c r="C151" s="60">
        <v>54790902</v>
      </c>
      <c r="D151" s="60">
        <v>0</v>
      </c>
      <c r="E151" s="61">
        <v>241150</v>
      </c>
      <c r="F151" s="60">
        <v>0</v>
      </c>
      <c r="G151" s="60">
        <v>0</v>
      </c>
      <c r="H151" s="62">
        <f t="shared" si="2"/>
        <v>0</v>
      </c>
      <c r="I151" s="62">
        <v>0</v>
      </c>
      <c r="J151" s="62">
        <v>0</v>
      </c>
      <c r="K151" s="62">
        <v>241150</v>
      </c>
      <c r="L151" s="62">
        <v>0</v>
      </c>
      <c r="M151" s="60">
        <v>0</v>
      </c>
      <c r="O151" s="62">
        <v>0</v>
      </c>
      <c r="P151" s="62">
        <v>0</v>
      </c>
    </row>
    <row r="152" spans="1:16" ht="16" hidden="1" customHeight="1" outlineLevel="1" x14ac:dyDescent="0.45">
      <c r="A152" s="29" t="s">
        <v>143</v>
      </c>
      <c r="B152" s="44">
        <v>571420</v>
      </c>
      <c r="C152" s="63">
        <v>330270</v>
      </c>
      <c r="D152" s="63">
        <v>0</v>
      </c>
      <c r="E152" s="64">
        <v>241150</v>
      </c>
      <c r="F152" s="63">
        <v>0</v>
      </c>
      <c r="G152" s="63">
        <v>0</v>
      </c>
      <c r="H152" s="65">
        <f t="shared" si="2"/>
        <v>0</v>
      </c>
      <c r="I152" s="65">
        <v>0</v>
      </c>
      <c r="J152" s="65">
        <v>0</v>
      </c>
      <c r="K152" s="65">
        <v>241150</v>
      </c>
      <c r="L152" s="65">
        <v>0</v>
      </c>
      <c r="M152" s="63">
        <v>0</v>
      </c>
      <c r="N152" s="1"/>
      <c r="O152" s="65">
        <v>0</v>
      </c>
      <c r="P152" s="65">
        <v>0</v>
      </c>
    </row>
    <row r="153" spans="1:16" ht="16" hidden="1" customHeight="1" outlineLevel="1" x14ac:dyDescent="0.45">
      <c r="A153" s="29" t="s">
        <v>72</v>
      </c>
      <c r="B153" s="44">
        <v>12744631</v>
      </c>
      <c r="C153" s="63">
        <v>12744631</v>
      </c>
      <c r="D153" s="63">
        <v>0</v>
      </c>
      <c r="E153" s="64">
        <v>0</v>
      </c>
      <c r="F153" s="63">
        <v>0</v>
      </c>
      <c r="G153" s="63">
        <v>0</v>
      </c>
      <c r="H153" s="65">
        <f t="shared" si="2"/>
        <v>0</v>
      </c>
      <c r="I153" s="65">
        <v>0</v>
      </c>
      <c r="J153" s="65">
        <v>0</v>
      </c>
      <c r="K153" s="65">
        <v>0</v>
      </c>
      <c r="L153" s="65">
        <v>0</v>
      </c>
      <c r="M153" s="63">
        <v>0</v>
      </c>
      <c r="N153" s="1"/>
      <c r="O153" s="65">
        <v>0</v>
      </c>
      <c r="P153" s="65">
        <v>0</v>
      </c>
    </row>
    <row r="154" spans="1:16" ht="16" hidden="1" customHeight="1" outlineLevel="1" x14ac:dyDescent="0.45">
      <c r="A154" s="29" t="s">
        <v>144</v>
      </c>
      <c r="B154" s="44">
        <v>41716001</v>
      </c>
      <c r="C154" s="63">
        <v>41716001</v>
      </c>
      <c r="D154" s="63">
        <v>0</v>
      </c>
      <c r="E154" s="64">
        <v>0</v>
      </c>
      <c r="F154" s="63">
        <v>0</v>
      </c>
      <c r="G154" s="63">
        <v>0</v>
      </c>
      <c r="H154" s="65">
        <f t="shared" si="2"/>
        <v>0</v>
      </c>
      <c r="I154" s="65">
        <v>0</v>
      </c>
      <c r="J154" s="65">
        <v>0</v>
      </c>
      <c r="K154" s="65">
        <v>0</v>
      </c>
      <c r="L154" s="65">
        <v>0</v>
      </c>
      <c r="M154" s="63">
        <v>0</v>
      </c>
      <c r="N154" s="1"/>
      <c r="O154" s="65">
        <v>0</v>
      </c>
      <c r="P154" s="65">
        <v>0</v>
      </c>
    </row>
    <row r="155" spans="1:16" ht="16" hidden="1" customHeight="1" outlineLevel="1" x14ac:dyDescent="0.45">
      <c r="A155" s="29" t="s">
        <v>145</v>
      </c>
      <c r="B155" s="44">
        <v>0</v>
      </c>
      <c r="C155" s="63">
        <v>0</v>
      </c>
      <c r="D155" s="63">
        <v>0</v>
      </c>
      <c r="E155" s="64">
        <v>0</v>
      </c>
      <c r="F155" s="63">
        <v>0</v>
      </c>
      <c r="G155" s="63">
        <v>0</v>
      </c>
      <c r="H155" s="65">
        <f t="shared" si="2"/>
        <v>0</v>
      </c>
      <c r="I155" s="65">
        <v>0</v>
      </c>
      <c r="J155" s="65">
        <v>0</v>
      </c>
      <c r="K155" s="65">
        <v>0</v>
      </c>
      <c r="L155" s="65">
        <v>0</v>
      </c>
      <c r="M155" s="63">
        <v>0</v>
      </c>
      <c r="N155" s="1"/>
      <c r="O155" s="65">
        <v>0</v>
      </c>
      <c r="P155" s="65">
        <v>0</v>
      </c>
    </row>
    <row r="156" spans="1:16" s="1" customFormat="1" collapsed="1" x14ac:dyDescent="0.45">
      <c r="A156" s="28" t="s">
        <v>73</v>
      </c>
      <c r="B156" s="43">
        <v>112325480</v>
      </c>
      <c r="C156" s="60">
        <v>9396519</v>
      </c>
      <c r="D156" s="60">
        <v>1241020</v>
      </c>
      <c r="E156" s="61">
        <v>101687941</v>
      </c>
      <c r="F156" s="60">
        <v>18230098.44892757</v>
      </c>
      <c r="G156" s="60">
        <v>60220586.663910076</v>
      </c>
      <c r="H156" s="62">
        <f t="shared" si="2"/>
        <v>714312.88716235245</v>
      </c>
      <c r="I156" s="62">
        <v>411450.76166480343</v>
      </c>
      <c r="J156" s="62">
        <v>932513.59641831473</v>
      </c>
      <c r="K156" s="62">
        <v>3641722.8622307903</v>
      </c>
      <c r="L156" s="62">
        <v>17517255.779686093</v>
      </c>
      <c r="M156" s="60">
        <v>20000</v>
      </c>
      <c r="O156" s="62">
        <v>712545.27875689371</v>
      </c>
      <c r="P156" s="62">
        <v>1767.6084054586847</v>
      </c>
    </row>
    <row r="157" spans="1:16" ht="16" hidden="1" customHeight="1" outlineLevel="1" x14ac:dyDescent="0.45">
      <c r="A157" s="29" t="s">
        <v>74</v>
      </c>
      <c r="B157" s="44">
        <v>25356280</v>
      </c>
      <c r="C157" s="63">
        <v>4122060</v>
      </c>
      <c r="D157" s="63">
        <v>166750</v>
      </c>
      <c r="E157" s="64">
        <v>21067470</v>
      </c>
      <c r="F157" s="63">
        <v>5716363.3817341514</v>
      </c>
      <c r="G157" s="63">
        <v>12402236.618265849</v>
      </c>
      <c r="H157" s="65">
        <f t="shared" si="2"/>
        <v>48000</v>
      </c>
      <c r="I157" s="65">
        <v>148145.9917842834</v>
      </c>
      <c r="J157" s="65">
        <v>343533.70317098813</v>
      </c>
      <c r="K157" s="65">
        <v>473750.11248585547</v>
      </c>
      <c r="L157" s="65">
        <v>1915440.192558873</v>
      </c>
      <c r="M157" s="63">
        <v>20000</v>
      </c>
      <c r="N157" s="1"/>
      <c r="O157" s="65">
        <v>48000</v>
      </c>
      <c r="P157" s="65">
        <v>0</v>
      </c>
    </row>
    <row r="158" spans="1:16" ht="16" hidden="1" customHeight="1" outlineLevel="1" x14ac:dyDescent="0.45">
      <c r="A158" s="29" t="s">
        <v>75</v>
      </c>
      <c r="B158" s="44">
        <v>9930548</v>
      </c>
      <c r="C158" s="63">
        <v>2632677.9999999991</v>
      </c>
      <c r="D158" s="63">
        <v>1044270</v>
      </c>
      <c r="E158" s="64">
        <v>6253600.0000000009</v>
      </c>
      <c r="F158" s="63">
        <v>3537468.2265059692</v>
      </c>
      <c r="G158" s="63">
        <v>565118.88633167837</v>
      </c>
      <c r="H158" s="65">
        <f t="shared" si="2"/>
        <v>666312.88716235245</v>
      </c>
      <c r="I158" s="65">
        <v>263304.76988052006</v>
      </c>
      <c r="J158" s="65">
        <v>588979.8932473266</v>
      </c>
      <c r="K158" s="65">
        <v>603198.74974493473</v>
      </c>
      <c r="L158" s="65">
        <v>29216.58712721858</v>
      </c>
      <c r="M158" s="63">
        <v>0</v>
      </c>
      <c r="N158" s="1"/>
      <c r="O158" s="65">
        <v>664545.27875689371</v>
      </c>
      <c r="P158" s="65">
        <v>1767.6084054586847</v>
      </c>
    </row>
    <row r="159" spans="1:16" ht="16" hidden="1" customHeight="1" outlineLevel="1" x14ac:dyDescent="0.45">
      <c r="A159" s="29" t="s">
        <v>76</v>
      </c>
      <c r="B159" s="44">
        <v>20510803</v>
      </c>
      <c r="C159" s="63">
        <v>446000</v>
      </c>
      <c r="D159" s="63">
        <v>30000</v>
      </c>
      <c r="E159" s="64">
        <v>20034803</v>
      </c>
      <c r="F159" s="63">
        <v>2179039</v>
      </c>
      <c r="G159" s="63">
        <v>3075784</v>
      </c>
      <c r="H159" s="65">
        <f t="shared" si="2"/>
        <v>0</v>
      </c>
      <c r="I159" s="65">
        <v>0</v>
      </c>
      <c r="J159" s="65">
        <v>0</v>
      </c>
      <c r="K159" s="65">
        <v>2210498</v>
      </c>
      <c r="L159" s="65">
        <v>12569482</v>
      </c>
      <c r="M159" s="63">
        <v>0</v>
      </c>
      <c r="N159" s="1"/>
      <c r="O159" s="65">
        <v>0</v>
      </c>
      <c r="P159" s="65">
        <v>0</v>
      </c>
    </row>
    <row r="160" spans="1:16" ht="16" hidden="1" customHeight="1" outlineLevel="1" x14ac:dyDescent="0.45">
      <c r="A160" s="29" t="s">
        <v>77</v>
      </c>
      <c r="B160" s="44">
        <v>56527849</v>
      </c>
      <c r="C160" s="63">
        <v>2195781.0000000075</v>
      </c>
      <c r="D160" s="63">
        <v>0</v>
      </c>
      <c r="E160" s="64">
        <v>54332067.999999993</v>
      </c>
      <c r="F160" s="63">
        <v>6797227.8406874491</v>
      </c>
      <c r="G160" s="63">
        <v>44177447.159312546</v>
      </c>
      <c r="H160" s="65">
        <f t="shared" si="2"/>
        <v>0</v>
      </c>
      <c r="I160" s="65">
        <v>0</v>
      </c>
      <c r="J160" s="65">
        <v>0</v>
      </c>
      <c r="K160" s="65">
        <v>354276</v>
      </c>
      <c r="L160" s="65">
        <v>3003117</v>
      </c>
      <c r="M160" s="63">
        <v>0</v>
      </c>
      <c r="N160" s="1"/>
      <c r="O160" s="65">
        <v>0</v>
      </c>
      <c r="P160" s="65">
        <v>0</v>
      </c>
    </row>
    <row r="161" spans="1:16" ht="16" hidden="1" customHeight="1" outlineLevel="1" x14ac:dyDescent="0.45">
      <c r="A161" s="29" t="s">
        <v>198</v>
      </c>
      <c r="B161" s="44">
        <v>0</v>
      </c>
      <c r="C161" s="63">
        <v>0</v>
      </c>
      <c r="D161" s="63">
        <v>0</v>
      </c>
      <c r="E161" s="64">
        <v>0</v>
      </c>
      <c r="F161" s="63">
        <v>0</v>
      </c>
      <c r="G161" s="63">
        <v>0</v>
      </c>
      <c r="H161" s="65">
        <f t="shared" si="2"/>
        <v>0</v>
      </c>
      <c r="I161" s="65">
        <v>0</v>
      </c>
      <c r="J161" s="65">
        <v>0</v>
      </c>
      <c r="K161" s="65">
        <v>0</v>
      </c>
      <c r="L161" s="65">
        <v>0</v>
      </c>
      <c r="M161" s="63">
        <v>0</v>
      </c>
      <c r="N161" s="1"/>
      <c r="O161" s="65">
        <v>0</v>
      </c>
      <c r="P161" s="65">
        <v>0</v>
      </c>
    </row>
    <row r="162" spans="1:16" ht="16" hidden="1" customHeight="1" outlineLevel="1" x14ac:dyDescent="0.45">
      <c r="A162" s="24" t="s">
        <v>199</v>
      </c>
      <c r="B162" s="45">
        <v>0</v>
      </c>
      <c r="C162" s="63">
        <v>0</v>
      </c>
      <c r="D162" s="63">
        <v>0</v>
      </c>
      <c r="E162" s="64">
        <v>0</v>
      </c>
      <c r="F162" s="63">
        <v>0</v>
      </c>
      <c r="G162" s="63">
        <v>0</v>
      </c>
      <c r="H162" s="65">
        <f t="shared" si="2"/>
        <v>0</v>
      </c>
      <c r="I162" s="65">
        <v>0</v>
      </c>
      <c r="J162" s="65">
        <v>0</v>
      </c>
      <c r="K162" s="65">
        <v>0</v>
      </c>
      <c r="L162" s="65">
        <v>0</v>
      </c>
      <c r="M162" s="63">
        <v>0</v>
      </c>
      <c r="N162" s="1"/>
      <c r="O162" s="65">
        <v>0</v>
      </c>
      <c r="P162" s="65">
        <v>0</v>
      </c>
    </row>
    <row r="163" spans="1:16" ht="16" hidden="1" customHeight="1" outlineLevel="1" x14ac:dyDescent="0.45">
      <c r="A163" s="30" t="s">
        <v>200</v>
      </c>
      <c r="B163" s="46">
        <v>0</v>
      </c>
      <c r="C163" s="63">
        <v>0</v>
      </c>
      <c r="D163" s="63">
        <v>0</v>
      </c>
      <c r="E163" s="64">
        <v>0</v>
      </c>
      <c r="F163" s="63">
        <v>0</v>
      </c>
      <c r="G163" s="63">
        <v>0</v>
      </c>
      <c r="H163" s="65">
        <f t="shared" si="2"/>
        <v>0</v>
      </c>
      <c r="I163" s="65">
        <v>0</v>
      </c>
      <c r="J163" s="65">
        <v>0</v>
      </c>
      <c r="K163" s="65">
        <v>0</v>
      </c>
      <c r="L163" s="65">
        <v>0</v>
      </c>
      <c r="M163" s="63">
        <v>0</v>
      </c>
      <c r="N163" s="1"/>
      <c r="O163" s="65">
        <v>0</v>
      </c>
      <c r="P163" s="65">
        <v>0</v>
      </c>
    </row>
    <row r="164" spans="1:16" s="1" customFormat="1" collapsed="1" x14ac:dyDescent="0.45">
      <c r="A164" s="28" t="s">
        <v>78</v>
      </c>
      <c r="B164" s="43">
        <v>577172267</v>
      </c>
      <c r="C164" s="60">
        <v>-166479447</v>
      </c>
      <c r="D164" s="60">
        <v>172512447</v>
      </c>
      <c r="E164" s="61">
        <v>571139267</v>
      </c>
      <c r="F164" s="60">
        <v>226907747</v>
      </c>
      <c r="G164" s="60">
        <v>97675718</v>
      </c>
      <c r="H164" s="62">
        <f t="shared" si="2"/>
        <v>66215176</v>
      </c>
      <c r="I164" s="62">
        <v>2573520</v>
      </c>
      <c r="J164" s="62">
        <v>2573520</v>
      </c>
      <c r="K164" s="62">
        <v>5548426</v>
      </c>
      <c r="L164" s="62">
        <v>0</v>
      </c>
      <c r="M164" s="60">
        <v>169645160</v>
      </c>
      <c r="O164" s="62">
        <v>59593658</v>
      </c>
      <c r="P164" s="62">
        <v>6621518</v>
      </c>
    </row>
    <row r="165" spans="1:16" ht="16" hidden="1" customHeight="1" outlineLevel="1" x14ac:dyDescent="0.45">
      <c r="A165" s="30" t="s">
        <v>201</v>
      </c>
      <c r="B165" s="46">
        <v>0</v>
      </c>
      <c r="C165" s="63">
        <v>0</v>
      </c>
      <c r="D165" s="63">
        <v>0</v>
      </c>
      <c r="E165" s="64">
        <v>0</v>
      </c>
      <c r="F165" s="63">
        <v>0</v>
      </c>
      <c r="G165" s="63">
        <v>0</v>
      </c>
      <c r="H165" s="65">
        <f t="shared" si="2"/>
        <v>0</v>
      </c>
      <c r="I165" s="65">
        <v>0</v>
      </c>
      <c r="J165" s="65">
        <v>0</v>
      </c>
      <c r="K165" s="65">
        <v>0</v>
      </c>
      <c r="L165" s="65">
        <v>0</v>
      </c>
      <c r="M165" s="63">
        <v>0</v>
      </c>
      <c r="N165" s="1"/>
      <c r="O165" s="65">
        <v>0</v>
      </c>
      <c r="P165" s="65">
        <v>0</v>
      </c>
    </row>
    <row r="166" spans="1:16" ht="16" hidden="1" customHeight="1" outlineLevel="1" x14ac:dyDescent="0.45">
      <c r="A166" s="29" t="s">
        <v>79</v>
      </c>
      <c r="B166" s="44">
        <v>577172267</v>
      </c>
      <c r="C166" s="63">
        <v>-166479447</v>
      </c>
      <c r="D166" s="63">
        <v>172512447</v>
      </c>
      <c r="E166" s="64">
        <v>571139267</v>
      </c>
      <c r="F166" s="63">
        <v>226907747</v>
      </c>
      <c r="G166" s="63">
        <v>97675718</v>
      </c>
      <c r="H166" s="65">
        <f t="shared" si="2"/>
        <v>66215176</v>
      </c>
      <c r="I166" s="65">
        <v>2573520</v>
      </c>
      <c r="J166" s="65">
        <v>2573520</v>
      </c>
      <c r="K166" s="65">
        <v>5548426</v>
      </c>
      <c r="L166" s="65">
        <v>0</v>
      </c>
      <c r="M166" s="63">
        <v>169645160</v>
      </c>
      <c r="N166" s="1"/>
      <c r="O166" s="65">
        <v>59593658</v>
      </c>
      <c r="P166" s="65">
        <v>6621518</v>
      </c>
    </row>
    <row r="167" spans="1:16" ht="16" hidden="1" customHeight="1" outlineLevel="1" x14ac:dyDescent="0.45">
      <c r="A167" s="29" t="s">
        <v>202</v>
      </c>
      <c r="B167" s="44">
        <v>0</v>
      </c>
      <c r="C167" s="63">
        <v>0</v>
      </c>
      <c r="D167" s="63">
        <v>0</v>
      </c>
      <c r="E167" s="64">
        <v>0</v>
      </c>
      <c r="F167" s="63">
        <v>0</v>
      </c>
      <c r="G167" s="63">
        <v>0</v>
      </c>
      <c r="H167" s="65">
        <f t="shared" si="2"/>
        <v>0</v>
      </c>
      <c r="I167" s="65">
        <v>0</v>
      </c>
      <c r="J167" s="65">
        <v>0</v>
      </c>
      <c r="K167" s="65">
        <v>0</v>
      </c>
      <c r="L167" s="65">
        <v>0</v>
      </c>
      <c r="M167" s="63">
        <v>0</v>
      </c>
      <c r="N167" s="1"/>
      <c r="O167" s="65">
        <v>0</v>
      </c>
      <c r="P167" s="65">
        <v>0</v>
      </c>
    </row>
    <row r="168" spans="1:16" ht="16" hidden="1" customHeight="1" outlineLevel="1" x14ac:dyDescent="0.45">
      <c r="A168" s="24" t="s">
        <v>203</v>
      </c>
      <c r="B168" s="45">
        <v>0</v>
      </c>
      <c r="C168" s="63">
        <v>0</v>
      </c>
      <c r="D168" s="63">
        <v>0</v>
      </c>
      <c r="E168" s="64">
        <v>0</v>
      </c>
      <c r="F168" s="63">
        <v>0</v>
      </c>
      <c r="G168" s="63">
        <v>0</v>
      </c>
      <c r="H168" s="65">
        <f t="shared" si="2"/>
        <v>0</v>
      </c>
      <c r="I168" s="65">
        <v>0</v>
      </c>
      <c r="J168" s="65">
        <v>0</v>
      </c>
      <c r="K168" s="65">
        <v>0</v>
      </c>
      <c r="L168" s="65">
        <v>0</v>
      </c>
      <c r="M168" s="63">
        <v>0</v>
      </c>
      <c r="N168" s="1"/>
      <c r="O168" s="65">
        <v>0</v>
      </c>
      <c r="P168" s="65">
        <v>0</v>
      </c>
    </row>
    <row r="169" spans="1:16" ht="16" hidden="1" customHeight="1" outlineLevel="1" x14ac:dyDescent="0.45">
      <c r="A169" s="29" t="s">
        <v>204</v>
      </c>
      <c r="B169" s="44">
        <v>0</v>
      </c>
      <c r="C169" s="63">
        <v>0</v>
      </c>
      <c r="D169" s="63">
        <v>0</v>
      </c>
      <c r="E169" s="64">
        <v>0</v>
      </c>
      <c r="F169" s="63">
        <v>0</v>
      </c>
      <c r="G169" s="63">
        <v>0</v>
      </c>
      <c r="H169" s="65">
        <f t="shared" si="2"/>
        <v>0</v>
      </c>
      <c r="I169" s="65">
        <v>0</v>
      </c>
      <c r="J169" s="65">
        <v>0</v>
      </c>
      <c r="K169" s="65">
        <v>0</v>
      </c>
      <c r="L169" s="65">
        <v>0</v>
      </c>
      <c r="M169" s="63">
        <v>0</v>
      </c>
      <c r="N169" s="1"/>
      <c r="O169" s="65">
        <v>0</v>
      </c>
      <c r="P169" s="65">
        <v>0</v>
      </c>
    </row>
    <row r="170" spans="1:16" ht="16" hidden="1" customHeight="1" outlineLevel="1" x14ac:dyDescent="0.45">
      <c r="A170" s="30" t="s">
        <v>205</v>
      </c>
      <c r="B170" s="46">
        <v>0</v>
      </c>
      <c r="C170" s="63">
        <v>0</v>
      </c>
      <c r="D170" s="63">
        <v>0</v>
      </c>
      <c r="E170" s="64">
        <v>0</v>
      </c>
      <c r="F170" s="63">
        <v>0</v>
      </c>
      <c r="G170" s="63">
        <v>0</v>
      </c>
      <c r="H170" s="65">
        <f t="shared" si="2"/>
        <v>0</v>
      </c>
      <c r="I170" s="65">
        <v>0</v>
      </c>
      <c r="J170" s="65">
        <v>0</v>
      </c>
      <c r="K170" s="65">
        <v>0</v>
      </c>
      <c r="L170" s="65">
        <v>0</v>
      </c>
      <c r="M170" s="63">
        <v>0</v>
      </c>
      <c r="N170" s="1"/>
      <c r="O170" s="65">
        <v>0</v>
      </c>
      <c r="P170" s="65">
        <v>0</v>
      </c>
    </row>
    <row r="171" spans="1:16" s="1" customFormat="1" hidden="1" outlineLevel="1" collapsed="1" x14ac:dyDescent="0.45">
      <c r="A171" s="28" t="s">
        <v>80</v>
      </c>
      <c r="B171" s="43">
        <v>14051783</v>
      </c>
      <c r="C171" s="60">
        <v>5187216</v>
      </c>
      <c r="D171" s="60">
        <v>-7148253</v>
      </c>
      <c r="E171" s="61">
        <v>16012820</v>
      </c>
      <c r="F171" s="60">
        <v>3441433.1960259965</v>
      </c>
      <c r="G171" s="60">
        <v>1843448.8039740035</v>
      </c>
      <c r="H171" s="62">
        <f t="shared" si="2"/>
        <v>862545</v>
      </c>
      <c r="I171" s="62">
        <v>0</v>
      </c>
      <c r="J171" s="62">
        <v>0</v>
      </c>
      <c r="K171" s="62">
        <v>0</v>
      </c>
      <c r="L171" s="62">
        <v>9865393</v>
      </c>
      <c r="M171" s="60">
        <v>0</v>
      </c>
      <c r="O171" s="62">
        <v>862545</v>
      </c>
      <c r="P171" s="62">
        <v>0</v>
      </c>
    </row>
    <row r="172" spans="1:16" ht="16" hidden="1" customHeight="1" outlineLevel="1" x14ac:dyDescent="0.45">
      <c r="A172" s="29" t="s">
        <v>81</v>
      </c>
      <c r="B172" s="44">
        <v>380078</v>
      </c>
      <c r="C172" s="63">
        <v>85638</v>
      </c>
      <c r="D172" s="63">
        <v>-7148253</v>
      </c>
      <c r="E172" s="64">
        <v>7442693</v>
      </c>
      <c r="F172" s="63">
        <v>34637</v>
      </c>
      <c r="G172" s="63">
        <v>542663</v>
      </c>
      <c r="H172" s="65">
        <f t="shared" si="2"/>
        <v>0</v>
      </c>
      <c r="I172" s="65">
        <v>0</v>
      </c>
      <c r="J172" s="65">
        <v>0</v>
      </c>
      <c r="K172" s="65">
        <v>0</v>
      </c>
      <c r="L172" s="65">
        <v>6865393</v>
      </c>
      <c r="M172" s="63">
        <v>0</v>
      </c>
      <c r="N172" s="1"/>
      <c r="O172" s="65">
        <v>0</v>
      </c>
      <c r="P172" s="65">
        <v>0</v>
      </c>
    </row>
    <row r="173" spans="1:16" ht="16" hidden="1" customHeight="1" outlineLevel="1" x14ac:dyDescent="0.45">
      <c r="A173" s="29" t="s">
        <v>206</v>
      </c>
      <c r="B173" s="44">
        <v>4200000</v>
      </c>
      <c r="C173" s="63">
        <v>1200000</v>
      </c>
      <c r="D173" s="63">
        <v>0</v>
      </c>
      <c r="E173" s="64">
        <v>3000000</v>
      </c>
      <c r="F173" s="63">
        <v>0</v>
      </c>
      <c r="G173" s="63">
        <v>0</v>
      </c>
      <c r="H173" s="65">
        <f t="shared" si="2"/>
        <v>0</v>
      </c>
      <c r="I173" s="65">
        <v>0</v>
      </c>
      <c r="J173" s="65">
        <v>0</v>
      </c>
      <c r="K173" s="65">
        <v>0</v>
      </c>
      <c r="L173" s="65">
        <v>3000000</v>
      </c>
      <c r="M173" s="63">
        <v>0</v>
      </c>
      <c r="N173" s="1"/>
      <c r="O173" s="65">
        <v>0</v>
      </c>
      <c r="P173" s="65">
        <v>0</v>
      </c>
    </row>
    <row r="174" spans="1:16" ht="16" hidden="1" customHeight="1" outlineLevel="1" x14ac:dyDescent="0.45">
      <c r="A174" s="29" t="s">
        <v>82</v>
      </c>
      <c r="B174" s="44">
        <v>9471705</v>
      </c>
      <c r="C174" s="63">
        <v>3901578</v>
      </c>
      <c r="D174" s="63">
        <v>0</v>
      </c>
      <c r="E174" s="64">
        <v>5570127</v>
      </c>
      <c r="F174" s="63">
        <v>3406796.1960259965</v>
      </c>
      <c r="G174" s="63">
        <v>1300785.8039740035</v>
      </c>
      <c r="H174" s="65">
        <f t="shared" si="2"/>
        <v>862545</v>
      </c>
      <c r="I174" s="65">
        <v>0</v>
      </c>
      <c r="J174" s="65">
        <v>0</v>
      </c>
      <c r="K174" s="65">
        <v>0</v>
      </c>
      <c r="L174" s="65">
        <v>0</v>
      </c>
      <c r="M174" s="63">
        <v>0</v>
      </c>
      <c r="N174" s="1"/>
      <c r="O174" s="65">
        <v>862545</v>
      </c>
      <c r="P174" s="65">
        <v>0</v>
      </c>
    </row>
    <row r="175" spans="1:16" ht="16" hidden="1" customHeight="1" outlineLevel="1" x14ac:dyDescent="0.45">
      <c r="A175" s="24" t="s">
        <v>207</v>
      </c>
      <c r="B175" s="45">
        <v>0</v>
      </c>
      <c r="C175" s="63">
        <v>0</v>
      </c>
      <c r="D175" s="63">
        <v>0</v>
      </c>
      <c r="E175" s="64">
        <v>0</v>
      </c>
      <c r="F175" s="63">
        <v>0</v>
      </c>
      <c r="G175" s="63">
        <v>0</v>
      </c>
      <c r="H175" s="65">
        <f t="shared" si="2"/>
        <v>0</v>
      </c>
      <c r="I175" s="65">
        <v>0</v>
      </c>
      <c r="J175" s="65">
        <v>0</v>
      </c>
      <c r="K175" s="65">
        <v>0</v>
      </c>
      <c r="L175" s="65">
        <v>0</v>
      </c>
      <c r="M175" s="63">
        <v>0</v>
      </c>
      <c r="N175" s="1"/>
      <c r="O175" s="65">
        <v>0</v>
      </c>
      <c r="P175" s="65">
        <v>0</v>
      </c>
    </row>
    <row r="176" spans="1:16" ht="16" hidden="1" customHeight="1" outlineLevel="1" x14ac:dyDescent="0.45">
      <c r="A176" s="29" t="s">
        <v>256</v>
      </c>
      <c r="B176" s="44">
        <v>0</v>
      </c>
      <c r="C176" s="63">
        <v>0</v>
      </c>
      <c r="D176" s="63">
        <v>0</v>
      </c>
      <c r="E176" s="64">
        <v>0</v>
      </c>
      <c r="F176" s="63">
        <v>0</v>
      </c>
      <c r="G176" s="63">
        <v>0</v>
      </c>
      <c r="H176" s="65">
        <f t="shared" si="2"/>
        <v>0</v>
      </c>
      <c r="I176" s="65">
        <v>0</v>
      </c>
      <c r="J176" s="65">
        <v>0</v>
      </c>
      <c r="K176" s="65">
        <v>0</v>
      </c>
      <c r="L176" s="65">
        <v>0</v>
      </c>
      <c r="M176" s="63">
        <v>0</v>
      </c>
      <c r="N176" s="1"/>
      <c r="O176" s="65">
        <v>0</v>
      </c>
      <c r="P176" s="65">
        <v>0</v>
      </c>
    </row>
    <row r="177" spans="1:16" ht="16" hidden="1" customHeight="1" outlineLevel="1" x14ac:dyDescent="0.45">
      <c r="A177" s="29" t="s">
        <v>208</v>
      </c>
      <c r="B177" s="44">
        <v>0</v>
      </c>
      <c r="C177" s="63">
        <v>0</v>
      </c>
      <c r="D177" s="63">
        <v>0</v>
      </c>
      <c r="E177" s="64">
        <v>0</v>
      </c>
      <c r="F177" s="63">
        <v>0</v>
      </c>
      <c r="G177" s="63">
        <v>0</v>
      </c>
      <c r="H177" s="65">
        <f t="shared" si="2"/>
        <v>0</v>
      </c>
      <c r="I177" s="65">
        <v>0</v>
      </c>
      <c r="J177" s="65">
        <v>0</v>
      </c>
      <c r="K177" s="65">
        <v>0</v>
      </c>
      <c r="L177" s="65">
        <v>0</v>
      </c>
      <c r="M177" s="63">
        <v>0</v>
      </c>
      <c r="N177" s="1"/>
      <c r="O177" s="65">
        <v>0</v>
      </c>
      <c r="P177" s="65">
        <v>0</v>
      </c>
    </row>
    <row r="178" spans="1:16" s="1" customFormat="1" collapsed="1" x14ac:dyDescent="0.45">
      <c r="A178" s="28" t="s">
        <v>146</v>
      </c>
      <c r="B178" s="43">
        <v>347783</v>
      </c>
      <c r="C178" s="60">
        <v>264328</v>
      </c>
      <c r="D178" s="60">
        <v>83455</v>
      </c>
      <c r="E178" s="61">
        <v>0</v>
      </c>
      <c r="F178" s="60">
        <v>0</v>
      </c>
      <c r="G178" s="60">
        <v>0</v>
      </c>
      <c r="H178" s="62">
        <f t="shared" si="2"/>
        <v>0</v>
      </c>
      <c r="I178" s="62">
        <v>0</v>
      </c>
      <c r="J178" s="62">
        <v>0</v>
      </c>
      <c r="K178" s="62">
        <v>0</v>
      </c>
      <c r="L178" s="62">
        <v>0</v>
      </c>
      <c r="M178" s="60">
        <v>0</v>
      </c>
      <c r="O178" s="62">
        <v>0</v>
      </c>
      <c r="P178" s="62">
        <v>0</v>
      </c>
    </row>
    <row r="179" spans="1:16" ht="16" hidden="1" customHeight="1" outlineLevel="1" x14ac:dyDescent="0.45">
      <c r="A179" s="29" t="s">
        <v>147</v>
      </c>
      <c r="B179" s="44">
        <v>129601</v>
      </c>
      <c r="C179" s="63">
        <v>46146</v>
      </c>
      <c r="D179" s="63">
        <v>83455</v>
      </c>
      <c r="E179" s="64">
        <v>0</v>
      </c>
      <c r="F179" s="63">
        <v>0</v>
      </c>
      <c r="G179" s="63">
        <v>0</v>
      </c>
      <c r="H179" s="65">
        <f t="shared" si="2"/>
        <v>0</v>
      </c>
      <c r="I179" s="65">
        <v>0</v>
      </c>
      <c r="J179" s="65">
        <v>0</v>
      </c>
      <c r="K179" s="65">
        <v>0</v>
      </c>
      <c r="L179" s="65">
        <v>0</v>
      </c>
      <c r="M179" s="63">
        <v>0</v>
      </c>
      <c r="N179" s="1"/>
      <c r="O179" s="65">
        <v>0</v>
      </c>
      <c r="P179" s="65">
        <v>0</v>
      </c>
    </row>
    <row r="180" spans="1:16" ht="16" hidden="1" customHeight="1" outlineLevel="1" x14ac:dyDescent="0.45">
      <c r="A180" s="29" t="s">
        <v>148</v>
      </c>
      <c r="B180" s="54">
        <v>218182</v>
      </c>
      <c r="C180" s="68">
        <v>218182</v>
      </c>
      <c r="D180" s="63">
        <v>0</v>
      </c>
      <c r="E180" s="64">
        <v>0</v>
      </c>
      <c r="F180" s="63">
        <v>0</v>
      </c>
      <c r="G180" s="63">
        <v>0</v>
      </c>
      <c r="H180" s="65">
        <f t="shared" si="2"/>
        <v>0</v>
      </c>
      <c r="I180" s="65">
        <v>0</v>
      </c>
      <c r="J180" s="65">
        <v>0</v>
      </c>
      <c r="K180" s="65">
        <v>0</v>
      </c>
      <c r="L180" s="65">
        <v>0</v>
      </c>
      <c r="M180" s="63">
        <v>0</v>
      </c>
      <c r="N180" s="1"/>
      <c r="O180" s="65">
        <v>0</v>
      </c>
      <c r="P180" s="65">
        <v>0</v>
      </c>
    </row>
    <row r="181" spans="1:16" s="1" customFormat="1" collapsed="1" x14ac:dyDescent="0.45">
      <c r="A181" s="28" t="s">
        <v>83</v>
      </c>
      <c r="B181" s="43">
        <v>430791486</v>
      </c>
      <c r="C181" s="60">
        <v>52376148</v>
      </c>
      <c r="D181" s="60">
        <v>18456185</v>
      </c>
      <c r="E181" s="61">
        <v>359959153</v>
      </c>
      <c r="F181" s="60">
        <v>207821449.33515519</v>
      </c>
      <c r="G181" s="60">
        <v>68496112.157012895</v>
      </c>
      <c r="H181" s="60">
        <f t="shared" si="2"/>
        <v>16183174.507831933</v>
      </c>
      <c r="I181" s="60">
        <v>3010077.2781701358</v>
      </c>
      <c r="J181" s="60">
        <v>2251622.3423801791</v>
      </c>
      <c r="K181" s="60">
        <v>6845174.4684811719</v>
      </c>
      <c r="L181" s="60">
        <v>30683235.910968512</v>
      </c>
      <c r="M181" s="60">
        <v>24668307</v>
      </c>
      <c r="O181" s="60">
        <v>14546133.885638991</v>
      </c>
      <c r="P181" s="60">
        <v>1637040.6221929409</v>
      </c>
    </row>
    <row r="182" spans="1:16" s="1" customFormat="1" ht="16" hidden="1" customHeight="1" outlineLevel="1" x14ac:dyDescent="0.45">
      <c r="A182" s="29" t="s">
        <v>84</v>
      </c>
      <c r="B182" s="44">
        <v>52036945</v>
      </c>
      <c r="C182" s="63">
        <v>580376</v>
      </c>
      <c r="D182" s="63">
        <v>314910</v>
      </c>
      <c r="E182" s="64">
        <v>51141659</v>
      </c>
      <c r="F182" s="63">
        <v>34702736.45095396</v>
      </c>
      <c r="G182" s="63">
        <v>8726281.5490460377</v>
      </c>
      <c r="H182" s="63">
        <f t="shared" si="2"/>
        <v>3009943</v>
      </c>
      <c r="I182" s="63">
        <v>352201</v>
      </c>
      <c r="J182" s="63">
        <v>347516</v>
      </c>
      <c r="K182" s="63">
        <v>1181918</v>
      </c>
      <c r="L182" s="63">
        <v>2821063</v>
      </c>
      <c r="M182" s="63">
        <v>0</v>
      </c>
      <c r="O182" s="63">
        <v>2708949</v>
      </c>
      <c r="P182" s="63">
        <v>300994</v>
      </c>
    </row>
    <row r="183" spans="1:16" ht="16" hidden="1" customHeight="1" outlineLevel="1" x14ac:dyDescent="0.45">
      <c r="A183" s="29" t="s">
        <v>149</v>
      </c>
      <c r="B183" s="44">
        <v>2907819</v>
      </c>
      <c r="C183" s="63">
        <v>2907819</v>
      </c>
      <c r="D183" s="63">
        <v>0</v>
      </c>
      <c r="E183" s="64">
        <v>0</v>
      </c>
      <c r="F183" s="63">
        <v>0</v>
      </c>
      <c r="G183" s="63">
        <v>0</v>
      </c>
      <c r="H183" s="63">
        <f t="shared" si="2"/>
        <v>0</v>
      </c>
      <c r="I183" s="63">
        <v>0</v>
      </c>
      <c r="J183" s="63">
        <v>0</v>
      </c>
      <c r="K183" s="63">
        <v>0</v>
      </c>
      <c r="L183" s="63">
        <v>0</v>
      </c>
      <c r="M183" s="63">
        <v>0</v>
      </c>
      <c r="N183" s="1"/>
      <c r="O183" s="63">
        <v>0</v>
      </c>
      <c r="P183" s="63">
        <v>0</v>
      </c>
    </row>
    <row r="184" spans="1:16" ht="16" hidden="1" customHeight="1" outlineLevel="1" x14ac:dyDescent="0.45">
      <c r="A184" s="29" t="s">
        <v>85</v>
      </c>
      <c r="B184" s="44">
        <v>30896110</v>
      </c>
      <c r="C184" s="63">
        <v>9654338.9999999981</v>
      </c>
      <c r="D184" s="63">
        <v>5408990</v>
      </c>
      <c r="E184" s="64">
        <v>15832781.000000002</v>
      </c>
      <c r="F184" s="63">
        <v>9749524.4750919566</v>
      </c>
      <c r="G184" s="63">
        <v>3230787.9461877816</v>
      </c>
      <c r="H184" s="63">
        <f t="shared" si="2"/>
        <v>1183306.5787202637</v>
      </c>
      <c r="I184" s="63">
        <v>192840.27817013598</v>
      </c>
      <c r="J184" s="63">
        <v>189515.34238017927</v>
      </c>
      <c r="K184" s="63">
        <v>496076.46848117176</v>
      </c>
      <c r="L184" s="63">
        <v>510863.910968513</v>
      </c>
      <c r="M184" s="63">
        <v>279866</v>
      </c>
      <c r="N184" s="1"/>
      <c r="O184" s="63">
        <v>1053417.7766785899</v>
      </c>
      <c r="P184" s="63">
        <v>129888.80204167383</v>
      </c>
    </row>
    <row r="185" spans="1:16" ht="16" hidden="1" customHeight="1" outlineLevel="1" x14ac:dyDescent="0.45">
      <c r="A185" s="29" t="s">
        <v>86</v>
      </c>
      <c r="B185" s="44">
        <v>6984438</v>
      </c>
      <c r="C185" s="63">
        <v>1191745</v>
      </c>
      <c r="D185" s="63">
        <v>0</v>
      </c>
      <c r="E185" s="64">
        <v>5792693</v>
      </c>
      <c r="F185" s="63">
        <v>4038590</v>
      </c>
      <c r="G185" s="63">
        <v>1754103</v>
      </c>
      <c r="H185" s="63">
        <f t="shared" si="2"/>
        <v>0</v>
      </c>
      <c r="I185" s="63">
        <v>0</v>
      </c>
      <c r="J185" s="63">
        <v>0</v>
      </c>
      <c r="K185" s="63">
        <v>0</v>
      </c>
      <c r="L185" s="63">
        <v>0</v>
      </c>
      <c r="M185" s="63">
        <v>0</v>
      </c>
      <c r="N185" s="1"/>
      <c r="O185" s="63">
        <v>0</v>
      </c>
      <c r="P185" s="63">
        <v>0</v>
      </c>
    </row>
    <row r="186" spans="1:16" ht="16" hidden="1" customHeight="1" outlineLevel="1" x14ac:dyDescent="0.45">
      <c r="A186" s="29" t="s">
        <v>150</v>
      </c>
      <c r="B186" s="44">
        <v>0</v>
      </c>
      <c r="C186" s="63">
        <v>0</v>
      </c>
      <c r="D186" s="63">
        <v>0</v>
      </c>
      <c r="E186" s="64">
        <v>0</v>
      </c>
      <c r="F186" s="63">
        <v>0</v>
      </c>
      <c r="G186" s="63">
        <v>0</v>
      </c>
      <c r="H186" s="63">
        <f t="shared" si="2"/>
        <v>0</v>
      </c>
      <c r="I186" s="63">
        <v>0</v>
      </c>
      <c r="J186" s="63">
        <v>0</v>
      </c>
      <c r="K186" s="63">
        <v>0</v>
      </c>
      <c r="L186" s="63">
        <v>0</v>
      </c>
      <c r="M186" s="63">
        <v>0</v>
      </c>
      <c r="N186" s="1"/>
      <c r="O186" s="63">
        <v>0</v>
      </c>
      <c r="P186" s="63">
        <v>0</v>
      </c>
    </row>
    <row r="187" spans="1:16" s="1" customFormat="1" ht="16" hidden="1" customHeight="1" outlineLevel="1" x14ac:dyDescent="0.45">
      <c r="A187" s="29" t="s">
        <v>87</v>
      </c>
      <c r="B187" s="44">
        <v>44305837</v>
      </c>
      <c r="C187" s="63">
        <v>1129564</v>
      </c>
      <c r="D187" s="63">
        <v>0</v>
      </c>
      <c r="E187" s="64">
        <v>43176273</v>
      </c>
      <c r="F187" s="63">
        <v>29668711.397018857</v>
      </c>
      <c r="G187" s="63">
        <v>6734641.6029811408</v>
      </c>
      <c r="H187" s="63">
        <f t="shared" si="2"/>
        <v>999819</v>
      </c>
      <c r="I187" s="63">
        <v>1102564</v>
      </c>
      <c r="J187" s="63">
        <v>270909</v>
      </c>
      <c r="K187" s="63">
        <v>929551</v>
      </c>
      <c r="L187" s="63">
        <v>2240348</v>
      </c>
      <c r="M187" s="63">
        <v>1229729</v>
      </c>
      <c r="O187" s="63">
        <v>899837</v>
      </c>
      <c r="P187" s="63">
        <v>99982</v>
      </c>
    </row>
    <row r="188" spans="1:16" ht="16" hidden="1" customHeight="1" outlineLevel="1" x14ac:dyDescent="0.45">
      <c r="A188" s="29" t="s">
        <v>88</v>
      </c>
      <c r="B188" s="44">
        <v>135990743</v>
      </c>
      <c r="C188" s="63">
        <v>25319772</v>
      </c>
      <c r="D188" s="63">
        <v>12479099</v>
      </c>
      <c r="E188" s="64">
        <v>98191872</v>
      </c>
      <c r="F188" s="63">
        <v>13745405.731237983</v>
      </c>
      <c r="G188" s="63">
        <v>42934300.339650348</v>
      </c>
      <c r="H188" s="63">
        <f t="shared" si="2"/>
        <v>10691739.929111669</v>
      </c>
      <c r="I188" s="63">
        <v>724417</v>
      </c>
      <c r="J188" s="63">
        <v>724417</v>
      </c>
      <c r="K188" s="63">
        <v>2232848</v>
      </c>
      <c r="L188" s="63">
        <v>3980032</v>
      </c>
      <c r="M188" s="63">
        <v>23158712</v>
      </c>
      <c r="N188" s="1"/>
      <c r="O188" s="63">
        <v>9615401.1089604013</v>
      </c>
      <c r="P188" s="63">
        <v>1076338.8201512671</v>
      </c>
    </row>
    <row r="189" spans="1:16" ht="16" hidden="1" customHeight="1" outlineLevel="1" x14ac:dyDescent="0.45">
      <c r="A189" s="24" t="s">
        <v>89</v>
      </c>
      <c r="B189" s="45">
        <v>155087614</v>
      </c>
      <c r="C189" s="63">
        <v>11379895</v>
      </c>
      <c r="D189" s="63">
        <v>0</v>
      </c>
      <c r="E189" s="64">
        <v>143707719</v>
      </c>
      <c r="F189" s="63">
        <v>114969822.28085242</v>
      </c>
      <c r="G189" s="63">
        <v>4379231.7191475825</v>
      </c>
      <c r="H189" s="63">
        <f t="shared" si="2"/>
        <v>0</v>
      </c>
      <c r="I189" s="63">
        <v>638055</v>
      </c>
      <c r="J189" s="63">
        <v>719265</v>
      </c>
      <c r="K189" s="63">
        <v>2004781</v>
      </c>
      <c r="L189" s="63">
        <v>20996564</v>
      </c>
      <c r="M189" s="63">
        <v>0</v>
      </c>
      <c r="N189" s="1"/>
      <c r="O189" s="63">
        <v>0</v>
      </c>
      <c r="P189" s="63">
        <v>0</v>
      </c>
    </row>
    <row r="190" spans="1:16" ht="16" hidden="1" customHeight="1" outlineLevel="1" x14ac:dyDescent="0.45">
      <c r="A190" s="29" t="s">
        <v>209</v>
      </c>
      <c r="B190" s="44">
        <v>0</v>
      </c>
      <c r="C190" s="63">
        <v>0</v>
      </c>
      <c r="D190" s="63">
        <v>0</v>
      </c>
      <c r="E190" s="64">
        <v>0</v>
      </c>
      <c r="F190" s="63">
        <v>0</v>
      </c>
      <c r="G190" s="63">
        <v>0</v>
      </c>
      <c r="H190" s="63">
        <f t="shared" si="2"/>
        <v>0</v>
      </c>
      <c r="I190" s="63">
        <v>0</v>
      </c>
      <c r="J190" s="63">
        <v>0</v>
      </c>
      <c r="K190" s="63">
        <v>0</v>
      </c>
      <c r="L190" s="63">
        <v>0</v>
      </c>
      <c r="M190" s="63">
        <v>0</v>
      </c>
      <c r="N190" s="1"/>
      <c r="O190" s="63">
        <v>0</v>
      </c>
      <c r="P190" s="63">
        <v>0</v>
      </c>
    </row>
    <row r="191" spans="1:16" ht="16" hidden="1" customHeight="1" outlineLevel="1" x14ac:dyDescent="0.45">
      <c r="A191" s="29" t="s">
        <v>90</v>
      </c>
      <c r="B191" s="44">
        <v>2581980</v>
      </c>
      <c r="C191" s="63">
        <v>212638</v>
      </c>
      <c r="D191" s="63">
        <v>253186</v>
      </c>
      <c r="E191" s="64">
        <v>2116156</v>
      </c>
      <c r="F191" s="63">
        <v>946659</v>
      </c>
      <c r="G191" s="63">
        <v>736766</v>
      </c>
      <c r="H191" s="63">
        <f t="shared" si="2"/>
        <v>298366</v>
      </c>
      <c r="I191" s="63">
        <v>0</v>
      </c>
      <c r="J191" s="63">
        <v>0</v>
      </c>
      <c r="K191" s="63">
        <v>0</v>
      </c>
      <c r="L191" s="63">
        <v>134365</v>
      </c>
      <c r="M191" s="63">
        <v>0</v>
      </c>
      <c r="N191" s="1"/>
      <c r="O191" s="63">
        <v>268529</v>
      </c>
      <c r="P191" s="63">
        <v>29837</v>
      </c>
    </row>
    <row r="192" spans="1:16" ht="16" hidden="1" customHeight="1" outlineLevel="1" x14ac:dyDescent="0.45">
      <c r="A192" s="30" t="s">
        <v>151</v>
      </c>
      <c r="B192" s="46">
        <v>0</v>
      </c>
      <c r="C192" s="63">
        <v>0</v>
      </c>
      <c r="D192" s="63">
        <v>0</v>
      </c>
      <c r="E192" s="64">
        <v>0</v>
      </c>
      <c r="F192" s="63">
        <v>0</v>
      </c>
      <c r="G192" s="63">
        <v>0</v>
      </c>
      <c r="H192" s="63">
        <f t="shared" si="2"/>
        <v>0</v>
      </c>
      <c r="I192" s="63">
        <v>0</v>
      </c>
      <c r="J192" s="63">
        <v>0</v>
      </c>
      <c r="K192" s="63">
        <v>0</v>
      </c>
      <c r="L192" s="63">
        <v>0</v>
      </c>
      <c r="M192" s="63">
        <v>0</v>
      </c>
      <c r="N192" s="1"/>
      <c r="O192" s="63">
        <v>0</v>
      </c>
      <c r="P192" s="63">
        <v>0</v>
      </c>
    </row>
    <row r="193" spans="1:16" s="1" customFormat="1" collapsed="1" x14ac:dyDescent="0.45">
      <c r="A193" s="28" t="s">
        <v>91</v>
      </c>
      <c r="B193" s="43">
        <v>81985692</v>
      </c>
      <c r="C193" s="60">
        <v>9500495</v>
      </c>
      <c r="D193" s="60">
        <v>785881</v>
      </c>
      <c r="E193" s="61">
        <v>71699316</v>
      </c>
      <c r="F193" s="60">
        <v>56514914.730376132</v>
      </c>
      <c r="G193" s="60">
        <v>5963666.26962387</v>
      </c>
      <c r="H193" s="60">
        <f t="shared" si="2"/>
        <v>5701561</v>
      </c>
      <c r="I193" s="60">
        <v>340332.5</v>
      </c>
      <c r="J193" s="60">
        <v>127246.5</v>
      </c>
      <c r="K193" s="60">
        <v>495240</v>
      </c>
      <c r="L193" s="60">
        <v>1221670</v>
      </c>
      <c r="M193" s="60">
        <v>1334685</v>
      </c>
      <c r="O193" s="60">
        <v>5131405</v>
      </c>
      <c r="P193" s="60">
        <v>570156</v>
      </c>
    </row>
    <row r="194" spans="1:16" ht="16" hidden="1" customHeight="1" outlineLevel="1" x14ac:dyDescent="0.45">
      <c r="A194" s="29" t="s">
        <v>92</v>
      </c>
      <c r="B194" s="44">
        <v>41227900</v>
      </c>
      <c r="C194" s="63">
        <v>4759485</v>
      </c>
      <c r="D194" s="63">
        <v>197930</v>
      </c>
      <c r="E194" s="64">
        <v>36270485</v>
      </c>
      <c r="F194" s="63">
        <v>30193083.345334396</v>
      </c>
      <c r="G194" s="63">
        <v>4167191.6546656042</v>
      </c>
      <c r="H194" s="63">
        <f t="shared" si="2"/>
        <v>434700</v>
      </c>
      <c r="I194" s="63">
        <v>49472.5</v>
      </c>
      <c r="J194" s="63">
        <v>49472.5</v>
      </c>
      <c r="K194" s="63">
        <v>358460</v>
      </c>
      <c r="L194" s="63">
        <v>882345</v>
      </c>
      <c r="M194" s="63">
        <v>135760</v>
      </c>
      <c r="N194" s="1"/>
      <c r="O194" s="63">
        <v>391230</v>
      </c>
      <c r="P194" s="63">
        <v>43470</v>
      </c>
    </row>
    <row r="195" spans="1:16" ht="16" hidden="1" customHeight="1" outlineLevel="1" x14ac:dyDescent="0.45">
      <c r="A195" s="29" t="s">
        <v>93</v>
      </c>
      <c r="B195" s="44">
        <v>23024504</v>
      </c>
      <c r="C195" s="63">
        <v>4270911</v>
      </c>
      <c r="D195" s="63">
        <v>20089</v>
      </c>
      <c r="E195" s="64">
        <v>18733504</v>
      </c>
      <c r="F195" s="63">
        <v>13228543</v>
      </c>
      <c r="G195" s="63">
        <v>0</v>
      </c>
      <c r="H195" s="63">
        <f t="shared" si="2"/>
        <v>4958633</v>
      </c>
      <c r="I195" s="63">
        <v>77774</v>
      </c>
      <c r="J195" s="63">
        <v>77774</v>
      </c>
      <c r="K195" s="63">
        <v>136780</v>
      </c>
      <c r="L195" s="63">
        <v>0</v>
      </c>
      <c r="M195" s="63">
        <v>254000</v>
      </c>
      <c r="N195" s="1"/>
      <c r="O195" s="63">
        <v>4462770</v>
      </c>
      <c r="P195" s="63">
        <v>495863</v>
      </c>
    </row>
    <row r="196" spans="1:16" ht="16" hidden="1" customHeight="1" outlineLevel="1" x14ac:dyDescent="0.45">
      <c r="A196" s="29" t="s">
        <v>94</v>
      </c>
      <c r="B196" s="44">
        <v>17733288</v>
      </c>
      <c r="C196" s="63">
        <v>470099</v>
      </c>
      <c r="D196" s="63">
        <v>567862</v>
      </c>
      <c r="E196" s="64">
        <v>16695327</v>
      </c>
      <c r="F196" s="63">
        <v>13093288.385041734</v>
      </c>
      <c r="G196" s="63">
        <v>1796474.6149582658</v>
      </c>
      <c r="H196" s="63">
        <f t="shared" ref="H196:H259" si="3">O196+P196</f>
        <v>308228</v>
      </c>
      <c r="I196" s="63">
        <v>213086</v>
      </c>
      <c r="J196" s="63">
        <v>0</v>
      </c>
      <c r="K196" s="63">
        <v>0</v>
      </c>
      <c r="L196" s="63">
        <v>339325</v>
      </c>
      <c r="M196" s="63">
        <v>944925</v>
      </c>
      <c r="N196" s="1"/>
      <c r="O196" s="63">
        <v>277405</v>
      </c>
      <c r="P196" s="63">
        <v>30823</v>
      </c>
    </row>
    <row r="197" spans="1:16" ht="16" hidden="1" customHeight="1" outlineLevel="1" x14ac:dyDescent="0.45">
      <c r="A197" s="29" t="s">
        <v>210</v>
      </c>
      <c r="B197" s="44">
        <v>0</v>
      </c>
      <c r="C197" s="63">
        <v>0</v>
      </c>
      <c r="D197" s="63">
        <v>0</v>
      </c>
      <c r="E197" s="64">
        <v>0</v>
      </c>
      <c r="F197" s="63">
        <v>0</v>
      </c>
      <c r="G197" s="63">
        <v>0</v>
      </c>
      <c r="H197" s="63">
        <f t="shared" si="3"/>
        <v>0</v>
      </c>
      <c r="I197" s="63">
        <v>0</v>
      </c>
      <c r="J197" s="63">
        <v>0</v>
      </c>
      <c r="K197" s="63">
        <v>0</v>
      </c>
      <c r="L197" s="63">
        <v>0</v>
      </c>
      <c r="M197" s="63">
        <v>0</v>
      </c>
      <c r="N197" s="1"/>
      <c r="O197" s="63">
        <v>0</v>
      </c>
      <c r="P197" s="63">
        <v>0</v>
      </c>
    </row>
    <row r="198" spans="1:16" s="1" customFormat="1" ht="16" hidden="1" customHeight="1" outlineLevel="1" x14ac:dyDescent="0.45">
      <c r="A198" s="24" t="s">
        <v>211</v>
      </c>
      <c r="B198" s="45">
        <v>0</v>
      </c>
      <c r="C198" s="63">
        <v>0</v>
      </c>
      <c r="D198" s="63">
        <v>0</v>
      </c>
      <c r="E198" s="64">
        <v>0</v>
      </c>
      <c r="F198" s="63">
        <v>0</v>
      </c>
      <c r="G198" s="63">
        <v>0</v>
      </c>
      <c r="H198" s="63">
        <f t="shared" si="3"/>
        <v>0</v>
      </c>
      <c r="I198" s="63">
        <v>0</v>
      </c>
      <c r="J198" s="63">
        <v>0</v>
      </c>
      <c r="K198" s="63">
        <v>0</v>
      </c>
      <c r="L198" s="63">
        <v>0</v>
      </c>
      <c r="M198" s="63">
        <v>0</v>
      </c>
      <c r="O198" s="63">
        <v>0</v>
      </c>
      <c r="P198" s="63">
        <v>0</v>
      </c>
    </row>
    <row r="199" spans="1:16" s="1" customFormat="1" collapsed="1" x14ac:dyDescent="0.45">
      <c r="A199" s="28" t="s">
        <v>95</v>
      </c>
      <c r="B199" s="43">
        <v>1611374223</v>
      </c>
      <c r="C199" s="69">
        <v>587201526</v>
      </c>
      <c r="D199" s="69">
        <v>133047583</v>
      </c>
      <c r="E199" s="61">
        <v>891125114</v>
      </c>
      <c r="F199" s="60">
        <v>209313731.28539085</v>
      </c>
      <c r="G199" s="60">
        <v>11582496.714609144</v>
      </c>
      <c r="H199" s="70">
        <f t="shared" si="3"/>
        <v>264755759</v>
      </c>
      <c r="I199" s="70">
        <v>2042785</v>
      </c>
      <c r="J199" s="70">
        <v>2042785</v>
      </c>
      <c r="K199" s="70">
        <v>6235603</v>
      </c>
      <c r="L199" s="70">
        <v>2255000</v>
      </c>
      <c r="M199" s="60">
        <v>392896954</v>
      </c>
      <c r="O199" s="70">
        <v>179009789</v>
      </c>
      <c r="P199" s="70">
        <v>85745970</v>
      </c>
    </row>
    <row r="200" spans="1:16" ht="16" hidden="1" customHeight="1" outlineLevel="1" x14ac:dyDescent="0.45">
      <c r="A200" s="29" t="s">
        <v>152</v>
      </c>
      <c r="B200" s="44">
        <v>252908526</v>
      </c>
      <c r="C200" s="71">
        <v>252908526</v>
      </c>
      <c r="D200" s="71">
        <v>0</v>
      </c>
      <c r="E200" s="64">
        <v>0</v>
      </c>
      <c r="F200" s="63">
        <v>0</v>
      </c>
      <c r="G200" s="63">
        <v>0</v>
      </c>
      <c r="H200" s="32">
        <f t="shared" si="3"/>
        <v>0</v>
      </c>
      <c r="I200" s="32">
        <v>0</v>
      </c>
      <c r="J200" s="32">
        <v>0</v>
      </c>
      <c r="K200" s="32">
        <v>0</v>
      </c>
      <c r="L200" s="32">
        <v>0</v>
      </c>
      <c r="M200" s="63">
        <v>0</v>
      </c>
      <c r="N200" s="1"/>
      <c r="O200" s="32">
        <v>0</v>
      </c>
      <c r="P200" s="32">
        <v>0</v>
      </c>
    </row>
    <row r="201" spans="1:16" ht="16" hidden="1" customHeight="1" outlineLevel="1" x14ac:dyDescent="0.45">
      <c r="A201" s="29" t="s">
        <v>153</v>
      </c>
      <c r="B201" s="44">
        <v>435556227</v>
      </c>
      <c r="C201" s="71">
        <v>-3525054</v>
      </c>
      <c r="D201" s="71">
        <v>9804684</v>
      </c>
      <c r="E201" s="64">
        <v>429276597</v>
      </c>
      <c r="F201" s="63">
        <v>10579000</v>
      </c>
      <c r="G201" s="63">
        <v>4471200</v>
      </c>
      <c r="H201" s="32">
        <f t="shared" si="3"/>
        <v>50306651</v>
      </c>
      <c r="I201" s="32">
        <v>0</v>
      </c>
      <c r="J201" s="32">
        <v>0</v>
      </c>
      <c r="K201" s="32">
        <v>0</v>
      </c>
      <c r="L201" s="32">
        <v>29000</v>
      </c>
      <c r="M201" s="63">
        <v>363890746</v>
      </c>
      <c r="N201" s="1"/>
      <c r="O201" s="32">
        <v>49760974</v>
      </c>
      <c r="P201" s="32">
        <v>545677</v>
      </c>
    </row>
    <row r="202" spans="1:16" ht="16" hidden="1" customHeight="1" outlineLevel="1" x14ac:dyDescent="0.45">
      <c r="A202" s="29" t="s">
        <v>117</v>
      </c>
      <c r="B202" s="44">
        <v>102600540</v>
      </c>
      <c r="C202" s="71">
        <v>102500540</v>
      </c>
      <c r="D202" s="71">
        <v>0</v>
      </c>
      <c r="E202" s="64">
        <v>100000</v>
      </c>
      <c r="F202" s="63">
        <v>0</v>
      </c>
      <c r="G202" s="63">
        <v>0</v>
      </c>
      <c r="H202" s="32">
        <f t="shared" si="3"/>
        <v>100000</v>
      </c>
      <c r="I202" s="32">
        <v>0</v>
      </c>
      <c r="J202" s="32">
        <v>0</v>
      </c>
      <c r="K202" s="32">
        <v>0</v>
      </c>
      <c r="L202" s="32">
        <v>0</v>
      </c>
      <c r="M202" s="63">
        <v>0</v>
      </c>
      <c r="N202" s="1"/>
      <c r="O202" s="32">
        <v>100000</v>
      </c>
      <c r="P202" s="32">
        <v>0</v>
      </c>
    </row>
    <row r="203" spans="1:16" ht="16" hidden="1" customHeight="1" outlineLevel="1" x14ac:dyDescent="0.45">
      <c r="A203" s="29" t="s">
        <v>154</v>
      </c>
      <c r="B203" s="44">
        <v>567693</v>
      </c>
      <c r="C203" s="71">
        <v>565149</v>
      </c>
      <c r="D203" s="71">
        <v>2544</v>
      </c>
      <c r="E203" s="64">
        <v>0</v>
      </c>
      <c r="F203" s="63">
        <v>0</v>
      </c>
      <c r="G203" s="63">
        <v>0</v>
      </c>
      <c r="H203" s="32">
        <f t="shared" si="3"/>
        <v>0</v>
      </c>
      <c r="I203" s="32">
        <v>0</v>
      </c>
      <c r="J203" s="32">
        <v>0</v>
      </c>
      <c r="K203" s="32">
        <v>0</v>
      </c>
      <c r="L203" s="32">
        <v>0</v>
      </c>
      <c r="M203" s="63">
        <v>0</v>
      </c>
      <c r="N203" s="1"/>
      <c r="O203" s="32">
        <v>0</v>
      </c>
      <c r="P203" s="32">
        <v>0</v>
      </c>
    </row>
    <row r="204" spans="1:16" ht="16" hidden="1" customHeight="1" outlineLevel="1" x14ac:dyDescent="0.45">
      <c r="A204" s="29" t="s">
        <v>96</v>
      </c>
      <c r="B204" s="44">
        <v>25627643</v>
      </c>
      <c r="C204" s="71">
        <v>-427000</v>
      </c>
      <c r="D204" s="71">
        <v>1149000</v>
      </c>
      <c r="E204" s="64">
        <v>24905643</v>
      </c>
      <c r="F204" s="63">
        <v>21317490.940328158</v>
      </c>
      <c r="G204" s="63">
        <v>3285152.0596718402</v>
      </c>
      <c r="H204" s="32">
        <f t="shared" si="3"/>
        <v>0</v>
      </c>
      <c r="I204" s="32">
        <v>0</v>
      </c>
      <c r="J204" s="32">
        <v>0</v>
      </c>
      <c r="K204" s="32">
        <v>178000</v>
      </c>
      <c r="L204" s="32">
        <v>55000</v>
      </c>
      <c r="M204" s="63">
        <v>70000</v>
      </c>
      <c r="N204" s="1"/>
      <c r="O204" s="32">
        <v>0</v>
      </c>
      <c r="P204" s="32">
        <v>0</v>
      </c>
    </row>
    <row r="205" spans="1:16" ht="16" hidden="1" customHeight="1" outlineLevel="1" x14ac:dyDescent="0.45">
      <c r="A205" s="29" t="s">
        <v>97</v>
      </c>
      <c r="B205" s="44">
        <v>220700</v>
      </c>
      <c r="C205" s="71">
        <v>194500</v>
      </c>
      <c r="D205" s="71">
        <v>0</v>
      </c>
      <c r="E205" s="64">
        <v>26200</v>
      </c>
      <c r="F205" s="63">
        <v>26200</v>
      </c>
      <c r="G205" s="63">
        <v>0</v>
      </c>
      <c r="H205" s="32">
        <f t="shared" si="3"/>
        <v>0</v>
      </c>
      <c r="I205" s="32">
        <v>0</v>
      </c>
      <c r="J205" s="32">
        <v>0</v>
      </c>
      <c r="K205" s="32">
        <v>0</v>
      </c>
      <c r="L205" s="32">
        <v>0</v>
      </c>
      <c r="M205" s="63">
        <v>0</v>
      </c>
      <c r="N205" s="1"/>
      <c r="O205" s="32">
        <v>0</v>
      </c>
      <c r="P205" s="32">
        <v>0</v>
      </c>
    </row>
    <row r="206" spans="1:16" ht="16" hidden="1" customHeight="1" outlineLevel="1" x14ac:dyDescent="0.45">
      <c r="A206" s="29" t="s">
        <v>98</v>
      </c>
      <c r="B206" s="44">
        <v>266170000</v>
      </c>
      <c r="C206" s="71">
        <v>250510000</v>
      </c>
      <c r="D206" s="71">
        <v>0</v>
      </c>
      <c r="E206" s="64">
        <v>15660000</v>
      </c>
      <c r="F206" s="63">
        <v>13220000</v>
      </c>
      <c r="G206" s="63">
        <v>550000</v>
      </c>
      <c r="H206" s="32">
        <f t="shared" si="3"/>
        <v>0</v>
      </c>
      <c r="I206" s="32">
        <v>0</v>
      </c>
      <c r="J206" s="32">
        <v>0</v>
      </c>
      <c r="K206" s="32">
        <v>0</v>
      </c>
      <c r="L206" s="32">
        <v>1890000</v>
      </c>
      <c r="M206" s="63">
        <v>0</v>
      </c>
      <c r="N206" s="1"/>
      <c r="O206" s="32">
        <v>0</v>
      </c>
      <c r="P206" s="32">
        <v>0</v>
      </c>
    </row>
    <row r="207" spans="1:16" ht="16" hidden="1" customHeight="1" outlineLevel="1" x14ac:dyDescent="0.45">
      <c r="A207" s="29" t="s">
        <v>99</v>
      </c>
      <c r="B207" s="44">
        <v>263644941</v>
      </c>
      <c r="C207" s="71">
        <v>80178501</v>
      </c>
      <c r="D207" s="71">
        <v>-3909834</v>
      </c>
      <c r="E207" s="64">
        <v>187376274</v>
      </c>
      <c r="F207" s="63">
        <v>19110801.303510185</v>
      </c>
      <c r="G207" s="63">
        <v>1122264.6964898151</v>
      </c>
      <c r="H207" s="32">
        <f t="shared" si="3"/>
        <v>135406000</v>
      </c>
      <c r="I207" s="32">
        <v>0</v>
      </c>
      <c r="J207" s="32">
        <v>0</v>
      </c>
      <c r="K207" s="32">
        <v>2520000</v>
      </c>
      <c r="L207" s="32">
        <v>281000</v>
      </c>
      <c r="M207" s="63">
        <v>28936208</v>
      </c>
      <c r="N207" s="1"/>
      <c r="O207" s="32">
        <v>52574000</v>
      </c>
      <c r="P207" s="32">
        <v>82832000</v>
      </c>
    </row>
    <row r="208" spans="1:16" ht="16" hidden="1" customHeight="1" outlineLevel="1" x14ac:dyDescent="0.45">
      <c r="A208" s="29" t="s">
        <v>155</v>
      </c>
      <c r="B208" s="44">
        <v>7395573</v>
      </c>
      <c r="C208" s="71">
        <v>7395573</v>
      </c>
      <c r="D208" s="71">
        <v>0</v>
      </c>
      <c r="E208" s="64">
        <v>0</v>
      </c>
      <c r="F208" s="63">
        <v>0</v>
      </c>
      <c r="G208" s="63">
        <v>0</v>
      </c>
      <c r="H208" s="32">
        <f t="shared" si="3"/>
        <v>0</v>
      </c>
      <c r="I208" s="32">
        <v>0</v>
      </c>
      <c r="J208" s="32">
        <v>0</v>
      </c>
      <c r="K208" s="32">
        <v>0</v>
      </c>
      <c r="L208" s="32">
        <v>0</v>
      </c>
      <c r="M208" s="63">
        <v>0</v>
      </c>
      <c r="N208" s="1"/>
      <c r="O208" s="32">
        <v>0</v>
      </c>
      <c r="P208" s="32">
        <v>0</v>
      </c>
    </row>
    <row r="209" spans="1:16" ht="16" hidden="1" customHeight="1" outlineLevel="1" x14ac:dyDescent="0.45">
      <c r="A209" s="29" t="s">
        <v>100</v>
      </c>
      <c r="B209" s="44">
        <v>256682380</v>
      </c>
      <c r="C209" s="71">
        <v>-103099209</v>
      </c>
      <c r="D209" s="71">
        <v>126001189</v>
      </c>
      <c r="E209" s="64">
        <v>233780400</v>
      </c>
      <c r="F209" s="63">
        <v>145060239.04155251</v>
      </c>
      <c r="G209" s="63">
        <v>2153879.958447489</v>
      </c>
      <c r="H209" s="32">
        <f t="shared" si="3"/>
        <v>78943108</v>
      </c>
      <c r="I209" s="32">
        <v>2042785</v>
      </c>
      <c r="J209" s="32">
        <v>2042785</v>
      </c>
      <c r="K209" s="32">
        <v>3537603</v>
      </c>
      <c r="L209" s="32">
        <v>0</v>
      </c>
      <c r="M209" s="63">
        <v>0</v>
      </c>
      <c r="N209" s="1"/>
      <c r="O209" s="32">
        <v>76574815</v>
      </c>
      <c r="P209" s="32">
        <v>2368293</v>
      </c>
    </row>
    <row r="210" spans="1:16" ht="16" hidden="1" customHeight="1" outlineLevel="1" x14ac:dyDescent="0.45">
      <c r="A210" s="24" t="s">
        <v>212</v>
      </c>
      <c r="B210" s="45">
        <v>0</v>
      </c>
      <c r="C210" s="71">
        <v>0</v>
      </c>
      <c r="D210" s="71">
        <v>0</v>
      </c>
      <c r="E210" s="64">
        <v>0</v>
      </c>
      <c r="F210" s="63">
        <v>0</v>
      </c>
      <c r="G210" s="63">
        <v>0</v>
      </c>
      <c r="H210" s="32">
        <f t="shared" si="3"/>
        <v>0</v>
      </c>
      <c r="I210" s="32">
        <v>0</v>
      </c>
      <c r="J210" s="32">
        <v>0</v>
      </c>
      <c r="K210" s="32">
        <v>0</v>
      </c>
      <c r="L210" s="32">
        <v>0</v>
      </c>
      <c r="M210" s="63">
        <v>0</v>
      </c>
      <c r="N210" s="1"/>
      <c r="O210" s="32">
        <v>0</v>
      </c>
      <c r="P210" s="32">
        <v>0</v>
      </c>
    </row>
    <row r="211" spans="1:16" ht="16" hidden="1" customHeight="1" outlineLevel="1" x14ac:dyDescent="0.45">
      <c r="A211" s="29" t="s">
        <v>213</v>
      </c>
      <c r="B211" s="44">
        <v>0</v>
      </c>
      <c r="C211" s="71">
        <v>0</v>
      </c>
      <c r="D211" s="71">
        <v>0</v>
      </c>
      <c r="E211" s="64">
        <v>0</v>
      </c>
      <c r="F211" s="63">
        <v>0</v>
      </c>
      <c r="G211" s="63">
        <v>0</v>
      </c>
      <c r="H211" s="32">
        <f t="shared" si="3"/>
        <v>0</v>
      </c>
      <c r="I211" s="32">
        <v>0</v>
      </c>
      <c r="J211" s="32">
        <v>0</v>
      </c>
      <c r="K211" s="32">
        <v>0</v>
      </c>
      <c r="L211" s="32">
        <v>0</v>
      </c>
      <c r="M211" s="63">
        <v>0</v>
      </c>
      <c r="N211" s="1"/>
      <c r="O211" s="32">
        <v>0</v>
      </c>
      <c r="P211" s="32">
        <v>0</v>
      </c>
    </row>
    <row r="212" spans="1:16" ht="16" hidden="1" customHeight="1" outlineLevel="1" x14ac:dyDescent="0.45">
      <c r="A212" s="24" t="s">
        <v>214</v>
      </c>
      <c r="B212" s="45">
        <v>0</v>
      </c>
      <c r="C212" s="71">
        <v>0</v>
      </c>
      <c r="D212" s="71">
        <v>0</v>
      </c>
      <c r="E212" s="64">
        <v>0</v>
      </c>
      <c r="F212" s="63">
        <v>0</v>
      </c>
      <c r="G212" s="63">
        <v>0</v>
      </c>
      <c r="H212" s="32">
        <f t="shared" si="3"/>
        <v>0</v>
      </c>
      <c r="I212" s="32">
        <v>0</v>
      </c>
      <c r="J212" s="32">
        <v>0</v>
      </c>
      <c r="K212" s="32">
        <v>0</v>
      </c>
      <c r="L212" s="32">
        <v>0</v>
      </c>
      <c r="M212" s="63">
        <v>0</v>
      </c>
      <c r="N212" s="1"/>
      <c r="O212" s="32">
        <v>0</v>
      </c>
      <c r="P212" s="32">
        <v>0</v>
      </c>
    </row>
    <row r="213" spans="1:16" ht="16" hidden="1" customHeight="1" outlineLevel="1" x14ac:dyDescent="0.45">
      <c r="A213" s="29" t="s">
        <v>215</v>
      </c>
      <c r="B213" s="44">
        <v>0</v>
      </c>
      <c r="C213" s="71">
        <v>0</v>
      </c>
      <c r="D213" s="71">
        <v>0</v>
      </c>
      <c r="E213" s="64">
        <v>0</v>
      </c>
      <c r="F213" s="63">
        <v>0</v>
      </c>
      <c r="G213" s="63">
        <v>0</v>
      </c>
      <c r="H213" s="32">
        <f t="shared" si="3"/>
        <v>0</v>
      </c>
      <c r="I213" s="32">
        <v>0</v>
      </c>
      <c r="J213" s="32">
        <v>0</v>
      </c>
      <c r="K213" s="32">
        <v>0</v>
      </c>
      <c r="L213" s="32">
        <v>0</v>
      </c>
      <c r="M213" s="63">
        <v>0</v>
      </c>
      <c r="N213" s="1"/>
      <c r="O213" s="32">
        <v>0</v>
      </c>
      <c r="P213" s="32">
        <v>0</v>
      </c>
    </row>
    <row r="214" spans="1:16" ht="16" hidden="1" customHeight="1" outlineLevel="1" x14ac:dyDescent="0.45">
      <c r="A214" s="29" t="s">
        <v>257</v>
      </c>
      <c r="B214" s="44">
        <v>0</v>
      </c>
      <c r="C214" s="71">
        <v>0</v>
      </c>
      <c r="D214" s="71">
        <v>0</v>
      </c>
      <c r="E214" s="64">
        <v>0</v>
      </c>
      <c r="F214" s="63">
        <v>0</v>
      </c>
      <c r="G214" s="63">
        <v>0</v>
      </c>
      <c r="H214" s="32">
        <f t="shared" si="3"/>
        <v>0</v>
      </c>
      <c r="I214" s="32">
        <v>0</v>
      </c>
      <c r="J214" s="32">
        <v>0</v>
      </c>
      <c r="K214" s="32">
        <v>0</v>
      </c>
      <c r="L214" s="32">
        <v>0</v>
      </c>
      <c r="M214" s="63">
        <v>0</v>
      </c>
      <c r="N214" s="1"/>
      <c r="O214" s="32">
        <v>0</v>
      </c>
      <c r="P214" s="32">
        <v>0</v>
      </c>
    </row>
    <row r="215" spans="1:16" s="1" customFormat="1" collapsed="1" x14ac:dyDescent="0.45">
      <c r="A215" s="28" t="s">
        <v>156</v>
      </c>
      <c r="B215" s="43">
        <v>40013727</v>
      </c>
      <c r="C215" s="69">
        <v>5000000</v>
      </c>
      <c r="D215" s="69">
        <v>0</v>
      </c>
      <c r="E215" s="61">
        <v>35013727</v>
      </c>
      <c r="F215" s="60">
        <v>0</v>
      </c>
      <c r="G215" s="60">
        <v>0</v>
      </c>
      <c r="H215" s="70">
        <f t="shared" si="3"/>
        <v>35013727</v>
      </c>
      <c r="I215" s="70">
        <v>0</v>
      </c>
      <c r="J215" s="70">
        <v>0</v>
      </c>
      <c r="K215" s="70">
        <v>0</v>
      </c>
      <c r="L215" s="70">
        <v>0</v>
      </c>
      <c r="M215" s="60">
        <v>0</v>
      </c>
      <c r="O215" s="70">
        <v>18522727</v>
      </c>
      <c r="P215" s="70">
        <v>16491000</v>
      </c>
    </row>
    <row r="216" spans="1:16" ht="16" hidden="1" customHeight="1" outlineLevel="1" x14ac:dyDescent="0.45">
      <c r="A216" s="29" t="s">
        <v>157</v>
      </c>
      <c r="B216" s="44">
        <v>40013727</v>
      </c>
      <c r="C216" s="71">
        <v>5000000</v>
      </c>
      <c r="D216" s="71">
        <v>0</v>
      </c>
      <c r="E216" s="64">
        <v>35013727</v>
      </c>
      <c r="F216" s="63">
        <v>0</v>
      </c>
      <c r="G216" s="63">
        <v>0</v>
      </c>
      <c r="H216" s="32">
        <f t="shared" si="3"/>
        <v>35013727</v>
      </c>
      <c r="I216" s="32">
        <v>0</v>
      </c>
      <c r="J216" s="32">
        <v>0</v>
      </c>
      <c r="K216" s="32">
        <v>0</v>
      </c>
      <c r="L216" s="32">
        <v>0</v>
      </c>
      <c r="M216" s="63">
        <v>0</v>
      </c>
      <c r="N216" s="1"/>
      <c r="O216" s="32">
        <v>18522727</v>
      </c>
      <c r="P216" s="32">
        <v>16491000</v>
      </c>
    </row>
    <row r="217" spans="1:16" s="1" customFormat="1" collapsed="1" x14ac:dyDescent="0.45">
      <c r="A217" s="28" t="s">
        <v>101</v>
      </c>
      <c r="B217" s="43">
        <v>1297501727</v>
      </c>
      <c r="C217" s="69">
        <v>-1938717741</v>
      </c>
      <c r="D217" s="69">
        <v>8843091</v>
      </c>
      <c r="E217" s="61">
        <v>3227376377</v>
      </c>
      <c r="F217" s="60">
        <v>1918355906.0912871</v>
      </c>
      <c r="G217" s="60">
        <v>108443787.90871277</v>
      </c>
      <c r="H217" s="70">
        <f t="shared" si="3"/>
        <v>788273757</v>
      </c>
      <c r="I217" s="70">
        <v>41600</v>
      </c>
      <c r="J217" s="70">
        <v>3284414</v>
      </c>
      <c r="K217" s="70">
        <v>32959460</v>
      </c>
      <c r="L217" s="70">
        <v>261718955</v>
      </c>
      <c r="M217" s="60">
        <v>114298497</v>
      </c>
      <c r="O217" s="70">
        <v>788273757</v>
      </c>
      <c r="P217" s="70">
        <v>0</v>
      </c>
    </row>
    <row r="218" spans="1:16" s="1" customFormat="1" ht="16" hidden="1" customHeight="1" outlineLevel="1" x14ac:dyDescent="0.45">
      <c r="A218" s="28" t="s">
        <v>166</v>
      </c>
      <c r="B218" s="43">
        <v>0</v>
      </c>
      <c r="C218" s="69">
        <v>-1167171176</v>
      </c>
      <c r="D218" s="69">
        <v>0</v>
      </c>
      <c r="E218" s="61">
        <v>1167171176</v>
      </c>
      <c r="F218" s="60">
        <v>1130977916</v>
      </c>
      <c r="G218" s="60">
        <v>0</v>
      </c>
      <c r="H218" s="70">
        <f t="shared" si="3"/>
        <v>0</v>
      </c>
      <c r="I218" s="70">
        <v>41600</v>
      </c>
      <c r="J218" s="70">
        <v>3192200</v>
      </c>
      <c r="K218" s="70">
        <v>32959460</v>
      </c>
      <c r="L218" s="70">
        <v>0</v>
      </c>
      <c r="M218" s="60">
        <v>0</v>
      </c>
      <c r="O218" s="70">
        <v>0</v>
      </c>
      <c r="P218" s="70">
        <v>0</v>
      </c>
    </row>
    <row r="219" spans="1:16" ht="16" hidden="1" customHeight="1" outlineLevel="1" x14ac:dyDescent="0.45">
      <c r="A219" s="29" t="s">
        <v>216</v>
      </c>
      <c r="B219" s="44">
        <v>0</v>
      </c>
      <c r="C219" s="71">
        <v>0</v>
      </c>
      <c r="D219" s="71">
        <v>0</v>
      </c>
      <c r="E219" s="64">
        <v>0</v>
      </c>
      <c r="F219" s="63">
        <v>0</v>
      </c>
      <c r="G219" s="63">
        <v>0</v>
      </c>
      <c r="H219" s="32">
        <f t="shared" si="3"/>
        <v>0</v>
      </c>
      <c r="I219" s="32">
        <v>0</v>
      </c>
      <c r="J219" s="32">
        <v>0</v>
      </c>
      <c r="K219" s="32">
        <v>0</v>
      </c>
      <c r="L219" s="32">
        <v>0</v>
      </c>
      <c r="M219" s="63">
        <v>0</v>
      </c>
      <c r="N219" s="1"/>
      <c r="O219" s="32">
        <v>0</v>
      </c>
      <c r="P219" s="32">
        <v>0</v>
      </c>
    </row>
    <row r="220" spans="1:16" ht="16" hidden="1" customHeight="1" outlineLevel="1" x14ac:dyDescent="0.45">
      <c r="A220" s="29" t="s">
        <v>102</v>
      </c>
      <c r="B220" s="44">
        <v>260000</v>
      </c>
      <c r="C220" s="71">
        <v>0</v>
      </c>
      <c r="D220" s="71">
        <v>0</v>
      </c>
      <c r="E220" s="64">
        <v>260000</v>
      </c>
      <c r="F220" s="63">
        <v>0</v>
      </c>
      <c r="G220" s="63">
        <v>260000</v>
      </c>
      <c r="H220" s="32">
        <f t="shared" si="3"/>
        <v>0</v>
      </c>
      <c r="I220" s="32">
        <v>0</v>
      </c>
      <c r="J220" s="32">
        <v>0</v>
      </c>
      <c r="K220" s="32">
        <v>0</v>
      </c>
      <c r="L220" s="32">
        <v>0</v>
      </c>
      <c r="M220" s="63">
        <v>0</v>
      </c>
      <c r="N220" s="1"/>
      <c r="O220" s="32">
        <v>0</v>
      </c>
      <c r="P220" s="32">
        <v>0</v>
      </c>
    </row>
    <row r="221" spans="1:16" ht="16" hidden="1" customHeight="1" outlineLevel="1" x14ac:dyDescent="0.45">
      <c r="A221" s="29" t="s">
        <v>103</v>
      </c>
      <c r="B221" s="44">
        <v>14349584</v>
      </c>
      <c r="C221" s="71">
        <v>7259310</v>
      </c>
      <c r="D221" s="71">
        <v>0</v>
      </c>
      <c r="E221" s="64">
        <v>7090274</v>
      </c>
      <c r="F221" s="63">
        <v>6947382</v>
      </c>
      <c r="G221" s="63">
        <v>0</v>
      </c>
      <c r="H221" s="32">
        <f t="shared" si="3"/>
        <v>0</v>
      </c>
      <c r="I221" s="32">
        <v>0</v>
      </c>
      <c r="J221" s="32">
        <v>92214</v>
      </c>
      <c r="K221" s="32">
        <v>0</v>
      </c>
      <c r="L221" s="32">
        <v>50678</v>
      </c>
      <c r="M221" s="63">
        <v>0</v>
      </c>
      <c r="N221" s="1"/>
      <c r="O221" s="32">
        <v>0</v>
      </c>
      <c r="P221" s="32">
        <v>0</v>
      </c>
    </row>
    <row r="222" spans="1:16" s="1" customFormat="1" ht="16" hidden="1" customHeight="1" outlineLevel="1" collapsed="1" x14ac:dyDescent="0.45">
      <c r="A222" s="28" t="s">
        <v>104</v>
      </c>
      <c r="B222" s="43">
        <v>0</v>
      </c>
      <c r="C222" s="69">
        <v>-799757500</v>
      </c>
      <c r="D222" s="69">
        <v>0</v>
      </c>
      <c r="E222" s="61">
        <v>799757500</v>
      </c>
      <c r="F222" s="60">
        <v>552244500</v>
      </c>
      <c r="G222" s="60">
        <v>0</v>
      </c>
      <c r="H222" s="70">
        <f t="shared" si="3"/>
        <v>0</v>
      </c>
      <c r="I222" s="70">
        <v>0</v>
      </c>
      <c r="J222" s="70">
        <v>0</v>
      </c>
      <c r="K222" s="70">
        <v>0</v>
      </c>
      <c r="L222" s="70">
        <v>247513000</v>
      </c>
      <c r="M222" s="60">
        <v>0</v>
      </c>
      <c r="O222" s="70">
        <v>0</v>
      </c>
      <c r="P222" s="70">
        <v>0</v>
      </c>
    </row>
    <row r="223" spans="1:16" ht="16" hidden="1" customHeight="1" outlineLevel="1" x14ac:dyDescent="0.45">
      <c r="A223" s="29" t="s">
        <v>116</v>
      </c>
      <c r="B223" s="44">
        <v>226816964</v>
      </c>
      <c r="C223" s="71">
        <v>0</v>
      </c>
      <c r="D223" s="71">
        <v>4201273</v>
      </c>
      <c r="E223" s="64">
        <v>222615691</v>
      </c>
      <c r="F223" s="63">
        <v>7878000</v>
      </c>
      <c r="G223" s="63">
        <v>105173734</v>
      </c>
      <c r="H223" s="32">
        <f t="shared" si="3"/>
        <v>0</v>
      </c>
      <c r="I223" s="32">
        <v>0</v>
      </c>
      <c r="J223" s="32">
        <v>0</v>
      </c>
      <c r="K223" s="32">
        <v>0</v>
      </c>
      <c r="L223" s="32">
        <v>0</v>
      </c>
      <c r="M223" s="63">
        <v>109563957</v>
      </c>
      <c r="N223" s="1"/>
      <c r="O223" s="32">
        <v>0</v>
      </c>
      <c r="P223" s="32">
        <v>0</v>
      </c>
    </row>
    <row r="224" spans="1:16" ht="16" hidden="1" customHeight="1" outlineLevel="1" x14ac:dyDescent="0.45">
      <c r="A224" s="29" t="s">
        <v>105</v>
      </c>
      <c r="B224" s="44">
        <v>1056075179</v>
      </c>
      <c r="C224" s="71">
        <v>20951625</v>
      </c>
      <c r="D224" s="71">
        <v>4641818</v>
      </c>
      <c r="E224" s="64">
        <v>1030481736</v>
      </c>
      <c r="F224" s="63">
        <v>220308108.09128723</v>
      </c>
      <c r="G224" s="63">
        <v>3010053.9087127773</v>
      </c>
      <c r="H224" s="32">
        <f t="shared" si="3"/>
        <v>788273757</v>
      </c>
      <c r="I224" s="72">
        <v>0</v>
      </c>
      <c r="J224" s="72">
        <v>0</v>
      </c>
      <c r="K224" s="72">
        <v>0</v>
      </c>
      <c r="L224" s="72">
        <v>14155277</v>
      </c>
      <c r="M224" s="63">
        <v>4734540</v>
      </c>
      <c r="N224" s="1"/>
      <c r="O224" s="32">
        <v>788273757</v>
      </c>
      <c r="P224" s="32">
        <v>0</v>
      </c>
    </row>
    <row r="225" spans="1:16" ht="16" hidden="1" customHeight="1" outlineLevel="1" x14ac:dyDescent="0.45">
      <c r="A225" s="29" t="s">
        <v>217</v>
      </c>
      <c r="B225" s="44">
        <v>0</v>
      </c>
      <c r="C225" s="71">
        <v>0</v>
      </c>
      <c r="D225" s="71">
        <v>0</v>
      </c>
      <c r="E225" s="64">
        <v>0</v>
      </c>
      <c r="F225" s="63">
        <v>0</v>
      </c>
      <c r="G225" s="63">
        <v>0</v>
      </c>
      <c r="H225" s="32">
        <f t="shared" si="3"/>
        <v>0</v>
      </c>
      <c r="I225" s="32">
        <v>0</v>
      </c>
      <c r="J225" s="32">
        <v>0</v>
      </c>
      <c r="K225" s="32">
        <v>0</v>
      </c>
      <c r="L225" s="32">
        <v>0</v>
      </c>
      <c r="M225" s="63">
        <v>0</v>
      </c>
      <c r="N225" s="1"/>
      <c r="O225" s="32">
        <v>0</v>
      </c>
      <c r="P225" s="32">
        <v>0</v>
      </c>
    </row>
    <row r="226" spans="1:16" ht="16" hidden="1" customHeight="1" outlineLevel="1" x14ac:dyDescent="0.45">
      <c r="A226" s="29" t="s">
        <v>106</v>
      </c>
      <c r="B226" s="44">
        <v>0</v>
      </c>
      <c r="C226" s="71">
        <v>0</v>
      </c>
      <c r="D226" s="71">
        <v>0</v>
      </c>
      <c r="E226" s="64">
        <v>0</v>
      </c>
      <c r="F226" s="63">
        <v>0</v>
      </c>
      <c r="G226" s="63">
        <v>0</v>
      </c>
      <c r="H226" s="32">
        <f t="shared" si="3"/>
        <v>0</v>
      </c>
      <c r="I226" s="32">
        <v>0</v>
      </c>
      <c r="J226" s="32">
        <v>0</v>
      </c>
      <c r="K226" s="32">
        <v>0</v>
      </c>
      <c r="L226" s="32">
        <v>0</v>
      </c>
      <c r="M226" s="63">
        <v>0</v>
      </c>
      <c r="N226" s="1"/>
      <c r="O226" s="32">
        <v>0</v>
      </c>
      <c r="P226" s="32">
        <v>0</v>
      </c>
    </row>
    <row r="227" spans="1:16" s="1" customFormat="1" ht="16" hidden="1" customHeight="1" outlineLevel="1" collapsed="1" x14ac:dyDescent="0.45">
      <c r="A227" s="28" t="s">
        <v>306</v>
      </c>
      <c r="B227" s="43">
        <v>0</v>
      </c>
      <c r="C227" s="69">
        <v>0</v>
      </c>
      <c r="D227" s="69">
        <v>0</v>
      </c>
      <c r="E227" s="61">
        <v>0</v>
      </c>
      <c r="F227" s="60">
        <v>0</v>
      </c>
      <c r="G227" s="60">
        <v>0</v>
      </c>
      <c r="H227" s="70">
        <f t="shared" si="3"/>
        <v>0</v>
      </c>
      <c r="I227" s="70">
        <v>0</v>
      </c>
      <c r="J227" s="70">
        <v>0</v>
      </c>
      <c r="K227" s="70">
        <v>0</v>
      </c>
      <c r="L227" s="70">
        <v>0</v>
      </c>
      <c r="M227" s="60">
        <v>0</v>
      </c>
      <c r="O227" s="70">
        <v>0</v>
      </c>
      <c r="P227" s="70">
        <v>0</v>
      </c>
    </row>
    <row r="228" spans="1:16" s="1" customFormat="1" collapsed="1" x14ac:dyDescent="0.45">
      <c r="A228" s="28" t="s">
        <v>218</v>
      </c>
      <c r="B228" s="43">
        <v>0</v>
      </c>
      <c r="C228" s="69">
        <v>0</v>
      </c>
      <c r="D228" s="69">
        <v>0</v>
      </c>
      <c r="E228" s="61">
        <v>0</v>
      </c>
      <c r="F228" s="60">
        <v>0</v>
      </c>
      <c r="G228" s="60">
        <v>0</v>
      </c>
      <c r="H228" s="70">
        <f t="shared" si="3"/>
        <v>0</v>
      </c>
      <c r="I228" s="70">
        <v>0</v>
      </c>
      <c r="J228" s="70">
        <v>0</v>
      </c>
      <c r="K228" s="70">
        <v>0</v>
      </c>
      <c r="L228" s="70">
        <v>0</v>
      </c>
      <c r="M228" s="60">
        <v>0</v>
      </c>
      <c r="O228" s="70">
        <v>0</v>
      </c>
      <c r="P228" s="70">
        <v>0</v>
      </c>
    </row>
    <row r="229" spans="1:16" s="1" customFormat="1" x14ac:dyDescent="0.45">
      <c r="A229" s="28" t="s">
        <v>107</v>
      </c>
      <c r="B229" s="43">
        <v>1030406626</v>
      </c>
      <c r="C229" s="69">
        <v>1622158</v>
      </c>
      <c r="D229" s="69">
        <v>64598524</v>
      </c>
      <c r="E229" s="61">
        <v>964185944</v>
      </c>
      <c r="F229" s="60">
        <v>0</v>
      </c>
      <c r="G229" s="60">
        <v>-2934158</v>
      </c>
      <c r="H229" s="70">
        <f t="shared" si="3"/>
        <v>-1080000</v>
      </c>
      <c r="I229" s="70">
        <v>-10094323</v>
      </c>
      <c r="J229" s="70">
        <v>743059321</v>
      </c>
      <c r="K229" s="70">
        <v>233923104</v>
      </c>
      <c r="L229" s="70">
        <v>1312000</v>
      </c>
      <c r="M229" s="60">
        <v>0</v>
      </c>
      <c r="O229" s="70">
        <v>2470909</v>
      </c>
      <c r="P229" s="70">
        <v>-3550909</v>
      </c>
    </row>
    <row r="230" spans="1:16" ht="16" hidden="1" customHeight="1" outlineLevel="1" x14ac:dyDescent="0.45">
      <c r="A230" s="29" t="s">
        <v>158</v>
      </c>
      <c r="B230" s="44">
        <v>0</v>
      </c>
      <c r="C230" s="71">
        <v>0</v>
      </c>
      <c r="D230" s="71">
        <v>0</v>
      </c>
      <c r="E230" s="64">
        <v>0</v>
      </c>
      <c r="F230" s="63">
        <v>0</v>
      </c>
      <c r="G230" s="63">
        <v>0</v>
      </c>
      <c r="H230" s="32">
        <f t="shared" si="3"/>
        <v>0</v>
      </c>
      <c r="I230" s="32">
        <v>0</v>
      </c>
      <c r="J230" s="32">
        <v>0</v>
      </c>
      <c r="K230" s="32">
        <v>0</v>
      </c>
      <c r="L230" s="32">
        <v>0</v>
      </c>
      <c r="M230" s="63">
        <v>0</v>
      </c>
      <c r="N230" s="1"/>
      <c r="O230" s="32">
        <v>0</v>
      </c>
      <c r="P230" s="32">
        <v>0</v>
      </c>
    </row>
    <row r="231" spans="1:16" ht="16" hidden="1" customHeight="1" outlineLevel="1" x14ac:dyDescent="0.45">
      <c r="A231" s="29" t="s">
        <v>219</v>
      </c>
      <c r="B231" s="44">
        <v>0</v>
      </c>
      <c r="C231" s="71">
        <v>0</v>
      </c>
      <c r="D231" s="71">
        <v>0</v>
      </c>
      <c r="E231" s="64">
        <v>0</v>
      </c>
      <c r="F231" s="63">
        <v>0</v>
      </c>
      <c r="G231" s="63">
        <v>0</v>
      </c>
      <c r="H231" s="32">
        <f t="shared" si="3"/>
        <v>0</v>
      </c>
      <c r="I231" s="32">
        <v>0</v>
      </c>
      <c r="J231" s="32">
        <v>0</v>
      </c>
      <c r="K231" s="32">
        <v>0</v>
      </c>
      <c r="L231" s="32">
        <v>0</v>
      </c>
      <c r="M231" s="63">
        <v>0</v>
      </c>
      <c r="N231" s="1"/>
      <c r="O231" s="32">
        <v>0</v>
      </c>
      <c r="P231" s="32">
        <v>0</v>
      </c>
    </row>
    <row r="232" spans="1:16" ht="16" hidden="1" customHeight="1" outlineLevel="1" x14ac:dyDescent="0.45">
      <c r="A232" s="29" t="s">
        <v>307</v>
      </c>
      <c r="B232" s="44">
        <v>965808102</v>
      </c>
      <c r="C232" s="71">
        <v>0</v>
      </c>
      <c r="D232" s="71">
        <v>0</v>
      </c>
      <c r="E232" s="64">
        <v>965808102</v>
      </c>
      <c r="F232" s="63">
        <v>0</v>
      </c>
      <c r="G232" s="63">
        <v>0</v>
      </c>
      <c r="H232" s="32">
        <f t="shared" si="3"/>
        <v>-1080000</v>
      </c>
      <c r="I232" s="32">
        <v>-10094323</v>
      </c>
      <c r="J232" s="32">
        <v>743059321</v>
      </c>
      <c r="K232" s="32">
        <v>233923104</v>
      </c>
      <c r="L232" s="32">
        <v>0</v>
      </c>
      <c r="M232" s="63">
        <v>0</v>
      </c>
      <c r="N232" s="1"/>
      <c r="O232" s="32">
        <v>2470909</v>
      </c>
      <c r="P232" s="32">
        <v>-3550909</v>
      </c>
    </row>
    <row r="233" spans="1:16" ht="16" hidden="1" customHeight="1" outlineLevel="1" x14ac:dyDescent="0.45">
      <c r="A233" s="29" t="s">
        <v>220</v>
      </c>
      <c r="B233" s="44">
        <v>0</v>
      </c>
      <c r="C233" s="71">
        <v>0</v>
      </c>
      <c r="D233" s="71">
        <v>0</v>
      </c>
      <c r="E233" s="64">
        <v>0</v>
      </c>
      <c r="F233" s="63">
        <v>0</v>
      </c>
      <c r="G233" s="63">
        <v>0</v>
      </c>
      <c r="H233" s="32">
        <f t="shared" si="3"/>
        <v>0</v>
      </c>
      <c r="I233" s="32">
        <v>0</v>
      </c>
      <c r="J233" s="32">
        <v>0</v>
      </c>
      <c r="K233" s="32">
        <v>0</v>
      </c>
      <c r="L233" s="32">
        <v>0</v>
      </c>
      <c r="M233" s="63">
        <v>0</v>
      </c>
      <c r="N233" s="1"/>
      <c r="O233" s="32">
        <v>0</v>
      </c>
      <c r="P233" s="32">
        <v>0</v>
      </c>
    </row>
    <row r="234" spans="1:16" s="1" customFormat="1" ht="16" hidden="1" customHeight="1" outlineLevel="1" collapsed="1" x14ac:dyDescent="0.45">
      <c r="A234" s="28" t="s">
        <v>108</v>
      </c>
      <c r="B234" s="43">
        <v>0</v>
      </c>
      <c r="C234" s="69">
        <v>-2754938</v>
      </c>
      <c r="D234" s="69">
        <v>0</v>
      </c>
      <c r="E234" s="61">
        <v>2754938</v>
      </c>
      <c r="F234" s="60">
        <v>0</v>
      </c>
      <c r="G234" s="60">
        <v>2754938</v>
      </c>
      <c r="H234" s="70">
        <f t="shared" si="3"/>
        <v>0</v>
      </c>
      <c r="I234" s="70">
        <v>0</v>
      </c>
      <c r="J234" s="70">
        <v>0</v>
      </c>
      <c r="K234" s="70">
        <v>0</v>
      </c>
      <c r="L234" s="70">
        <v>0</v>
      </c>
      <c r="M234" s="60">
        <v>0</v>
      </c>
      <c r="O234" s="70">
        <v>0</v>
      </c>
      <c r="P234" s="70">
        <v>0</v>
      </c>
    </row>
    <row r="235" spans="1:16" ht="16" hidden="1" customHeight="1" outlineLevel="1" x14ac:dyDescent="0.45">
      <c r="A235" s="29" t="s">
        <v>221</v>
      </c>
      <c r="B235" s="44">
        <v>0</v>
      </c>
      <c r="C235" s="71">
        <v>0</v>
      </c>
      <c r="D235" s="71">
        <v>0</v>
      </c>
      <c r="E235" s="64">
        <v>0</v>
      </c>
      <c r="F235" s="63">
        <v>0</v>
      </c>
      <c r="G235" s="63">
        <v>0</v>
      </c>
      <c r="H235" s="32">
        <f t="shared" si="3"/>
        <v>0</v>
      </c>
      <c r="I235" s="32">
        <v>0</v>
      </c>
      <c r="J235" s="32">
        <v>0</v>
      </c>
      <c r="K235" s="32">
        <v>0</v>
      </c>
      <c r="L235" s="32">
        <v>0</v>
      </c>
      <c r="M235" s="63">
        <v>0</v>
      </c>
      <c r="N235" s="1"/>
      <c r="O235" s="32">
        <v>0</v>
      </c>
      <c r="P235" s="32">
        <v>0</v>
      </c>
    </row>
    <row r="236" spans="1:16" ht="16" hidden="1" customHeight="1" outlineLevel="1" x14ac:dyDescent="0.45">
      <c r="A236" s="29" t="s">
        <v>222</v>
      </c>
      <c r="B236" s="44">
        <v>64598524</v>
      </c>
      <c r="C236" s="71">
        <v>0</v>
      </c>
      <c r="D236" s="71">
        <v>64598524</v>
      </c>
      <c r="E236" s="64">
        <v>0</v>
      </c>
      <c r="F236" s="63">
        <v>0</v>
      </c>
      <c r="G236" s="63">
        <v>0</v>
      </c>
      <c r="H236" s="32">
        <f t="shared" si="3"/>
        <v>0</v>
      </c>
      <c r="I236" s="32">
        <v>0</v>
      </c>
      <c r="J236" s="32">
        <v>0</v>
      </c>
      <c r="K236" s="32">
        <v>0</v>
      </c>
      <c r="L236" s="32">
        <v>0</v>
      </c>
      <c r="M236" s="63">
        <v>0</v>
      </c>
      <c r="N236" s="1"/>
      <c r="O236" s="32">
        <v>0</v>
      </c>
      <c r="P236" s="32">
        <v>0</v>
      </c>
    </row>
    <row r="237" spans="1:16" s="1" customFormat="1" ht="16" hidden="1" customHeight="1" outlineLevel="1" collapsed="1" x14ac:dyDescent="0.45">
      <c r="A237" s="28" t="s">
        <v>109</v>
      </c>
      <c r="B237" s="43">
        <v>0</v>
      </c>
      <c r="C237" s="69">
        <v>4377096</v>
      </c>
      <c r="D237" s="69">
        <v>0</v>
      </c>
      <c r="E237" s="61">
        <v>-4377096</v>
      </c>
      <c r="F237" s="60">
        <v>0</v>
      </c>
      <c r="G237" s="60">
        <v>-5689096</v>
      </c>
      <c r="H237" s="70">
        <f t="shared" si="3"/>
        <v>0</v>
      </c>
      <c r="I237" s="70">
        <v>0</v>
      </c>
      <c r="J237" s="70">
        <v>0</v>
      </c>
      <c r="K237" s="70">
        <v>0</v>
      </c>
      <c r="L237" s="70">
        <v>1312000</v>
      </c>
      <c r="M237" s="60">
        <v>0</v>
      </c>
      <c r="O237" s="70">
        <v>0</v>
      </c>
      <c r="P237" s="70">
        <v>0</v>
      </c>
    </row>
    <row r="238" spans="1:16" s="1" customFormat="1" ht="16" customHeight="1" collapsed="1" x14ac:dyDescent="0.45">
      <c r="A238" s="28" t="s">
        <v>110</v>
      </c>
      <c r="B238" s="43">
        <v>20819317</v>
      </c>
      <c r="C238" s="69">
        <v>18077984</v>
      </c>
      <c r="D238" s="69">
        <v>0</v>
      </c>
      <c r="E238" s="61">
        <v>2741333</v>
      </c>
      <c r="F238" s="60">
        <v>241333</v>
      </c>
      <c r="G238" s="60">
        <v>0</v>
      </c>
      <c r="H238" s="70">
        <f t="shared" si="3"/>
        <v>0</v>
      </c>
      <c r="I238" s="70">
        <v>0</v>
      </c>
      <c r="J238" s="70">
        <v>0</v>
      </c>
      <c r="K238" s="70">
        <v>0</v>
      </c>
      <c r="L238" s="70">
        <v>0</v>
      </c>
      <c r="M238" s="60">
        <v>2500000</v>
      </c>
      <c r="O238" s="70">
        <v>0</v>
      </c>
      <c r="P238" s="70">
        <v>0</v>
      </c>
    </row>
    <row r="239" spans="1:16" s="1" customFormat="1" collapsed="1" x14ac:dyDescent="0.45">
      <c r="A239" s="27" t="s">
        <v>308</v>
      </c>
      <c r="B239" s="42">
        <v>4664209362</v>
      </c>
      <c r="C239" s="73">
        <v>-4198422098.0000019</v>
      </c>
      <c r="D239" s="73">
        <v>-557089669</v>
      </c>
      <c r="E239" s="58">
        <v>9419721129.0000019</v>
      </c>
      <c r="F239" s="57">
        <v>5787607044.701148</v>
      </c>
      <c r="G239" s="57">
        <v>1657230035.1879487</v>
      </c>
      <c r="H239" s="57">
        <f t="shared" si="3"/>
        <v>105405608.11090338</v>
      </c>
      <c r="I239" s="57">
        <v>57269535.107754402</v>
      </c>
      <c r="J239" s="57">
        <v>88553569.076169491</v>
      </c>
      <c r="K239" s="57">
        <v>315598313.51706016</v>
      </c>
      <c r="L239" s="57">
        <v>-70924429.700984061</v>
      </c>
      <c r="M239" s="57">
        <v>1478981453</v>
      </c>
      <c r="O239" s="57">
        <v>-237724756.68014956</v>
      </c>
      <c r="P239" s="57">
        <v>343130364.79105294</v>
      </c>
    </row>
    <row r="240" spans="1:16" s="1" customFormat="1" x14ac:dyDescent="0.45">
      <c r="A240" s="28" t="s">
        <v>309</v>
      </c>
      <c r="B240" s="43">
        <v>85543163</v>
      </c>
      <c r="C240" s="69">
        <v>74872687</v>
      </c>
      <c r="D240" s="69">
        <v>2997738</v>
      </c>
      <c r="E240" s="61">
        <v>7672738</v>
      </c>
      <c r="F240" s="60">
        <v>2997738</v>
      </c>
      <c r="G240" s="60">
        <v>4675000</v>
      </c>
      <c r="H240" s="70">
        <f t="shared" si="3"/>
        <v>0</v>
      </c>
      <c r="I240" s="70">
        <v>0</v>
      </c>
      <c r="J240" s="70">
        <v>0</v>
      </c>
      <c r="K240" s="70">
        <v>0</v>
      </c>
      <c r="L240" s="70">
        <v>0</v>
      </c>
      <c r="M240" s="70">
        <v>0</v>
      </c>
      <c r="O240" s="70">
        <v>0</v>
      </c>
      <c r="P240" s="70">
        <v>0</v>
      </c>
    </row>
    <row r="241" spans="1:16" ht="16" hidden="1" customHeight="1" outlineLevel="1" x14ac:dyDescent="0.45">
      <c r="A241" s="29" t="s">
        <v>159</v>
      </c>
      <c r="B241" s="44">
        <v>67872425</v>
      </c>
      <c r="C241" s="71">
        <v>67872425</v>
      </c>
      <c r="D241" s="71">
        <v>0</v>
      </c>
      <c r="E241" s="64">
        <v>0</v>
      </c>
      <c r="F241" s="63">
        <v>0</v>
      </c>
      <c r="G241" s="63">
        <v>0</v>
      </c>
      <c r="H241" s="32">
        <f t="shared" si="3"/>
        <v>0</v>
      </c>
      <c r="I241" s="32">
        <v>0</v>
      </c>
      <c r="J241" s="32">
        <v>0</v>
      </c>
      <c r="K241" s="32">
        <v>0</v>
      </c>
      <c r="L241" s="32">
        <v>0</v>
      </c>
      <c r="M241" s="32">
        <v>0</v>
      </c>
      <c r="N241" s="1"/>
      <c r="O241" s="32">
        <v>0</v>
      </c>
      <c r="P241" s="32">
        <v>0</v>
      </c>
    </row>
    <row r="242" spans="1:16" ht="16" hidden="1" customHeight="1" outlineLevel="1" x14ac:dyDescent="0.45">
      <c r="A242" s="29" t="s">
        <v>160</v>
      </c>
      <c r="B242" s="44">
        <v>0</v>
      </c>
      <c r="C242" s="71">
        <v>0</v>
      </c>
      <c r="D242" s="71">
        <v>0</v>
      </c>
      <c r="E242" s="64">
        <v>0</v>
      </c>
      <c r="F242" s="63">
        <v>0</v>
      </c>
      <c r="G242" s="63">
        <v>0</v>
      </c>
      <c r="H242" s="32">
        <f t="shared" si="3"/>
        <v>0</v>
      </c>
      <c r="I242" s="32">
        <v>0</v>
      </c>
      <c r="J242" s="32">
        <v>0</v>
      </c>
      <c r="K242" s="32">
        <v>0</v>
      </c>
      <c r="L242" s="32">
        <v>0</v>
      </c>
      <c r="M242" s="32">
        <v>0</v>
      </c>
      <c r="N242" s="1"/>
      <c r="O242" s="32">
        <v>0</v>
      </c>
      <c r="P242" s="32">
        <v>0</v>
      </c>
    </row>
    <row r="243" spans="1:16" ht="16" hidden="1" customHeight="1" outlineLevel="1" x14ac:dyDescent="0.45">
      <c r="A243" s="29" t="s">
        <v>258</v>
      </c>
      <c r="B243" s="44">
        <v>0</v>
      </c>
      <c r="C243" s="71">
        <v>0</v>
      </c>
      <c r="D243" s="71">
        <v>0</v>
      </c>
      <c r="E243" s="64">
        <v>0</v>
      </c>
      <c r="F243" s="63">
        <v>0</v>
      </c>
      <c r="G243" s="63">
        <v>0</v>
      </c>
      <c r="H243" s="32">
        <f t="shared" si="3"/>
        <v>0</v>
      </c>
      <c r="I243" s="32">
        <v>0</v>
      </c>
      <c r="J243" s="32">
        <v>0</v>
      </c>
      <c r="K243" s="32">
        <v>0</v>
      </c>
      <c r="L243" s="32">
        <v>0</v>
      </c>
      <c r="M243" s="32">
        <v>0</v>
      </c>
      <c r="N243" s="1"/>
      <c r="O243" s="32">
        <v>0</v>
      </c>
      <c r="P243" s="32">
        <v>0</v>
      </c>
    </row>
    <row r="244" spans="1:16" ht="16" hidden="1" customHeight="1" outlineLevel="1" x14ac:dyDescent="0.45">
      <c r="A244" s="29" t="s">
        <v>223</v>
      </c>
      <c r="B244" s="45">
        <v>9998000</v>
      </c>
      <c r="C244" s="71">
        <v>9998000</v>
      </c>
      <c r="D244" s="71">
        <v>0</v>
      </c>
      <c r="E244" s="64">
        <v>0</v>
      </c>
      <c r="F244" s="63">
        <v>0</v>
      </c>
      <c r="G244" s="63">
        <v>0</v>
      </c>
      <c r="H244" s="32">
        <f t="shared" si="3"/>
        <v>0</v>
      </c>
      <c r="I244" s="32">
        <v>0</v>
      </c>
      <c r="J244" s="32">
        <v>0</v>
      </c>
      <c r="K244" s="32">
        <v>0</v>
      </c>
      <c r="L244" s="32">
        <v>0</v>
      </c>
      <c r="M244" s="32">
        <v>0</v>
      </c>
      <c r="N244" s="1"/>
      <c r="O244" s="32">
        <v>0</v>
      </c>
      <c r="P244" s="32">
        <v>0</v>
      </c>
    </row>
    <row r="245" spans="1:16" s="3" customFormat="1" ht="16" hidden="1" customHeight="1" outlineLevel="1" x14ac:dyDescent="0.45">
      <c r="A245" s="33" t="s">
        <v>243</v>
      </c>
      <c r="B245" s="33">
        <v>0</v>
      </c>
      <c r="C245" s="71">
        <v>0</v>
      </c>
      <c r="D245" s="71">
        <v>0</v>
      </c>
      <c r="E245" s="64">
        <v>0</v>
      </c>
      <c r="F245" s="63">
        <v>0</v>
      </c>
      <c r="G245" s="63">
        <v>0</v>
      </c>
      <c r="H245" s="32">
        <f t="shared" si="3"/>
        <v>0</v>
      </c>
      <c r="I245" s="32">
        <v>0</v>
      </c>
      <c r="J245" s="32">
        <v>0</v>
      </c>
      <c r="K245" s="32">
        <v>0</v>
      </c>
      <c r="L245" s="32">
        <v>0</v>
      </c>
      <c r="M245" s="32">
        <v>0</v>
      </c>
      <c r="N245" s="1"/>
      <c r="O245" s="32">
        <v>0</v>
      </c>
      <c r="P245" s="32">
        <v>0</v>
      </c>
    </row>
    <row r="246" spans="1:16" s="3" customFormat="1" ht="16" hidden="1" customHeight="1" outlineLevel="1" x14ac:dyDescent="0.45">
      <c r="A246" s="34" t="s">
        <v>264</v>
      </c>
      <c r="B246" s="33">
        <v>0</v>
      </c>
      <c r="C246" s="71">
        <v>0</v>
      </c>
      <c r="D246" s="71">
        <v>0</v>
      </c>
      <c r="E246" s="64">
        <v>0</v>
      </c>
      <c r="F246" s="63">
        <v>0</v>
      </c>
      <c r="G246" s="63">
        <v>0</v>
      </c>
      <c r="H246" s="32">
        <f t="shared" si="3"/>
        <v>0</v>
      </c>
      <c r="I246" s="32">
        <v>0</v>
      </c>
      <c r="J246" s="32">
        <v>0</v>
      </c>
      <c r="K246" s="32">
        <v>0</v>
      </c>
      <c r="L246" s="32">
        <v>0</v>
      </c>
      <c r="M246" s="32">
        <v>0</v>
      </c>
      <c r="N246" s="1"/>
      <c r="O246" s="32">
        <v>0</v>
      </c>
      <c r="P246" s="32">
        <v>0</v>
      </c>
    </row>
    <row r="247" spans="1:16" s="3" customFormat="1" ht="16" hidden="1" customHeight="1" outlineLevel="1" x14ac:dyDescent="0.45">
      <c r="A247" s="34" t="s">
        <v>247</v>
      </c>
      <c r="B247" s="33">
        <v>0</v>
      </c>
      <c r="C247" s="71">
        <v>0</v>
      </c>
      <c r="D247" s="71">
        <v>0</v>
      </c>
      <c r="E247" s="64">
        <v>0</v>
      </c>
      <c r="F247" s="63">
        <v>0</v>
      </c>
      <c r="G247" s="63">
        <v>0</v>
      </c>
      <c r="H247" s="32">
        <f t="shared" si="3"/>
        <v>0</v>
      </c>
      <c r="I247" s="32">
        <v>0</v>
      </c>
      <c r="J247" s="32">
        <v>0</v>
      </c>
      <c r="K247" s="32">
        <v>0</v>
      </c>
      <c r="L247" s="32">
        <v>0</v>
      </c>
      <c r="M247" s="32">
        <v>0</v>
      </c>
      <c r="N247" s="1"/>
      <c r="O247" s="32">
        <v>0</v>
      </c>
      <c r="P247" s="32">
        <v>0</v>
      </c>
    </row>
    <row r="248" spans="1:16" hidden="1" outlineLevel="1" collapsed="1" x14ac:dyDescent="0.45">
      <c r="A248" s="29" t="s">
        <v>161</v>
      </c>
      <c r="B248" s="44">
        <v>7672738</v>
      </c>
      <c r="C248" s="71">
        <v>-2997738</v>
      </c>
      <c r="D248" s="71">
        <v>2997738</v>
      </c>
      <c r="E248" s="64">
        <v>7672738</v>
      </c>
      <c r="F248" s="63">
        <v>2997738</v>
      </c>
      <c r="G248" s="63">
        <v>4675000</v>
      </c>
      <c r="H248" s="32">
        <f t="shared" si="3"/>
        <v>0</v>
      </c>
      <c r="I248" s="32">
        <v>0</v>
      </c>
      <c r="J248" s="32">
        <v>0</v>
      </c>
      <c r="K248" s="32">
        <v>0</v>
      </c>
      <c r="L248" s="32">
        <v>0</v>
      </c>
      <c r="M248" s="32">
        <v>0</v>
      </c>
      <c r="N248" s="1"/>
      <c r="O248" s="32">
        <v>0</v>
      </c>
      <c r="P248" s="32">
        <v>0</v>
      </c>
    </row>
    <row r="249" spans="1:16" ht="16" hidden="1" customHeight="1" outlineLevel="1" x14ac:dyDescent="0.45">
      <c r="A249" s="29" t="s">
        <v>224</v>
      </c>
      <c r="B249" s="44">
        <v>0</v>
      </c>
      <c r="C249" s="71">
        <v>0</v>
      </c>
      <c r="D249" s="71">
        <v>0</v>
      </c>
      <c r="E249" s="64">
        <v>0</v>
      </c>
      <c r="F249" s="63">
        <v>0</v>
      </c>
      <c r="G249" s="63">
        <v>0</v>
      </c>
      <c r="H249" s="32">
        <f t="shared" si="3"/>
        <v>0</v>
      </c>
      <c r="I249" s="32">
        <v>0</v>
      </c>
      <c r="J249" s="32">
        <v>0</v>
      </c>
      <c r="K249" s="32">
        <v>0</v>
      </c>
      <c r="L249" s="32">
        <v>0</v>
      </c>
      <c r="M249" s="32">
        <v>0</v>
      </c>
      <c r="N249" s="1"/>
      <c r="O249" s="32">
        <v>0</v>
      </c>
      <c r="P249" s="32">
        <v>0</v>
      </c>
    </row>
    <row r="250" spans="1:16" s="1" customFormat="1" collapsed="1" x14ac:dyDescent="0.45">
      <c r="A250" s="28" t="s">
        <v>111</v>
      </c>
      <c r="B250" s="43">
        <v>200242192</v>
      </c>
      <c r="C250" s="69">
        <v>200242192</v>
      </c>
      <c r="D250" s="69">
        <v>0</v>
      </c>
      <c r="E250" s="61">
        <v>0</v>
      </c>
      <c r="F250" s="60">
        <v>0</v>
      </c>
      <c r="G250" s="60">
        <v>0</v>
      </c>
      <c r="H250" s="70">
        <f t="shared" si="3"/>
        <v>0</v>
      </c>
      <c r="I250" s="70">
        <v>0</v>
      </c>
      <c r="J250" s="70">
        <v>0</v>
      </c>
      <c r="K250" s="70">
        <v>0</v>
      </c>
      <c r="L250" s="70">
        <v>0</v>
      </c>
      <c r="M250" s="70">
        <v>0</v>
      </c>
      <c r="O250" s="70">
        <v>0</v>
      </c>
      <c r="P250" s="70">
        <v>0</v>
      </c>
    </row>
    <row r="251" spans="1:16" ht="16" hidden="1" customHeight="1" outlineLevel="1" x14ac:dyDescent="0.45">
      <c r="A251" s="29" t="s">
        <v>162</v>
      </c>
      <c r="B251" s="44">
        <v>200242192</v>
      </c>
      <c r="C251" s="71">
        <v>200242192</v>
      </c>
      <c r="D251" s="71">
        <v>0</v>
      </c>
      <c r="E251" s="64">
        <v>0</v>
      </c>
      <c r="F251" s="63">
        <v>0</v>
      </c>
      <c r="G251" s="63">
        <v>0</v>
      </c>
      <c r="H251" s="32">
        <f t="shared" si="3"/>
        <v>0</v>
      </c>
      <c r="I251" s="32">
        <v>0</v>
      </c>
      <c r="J251" s="32">
        <v>0</v>
      </c>
      <c r="K251" s="32">
        <v>0</v>
      </c>
      <c r="L251" s="32">
        <v>0</v>
      </c>
      <c r="M251" s="32">
        <v>0</v>
      </c>
      <c r="N251" s="1"/>
      <c r="O251" s="32">
        <v>0</v>
      </c>
      <c r="P251" s="32">
        <v>0</v>
      </c>
    </row>
    <row r="252" spans="1:16" ht="16" hidden="1" customHeight="1" outlineLevel="1" x14ac:dyDescent="0.45">
      <c r="A252" s="29" t="s">
        <v>251</v>
      </c>
      <c r="B252" s="44">
        <v>0</v>
      </c>
      <c r="C252" s="71">
        <v>0</v>
      </c>
      <c r="D252" s="71">
        <v>0</v>
      </c>
      <c r="E252" s="64">
        <v>0</v>
      </c>
      <c r="F252" s="63">
        <v>0</v>
      </c>
      <c r="G252" s="63">
        <v>0</v>
      </c>
      <c r="H252" s="32">
        <f t="shared" si="3"/>
        <v>0</v>
      </c>
      <c r="I252" s="32">
        <v>0</v>
      </c>
      <c r="J252" s="32">
        <v>0</v>
      </c>
      <c r="K252" s="32">
        <v>0</v>
      </c>
      <c r="L252" s="32">
        <v>0</v>
      </c>
      <c r="M252" s="32">
        <v>0</v>
      </c>
      <c r="N252" s="1"/>
      <c r="O252" s="32">
        <v>0</v>
      </c>
      <c r="P252" s="32">
        <v>0</v>
      </c>
    </row>
    <row r="253" spans="1:16" ht="16" hidden="1" customHeight="1" outlineLevel="1" x14ac:dyDescent="0.45">
      <c r="A253" s="29" t="s">
        <v>252</v>
      </c>
      <c r="B253" s="44">
        <v>0</v>
      </c>
      <c r="C253" s="71">
        <v>0</v>
      </c>
      <c r="D253" s="71">
        <v>0</v>
      </c>
      <c r="E253" s="64">
        <v>0</v>
      </c>
      <c r="F253" s="63">
        <v>0</v>
      </c>
      <c r="G253" s="63">
        <v>0</v>
      </c>
      <c r="H253" s="32">
        <f t="shared" si="3"/>
        <v>0</v>
      </c>
      <c r="I253" s="32">
        <v>0</v>
      </c>
      <c r="J253" s="32">
        <v>0</v>
      </c>
      <c r="K253" s="32">
        <v>0</v>
      </c>
      <c r="L253" s="32">
        <v>0</v>
      </c>
      <c r="M253" s="32">
        <v>0</v>
      </c>
      <c r="N253" s="1"/>
      <c r="O253" s="32">
        <v>0</v>
      </c>
      <c r="P253" s="32">
        <v>0</v>
      </c>
    </row>
    <row r="254" spans="1:16" ht="16" hidden="1" customHeight="1" outlineLevel="1" x14ac:dyDescent="0.45">
      <c r="A254" s="29" t="s">
        <v>225</v>
      </c>
      <c r="B254" s="44">
        <v>0</v>
      </c>
      <c r="C254" s="71">
        <v>0</v>
      </c>
      <c r="D254" s="71">
        <v>0</v>
      </c>
      <c r="E254" s="64">
        <v>0</v>
      </c>
      <c r="F254" s="63">
        <v>0</v>
      </c>
      <c r="G254" s="63">
        <v>0</v>
      </c>
      <c r="H254" s="32">
        <f t="shared" si="3"/>
        <v>0</v>
      </c>
      <c r="I254" s="32">
        <v>0</v>
      </c>
      <c r="J254" s="32">
        <v>0</v>
      </c>
      <c r="K254" s="32">
        <v>0</v>
      </c>
      <c r="L254" s="32">
        <v>0</v>
      </c>
      <c r="M254" s="32">
        <v>0</v>
      </c>
      <c r="N254" s="1"/>
      <c r="O254" s="32">
        <v>0</v>
      </c>
      <c r="P254" s="32">
        <v>0</v>
      </c>
    </row>
    <row r="255" spans="1:16" ht="16" hidden="1" customHeight="1" outlineLevel="1" x14ac:dyDescent="0.45">
      <c r="A255" s="29" t="s">
        <v>226</v>
      </c>
      <c r="B255" s="44">
        <v>0</v>
      </c>
      <c r="C255" s="71">
        <v>0</v>
      </c>
      <c r="D255" s="71">
        <v>0</v>
      </c>
      <c r="E255" s="64">
        <v>0</v>
      </c>
      <c r="F255" s="63">
        <v>0</v>
      </c>
      <c r="G255" s="63">
        <v>0</v>
      </c>
      <c r="H255" s="32">
        <f t="shared" si="3"/>
        <v>0</v>
      </c>
      <c r="I255" s="32">
        <v>0</v>
      </c>
      <c r="J255" s="32">
        <v>0</v>
      </c>
      <c r="K255" s="32">
        <v>0</v>
      </c>
      <c r="L255" s="32">
        <v>0</v>
      </c>
      <c r="M255" s="32">
        <v>0</v>
      </c>
      <c r="N255" s="1"/>
      <c r="O255" s="32">
        <v>0</v>
      </c>
      <c r="P255" s="32">
        <v>0</v>
      </c>
    </row>
    <row r="256" spans="1:16" ht="16" hidden="1" customHeight="1" outlineLevel="1" x14ac:dyDescent="0.45">
      <c r="A256" s="29" t="s">
        <v>163</v>
      </c>
      <c r="B256" s="44">
        <v>0</v>
      </c>
      <c r="C256" s="71">
        <v>0</v>
      </c>
      <c r="D256" s="71">
        <v>0</v>
      </c>
      <c r="E256" s="64">
        <v>0</v>
      </c>
      <c r="F256" s="63">
        <v>0</v>
      </c>
      <c r="G256" s="63">
        <v>0</v>
      </c>
      <c r="H256" s="32">
        <f t="shared" si="3"/>
        <v>0</v>
      </c>
      <c r="I256" s="32">
        <v>0</v>
      </c>
      <c r="J256" s="32">
        <v>0</v>
      </c>
      <c r="K256" s="32">
        <v>0</v>
      </c>
      <c r="L256" s="32">
        <v>0</v>
      </c>
      <c r="M256" s="32">
        <v>0</v>
      </c>
      <c r="N256" s="1"/>
      <c r="O256" s="32">
        <v>0</v>
      </c>
      <c r="P256" s="32">
        <v>0</v>
      </c>
    </row>
    <row r="257" spans="1:16" ht="16" hidden="1" customHeight="1" outlineLevel="1" x14ac:dyDescent="0.45">
      <c r="A257" s="29" t="s">
        <v>164</v>
      </c>
      <c r="B257" s="44">
        <v>0</v>
      </c>
      <c r="C257" s="71">
        <v>0</v>
      </c>
      <c r="D257" s="71">
        <v>0</v>
      </c>
      <c r="E257" s="64">
        <v>0</v>
      </c>
      <c r="F257" s="63">
        <v>0</v>
      </c>
      <c r="G257" s="63">
        <v>0</v>
      </c>
      <c r="H257" s="32">
        <f t="shared" si="3"/>
        <v>0</v>
      </c>
      <c r="I257" s="32">
        <v>0</v>
      </c>
      <c r="J257" s="32">
        <v>0</v>
      </c>
      <c r="K257" s="32">
        <v>0</v>
      </c>
      <c r="L257" s="32">
        <v>0</v>
      </c>
      <c r="M257" s="32">
        <v>0</v>
      </c>
      <c r="N257" s="1"/>
      <c r="O257" s="32">
        <v>0</v>
      </c>
      <c r="P257" s="32">
        <v>0</v>
      </c>
    </row>
    <row r="258" spans="1:16" ht="16" hidden="1" customHeight="1" outlineLevel="1" x14ac:dyDescent="0.45">
      <c r="A258" s="29" t="s">
        <v>265</v>
      </c>
      <c r="B258" s="44">
        <v>0</v>
      </c>
      <c r="C258" s="71">
        <v>0</v>
      </c>
      <c r="D258" s="71">
        <v>0</v>
      </c>
      <c r="E258" s="64">
        <v>0</v>
      </c>
      <c r="F258" s="63">
        <v>0</v>
      </c>
      <c r="G258" s="63">
        <v>0</v>
      </c>
      <c r="H258" s="32">
        <f t="shared" si="3"/>
        <v>0</v>
      </c>
      <c r="I258" s="32">
        <v>0</v>
      </c>
      <c r="J258" s="32">
        <v>0</v>
      </c>
      <c r="K258" s="32">
        <v>0</v>
      </c>
      <c r="L258" s="32">
        <v>0</v>
      </c>
      <c r="M258" s="32">
        <v>0</v>
      </c>
      <c r="N258" s="1"/>
      <c r="O258" s="32">
        <v>0</v>
      </c>
      <c r="P258" s="32">
        <v>0</v>
      </c>
    </row>
    <row r="259" spans="1:16" ht="16" hidden="1" customHeight="1" outlineLevel="1" x14ac:dyDescent="0.45">
      <c r="A259" s="29" t="s">
        <v>165</v>
      </c>
      <c r="B259" s="44">
        <v>0</v>
      </c>
      <c r="C259" s="71">
        <v>0</v>
      </c>
      <c r="D259" s="71">
        <v>0</v>
      </c>
      <c r="E259" s="64">
        <v>0</v>
      </c>
      <c r="F259" s="63">
        <v>0</v>
      </c>
      <c r="G259" s="63">
        <v>0</v>
      </c>
      <c r="H259" s="32">
        <f t="shared" si="3"/>
        <v>0</v>
      </c>
      <c r="I259" s="32">
        <v>0</v>
      </c>
      <c r="J259" s="32">
        <v>0</v>
      </c>
      <c r="K259" s="32">
        <v>0</v>
      </c>
      <c r="L259" s="32">
        <v>0</v>
      </c>
      <c r="M259" s="32">
        <v>0</v>
      </c>
      <c r="N259" s="1"/>
      <c r="O259" s="32">
        <v>0</v>
      </c>
      <c r="P259" s="32">
        <v>0</v>
      </c>
    </row>
    <row r="260" spans="1:16" s="1" customFormat="1" collapsed="1" x14ac:dyDescent="0.45">
      <c r="A260" s="74" t="s">
        <v>112</v>
      </c>
      <c r="B260" s="75">
        <v>52727</v>
      </c>
      <c r="C260" s="76">
        <v>52727</v>
      </c>
      <c r="D260" s="76">
        <v>0</v>
      </c>
      <c r="E260" s="77">
        <v>0</v>
      </c>
      <c r="F260" s="78">
        <v>0</v>
      </c>
      <c r="G260" s="78">
        <v>0</v>
      </c>
      <c r="H260" s="79">
        <f t="shared" ref="H260:H271" si="4">O260+P260</f>
        <v>0</v>
      </c>
      <c r="I260" s="79">
        <v>0</v>
      </c>
      <c r="J260" s="79">
        <v>0</v>
      </c>
      <c r="K260" s="79">
        <v>0</v>
      </c>
      <c r="L260" s="79">
        <v>0</v>
      </c>
      <c r="M260" s="79">
        <v>0</v>
      </c>
      <c r="O260" s="79">
        <v>0</v>
      </c>
      <c r="P260" s="79">
        <v>0</v>
      </c>
    </row>
    <row r="261" spans="1:16" s="1" customFormat="1" x14ac:dyDescent="0.45">
      <c r="A261" s="27" t="s">
        <v>311</v>
      </c>
      <c r="B261" s="42">
        <v>4549457606</v>
      </c>
      <c r="C261" s="73">
        <v>-4323844330.0000019</v>
      </c>
      <c r="D261" s="73">
        <v>-554091931</v>
      </c>
      <c r="E261" s="58">
        <v>9427393867.0000019</v>
      </c>
      <c r="F261" s="57">
        <v>5790604782.701148</v>
      </c>
      <c r="G261" s="57">
        <v>1661905035.1879487</v>
      </c>
      <c r="H261" s="80">
        <f t="shared" si="4"/>
        <v>105405608.11090338</v>
      </c>
      <c r="I261" s="80">
        <v>57269535.107754402</v>
      </c>
      <c r="J261" s="80">
        <v>88553569.076169491</v>
      </c>
      <c r="K261" s="80">
        <v>315598313.51706016</v>
      </c>
      <c r="L261" s="80">
        <v>-70924429.700984061</v>
      </c>
      <c r="M261" s="57">
        <v>1478981453</v>
      </c>
      <c r="O261" s="80">
        <v>-237724756.68014956</v>
      </c>
      <c r="P261" s="80">
        <v>343130364.79105294</v>
      </c>
    </row>
    <row r="262" spans="1:16" ht="16" hidden="1" customHeight="1" x14ac:dyDescent="0.45">
      <c r="A262" s="4"/>
      <c r="B262" s="11"/>
      <c r="C262" s="11"/>
      <c r="D262" s="11"/>
      <c r="E262" s="11"/>
      <c r="F262" s="11"/>
      <c r="G262" s="11"/>
      <c r="H262" s="11">
        <f t="shared" si="4"/>
        <v>0</v>
      </c>
      <c r="I262" s="11"/>
      <c r="J262" s="11"/>
      <c r="K262" s="11"/>
      <c r="L262" s="11"/>
      <c r="M262" s="11"/>
      <c r="O262" s="11"/>
      <c r="P262" s="11"/>
    </row>
    <row r="263" spans="1:16" s="4" customFormat="1" ht="15" hidden="1" customHeight="1" x14ac:dyDescent="0.45">
      <c r="A263" s="22" t="s">
        <v>298</v>
      </c>
      <c r="B263" s="23"/>
      <c r="C263" s="23"/>
      <c r="D263" s="23"/>
      <c r="E263" s="48">
        <v>1</v>
      </c>
      <c r="F263" s="48">
        <v>0.47</v>
      </c>
      <c r="G263" s="48">
        <v>0.4</v>
      </c>
      <c r="H263" s="48">
        <f t="shared" si="4"/>
        <v>4.9999999999999996E-2</v>
      </c>
      <c r="I263" s="48">
        <v>1.06E-2</v>
      </c>
      <c r="J263" s="48">
        <v>8.9999999999999993E-3</v>
      </c>
      <c r="K263" s="48">
        <v>2.0400000000000001E-2</v>
      </c>
      <c r="L263" s="48">
        <v>0.02</v>
      </c>
      <c r="M263" s="11">
        <v>0.02</v>
      </c>
      <c r="O263" s="48">
        <v>3.5999999999999997E-2</v>
      </c>
      <c r="P263" s="48">
        <v>1.4E-2</v>
      </c>
    </row>
    <row r="264" spans="1:16" s="4" customFormat="1" ht="15" customHeight="1" x14ac:dyDescent="0.45"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11"/>
      <c r="O264" s="5"/>
      <c r="P264" s="5"/>
    </row>
    <row r="265" spans="1:16" s="4" customFormat="1" ht="15" customHeight="1" x14ac:dyDescent="0.45">
      <c r="A265" s="6" t="s">
        <v>312</v>
      </c>
      <c r="B265" s="7">
        <v>-557089669</v>
      </c>
      <c r="C265" s="7"/>
      <c r="D265" s="7"/>
      <c r="E265" s="7">
        <v>-557089669</v>
      </c>
      <c r="F265" s="7">
        <v>-261832144.42999998</v>
      </c>
      <c r="G265" s="7">
        <v>-222835867.60000002</v>
      </c>
      <c r="H265" s="7">
        <f t="shared" si="4"/>
        <v>-27854483.449999999</v>
      </c>
      <c r="I265" s="7">
        <v>-5905150.4913999997</v>
      </c>
      <c r="J265" s="7">
        <v>-5013807.0209999997</v>
      </c>
      <c r="K265" s="7">
        <v>-11364629.2476</v>
      </c>
      <c r="L265" s="7">
        <v>-11141793.380000001</v>
      </c>
      <c r="M265" s="7">
        <v>-11141793.380000001</v>
      </c>
      <c r="O265" s="7">
        <v>-20055228.083999999</v>
      </c>
      <c r="P265" s="7">
        <v>-7799255.3660000004</v>
      </c>
    </row>
    <row r="266" spans="1:16" s="4" customFormat="1" ht="15" customHeight="1" x14ac:dyDescent="0.45">
      <c r="A266" s="8" t="s">
        <v>282</v>
      </c>
      <c r="B266" s="13">
        <v>8862631460.0000019</v>
      </c>
      <c r="C266" s="13"/>
      <c r="D266" s="13"/>
      <c r="E266" s="13">
        <v>8862631459.9999981</v>
      </c>
      <c r="F266" s="13">
        <v>5525774900.2711477</v>
      </c>
      <c r="G266" s="13">
        <v>1434394167.5879488</v>
      </c>
      <c r="H266" s="13">
        <f t="shared" si="4"/>
        <v>77551124.660903394</v>
      </c>
      <c r="I266" s="13">
        <v>51364384.616354406</v>
      </c>
      <c r="J266" s="13">
        <v>83539762.055169493</v>
      </c>
      <c r="K266" s="13">
        <v>304233684.26946014</v>
      </c>
      <c r="L266" s="13">
        <v>-82066223.080984056</v>
      </c>
      <c r="M266" s="13">
        <v>1467839659.6199999</v>
      </c>
      <c r="O266" s="13">
        <v>-257779984.76414955</v>
      </c>
      <c r="P266" s="13">
        <v>335331109.42505294</v>
      </c>
    </row>
    <row r="267" spans="1:16" s="14" customFormat="1" ht="15" customHeight="1" x14ac:dyDescent="0.4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O267" s="2"/>
      <c r="P267" s="2"/>
    </row>
    <row r="268" spans="1:16" ht="14" customHeight="1" x14ac:dyDescent="0.45">
      <c r="A268" s="6" t="s">
        <v>283</v>
      </c>
      <c r="B268" s="7">
        <v>-4198422098.0000019</v>
      </c>
      <c r="C268" s="7"/>
      <c r="D268" s="7"/>
      <c r="E268" s="7">
        <v>-4198422098.0000019</v>
      </c>
      <c r="F268" s="7">
        <v>-1973258386.0600009</v>
      </c>
      <c r="G268" s="7">
        <v>-1679368839.2000008</v>
      </c>
      <c r="H268" s="7">
        <f t="shared" si="4"/>
        <v>-209921104.9000001</v>
      </c>
      <c r="I268" s="7">
        <v>-44503274.238800019</v>
      </c>
      <c r="J268" s="7">
        <v>-37785798.882000014</v>
      </c>
      <c r="K268" s="7">
        <v>-85647810.799200043</v>
      </c>
      <c r="L268" s="7">
        <v>-83968441.960000038</v>
      </c>
      <c r="M268" s="7">
        <v>-83968441.960000038</v>
      </c>
      <c r="O268" s="7">
        <v>-151143195.52800006</v>
      </c>
      <c r="P268" s="7">
        <v>-58777909.372000031</v>
      </c>
    </row>
    <row r="269" spans="1:16" s="4" customFormat="1" ht="15" customHeight="1" x14ac:dyDescent="0.45">
      <c r="A269" s="15" t="s">
        <v>284</v>
      </c>
      <c r="B269" s="16">
        <v>4664209362</v>
      </c>
      <c r="C269" s="16"/>
      <c r="D269" s="16"/>
      <c r="E269" s="16">
        <v>4664209361.9999981</v>
      </c>
      <c r="F269" s="16">
        <v>3552516514.2111468</v>
      </c>
      <c r="G269" s="16">
        <v>-244974671.61205196</v>
      </c>
      <c r="H269" s="16">
        <f t="shared" si="4"/>
        <v>-132369980.2390967</v>
      </c>
      <c r="I269" s="16">
        <v>6861110.3775543869</v>
      </c>
      <c r="J269" s="16">
        <v>45753963.173169479</v>
      </c>
      <c r="K269" s="16">
        <v>218585873.47026008</v>
      </c>
      <c r="L269" s="16">
        <v>-166034665.04098409</v>
      </c>
      <c r="M269" s="16">
        <v>1383871217.6599998</v>
      </c>
      <c r="O269" s="16">
        <v>-408923180.2921496</v>
      </c>
      <c r="P269" s="16">
        <v>276553200.0530529</v>
      </c>
    </row>
    <row r="270" spans="1:16" s="14" customFormat="1" ht="15" customHeight="1" x14ac:dyDescent="0.4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O270" s="2"/>
      <c r="P270" s="2"/>
    </row>
    <row r="271" spans="1:16" x14ac:dyDescent="0.45">
      <c r="A271" s="17" t="s">
        <v>285</v>
      </c>
      <c r="B271" s="18">
        <v>4664209361.9999981</v>
      </c>
      <c r="C271" s="18"/>
      <c r="D271" s="18"/>
      <c r="E271" s="18">
        <v>4664209361.9999981</v>
      </c>
      <c r="F271" s="18">
        <v>3435937176.2111468</v>
      </c>
      <c r="G271" s="18">
        <v>-128395333.61205196</v>
      </c>
      <c r="H271" s="18">
        <f t="shared" si="4"/>
        <v>-132369980.2390967</v>
      </c>
      <c r="I271" s="18">
        <v>6861110.3775543869</v>
      </c>
      <c r="J271" s="18">
        <v>45753963.173169479</v>
      </c>
      <c r="K271" s="18">
        <v>218585873.47026008</v>
      </c>
      <c r="L271" s="18">
        <v>-166034665.04098409</v>
      </c>
      <c r="M271" s="18">
        <v>1383871217.6599998</v>
      </c>
      <c r="O271" s="18">
        <v>-408923180.2921496</v>
      </c>
      <c r="P271" s="18">
        <v>276553200.0530529</v>
      </c>
    </row>
    <row r="272" spans="1:16" s="1" customFormat="1" x14ac:dyDescent="0.45">
      <c r="A272" s="19" t="s">
        <v>286</v>
      </c>
      <c r="B272" s="19">
        <v>116579338</v>
      </c>
      <c r="C272" s="3"/>
      <c r="D272" s="3"/>
      <c r="E272" s="3"/>
      <c r="F272" s="3"/>
      <c r="G272" s="3"/>
      <c r="H272" s="3"/>
      <c r="I272" s="3"/>
      <c r="J272" s="3"/>
      <c r="K272" s="3"/>
      <c r="L272" s="2"/>
      <c r="M272" s="2"/>
      <c r="O272" s="3"/>
      <c r="P272" s="3"/>
    </row>
    <row r="273" spans="1:16" ht="15.65" customHeight="1" x14ac:dyDescent="0.45">
      <c r="A273" s="105" t="s">
        <v>321</v>
      </c>
      <c r="B273" s="106">
        <v>136661452</v>
      </c>
      <c r="C273" s="36"/>
      <c r="D273" s="36"/>
      <c r="E273" s="36"/>
      <c r="F273" s="36"/>
      <c r="G273" s="36"/>
      <c r="H273" s="35"/>
      <c r="I273" s="35"/>
      <c r="J273" s="35"/>
      <c r="K273" s="35"/>
      <c r="L273" s="35"/>
      <c r="M273" s="35"/>
      <c r="O273" s="35"/>
      <c r="P273" s="35"/>
    </row>
    <row r="274" spans="1:16" ht="15.65" hidden="1" customHeight="1" x14ac:dyDescent="0.45">
      <c r="A274" s="37" t="s">
        <v>235</v>
      </c>
      <c r="B274" s="38">
        <f t="shared" ref="B274:M274" si="5">B28-B29-B30-B63-B70-B71-B73-B74-B115-B122-B126-B133-B136-B141-B142-B151-B156-B164-B171-B178-B181-B193-B199-B215-B217-B228-B229-B238</f>
        <v>0</v>
      </c>
      <c r="C274" s="38">
        <f t="shared" si="5"/>
        <v>4.76837158203125E-7</v>
      </c>
      <c r="D274" s="38">
        <f t="shared" si="5"/>
        <v>0</v>
      </c>
      <c r="E274" s="38">
        <f t="shared" si="5"/>
        <v>0</v>
      </c>
      <c r="F274" s="38">
        <f t="shared" si="5"/>
        <v>9.5367431640625E-7</v>
      </c>
      <c r="G274" s="38">
        <f t="shared" si="5"/>
        <v>2.8312206268310547E-7</v>
      </c>
      <c r="H274" s="38">
        <f t="shared" si="5"/>
        <v>-2.384185791015625E-7</v>
      </c>
      <c r="I274" s="38">
        <f t="shared" si="5"/>
        <v>0</v>
      </c>
      <c r="J274" s="38">
        <f t="shared" si="5"/>
        <v>0</v>
      </c>
      <c r="K274" s="38">
        <f t="shared" si="5"/>
        <v>5.9604644775390625E-8</v>
      </c>
      <c r="L274" s="38">
        <f t="shared" si="5"/>
        <v>-8.9406967163085938E-8</v>
      </c>
      <c r="M274" s="38">
        <f t="shared" si="5"/>
        <v>0</v>
      </c>
      <c r="O274" s="38">
        <f t="shared" ref="O274:P274" si="6">O28-O29-O30-O63-O70-O71-O73-O74-O115-O122-O126-O133-O136-O141-O142-O151-O156-O164-O171-O178-O181-O193-O199-O215-O217-O228-O229-O238</f>
        <v>2.384185791015625E-7</v>
      </c>
      <c r="P274" s="38">
        <f t="shared" si="6"/>
        <v>1.4901161193847656E-8</v>
      </c>
    </row>
    <row r="275" spans="1:16" s="4" customFormat="1" ht="15" hidden="1" customHeight="1" x14ac:dyDescent="0.45">
      <c r="A275" s="37" t="s">
        <v>236</v>
      </c>
      <c r="B275" s="38">
        <f t="shared" ref="B275:M275" si="7">B28-B29-SUM(B31:B62)-SUM(B64:B69)-B70-B72-B73-SUM(B75:B114)-SUM(B116:B121)-SUM(B123:B125)-SUM(B127:B132)-B134-SUM(B137:B140)-B141-SUM(B143:B150)-SUM(B152:B155)-SUM(B157:B163)-SUM(B165:B170)-SUM(B172:B177)-SUM(B179:B180)-SUM(B182:B192)-SUM(B194:B198)-SUM(B200:B214)-B216-SUM(B218:B227)-B228-SUM(B230:B237)-B238-B135</f>
        <v>0</v>
      </c>
      <c r="C275" s="38">
        <f t="shared" si="7"/>
        <v>0</v>
      </c>
      <c r="D275" s="38">
        <f t="shared" si="7"/>
        <v>0</v>
      </c>
      <c r="E275" s="38">
        <f t="shared" si="7"/>
        <v>0</v>
      </c>
      <c r="F275" s="38">
        <f t="shared" si="7"/>
        <v>0</v>
      </c>
      <c r="G275" s="38">
        <f t="shared" si="7"/>
        <v>2.8312206268310547E-7</v>
      </c>
      <c r="H275" s="38">
        <f t="shared" si="7"/>
        <v>-2.384185791015625E-7</v>
      </c>
      <c r="I275" s="38">
        <f t="shared" si="7"/>
        <v>0</v>
      </c>
      <c r="J275" s="38">
        <f t="shared" si="7"/>
        <v>0</v>
      </c>
      <c r="K275" s="38">
        <f t="shared" si="7"/>
        <v>5.9604644775390625E-8</v>
      </c>
      <c r="L275" s="38">
        <f t="shared" si="7"/>
        <v>-8.9406967163085938E-8</v>
      </c>
      <c r="M275" s="38">
        <f t="shared" si="7"/>
        <v>0</v>
      </c>
      <c r="O275" s="38">
        <f t="shared" ref="O275:P275" si="8">O28-O29-SUM(O31:O62)-SUM(O64:O69)-O70-O72-O73-SUM(O75:O114)-SUM(O116:O121)-SUM(O123:O125)-SUM(O127:O132)-O134-SUM(O137:O140)-O141-SUM(O143:O150)-SUM(O152:O155)-SUM(O157:O163)-SUM(O165:O170)-SUM(O172:O177)-SUM(O179:O180)-SUM(O182:O192)-SUM(O194:O198)-SUM(O200:O214)-O216-SUM(O218:O227)-O228-SUM(O230:O237)-O238-O135</f>
        <v>-0.9999997615814209</v>
      </c>
      <c r="P275" s="38">
        <f t="shared" si="8"/>
        <v>1.0000000149011612</v>
      </c>
    </row>
    <row r="276" spans="1:16" s="4" customFormat="1" ht="15" hidden="1" customHeight="1" x14ac:dyDescent="0.45">
      <c r="A276" s="37" t="s">
        <v>237</v>
      </c>
      <c r="B276" s="38">
        <f t="shared" ref="B276:M276" si="9">B3-B25-B28-B239</f>
        <v>0</v>
      </c>
      <c r="C276" s="38">
        <f t="shared" si="9"/>
        <v>0</v>
      </c>
      <c r="D276" s="38">
        <f t="shared" si="9"/>
        <v>0</v>
      </c>
      <c r="E276" s="38">
        <f t="shared" si="9"/>
        <v>0</v>
      </c>
      <c r="F276" s="38">
        <f t="shared" si="9"/>
        <v>0</v>
      </c>
      <c r="G276" s="38">
        <f t="shared" si="9"/>
        <v>0</v>
      </c>
      <c r="H276" s="38">
        <f t="shared" si="9"/>
        <v>-1.1920928955078125E-7</v>
      </c>
      <c r="I276" s="38">
        <f t="shared" si="9"/>
        <v>0</v>
      </c>
      <c r="J276" s="38">
        <f t="shared" si="9"/>
        <v>0</v>
      </c>
      <c r="K276" s="38">
        <f t="shared" si="9"/>
        <v>0</v>
      </c>
      <c r="L276" s="38">
        <f t="shared" si="9"/>
        <v>0</v>
      </c>
      <c r="M276" s="38">
        <f t="shared" si="9"/>
        <v>0</v>
      </c>
      <c r="O276" s="38">
        <f t="shared" ref="O276:P276" si="10">O3-O25-O28-O239</f>
        <v>0</v>
      </c>
      <c r="P276" s="38">
        <f t="shared" si="10"/>
        <v>0</v>
      </c>
    </row>
    <row r="277" spans="1:16" s="4" customFormat="1" ht="15" hidden="1" customHeight="1" x14ac:dyDescent="0.45">
      <c r="A277" s="37" t="s">
        <v>238</v>
      </c>
      <c r="B277" s="38">
        <f t="shared" ref="B277:M277" si="11">B239+B240-B250-B261-B260</f>
        <v>0</v>
      </c>
      <c r="C277" s="38">
        <f t="shared" si="11"/>
        <v>0</v>
      </c>
      <c r="D277" s="38">
        <f t="shared" si="11"/>
        <v>0</v>
      </c>
      <c r="E277" s="38">
        <f t="shared" si="11"/>
        <v>0</v>
      </c>
      <c r="F277" s="38">
        <f t="shared" si="11"/>
        <v>0</v>
      </c>
      <c r="G277" s="38">
        <f t="shared" si="11"/>
        <v>0</v>
      </c>
      <c r="H277" s="38">
        <f t="shared" si="11"/>
        <v>0</v>
      </c>
      <c r="I277" s="38">
        <f t="shared" si="11"/>
        <v>0</v>
      </c>
      <c r="J277" s="38">
        <f t="shared" si="11"/>
        <v>0</v>
      </c>
      <c r="K277" s="38">
        <f t="shared" si="11"/>
        <v>0</v>
      </c>
      <c r="L277" s="38">
        <f t="shared" si="11"/>
        <v>0</v>
      </c>
      <c r="M277" s="38">
        <f t="shared" si="11"/>
        <v>0</v>
      </c>
      <c r="O277" s="38">
        <f t="shared" ref="O277:P277" si="12">O239+O240-O250-O261-O260</f>
        <v>0</v>
      </c>
      <c r="P277" s="38">
        <f t="shared" si="12"/>
        <v>0</v>
      </c>
    </row>
    <row r="278" spans="1:16" s="4" customFormat="1" ht="15" hidden="1" customHeight="1" x14ac:dyDescent="0.45">
      <c r="A278" s="32" t="s">
        <v>244</v>
      </c>
      <c r="B278" s="32">
        <f t="shared" ref="B278:M278" si="13">B240-B241-B242-B244-B248-B249-B245-B247-B243-B246</f>
        <v>0</v>
      </c>
      <c r="C278" s="32">
        <f t="shared" si="13"/>
        <v>0</v>
      </c>
      <c r="D278" s="32">
        <f t="shared" si="13"/>
        <v>0</v>
      </c>
      <c r="E278" s="32">
        <f t="shared" si="13"/>
        <v>0</v>
      </c>
      <c r="F278" s="32">
        <f t="shared" si="13"/>
        <v>0</v>
      </c>
      <c r="G278" s="32">
        <f t="shared" si="13"/>
        <v>0</v>
      </c>
      <c r="H278" s="32">
        <f t="shared" si="13"/>
        <v>0</v>
      </c>
      <c r="I278" s="32">
        <f t="shared" si="13"/>
        <v>0</v>
      </c>
      <c r="J278" s="32">
        <f t="shared" si="13"/>
        <v>0</v>
      </c>
      <c r="K278" s="32">
        <f t="shared" si="13"/>
        <v>0</v>
      </c>
      <c r="L278" s="32">
        <f t="shared" si="13"/>
        <v>0</v>
      </c>
      <c r="M278" s="32">
        <f t="shared" si="13"/>
        <v>0</v>
      </c>
      <c r="O278" s="32">
        <f t="shared" ref="O278:P278" si="14">O240-O241-O242-O244-O248-O249-O245-O247-O243-O246</f>
        <v>0</v>
      </c>
      <c r="P278" s="32">
        <f t="shared" si="14"/>
        <v>0</v>
      </c>
    </row>
    <row r="279" spans="1:16" ht="15.65" hidden="1" customHeight="1" x14ac:dyDescent="0.45">
      <c r="A279" s="32" t="s">
        <v>245</v>
      </c>
      <c r="B279" s="32">
        <f t="shared" ref="B279:M279" si="15">B250-B251-B254-B255-B256-B257-B259-B252-B253-B258</f>
        <v>0</v>
      </c>
      <c r="C279" s="32">
        <f t="shared" si="15"/>
        <v>0</v>
      </c>
      <c r="D279" s="32">
        <f t="shared" si="15"/>
        <v>0</v>
      </c>
      <c r="E279" s="32">
        <f t="shared" si="15"/>
        <v>0</v>
      </c>
      <c r="F279" s="32">
        <f t="shared" si="15"/>
        <v>0</v>
      </c>
      <c r="G279" s="32">
        <f t="shared" si="15"/>
        <v>0</v>
      </c>
      <c r="H279" s="32">
        <f t="shared" si="15"/>
        <v>0</v>
      </c>
      <c r="I279" s="32">
        <f t="shared" si="15"/>
        <v>0</v>
      </c>
      <c r="J279" s="32">
        <f t="shared" si="15"/>
        <v>0</v>
      </c>
      <c r="K279" s="32">
        <f t="shared" si="15"/>
        <v>0</v>
      </c>
      <c r="L279" s="32">
        <f t="shared" si="15"/>
        <v>0</v>
      </c>
      <c r="M279" s="32">
        <f t="shared" si="15"/>
        <v>0</v>
      </c>
      <c r="O279" s="32">
        <f t="shared" ref="O279:P279" si="16">O250-O251-O254-O255-O256-O257-O259-O252-O253-O258</f>
        <v>0</v>
      </c>
      <c r="P279" s="32">
        <f t="shared" si="16"/>
        <v>0</v>
      </c>
    </row>
    <row r="280" spans="1:16" ht="15.65" hidden="1" customHeight="1" x14ac:dyDescent="0.45">
      <c r="A280" s="35"/>
      <c r="B280" s="35"/>
      <c r="C280" s="36"/>
      <c r="D280" s="36"/>
      <c r="E280" s="36"/>
      <c r="F280" s="36"/>
      <c r="G280" s="36"/>
      <c r="H280" s="35"/>
      <c r="I280" s="35"/>
      <c r="J280" s="35"/>
      <c r="K280" s="35"/>
      <c r="L280" s="35"/>
      <c r="M280" s="36"/>
      <c r="O280" s="35"/>
      <c r="P280" s="35"/>
    </row>
    <row r="281" spans="1:16" ht="15.65" hidden="1" customHeight="1" x14ac:dyDescent="0.45">
      <c r="A281" s="39" t="s">
        <v>239</v>
      </c>
      <c r="B281" s="38">
        <f>B4+B14+B21-B26-B53-B81-B131-B162-B168-B175-B189-B198-B210-B212-B218-B219-B221-B224-B230-B231-B232-B234-B235-B236-B227</f>
        <v>8439269197</v>
      </c>
      <c r="C281" s="38">
        <f>C4+C14+C21-C26-C53-C81-C131-C162-C168-C175-C189-C198-C210-C212-C219-C221-C224-C230-C231-C232-C235-C236</f>
        <v>-1706540936</v>
      </c>
      <c r="D281" s="38"/>
      <c r="E281" s="38">
        <f>E4+E14+E21-E26-E53-E81-E131-E162-E168-E175-E189-E198-E210-E212-E218-E219-E221-E224-E230-E231-E232-E234-E235-E236-E227</f>
        <v>9046807815</v>
      </c>
      <c r="F281" s="38">
        <f>F4+F14+F21-F26-F53-F81-F131-F162-F168-F175-F189-F198-F210-F212-F218-F219-F221-F224-F230-F231-F232-F234-F235-F236-F227</f>
        <v>6368242661.7161474</v>
      </c>
      <c r="G281" s="38">
        <f>G4+G14+G21-G26-G53-G81-G131-G162-G168-G175-G189-G198-G210-G212-G218-G219-G221-G224-G230-G231-G232-G234-G235-G236-G227</f>
        <v>432086953.28385222</v>
      </c>
      <c r="H281" s="38">
        <f t="shared" ref="H281:L281" si="17">H4+H14+H21-H26-H53-H81-H131-H162-H168-H175-H189-H198-H210-H212-H218-H219-H221-H224-H230-H231-H232-H234-H235-H236-H227-H164-H215</f>
        <v>-465444043</v>
      </c>
      <c r="I281" s="38">
        <f t="shared" si="17"/>
        <v>50475785.447316177</v>
      </c>
      <c r="J281" s="38">
        <f t="shared" si="17"/>
        <v>20937771.766091824</v>
      </c>
      <c r="K281" s="38">
        <f t="shared" si="17"/>
        <v>268147808.00009274</v>
      </c>
      <c r="L281" s="38">
        <f t="shared" si="17"/>
        <v>-13387772.213500805</v>
      </c>
      <c r="M281" s="38">
        <f>M4+M14+M21-M26-M53-M81-M131-M162-M168-M175-M189-M198-M210-M212-M218-M219-M221-M224-M230-M231-M232-M234-M235-M236-M227</f>
        <v>2273824281</v>
      </c>
      <c r="O281" s="38">
        <f t="shared" ref="O281:P281" si="18">O4+O14+O21-O26-O53-O81-O131-O162-O168-O175-O189-O198-O210-O212-O218-O219-O221-O224-O230-O231-O232-O234-O235-O236-O227-O164-O215</f>
        <v>-538519942</v>
      </c>
      <c r="P281" s="38">
        <f t="shared" si="18"/>
        <v>73075899</v>
      </c>
    </row>
    <row r="282" spans="1:16" s="4" customFormat="1" ht="15" hidden="1" customHeight="1" x14ac:dyDescent="0.45">
      <c r="A282" s="40" t="s">
        <v>240</v>
      </c>
      <c r="B282" s="38">
        <f>B18-B109-B163-B165-B170-B192-B222-B226-B237</f>
        <v>2767450379</v>
      </c>
      <c r="C282" s="38">
        <f>C18-C109-C163-C165-C170-C192-C226-C113</f>
        <v>-53552498</v>
      </c>
      <c r="D282" s="38"/>
      <c r="E282" s="38">
        <f t="shared" ref="E282:M282" si="19">E18-E109-E163-E165-E170-E192-E222-E226-E237-E113</f>
        <v>2025622473</v>
      </c>
      <c r="F282" s="38">
        <f t="shared" si="19"/>
        <v>1671568547.6534147</v>
      </c>
      <c r="G282" s="38">
        <f t="shared" si="19"/>
        <v>-71246449.653414488</v>
      </c>
      <c r="H282" s="38">
        <f t="shared" si="19"/>
        <v>17149076</v>
      </c>
      <c r="I282" s="38">
        <f t="shared" si="19"/>
        <v>0</v>
      </c>
      <c r="J282" s="38">
        <f t="shared" si="19"/>
        <v>0</v>
      </c>
      <c r="K282" s="38">
        <f t="shared" si="19"/>
        <v>5956087</v>
      </c>
      <c r="L282" s="38">
        <f t="shared" si="19"/>
        <v>402195212</v>
      </c>
      <c r="M282" s="38">
        <f t="shared" si="19"/>
        <v>0</v>
      </c>
      <c r="O282" s="38">
        <f t="shared" ref="O282:P282" si="20">O18-O109-O163-O165-O170-O192-O222-O226-O237-O113</f>
        <v>17354530</v>
      </c>
      <c r="P282" s="38">
        <f t="shared" si="20"/>
        <v>-205454</v>
      </c>
    </row>
    <row r="283" spans="1:16" s="4" customFormat="1" ht="15" hidden="1" customHeight="1" x14ac:dyDescent="0.45">
      <c r="A283" s="37" t="s">
        <v>241</v>
      </c>
      <c r="B283" s="41">
        <f>SUBTOTAL(9,B281:B282)</f>
        <v>11206719576</v>
      </c>
      <c r="C283" s="41">
        <f t="shared" ref="C283" si="21">SUBTOTAL(9,C281:C282)</f>
        <v>-1760093434</v>
      </c>
      <c r="D283" s="41"/>
      <c r="E283" s="41">
        <f t="shared" ref="E283:L283" si="22">SUBTOTAL(9,E281:E282)</f>
        <v>11072430288</v>
      </c>
      <c r="F283" s="41">
        <f t="shared" si="22"/>
        <v>8039811209.3695621</v>
      </c>
      <c r="G283" s="41">
        <f>SUBTOTAL(9,G281:G282)</f>
        <v>360840503.63043773</v>
      </c>
      <c r="H283" s="41">
        <f>SUBTOTAL(9,H281:H282)</f>
        <v>-448294967</v>
      </c>
      <c r="I283" s="41">
        <f t="shared" si="22"/>
        <v>50475785.447316177</v>
      </c>
      <c r="J283" s="41">
        <f t="shared" si="22"/>
        <v>20937771.766091824</v>
      </c>
      <c r="K283" s="41">
        <f t="shared" si="22"/>
        <v>274103895.00009274</v>
      </c>
      <c r="L283" s="41">
        <f t="shared" si="22"/>
        <v>388807439.7864992</v>
      </c>
      <c r="M283" s="41">
        <f>SUBTOTAL(9,M281:M282)</f>
        <v>2273824281</v>
      </c>
      <c r="O283" s="41">
        <f>SUBTOTAL(9,O281:O282)</f>
        <v>-521165412</v>
      </c>
      <c r="P283" s="41">
        <f>SUBTOTAL(9,P281:P282)</f>
        <v>72870445</v>
      </c>
    </row>
    <row r="284" spans="1:16" s="4" customFormat="1" ht="15" hidden="1" customHeight="1" x14ac:dyDescent="0.45">
      <c r="A284" s="9" t="s">
        <v>241</v>
      </c>
      <c r="B284" s="10">
        <f>SUBTOTAL(9,B282:B283)</f>
        <v>2767450379</v>
      </c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O284" s="10"/>
      <c r="P284" s="10"/>
    </row>
    <row r="285" spans="1:16" collapsed="1" x14ac:dyDescent="0.45">
      <c r="H285" s="3"/>
      <c r="I285" s="3"/>
      <c r="J285" s="3"/>
      <c r="K285" s="3"/>
      <c r="L285" s="3"/>
      <c r="M285" s="2"/>
      <c r="O285" s="3"/>
      <c r="P285" s="3"/>
    </row>
    <row r="286" spans="1:16" x14ac:dyDescent="0.45">
      <c r="E286" s="20"/>
      <c r="F286" s="20"/>
      <c r="G286" s="20"/>
      <c r="H286" s="20"/>
      <c r="M286" s="2"/>
      <c r="O286" s="20"/>
      <c r="P286" s="20"/>
    </row>
    <row r="287" spans="1:16" x14ac:dyDescent="0.45">
      <c r="H287" s="3"/>
      <c r="I287" s="3"/>
      <c r="J287" s="3"/>
      <c r="K287" s="3"/>
      <c r="L287" s="3"/>
      <c r="O287" s="3"/>
      <c r="P287" s="3"/>
    </row>
    <row r="288" spans="1:16" x14ac:dyDescent="0.45">
      <c r="B288" s="3"/>
      <c r="H288" s="3"/>
      <c r="I288" s="3"/>
      <c r="J288" s="3"/>
      <c r="K288" s="3"/>
      <c r="L288" s="3"/>
      <c r="O288" s="3"/>
      <c r="P288" s="3"/>
    </row>
    <row r="289" spans="8:16" x14ac:dyDescent="0.45">
      <c r="H289" s="3"/>
      <c r="I289" s="3"/>
      <c r="J289" s="3"/>
      <c r="K289" s="3"/>
      <c r="L289" s="3"/>
      <c r="O289" s="3"/>
      <c r="P289" s="3"/>
    </row>
    <row r="290" spans="8:16" x14ac:dyDescent="0.45">
      <c r="H290" s="3"/>
      <c r="I290" s="3"/>
      <c r="J290" s="3"/>
      <c r="K290" s="3"/>
      <c r="L290" s="3"/>
      <c r="O290" s="3"/>
      <c r="P290" s="3"/>
    </row>
    <row r="293" spans="8:16" x14ac:dyDescent="0.45">
      <c r="H293" s="3"/>
      <c r="I293" s="3"/>
      <c r="J293" s="3"/>
      <c r="K293" s="3"/>
      <c r="L293" s="3"/>
      <c r="O293" s="3"/>
      <c r="P293" s="3"/>
    </row>
    <row r="295" spans="8:16" x14ac:dyDescent="0.45">
      <c r="H295" s="3"/>
      <c r="I295" s="3"/>
      <c r="J295" s="3"/>
      <c r="K295" s="3"/>
      <c r="L295" s="3"/>
      <c r="O295" s="3"/>
      <c r="P295" s="3"/>
    </row>
  </sheetData>
  <mergeCells count="8">
    <mergeCell ref="I1:L1"/>
    <mergeCell ref="M1:M2"/>
    <mergeCell ref="A1:A2"/>
    <mergeCell ref="B1:B2"/>
    <mergeCell ref="C1:C2"/>
    <mergeCell ref="D1:D2"/>
    <mergeCell ref="E1:E2"/>
    <mergeCell ref="F1:H1"/>
  </mergeCells>
  <phoneticPr fontId="2" type="noConversion"/>
  <pageMargins left="0.75" right="0.75" top="1" bottom="1" header="0.5" footer="0.5"/>
  <pageSetup paperSize="8" scale="60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36F31-1D56-45FF-A588-18900D0AD057}">
  <sheetPr>
    <tabColor rgb="FFFFC000"/>
    <pageSetUpPr fitToPage="1"/>
  </sheetPr>
  <dimension ref="A1:P295"/>
  <sheetViews>
    <sheetView showGridLines="0" zoomScale="85" zoomScaleNormal="85" zoomScaleSheetLayoutView="85" workbookViewId="0">
      <pane xSplit="2" ySplit="3" topLeftCell="C4" activePane="bottomRight" state="frozen"/>
      <selection activeCell="J2" sqref="J2:J253"/>
      <selection pane="topRight" activeCell="J2" sqref="J2:J253"/>
      <selection pane="bottomLeft" activeCell="J2" sqref="J2:J253"/>
      <selection pane="bottomRight" sqref="A1:A2"/>
    </sheetView>
  </sheetViews>
  <sheetFormatPr defaultColWidth="9.08984375" defaultRowHeight="16" outlineLevelRow="1" x14ac:dyDescent="0.45"/>
  <cols>
    <col min="1" max="1" width="36.36328125" style="2" customWidth="1"/>
    <col min="2" max="2" width="19.08984375" style="2" customWidth="1"/>
    <col min="3" max="7" width="19.08984375" style="3" customWidth="1"/>
    <col min="8" max="12" width="19.08984375" style="2" customWidth="1"/>
    <col min="13" max="13" width="19.08984375" style="3" customWidth="1"/>
    <col min="14" max="14" width="9.08984375" style="2"/>
    <col min="15" max="16" width="19.08984375" style="2" hidden="1" customWidth="1"/>
    <col min="17" max="16384" width="9.08984375" style="2"/>
  </cols>
  <sheetData>
    <row r="1" spans="1:16" s="1" customFormat="1" ht="15.65" customHeight="1" x14ac:dyDescent="0.45">
      <c r="A1" s="208" t="s">
        <v>300</v>
      </c>
      <c r="B1" s="210" t="s">
        <v>233</v>
      </c>
      <c r="C1" s="210" t="s">
        <v>250</v>
      </c>
      <c r="D1" s="210" t="s">
        <v>288</v>
      </c>
      <c r="E1" s="212" t="s">
        <v>167</v>
      </c>
      <c r="F1" s="204" t="s">
        <v>289</v>
      </c>
      <c r="G1" s="205"/>
      <c r="H1" s="212"/>
      <c r="I1" s="202" t="s">
        <v>290</v>
      </c>
      <c r="J1" s="206"/>
      <c r="K1" s="206"/>
      <c r="L1" s="207"/>
      <c r="M1" s="202" t="s">
        <v>291</v>
      </c>
      <c r="O1" s="111"/>
      <c r="P1" s="112"/>
    </row>
    <row r="2" spans="1:16" s="1" customFormat="1" ht="15.65" customHeight="1" x14ac:dyDescent="0.45">
      <c r="A2" s="208"/>
      <c r="B2" s="211"/>
      <c r="C2" s="211"/>
      <c r="D2" s="211"/>
      <c r="E2" s="212"/>
      <c r="F2" s="81" t="s">
        <v>248</v>
      </c>
      <c r="G2" s="81" t="s">
        <v>242</v>
      </c>
      <c r="H2" s="26" t="s">
        <v>365</v>
      </c>
      <c r="I2" s="26" t="s">
        <v>168</v>
      </c>
      <c r="J2" s="26" t="s">
        <v>169</v>
      </c>
      <c r="K2" s="26" t="s">
        <v>294</v>
      </c>
      <c r="L2" s="26" t="s">
        <v>295</v>
      </c>
      <c r="M2" s="203"/>
      <c r="O2" s="26" t="s">
        <v>292</v>
      </c>
      <c r="P2" s="26" t="s">
        <v>293</v>
      </c>
    </row>
    <row r="3" spans="1:16" s="1" customFormat="1" ht="15.65" customHeight="1" x14ac:dyDescent="0.45">
      <c r="A3" s="27" t="s">
        <v>0</v>
      </c>
      <c r="B3" s="42">
        <v>56923055278</v>
      </c>
      <c r="C3" s="57">
        <v>-2525584917</v>
      </c>
      <c r="D3" s="57">
        <v>197685910</v>
      </c>
      <c r="E3" s="58">
        <v>59250954285</v>
      </c>
      <c r="F3" s="57">
        <v>24794890713.524563</v>
      </c>
      <c r="G3" s="57">
        <v>3844297926.4754367</v>
      </c>
      <c r="H3" s="59">
        <f>O3+P3</f>
        <v>9696615191</v>
      </c>
      <c r="I3" s="59">
        <v>1001719279</v>
      </c>
      <c r="J3" s="59">
        <v>71648671</v>
      </c>
      <c r="K3" s="59">
        <v>13719657815</v>
      </c>
      <c r="L3" s="57">
        <v>1281520192</v>
      </c>
      <c r="M3" s="57">
        <v>4840604497</v>
      </c>
      <c r="O3" s="59">
        <v>8955601317</v>
      </c>
      <c r="P3" s="59">
        <v>741013874</v>
      </c>
    </row>
    <row r="4" spans="1:16" s="1" customFormat="1" x14ac:dyDescent="0.45">
      <c r="A4" s="28" t="s">
        <v>1</v>
      </c>
      <c r="B4" s="43">
        <v>36849674789</v>
      </c>
      <c r="C4" s="60">
        <v>-179041130</v>
      </c>
      <c r="D4" s="60">
        <v>2238728</v>
      </c>
      <c r="E4" s="61">
        <v>37026477191</v>
      </c>
      <c r="F4" s="60">
        <v>11464372557</v>
      </c>
      <c r="G4" s="60">
        <v>326957684</v>
      </c>
      <c r="H4" s="62">
        <f t="shared" ref="H4:H67" si="0">O4+P4</f>
        <v>7443234834</v>
      </c>
      <c r="I4" s="62">
        <v>461607997</v>
      </c>
      <c r="J4" s="62">
        <v>4597633</v>
      </c>
      <c r="K4" s="62">
        <v>12572025142</v>
      </c>
      <c r="L4" s="62">
        <v>57386091</v>
      </c>
      <c r="M4" s="60">
        <v>4696295253</v>
      </c>
      <c r="O4" s="62">
        <v>7130869808</v>
      </c>
      <c r="P4" s="62">
        <v>312365026</v>
      </c>
    </row>
    <row r="5" spans="1:16" s="1" customFormat="1" hidden="1" outlineLevel="1" x14ac:dyDescent="0.45">
      <c r="A5" s="29" t="s">
        <v>2</v>
      </c>
      <c r="B5" s="44">
        <v>17009245532</v>
      </c>
      <c r="C5" s="63">
        <v>-215211423</v>
      </c>
      <c r="D5" s="63">
        <v>0</v>
      </c>
      <c r="E5" s="64">
        <v>17224456955</v>
      </c>
      <c r="F5" s="63">
        <v>18425860</v>
      </c>
      <c r="G5" s="63">
        <v>323163000</v>
      </c>
      <c r="H5" s="65">
        <f t="shared" si="0"/>
        <v>1005844366</v>
      </c>
      <c r="I5" s="65">
        <v>332335364</v>
      </c>
      <c r="J5" s="65">
        <v>2775000</v>
      </c>
      <c r="K5" s="65">
        <v>11734020762</v>
      </c>
      <c r="L5" s="65">
        <v>95273</v>
      </c>
      <c r="M5" s="63">
        <v>3807797330</v>
      </c>
      <c r="O5" s="65">
        <v>738522457</v>
      </c>
      <c r="P5" s="65">
        <v>267321909</v>
      </c>
    </row>
    <row r="6" spans="1:16" ht="16" hidden="1" customHeight="1" outlineLevel="1" x14ac:dyDescent="0.45">
      <c r="A6" s="29" t="s">
        <v>3</v>
      </c>
      <c r="B6" s="44">
        <v>0</v>
      </c>
      <c r="C6" s="63">
        <v>0</v>
      </c>
      <c r="D6" s="63">
        <v>0</v>
      </c>
      <c r="E6" s="64">
        <v>0</v>
      </c>
      <c r="F6" s="63">
        <v>0</v>
      </c>
      <c r="G6" s="63">
        <v>0</v>
      </c>
      <c r="H6" s="65">
        <f t="shared" si="0"/>
        <v>0</v>
      </c>
      <c r="I6" s="65">
        <v>0</v>
      </c>
      <c r="J6" s="65">
        <v>0</v>
      </c>
      <c r="K6" s="65">
        <v>0</v>
      </c>
      <c r="L6" s="65">
        <v>0</v>
      </c>
      <c r="M6" s="63">
        <v>0</v>
      </c>
      <c r="N6" s="1"/>
      <c r="O6" s="65">
        <v>0</v>
      </c>
      <c r="P6" s="65">
        <v>0</v>
      </c>
    </row>
    <row r="7" spans="1:16" ht="16" hidden="1" customHeight="1" outlineLevel="1" x14ac:dyDescent="0.45">
      <c r="A7" s="29" t="s">
        <v>170</v>
      </c>
      <c r="B7" s="44">
        <v>0</v>
      </c>
      <c r="C7" s="63">
        <v>0</v>
      </c>
      <c r="D7" s="63">
        <v>0</v>
      </c>
      <c r="E7" s="64">
        <v>0</v>
      </c>
      <c r="F7" s="63">
        <v>0</v>
      </c>
      <c r="G7" s="63">
        <v>0</v>
      </c>
      <c r="H7" s="65">
        <f t="shared" si="0"/>
        <v>0</v>
      </c>
      <c r="I7" s="65">
        <v>0</v>
      </c>
      <c r="J7" s="65">
        <v>0</v>
      </c>
      <c r="K7" s="65">
        <v>0</v>
      </c>
      <c r="L7" s="65">
        <v>0</v>
      </c>
      <c r="M7" s="63">
        <v>0</v>
      </c>
      <c r="N7" s="1"/>
      <c r="O7" s="65">
        <v>0</v>
      </c>
      <c r="P7" s="65">
        <v>0</v>
      </c>
    </row>
    <row r="8" spans="1:16" ht="16" hidden="1" customHeight="1" outlineLevel="1" x14ac:dyDescent="0.45">
      <c r="A8" s="29" t="s">
        <v>4</v>
      </c>
      <c r="B8" s="44">
        <v>18383807592</v>
      </c>
      <c r="C8" s="63">
        <v>38399930</v>
      </c>
      <c r="D8" s="63">
        <v>0</v>
      </c>
      <c r="E8" s="64">
        <v>18345407662</v>
      </c>
      <c r="F8" s="63">
        <v>10939266729</v>
      </c>
      <c r="G8" s="63">
        <v>3794684</v>
      </c>
      <c r="H8" s="65">
        <f t="shared" si="0"/>
        <v>6379889418</v>
      </c>
      <c r="I8" s="65">
        <v>128353542</v>
      </c>
      <c r="J8" s="65">
        <v>500000</v>
      </c>
      <c r="K8" s="65">
        <v>836333471</v>
      </c>
      <c r="L8" s="65">
        <v>57269818</v>
      </c>
      <c r="M8" s="63">
        <v>0</v>
      </c>
      <c r="N8" s="1"/>
      <c r="O8" s="65">
        <v>6379179656</v>
      </c>
      <c r="P8" s="65">
        <v>709762</v>
      </c>
    </row>
    <row r="9" spans="1:16" ht="16" hidden="1" customHeight="1" outlineLevel="1" x14ac:dyDescent="0.45">
      <c r="A9" s="29" t="s">
        <v>5</v>
      </c>
      <c r="B9" s="44">
        <v>288936876</v>
      </c>
      <c r="C9" s="63">
        <v>-2229637</v>
      </c>
      <c r="D9" s="63">
        <v>2238728</v>
      </c>
      <c r="E9" s="64">
        <v>288927785</v>
      </c>
      <c r="F9" s="63">
        <v>227728853</v>
      </c>
      <c r="G9" s="63">
        <v>0</v>
      </c>
      <c r="H9" s="65">
        <f t="shared" si="0"/>
        <v>10192477</v>
      </c>
      <c r="I9" s="65">
        <v>919091</v>
      </c>
      <c r="J9" s="65">
        <v>0</v>
      </c>
      <c r="K9" s="65">
        <v>1670909</v>
      </c>
      <c r="L9" s="65">
        <v>21000</v>
      </c>
      <c r="M9" s="63">
        <v>48395455</v>
      </c>
      <c r="N9" s="1"/>
      <c r="O9" s="65">
        <v>10192477</v>
      </c>
      <c r="P9" s="65">
        <v>0</v>
      </c>
    </row>
    <row r="10" spans="1:16" ht="16" hidden="1" customHeight="1" outlineLevel="1" x14ac:dyDescent="0.45">
      <c r="A10" s="29" t="s">
        <v>118</v>
      </c>
      <c r="B10" s="44">
        <v>4304451</v>
      </c>
      <c r="C10" s="63">
        <v>0</v>
      </c>
      <c r="D10" s="63">
        <v>0</v>
      </c>
      <c r="E10" s="64">
        <v>4304451</v>
      </c>
      <c r="F10" s="63">
        <v>0</v>
      </c>
      <c r="G10" s="63">
        <v>0</v>
      </c>
      <c r="H10" s="65">
        <f t="shared" si="0"/>
        <v>2981818</v>
      </c>
      <c r="I10" s="65">
        <v>0</v>
      </c>
      <c r="J10" s="65">
        <v>1322633</v>
      </c>
      <c r="K10" s="65">
        <v>0</v>
      </c>
      <c r="L10" s="65">
        <v>0</v>
      </c>
      <c r="M10" s="63">
        <v>0</v>
      </c>
      <c r="N10" s="1"/>
      <c r="O10" s="65">
        <v>2981818</v>
      </c>
      <c r="P10" s="65">
        <v>0</v>
      </c>
    </row>
    <row r="11" spans="1:16" ht="16" hidden="1" customHeight="1" outlineLevel="1" x14ac:dyDescent="0.45">
      <c r="A11" s="29" t="s">
        <v>6</v>
      </c>
      <c r="B11" s="44">
        <v>323284470</v>
      </c>
      <c r="C11" s="63">
        <v>0</v>
      </c>
      <c r="D11" s="63">
        <v>0</v>
      </c>
      <c r="E11" s="64">
        <v>323284470</v>
      </c>
      <c r="F11" s="63">
        <v>278951115</v>
      </c>
      <c r="G11" s="63">
        <v>0</v>
      </c>
      <c r="H11" s="65">
        <f t="shared" si="0"/>
        <v>44333355</v>
      </c>
      <c r="I11" s="65">
        <v>0</v>
      </c>
      <c r="J11" s="65">
        <v>0</v>
      </c>
      <c r="K11" s="65">
        <v>0</v>
      </c>
      <c r="L11" s="65">
        <v>0</v>
      </c>
      <c r="M11" s="63">
        <v>0</v>
      </c>
      <c r="N11" s="1"/>
      <c r="O11" s="65">
        <v>0</v>
      </c>
      <c r="P11" s="65">
        <v>44333355</v>
      </c>
    </row>
    <row r="12" spans="1:16" ht="16" hidden="1" customHeight="1" outlineLevel="1" x14ac:dyDescent="0.45">
      <c r="A12" s="29" t="s">
        <v>301</v>
      </c>
      <c r="B12" s="44">
        <v>840095868</v>
      </c>
      <c r="C12" s="63">
        <v>-6600</v>
      </c>
      <c r="D12" s="63">
        <v>0</v>
      </c>
      <c r="E12" s="64">
        <v>840102468</v>
      </c>
      <c r="F12" s="63">
        <v>0</v>
      </c>
      <c r="G12" s="63">
        <v>0</v>
      </c>
      <c r="H12" s="65">
        <f t="shared" si="0"/>
        <v>0</v>
      </c>
      <c r="I12" s="65">
        <v>0</v>
      </c>
      <c r="J12" s="65">
        <v>0</v>
      </c>
      <c r="K12" s="65">
        <v>0</v>
      </c>
      <c r="L12" s="65">
        <v>0</v>
      </c>
      <c r="M12" s="63">
        <v>840102468</v>
      </c>
      <c r="N12" s="1"/>
      <c r="O12" s="65">
        <v>0</v>
      </c>
      <c r="P12" s="65">
        <v>0</v>
      </c>
    </row>
    <row r="13" spans="1:16" ht="16" customHeight="1" collapsed="1" x14ac:dyDescent="0.45">
      <c r="A13" s="28" t="s">
        <v>7</v>
      </c>
      <c r="B13" s="43">
        <v>20073380489</v>
      </c>
      <c r="C13" s="60">
        <v>-2346543787</v>
      </c>
      <c r="D13" s="60">
        <v>195447182</v>
      </c>
      <c r="E13" s="61">
        <v>22224477094</v>
      </c>
      <c r="F13" s="60">
        <v>13330518156.524563</v>
      </c>
      <c r="G13" s="60">
        <v>3517340242.4754367</v>
      </c>
      <c r="H13" s="62">
        <f t="shared" si="0"/>
        <v>2253380357</v>
      </c>
      <c r="I13" s="62">
        <v>540111282</v>
      </c>
      <c r="J13" s="62">
        <v>67051038</v>
      </c>
      <c r="K13" s="62">
        <v>1147632673</v>
      </c>
      <c r="L13" s="62">
        <v>1224134101</v>
      </c>
      <c r="M13" s="60">
        <v>144309244</v>
      </c>
      <c r="N13" s="1"/>
      <c r="O13" s="62">
        <v>1824731509</v>
      </c>
      <c r="P13" s="62">
        <v>428648848</v>
      </c>
    </row>
    <row r="14" spans="1:16" s="1" customFormat="1" hidden="1" outlineLevel="1" collapsed="1" x14ac:dyDescent="0.45">
      <c r="A14" s="24" t="s">
        <v>8</v>
      </c>
      <c r="B14" s="45">
        <v>11388982899</v>
      </c>
      <c r="C14" s="63">
        <v>461556265</v>
      </c>
      <c r="D14" s="63">
        <v>0</v>
      </c>
      <c r="E14" s="64">
        <v>10927426634</v>
      </c>
      <c r="F14" s="63">
        <v>7788872768.1742802</v>
      </c>
      <c r="G14" s="63">
        <v>70834026.825719252</v>
      </c>
      <c r="H14" s="65">
        <f t="shared" si="0"/>
        <v>1601505256</v>
      </c>
      <c r="I14" s="65">
        <v>459609081</v>
      </c>
      <c r="J14" s="65">
        <v>-51815223</v>
      </c>
      <c r="K14" s="65">
        <v>760357566</v>
      </c>
      <c r="L14" s="65">
        <v>210397924</v>
      </c>
      <c r="M14" s="63">
        <v>87665235</v>
      </c>
      <c r="O14" s="65">
        <v>1606397071</v>
      </c>
      <c r="P14" s="65">
        <v>-4891815</v>
      </c>
    </row>
    <row r="15" spans="1:16" ht="16" hidden="1" customHeight="1" outlineLevel="1" x14ac:dyDescent="0.45">
      <c r="A15" s="29" t="s">
        <v>9</v>
      </c>
      <c r="B15" s="44">
        <v>208558964</v>
      </c>
      <c r="C15" s="63">
        <v>100521816</v>
      </c>
      <c r="D15" s="63">
        <v>-5654545</v>
      </c>
      <c r="E15" s="64">
        <v>113691693</v>
      </c>
      <c r="F15" s="63">
        <v>19172721</v>
      </c>
      <c r="G15" s="63">
        <v>909091</v>
      </c>
      <c r="H15" s="65">
        <f t="shared" si="0"/>
        <v>15125272</v>
      </c>
      <c r="I15" s="65">
        <v>0</v>
      </c>
      <c r="J15" s="65">
        <v>539090</v>
      </c>
      <c r="K15" s="65">
        <v>0</v>
      </c>
      <c r="L15" s="65">
        <v>51581510</v>
      </c>
      <c r="M15" s="63">
        <v>26364009</v>
      </c>
      <c r="N15" s="1"/>
      <c r="O15" s="65">
        <v>0</v>
      </c>
      <c r="P15" s="65">
        <v>15125272</v>
      </c>
    </row>
    <row r="16" spans="1:16" ht="16" hidden="1" customHeight="1" outlineLevel="1" x14ac:dyDescent="0.45">
      <c r="A16" s="29" t="s">
        <v>10</v>
      </c>
      <c r="B16" s="44">
        <v>4120661645</v>
      </c>
      <c r="C16" s="63">
        <v>-333638007</v>
      </c>
      <c r="D16" s="63">
        <v>0</v>
      </c>
      <c r="E16" s="64">
        <v>4454299652</v>
      </c>
      <c r="F16" s="63">
        <v>2609578530.3502827</v>
      </c>
      <c r="G16" s="63">
        <v>750802373.64971757</v>
      </c>
      <c r="H16" s="65">
        <f t="shared" si="0"/>
        <v>517308076</v>
      </c>
      <c r="I16" s="65">
        <v>78473401</v>
      </c>
      <c r="J16" s="65">
        <v>117946171</v>
      </c>
      <c r="K16" s="65">
        <v>252953600</v>
      </c>
      <c r="L16" s="65">
        <v>127237500</v>
      </c>
      <c r="M16" s="63">
        <v>0</v>
      </c>
      <c r="N16" s="1"/>
      <c r="O16" s="65">
        <v>312096463</v>
      </c>
      <c r="P16" s="65">
        <v>205211613</v>
      </c>
    </row>
    <row r="17" spans="1:16" ht="16" hidden="1" customHeight="1" outlineLevel="1" x14ac:dyDescent="0.45">
      <c r="A17" s="29" t="s">
        <v>11</v>
      </c>
      <c r="B17" s="44">
        <v>63645968</v>
      </c>
      <c r="C17" s="63">
        <v>226426</v>
      </c>
      <c r="D17" s="63">
        <v>0</v>
      </c>
      <c r="E17" s="64">
        <v>63419542</v>
      </c>
      <c r="F17" s="63">
        <v>60677861</v>
      </c>
      <c r="G17" s="63">
        <v>40500</v>
      </c>
      <c r="H17" s="65">
        <f t="shared" si="0"/>
        <v>2239181</v>
      </c>
      <c r="I17" s="65">
        <v>28500</v>
      </c>
      <c r="J17" s="65">
        <v>381000</v>
      </c>
      <c r="K17" s="65">
        <v>52500</v>
      </c>
      <c r="L17" s="65">
        <v>0</v>
      </c>
      <c r="M17" s="63">
        <v>0</v>
      </c>
      <c r="N17" s="1"/>
      <c r="O17" s="65">
        <v>2234681</v>
      </c>
      <c r="P17" s="65">
        <v>4500</v>
      </c>
    </row>
    <row r="18" spans="1:16" ht="16" hidden="1" customHeight="1" outlineLevel="1" x14ac:dyDescent="0.45">
      <c r="A18" s="30" t="s">
        <v>12</v>
      </c>
      <c r="B18" s="46">
        <v>2771130665</v>
      </c>
      <c r="C18" s="63">
        <v>54502392</v>
      </c>
      <c r="D18" s="63">
        <v>7272727</v>
      </c>
      <c r="E18" s="64">
        <v>2709355546</v>
      </c>
      <c r="F18" s="63">
        <v>1846323582</v>
      </c>
      <c r="G18" s="63">
        <v>-4791204</v>
      </c>
      <c r="H18" s="65">
        <f t="shared" si="0"/>
        <v>16549093</v>
      </c>
      <c r="I18" s="65">
        <v>0</v>
      </c>
      <c r="J18" s="65">
        <v>0</v>
      </c>
      <c r="K18" s="65">
        <v>16356908</v>
      </c>
      <c r="L18" s="65">
        <v>834917167</v>
      </c>
      <c r="M18" s="63">
        <v>0</v>
      </c>
      <c r="N18" s="1"/>
      <c r="O18" s="65">
        <v>16636365</v>
      </c>
      <c r="P18" s="65">
        <v>-87272</v>
      </c>
    </row>
    <row r="19" spans="1:16" ht="16" hidden="1" customHeight="1" outlineLevel="1" x14ac:dyDescent="0.45">
      <c r="A19" s="29" t="s">
        <v>119</v>
      </c>
      <c r="B19" s="44">
        <v>-2448721383</v>
      </c>
      <c r="C19" s="63">
        <v>-2448721383</v>
      </c>
      <c r="D19" s="63">
        <v>0</v>
      </c>
      <c r="E19" s="64">
        <v>0</v>
      </c>
      <c r="F19" s="63">
        <v>0</v>
      </c>
      <c r="G19" s="63">
        <v>0</v>
      </c>
      <c r="H19" s="65">
        <f t="shared" si="0"/>
        <v>0</v>
      </c>
      <c r="I19" s="65">
        <v>0</v>
      </c>
      <c r="J19" s="65">
        <v>0</v>
      </c>
      <c r="K19" s="65">
        <v>0</v>
      </c>
      <c r="L19" s="65">
        <v>0</v>
      </c>
      <c r="M19" s="63">
        <v>0</v>
      </c>
      <c r="N19" s="1"/>
      <c r="O19" s="65">
        <v>0</v>
      </c>
      <c r="P19" s="65">
        <v>0</v>
      </c>
    </row>
    <row r="20" spans="1:16" ht="16" hidden="1" customHeight="1" outlineLevel="1" x14ac:dyDescent="0.45">
      <c r="A20" s="29" t="s">
        <v>120</v>
      </c>
      <c r="B20" s="44">
        <v>0</v>
      </c>
      <c r="C20" s="63">
        <v>0</v>
      </c>
      <c r="D20" s="63">
        <v>0</v>
      </c>
      <c r="E20" s="64">
        <v>0</v>
      </c>
      <c r="F20" s="63">
        <v>0</v>
      </c>
      <c r="G20" s="63">
        <v>0</v>
      </c>
      <c r="H20" s="65">
        <f t="shared" si="0"/>
        <v>0</v>
      </c>
      <c r="I20" s="65">
        <v>0</v>
      </c>
      <c r="J20" s="65">
        <v>0</v>
      </c>
      <c r="K20" s="65">
        <v>0</v>
      </c>
      <c r="L20" s="65">
        <v>0</v>
      </c>
      <c r="M20" s="63">
        <v>0</v>
      </c>
      <c r="N20" s="1"/>
      <c r="O20" s="65">
        <v>0</v>
      </c>
      <c r="P20" s="65">
        <v>0</v>
      </c>
    </row>
    <row r="21" spans="1:16" ht="16" hidden="1" customHeight="1" outlineLevel="1" x14ac:dyDescent="0.45">
      <c r="A21" s="24" t="s">
        <v>13</v>
      </c>
      <c r="B21" s="45">
        <v>-597507494</v>
      </c>
      <c r="C21" s="63">
        <v>10180000</v>
      </c>
      <c r="D21" s="63">
        <v>0</v>
      </c>
      <c r="E21" s="64">
        <v>-607687494</v>
      </c>
      <c r="F21" s="63">
        <v>72557556</v>
      </c>
      <c r="G21" s="63">
        <v>4545455</v>
      </c>
      <c r="H21" s="65">
        <f t="shared" si="0"/>
        <v>-762227071</v>
      </c>
      <c r="I21" s="65">
        <v>2000300</v>
      </c>
      <c r="J21" s="65">
        <v>0</v>
      </c>
      <c r="K21" s="65">
        <v>75436266</v>
      </c>
      <c r="L21" s="65">
        <v>0</v>
      </c>
      <c r="M21" s="63">
        <v>0</v>
      </c>
      <c r="N21" s="1"/>
      <c r="O21" s="65">
        <v>-762227071</v>
      </c>
      <c r="P21" s="65">
        <v>0</v>
      </c>
    </row>
    <row r="22" spans="1:16" s="1" customFormat="1" ht="16" hidden="1" customHeight="1" outlineLevel="1" x14ac:dyDescent="0.45">
      <c r="A22" s="29" t="s">
        <v>121</v>
      </c>
      <c r="B22" s="44">
        <v>3824465383</v>
      </c>
      <c r="C22" s="63">
        <v>-193829000</v>
      </c>
      <c r="D22" s="63">
        <v>193829000</v>
      </c>
      <c r="E22" s="64">
        <v>3824465383</v>
      </c>
      <c r="F22" s="63">
        <v>193829000</v>
      </c>
      <c r="G22" s="63">
        <v>2695000000</v>
      </c>
      <c r="H22" s="65">
        <f t="shared" si="0"/>
        <v>862880550</v>
      </c>
      <c r="I22" s="65">
        <v>0</v>
      </c>
      <c r="J22" s="65">
        <v>0</v>
      </c>
      <c r="K22" s="65">
        <v>42475833</v>
      </c>
      <c r="L22" s="65">
        <v>0</v>
      </c>
      <c r="M22" s="63">
        <v>30280000</v>
      </c>
      <c r="O22" s="65">
        <v>649594000</v>
      </c>
      <c r="P22" s="65">
        <v>213286550</v>
      </c>
    </row>
    <row r="23" spans="1:16" ht="16" hidden="1" customHeight="1" outlineLevel="1" x14ac:dyDescent="0.45">
      <c r="A23" s="29" t="s">
        <v>249</v>
      </c>
      <c r="B23" s="44">
        <v>742163842</v>
      </c>
      <c r="C23" s="63">
        <v>2657704</v>
      </c>
      <c r="D23" s="63">
        <v>0</v>
      </c>
      <c r="E23" s="64">
        <v>739506138</v>
      </c>
      <c r="F23" s="63">
        <v>739506138</v>
      </c>
      <c r="G23" s="63">
        <v>0</v>
      </c>
      <c r="H23" s="65">
        <f t="shared" si="0"/>
        <v>0</v>
      </c>
      <c r="I23" s="65">
        <v>0</v>
      </c>
      <c r="J23" s="65">
        <v>0</v>
      </c>
      <c r="K23" s="65">
        <v>0</v>
      </c>
      <c r="L23" s="65">
        <v>0</v>
      </c>
      <c r="M23" s="63">
        <v>0</v>
      </c>
      <c r="N23" s="1"/>
      <c r="O23" s="65">
        <v>0</v>
      </c>
      <c r="P23" s="65">
        <v>0</v>
      </c>
    </row>
    <row r="24" spans="1:16" ht="16" hidden="1" customHeight="1" outlineLevel="1" x14ac:dyDescent="0.45">
      <c r="A24" s="24" t="s">
        <v>287</v>
      </c>
      <c r="B24" s="45">
        <v>0</v>
      </c>
      <c r="C24" s="63">
        <v>0</v>
      </c>
      <c r="D24" s="63">
        <v>0</v>
      </c>
      <c r="E24" s="64">
        <v>0</v>
      </c>
      <c r="F24" s="63">
        <v>0</v>
      </c>
      <c r="G24" s="63">
        <v>0</v>
      </c>
      <c r="H24" s="65">
        <f t="shared" si="0"/>
        <v>0</v>
      </c>
      <c r="I24" s="65">
        <v>0</v>
      </c>
      <c r="J24" s="65">
        <v>0</v>
      </c>
      <c r="K24" s="65">
        <v>0</v>
      </c>
      <c r="L24" s="65">
        <v>0</v>
      </c>
      <c r="M24" s="63">
        <v>0</v>
      </c>
      <c r="N24" s="1"/>
      <c r="O24" s="65">
        <v>0</v>
      </c>
      <c r="P24" s="65">
        <v>0</v>
      </c>
    </row>
    <row r="25" spans="1:16" ht="16" customHeight="1" collapsed="1" x14ac:dyDescent="0.45">
      <c r="A25" s="27" t="s">
        <v>14</v>
      </c>
      <c r="B25" s="42">
        <v>38518886523</v>
      </c>
      <c r="C25" s="57">
        <v>272257281</v>
      </c>
      <c r="D25" s="57">
        <v>0</v>
      </c>
      <c r="E25" s="58">
        <v>38246629242</v>
      </c>
      <c r="F25" s="58">
        <v>12760674273</v>
      </c>
      <c r="G25" s="58">
        <v>232058000</v>
      </c>
      <c r="H25" s="58">
        <f t="shared" si="0"/>
        <v>7818672086</v>
      </c>
      <c r="I25" s="58">
        <v>511694814</v>
      </c>
      <c r="J25" s="58">
        <v>-128739318</v>
      </c>
      <c r="K25" s="58">
        <v>12801213502</v>
      </c>
      <c r="L25" s="58">
        <v>82601364</v>
      </c>
      <c r="M25" s="58">
        <v>4168454521</v>
      </c>
      <c r="N25" s="1"/>
      <c r="O25" s="58">
        <v>7498310839</v>
      </c>
      <c r="P25" s="58">
        <v>320361247</v>
      </c>
    </row>
    <row r="26" spans="1:16" s="1" customFormat="1" hidden="1" outlineLevel="1" collapsed="1" x14ac:dyDescent="0.45">
      <c r="A26" s="28" t="s">
        <v>15</v>
      </c>
      <c r="B26" s="43">
        <v>38518886523</v>
      </c>
      <c r="C26" s="60">
        <v>272257281</v>
      </c>
      <c r="D26" s="60">
        <v>0</v>
      </c>
      <c r="E26" s="61">
        <v>38246629242</v>
      </c>
      <c r="F26" s="60">
        <v>12760674273</v>
      </c>
      <c r="G26" s="60">
        <v>232058000</v>
      </c>
      <c r="H26" s="62">
        <f t="shared" si="0"/>
        <v>7818672086</v>
      </c>
      <c r="I26" s="62">
        <v>511694814</v>
      </c>
      <c r="J26" s="62">
        <v>-128739318</v>
      </c>
      <c r="K26" s="62">
        <v>12801213502</v>
      </c>
      <c r="L26" s="62">
        <v>82601364</v>
      </c>
      <c r="M26" s="60">
        <v>4168454521</v>
      </c>
      <c r="O26" s="62">
        <v>7498310839</v>
      </c>
      <c r="P26" s="62">
        <v>320361247</v>
      </c>
    </row>
    <row r="27" spans="1:16" s="1" customFormat="1" ht="16" customHeight="1" collapsed="1" x14ac:dyDescent="0.45">
      <c r="A27" s="27" t="s">
        <v>16</v>
      </c>
      <c r="B27" s="42">
        <v>18404168755</v>
      </c>
      <c r="C27" s="57">
        <v>-2797842198</v>
      </c>
      <c r="D27" s="57">
        <v>197685910</v>
      </c>
      <c r="E27" s="58">
        <v>21004325043</v>
      </c>
      <c r="F27" s="57">
        <v>12034216440.524563</v>
      </c>
      <c r="G27" s="57">
        <v>3612239926.4754367</v>
      </c>
      <c r="H27" s="59">
        <f t="shared" si="0"/>
        <v>1877943105</v>
      </c>
      <c r="I27" s="59">
        <v>490024465</v>
      </c>
      <c r="J27" s="59">
        <v>200387989</v>
      </c>
      <c r="K27" s="59">
        <v>918444313</v>
      </c>
      <c r="L27" s="59">
        <v>1198918828</v>
      </c>
      <c r="M27" s="57">
        <v>672149976</v>
      </c>
      <c r="O27" s="59">
        <v>1457290478</v>
      </c>
      <c r="P27" s="59">
        <v>420652627</v>
      </c>
    </row>
    <row r="28" spans="1:16" s="1" customFormat="1" collapsed="1" x14ac:dyDescent="0.45">
      <c r="A28" s="27" t="s">
        <v>17</v>
      </c>
      <c r="B28" s="42">
        <v>16388899436</v>
      </c>
      <c r="C28" s="57">
        <v>-2592855073.9999962</v>
      </c>
      <c r="D28" s="57">
        <v>1157689546</v>
      </c>
      <c r="E28" s="58">
        <v>17824064963.999996</v>
      </c>
      <c r="F28" s="57">
        <v>10243236585.828487</v>
      </c>
      <c r="G28" s="57">
        <v>2680072278.7002239</v>
      </c>
      <c r="H28" s="59">
        <f t="shared" si="0"/>
        <v>1661227449.4712882</v>
      </c>
      <c r="I28" s="59">
        <v>418434404.71782392</v>
      </c>
      <c r="J28" s="59">
        <v>126522120.05188417</v>
      </c>
      <c r="K28" s="59">
        <v>573407899.33271921</v>
      </c>
      <c r="L28" s="59">
        <v>1476310982.8975725</v>
      </c>
      <c r="M28" s="57">
        <v>644853243</v>
      </c>
      <c r="O28" s="59">
        <v>1522590140.4193275</v>
      </c>
      <c r="P28" s="59">
        <v>138637309.05196068</v>
      </c>
    </row>
    <row r="29" spans="1:16" s="1" customFormat="1" x14ac:dyDescent="0.45">
      <c r="A29" s="28" t="s">
        <v>18</v>
      </c>
      <c r="B29" s="43">
        <v>108628490</v>
      </c>
      <c r="C29" s="60">
        <v>33674330</v>
      </c>
      <c r="D29" s="60">
        <v>16000000</v>
      </c>
      <c r="E29" s="61">
        <v>58954160</v>
      </c>
      <c r="F29" s="60">
        <v>51481512.294967249</v>
      </c>
      <c r="G29" s="60">
        <v>7472647.7050327472</v>
      </c>
      <c r="H29" s="62">
        <f t="shared" si="0"/>
        <v>0</v>
      </c>
      <c r="I29" s="62">
        <v>0</v>
      </c>
      <c r="J29" s="62">
        <v>0</v>
      </c>
      <c r="K29" s="62">
        <v>0</v>
      </c>
      <c r="L29" s="62">
        <v>0</v>
      </c>
      <c r="M29" s="60">
        <v>0</v>
      </c>
      <c r="O29" s="62">
        <v>0</v>
      </c>
      <c r="P29" s="62">
        <v>0</v>
      </c>
    </row>
    <row r="30" spans="1:16" s="1" customFormat="1" x14ac:dyDescent="0.45">
      <c r="A30" s="28" t="s">
        <v>19</v>
      </c>
      <c r="B30" s="43">
        <v>6579287963</v>
      </c>
      <c r="C30" s="66">
        <v>312768130.00000095</v>
      </c>
      <c r="D30" s="60">
        <v>182442100</v>
      </c>
      <c r="E30" s="61">
        <v>6084077732.999999</v>
      </c>
      <c r="F30" s="60">
        <v>3603544581.1182642</v>
      </c>
      <c r="G30" s="60">
        <v>1221030073.3482814</v>
      </c>
      <c r="H30" s="62">
        <f t="shared" si="0"/>
        <v>382097183.53345412</v>
      </c>
      <c r="I30" s="62">
        <v>41689838.404021032</v>
      </c>
      <c r="J30" s="62">
        <v>39517041.848283</v>
      </c>
      <c r="K30" s="62">
        <v>167696523.2330237</v>
      </c>
      <c r="L30" s="62">
        <v>546753181.51467228</v>
      </c>
      <c r="M30" s="60">
        <v>81749310</v>
      </c>
      <c r="O30" s="62">
        <v>362799072.94408697</v>
      </c>
      <c r="P30" s="62">
        <v>19298110.589367162</v>
      </c>
    </row>
    <row r="31" spans="1:16" s="1" customFormat="1" hidden="1" outlineLevel="1" x14ac:dyDescent="0.45">
      <c r="A31" s="29" t="s">
        <v>20</v>
      </c>
      <c r="B31" s="44">
        <v>699146110</v>
      </c>
      <c r="C31" s="63">
        <v>153642540</v>
      </c>
      <c r="D31" s="63">
        <v>74553090</v>
      </c>
      <c r="E31" s="64">
        <v>470950480</v>
      </c>
      <c r="F31" s="63">
        <v>222426249.54360598</v>
      </c>
      <c r="G31" s="63">
        <v>96694629.71110189</v>
      </c>
      <c r="H31" s="65">
        <f t="shared" si="0"/>
        <v>23712310.745292146</v>
      </c>
      <c r="I31" s="65">
        <v>8068290.7757304376</v>
      </c>
      <c r="J31" s="65">
        <v>8032158.5364282476</v>
      </c>
      <c r="K31" s="65">
        <v>17549647.6438566</v>
      </c>
      <c r="L31" s="65">
        <v>52105563.043984711</v>
      </c>
      <c r="M31" s="63">
        <v>42361630</v>
      </c>
      <c r="O31" s="65">
        <v>22398433.736610346</v>
      </c>
      <c r="P31" s="65">
        <v>1313877.0086818014</v>
      </c>
    </row>
    <row r="32" spans="1:16" ht="16" hidden="1" customHeight="1" outlineLevel="1" x14ac:dyDescent="0.45">
      <c r="A32" s="29" t="s">
        <v>21</v>
      </c>
      <c r="B32" s="44">
        <v>128263450</v>
      </c>
      <c r="C32" s="63">
        <v>28279029.999999985</v>
      </c>
      <c r="D32" s="63">
        <v>13659710</v>
      </c>
      <c r="E32" s="64">
        <v>86324710.000000015</v>
      </c>
      <c r="F32" s="63">
        <v>40807885.792965882</v>
      </c>
      <c r="G32" s="63">
        <v>17142276.310028631</v>
      </c>
      <c r="H32" s="65">
        <f t="shared" si="0"/>
        <v>4403327.8970054844</v>
      </c>
      <c r="I32" s="65">
        <v>1506044.2377330377</v>
      </c>
      <c r="J32" s="65">
        <v>1498093.916814738</v>
      </c>
      <c r="K32" s="65">
        <v>3322476.0797154568</v>
      </c>
      <c r="L32" s="65">
        <v>9885335.765736768</v>
      </c>
      <c r="M32" s="63">
        <v>7759270</v>
      </c>
      <c r="N32" s="1"/>
      <c r="O32" s="65">
        <v>4157077.6858439487</v>
      </c>
      <c r="P32" s="65">
        <v>246250.21116153555</v>
      </c>
    </row>
    <row r="33" spans="1:16" ht="16" hidden="1" customHeight="1" outlineLevel="1" x14ac:dyDescent="0.45">
      <c r="A33" s="29" t="s">
        <v>22</v>
      </c>
      <c r="B33" s="44">
        <v>33275000</v>
      </c>
      <c r="C33" s="63">
        <v>7600000</v>
      </c>
      <c r="D33" s="63">
        <v>2800000</v>
      </c>
      <c r="E33" s="64">
        <v>22875000</v>
      </c>
      <c r="F33" s="63">
        <v>9602941.5692978986</v>
      </c>
      <c r="G33" s="63">
        <v>3569317.9328196151</v>
      </c>
      <c r="H33" s="65">
        <f t="shared" si="0"/>
        <v>1102740.4978824856</v>
      </c>
      <c r="I33" s="65">
        <v>543626.18120897654</v>
      </c>
      <c r="J33" s="65">
        <v>533534.74608384073</v>
      </c>
      <c r="K33" s="65">
        <v>1478857.3580199098</v>
      </c>
      <c r="L33" s="65">
        <v>4343981.7146872729</v>
      </c>
      <c r="M33" s="63">
        <v>1700000</v>
      </c>
      <c r="N33" s="1"/>
      <c r="O33" s="65">
        <v>1023973.1584753896</v>
      </c>
      <c r="P33" s="65">
        <v>78767.339407095933</v>
      </c>
    </row>
    <row r="34" spans="1:16" ht="16" hidden="1" customHeight="1" outlineLevel="1" x14ac:dyDescent="0.45">
      <c r="A34" s="29" t="s">
        <v>171</v>
      </c>
      <c r="B34" s="44">
        <v>3053100</v>
      </c>
      <c r="C34" s="63">
        <v>3053100</v>
      </c>
      <c r="D34" s="63">
        <v>0</v>
      </c>
      <c r="E34" s="64">
        <v>0</v>
      </c>
      <c r="F34" s="63">
        <v>0</v>
      </c>
      <c r="G34" s="63">
        <v>0</v>
      </c>
      <c r="H34" s="65">
        <f t="shared" si="0"/>
        <v>0</v>
      </c>
      <c r="I34" s="65">
        <v>0</v>
      </c>
      <c r="J34" s="65">
        <v>0</v>
      </c>
      <c r="K34" s="65">
        <v>0</v>
      </c>
      <c r="L34" s="65">
        <v>0</v>
      </c>
      <c r="M34" s="63">
        <v>0</v>
      </c>
      <c r="N34" s="1"/>
      <c r="O34" s="65">
        <v>0</v>
      </c>
      <c r="P34" s="65">
        <v>0</v>
      </c>
    </row>
    <row r="35" spans="1:16" ht="16" hidden="1" customHeight="1" outlineLevel="1" x14ac:dyDescent="0.45">
      <c r="A35" s="29" t="s">
        <v>23</v>
      </c>
      <c r="B35" s="44">
        <v>13951110</v>
      </c>
      <c r="C35" s="63">
        <v>1924560</v>
      </c>
      <c r="D35" s="63">
        <v>859930</v>
      </c>
      <c r="E35" s="64">
        <v>11166620</v>
      </c>
      <c r="F35" s="63">
        <v>5973128.7291453015</v>
      </c>
      <c r="G35" s="63">
        <v>3123981.2708546985</v>
      </c>
      <c r="H35" s="65">
        <f t="shared" si="0"/>
        <v>188450</v>
      </c>
      <c r="I35" s="65">
        <v>0</v>
      </c>
      <c r="J35" s="65">
        <v>0</v>
      </c>
      <c r="K35" s="65">
        <v>0</v>
      </c>
      <c r="L35" s="65">
        <v>1091770</v>
      </c>
      <c r="M35" s="63">
        <v>789290</v>
      </c>
      <c r="N35" s="1"/>
      <c r="O35" s="65">
        <v>179028</v>
      </c>
      <c r="P35" s="65">
        <v>9422</v>
      </c>
    </row>
    <row r="36" spans="1:16" ht="16" hidden="1" customHeight="1" outlineLevel="1" x14ac:dyDescent="0.45">
      <c r="A36" s="29" t="s">
        <v>24</v>
      </c>
      <c r="B36" s="44">
        <v>17822300</v>
      </c>
      <c r="C36" s="63">
        <v>3531860</v>
      </c>
      <c r="D36" s="63">
        <v>1691790</v>
      </c>
      <c r="E36" s="64">
        <v>12598650</v>
      </c>
      <c r="F36" s="63">
        <v>5681693.4360686261</v>
      </c>
      <c r="G36" s="63">
        <v>2237427.0114943283</v>
      </c>
      <c r="H36" s="65">
        <f t="shared" si="0"/>
        <v>555039.55243704584</v>
      </c>
      <c r="I36" s="65">
        <v>244690.02500044092</v>
      </c>
      <c r="J36" s="65">
        <v>232004.73063974793</v>
      </c>
      <c r="K36" s="65">
        <v>1479051.5153652416</v>
      </c>
      <c r="L36" s="65">
        <v>574673.72899456974</v>
      </c>
      <c r="M36" s="63">
        <v>1594070</v>
      </c>
      <c r="N36" s="1"/>
      <c r="O36" s="65">
        <v>514628.47775467299</v>
      </c>
      <c r="P36" s="65">
        <v>40411.074682372826</v>
      </c>
    </row>
    <row r="37" spans="1:16" ht="16" hidden="1" customHeight="1" outlineLevel="1" x14ac:dyDescent="0.45">
      <c r="A37" s="29" t="s">
        <v>122</v>
      </c>
      <c r="B37" s="44">
        <v>290416150</v>
      </c>
      <c r="C37" s="63">
        <v>0</v>
      </c>
      <c r="D37" s="63">
        <v>0</v>
      </c>
      <c r="E37" s="64">
        <v>290416150</v>
      </c>
      <c r="F37" s="63">
        <v>23351510</v>
      </c>
      <c r="G37" s="63">
        <v>0</v>
      </c>
      <c r="H37" s="65">
        <f t="shared" si="0"/>
        <v>258533430</v>
      </c>
      <c r="I37" s="65">
        <v>0</v>
      </c>
      <c r="J37" s="65">
        <v>0</v>
      </c>
      <c r="K37" s="65">
        <v>8531210</v>
      </c>
      <c r="L37" s="65">
        <v>0</v>
      </c>
      <c r="M37" s="63">
        <v>0</v>
      </c>
      <c r="N37" s="1"/>
      <c r="O37" s="65">
        <v>245606759</v>
      </c>
      <c r="P37" s="65">
        <v>12926671</v>
      </c>
    </row>
    <row r="38" spans="1:16" ht="16" hidden="1" customHeight="1" outlineLevel="1" x14ac:dyDescent="0.45">
      <c r="A38" s="29" t="s">
        <v>123</v>
      </c>
      <c r="B38" s="44">
        <v>48026680</v>
      </c>
      <c r="C38" s="63">
        <v>0</v>
      </c>
      <c r="D38" s="63">
        <v>0</v>
      </c>
      <c r="E38" s="64">
        <v>48026680</v>
      </c>
      <c r="F38" s="63">
        <v>3961560</v>
      </c>
      <c r="G38" s="63">
        <v>0</v>
      </c>
      <c r="H38" s="65">
        <f t="shared" si="0"/>
        <v>42620180</v>
      </c>
      <c r="I38" s="65">
        <v>0</v>
      </c>
      <c r="J38" s="65">
        <v>0</v>
      </c>
      <c r="K38" s="65">
        <v>1444940</v>
      </c>
      <c r="L38" s="65">
        <v>0</v>
      </c>
      <c r="M38" s="63">
        <v>0</v>
      </c>
      <c r="N38" s="1"/>
      <c r="O38" s="65">
        <v>40489171</v>
      </c>
      <c r="P38" s="65">
        <v>2131009</v>
      </c>
    </row>
    <row r="39" spans="1:16" ht="16" hidden="1" customHeight="1" outlineLevel="1" x14ac:dyDescent="0.45">
      <c r="A39" s="29" t="s">
        <v>124</v>
      </c>
      <c r="B39" s="44">
        <v>760720</v>
      </c>
      <c r="C39" s="63">
        <v>0</v>
      </c>
      <c r="D39" s="63">
        <v>0</v>
      </c>
      <c r="E39" s="64">
        <v>760720</v>
      </c>
      <c r="F39" s="63">
        <v>0</v>
      </c>
      <c r="G39" s="63">
        <v>0</v>
      </c>
      <c r="H39" s="65">
        <f t="shared" si="0"/>
        <v>760720</v>
      </c>
      <c r="I39" s="65">
        <v>0</v>
      </c>
      <c r="J39" s="65">
        <v>0</v>
      </c>
      <c r="K39" s="65">
        <v>0</v>
      </c>
      <c r="L39" s="65">
        <v>0</v>
      </c>
      <c r="M39" s="63">
        <v>0</v>
      </c>
      <c r="N39" s="1"/>
      <c r="O39" s="65">
        <v>722684</v>
      </c>
      <c r="P39" s="65">
        <v>38036</v>
      </c>
    </row>
    <row r="40" spans="1:16" ht="16" hidden="1" customHeight="1" outlineLevel="1" x14ac:dyDescent="0.45">
      <c r="A40" s="29" t="s">
        <v>125</v>
      </c>
      <c r="B40" s="44">
        <v>0</v>
      </c>
      <c r="C40" s="63">
        <v>0</v>
      </c>
      <c r="D40" s="63">
        <v>0</v>
      </c>
      <c r="E40" s="64">
        <v>0</v>
      </c>
      <c r="F40" s="63">
        <v>0</v>
      </c>
      <c r="G40" s="63">
        <v>0</v>
      </c>
      <c r="H40" s="65">
        <f t="shared" si="0"/>
        <v>0</v>
      </c>
      <c r="I40" s="65">
        <v>0</v>
      </c>
      <c r="J40" s="65">
        <v>0</v>
      </c>
      <c r="K40" s="65">
        <v>0</v>
      </c>
      <c r="L40" s="65">
        <v>0</v>
      </c>
      <c r="M40" s="63">
        <v>0</v>
      </c>
      <c r="N40" s="1"/>
      <c r="O40" s="65">
        <v>0</v>
      </c>
      <c r="P40" s="65">
        <v>0</v>
      </c>
    </row>
    <row r="41" spans="1:16" ht="16" hidden="1" customHeight="1" outlineLevel="1" x14ac:dyDescent="0.45">
      <c r="A41" s="29" t="s">
        <v>172</v>
      </c>
      <c r="B41" s="44">
        <v>85640</v>
      </c>
      <c r="C41" s="63">
        <v>0</v>
      </c>
      <c r="D41" s="63">
        <v>0</v>
      </c>
      <c r="E41" s="64">
        <v>85640</v>
      </c>
      <c r="F41" s="63">
        <v>0</v>
      </c>
      <c r="G41" s="63">
        <v>0</v>
      </c>
      <c r="H41" s="65">
        <f t="shared" si="0"/>
        <v>85640</v>
      </c>
      <c r="I41" s="65">
        <v>0</v>
      </c>
      <c r="J41" s="65">
        <v>0</v>
      </c>
      <c r="K41" s="65">
        <v>0</v>
      </c>
      <c r="L41" s="65">
        <v>0</v>
      </c>
      <c r="M41" s="63">
        <v>0</v>
      </c>
      <c r="N41" s="1"/>
      <c r="O41" s="65">
        <v>81358</v>
      </c>
      <c r="P41" s="65">
        <v>4282</v>
      </c>
    </row>
    <row r="42" spans="1:16" ht="16" hidden="1" customHeight="1" outlineLevel="1" x14ac:dyDescent="0.45">
      <c r="A42" s="29" t="s">
        <v>173</v>
      </c>
      <c r="B42" s="44">
        <v>0</v>
      </c>
      <c r="C42" s="63">
        <v>0</v>
      </c>
      <c r="D42" s="63">
        <v>0</v>
      </c>
      <c r="E42" s="64">
        <v>0</v>
      </c>
      <c r="F42" s="63">
        <v>0</v>
      </c>
      <c r="G42" s="63">
        <v>0</v>
      </c>
      <c r="H42" s="65">
        <f t="shared" si="0"/>
        <v>0</v>
      </c>
      <c r="I42" s="65">
        <v>0</v>
      </c>
      <c r="J42" s="65">
        <v>0</v>
      </c>
      <c r="K42" s="65">
        <v>0</v>
      </c>
      <c r="L42" s="65">
        <v>0</v>
      </c>
      <c r="M42" s="63">
        <v>0</v>
      </c>
      <c r="N42" s="1"/>
      <c r="O42" s="65">
        <v>0</v>
      </c>
      <c r="P42" s="65">
        <v>0</v>
      </c>
    </row>
    <row r="43" spans="1:16" ht="16" hidden="1" customHeight="1" outlineLevel="1" x14ac:dyDescent="0.45">
      <c r="A43" s="29" t="s">
        <v>25</v>
      </c>
      <c r="B43" s="44">
        <v>27811450</v>
      </c>
      <c r="C43" s="63">
        <v>6338410</v>
      </c>
      <c r="D43" s="63">
        <v>2945000</v>
      </c>
      <c r="E43" s="64">
        <v>18528040</v>
      </c>
      <c r="F43" s="63">
        <v>8972664.8348159362</v>
      </c>
      <c r="G43" s="63">
        <v>4035960.3243470732</v>
      </c>
      <c r="H43" s="65">
        <f t="shared" si="0"/>
        <v>1096374.8408369895</v>
      </c>
      <c r="I43" s="65">
        <v>253937.18434813668</v>
      </c>
      <c r="J43" s="65">
        <v>252819.91831642523</v>
      </c>
      <c r="K43" s="65">
        <v>551230.63606648997</v>
      </c>
      <c r="L43" s="65">
        <v>1815052.2612689482</v>
      </c>
      <c r="M43" s="63">
        <v>1550000</v>
      </c>
      <c r="N43" s="1"/>
      <c r="O43" s="65">
        <v>1038939.8854026324</v>
      </c>
      <c r="P43" s="65">
        <v>57434.955434357049</v>
      </c>
    </row>
    <row r="44" spans="1:16" ht="16" hidden="1" customHeight="1" outlineLevel="1" x14ac:dyDescent="0.45">
      <c r="A44" s="29" t="s">
        <v>174</v>
      </c>
      <c r="B44" s="44">
        <v>0</v>
      </c>
      <c r="C44" s="63">
        <v>0</v>
      </c>
      <c r="D44" s="63">
        <v>0</v>
      </c>
      <c r="E44" s="64">
        <v>0</v>
      </c>
      <c r="F44" s="63">
        <v>0</v>
      </c>
      <c r="G44" s="63">
        <v>0</v>
      </c>
      <c r="H44" s="65">
        <f t="shared" si="0"/>
        <v>0</v>
      </c>
      <c r="I44" s="65">
        <v>0</v>
      </c>
      <c r="J44" s="65">
        <v>0</v>
      </c>
      <c r="K44" s="65">
        <v>0</v>
      </c>
      <c r="L44" s="65">
        <v>0</v>
      </c>
      <c r="M44" s="63">
        <v>0</v>
      </c>
      <c r="N44" s="1"/>
      <c r="O44" s="65">
        <v>0</v>
      </c>
      <c r="P44" s="65">
        <v>0</v>
      </c>
    </row>
    <row r="45" spans="1:16" ht="16" hidden="1" customHeight="1" outlineLevel="1" x14ac:dyDescent="0.45">
      <c r="A45" s="29" t="s">
        <v>126</v>
      </c>
      <c r="B45" s="44">
        <v>21279380</v>
      </c>
      <c r="C45" s="63">
        <v>0</v>
      </c>
      <c r="D45" s="63">
        <v>0</v>
      </c>
      <c r="E45" s="64">
        <v>21279380</v>
      </c>
      <c r="F45" s="63">
        <v>1738220</v>
      </c>
      <c r="G45" s="63">
        <v>0</v>
      </c>
      <c r="H45" s="65">
        <f t="shared" si="0"/>
        <v>18921160</v>
      </c>
      <c r="I45" s="65">
        <v>0</v>
      </c>
      <c r="J45" s="65">
        <v>0</v>
      </c>
      <c r="K45" s="65">
        <v>620000</v>
      </c>
      <c r="L45" s="65">
        <v>0</v>
      </c>
      <c r="M45" s="63">
        <v>0</v>
      </c>
      <c r="N45" s="1"/>
      <c r="O45" s="65">
        <v>17975102</v>
      </c>
      <c r="P45" s="65">
        <v>946058</v>
      </c>
    </row>
    <row r="46" spans="1:16" ht="16" hidden="1" customHeight="1" outlineLevel="1" x14ac:dyDescent="0.45">
      <c r="A46" s="29" t="s">
        <v>175</v>
      </c>
      <c r="B46" s="44">
        <v>0</v>
      </c>
      <c r="C46" s="63">
        <v>0</v>
      </c>
      <c r="D46" s="63">
        <v>0</v>
      </c>
      <c r="E46" s="64">
        <v>0</v>
      </c>
      <c r="F46" s="63">
        <v>0</v>
      </c>
      <c r="G46" s="63">
        <v>0</v>
      </c>
      <c r="H46" s="65">
        <f t="shared" si="0"/>
        <v>0</v>
      </c>
      <c r="I46" s="65">
        <v>0</v>
      </c>
      <c r="J46" s="65">
        <v>0</v>
      </c>
      <c r="K46" s="65">
        <v>0</v>
      </c>
      <c r="L46" s="65">
        <v>0</v>
      </c>
      <c r="M46" s="63">
        <v>0</v>
      </c>
      <c r="N46" s="1"/>
      <c r="O46" s="65">
        <v>0</v>
      </c>
      <c r="P46" s="65">
        <v>0</v>
      </c>
    </row>
    <row r="47" spans="1:16" ht="16" hidden="1" customHeight="1" outlineLevel="1" x14ac:dyDescent="0.45">
      <c r="A47" s="29" t="s">
        <v>176</v>
      </c>
      <c r="B47" s="44">
        <v>0</v>
      </c>
      <c r="C47" s="63">
        <v>0</v>
      </c>
      <c r="D47" s="63">
        <v>0</v>
      </c>
      <c r="E47" s="64">
        <v>0</v>
      </c>
      <c r="F47" s="63">
        <v>0</v>
      </c>
      <c r="G47" s="63">
        <v>0</v>
      </c>
      <c r="H47" s="65">
        <f t="shared" si="0"/>
        <v>0</v>
      </c>
      <c r="I47" s="65">
        <v>0</v>
      </c>
      <c r="J47" s="65">
        <v>0</v>
      </c>
      <c r="K47" s="65">
        <v>0</v>
      </c>
      <c r="L47" s="65">
        <v>0</v>
      </c>
      <c r="M47" s="63">
        <v>0</v>
      </c>
      <c r="N47" s="1"/>
      <c r="O47" s="65">
        <v>0</v>
      </c>
      <c r="P47" s="65">
        <v>0</v>
      </c>
    </row>
    <row r="48" spans="1:16" ht="16" hidden="1" customHeight="1" outlineLevel="1" x14ac:dyDescent="0.45">
      <c r="A48" s="29" t="s">
        <v>26</v>
      </c>
      <c r="B48" s="44">
        <v>4021270800</v>
      </c>
      <c r="C48" s="63">
        <v>74135690</v>
      </c>
      <c r="D48" s="63">
        <v>68286250</v>
      </c>
      <c r="E48" s="64">
        <v>3878848860</v>
      </c>
      <c r="F48" s="63">
        <v>2544743116.8915186</v>
      </c>
      <c r="G48" s="63">
        <v>856442893.10848129</v>
      </c>
      <c r="H48" s="65">
        <f t="shared" si="0"/>
        <v>22970400</v>
      </c>
      <c r="I48" s="65">
        <v>24880120</v>
      </c>
      <c r="J48" s="65">
        <v>23217330</v>
      </c>
      <c r="K48" s="65">
        <v>103745190</v>
      </c>
      <c r="L48" s="65">
        <v>283015150</v>
      </c>
      <c r="M48" s="63">
        <v>19834660</v>
      </c>
      <c r="N48" s="1"/>
      <c r="O48" s="65">
        <v>21821880</v>
      </c>
      <c r="P48" s="65">
        <v>1148520</v>
      </c>
    </row>
    <row r="49" spans="1:16" ht="16" hidden="1" customHeight="1" outlineLevel="1" x14ac:dyDescent="0.45">
      <c r="A49" s="29" t="s">
        <v>27</v>
      </c>
      <c r="B49" s="44">
        <v>680440530</v>
      </c>
      <c r="C49" s="63">
        <v>11506580</v>
      </c>
      <c r="D49" s="63">
        <v>11597170</v>
      </c>
      <c r="E49" s="64">
        <v>657336780</v>
      </c>
      <c r="F49" s="63">
        <v>434233405.21515453</v>
      </c>
      <c r="G49" s="63">
        <v>141990644.7848455</v>
      </c>
      <c r="H49" s="65">
        <f t="shared" si="0"/>
        <v>4061170</v>
      </c>
      <c r="I49" s="65">
        <v>3971515</v>
      </c>
      <c r="J49" s="65">
        <v>3684485</v>
      </c>
      <c r="K49" s="65">
        <v>17575630</v>
      </c>
      <c r="L49" s="65">
        <v>48467840</v>
      </c>
      <c r="M49" s="63">
        <v>3352090</v>
      </c>
      <c r="N49" s="1"/>
      <c r="O49" s="65">
        <v>3858112</v>
      </c>
      <c r="P49" s="65">
        <v>203058</v>
      </c>
    </row>
    <row r="50" spans="1:16" ht="16" hidden="1" customHeight="1" outlineLevel="1" x14ac:dyDescent="0.45">
      <c r="A50" s="29" t="s">
        <v>28</v>
      </c>
      <c r="B50" s="44">
        <v>130753680</v>
      </c>
      <c r="C50" s="63">
        <v>5300000</v>
      </c>
      <c r="D50" s="63">
        <v>600000</v>
      </c>
      <c r="E50" s="64">
        <v>124853680</v>
      </c>
      <c r="F50" s="63">
        <v>90800090</v>
      </c>
      <c r="G50" s="63">
        <v>24900000</v>
      </c>
      <c r="H50" s="65">
        <f t="shared" si="0"/>
        <v>1200000</v>
      </c>
      <c r="I50" s="65">
        <v>444645</v>
      </c>
      <c r="J50" s="65">
        <v>444645</v>
      </c>
      <c r="K50" s="65">
        <v>2539290</v>
      </c>
      <c r="L50" s="65">
        <v>4525010</v>
      </c>
      <c r="M50" s="63">
        <v>0</v>
      </c>
      <c r="N50" s="1"/>
      <c r="O50" s="65">
        <v>1140000</v>
      </c>
      <c r="P50" s="65">
        <v>60000</v>
      </c>
    </row>
    <row r="51" spans="1:16" ht="16" hidden="1" customHeight="1" outlineLevel="1" x14ac:dyDescent="0.45">
      <c r="A51" s="29" t="s">
        <v>29</v>
      </c>
      <c r="B51" s="44">
        <v>282399350</v>
      </c>
      <c r="C51" s="63">
        <v>4644560</v>
      </c>
      <c r="D51" s="63">
        <v>4561430</v>
      </c>
      <c r="E51" s="64">
        <v>273193360</v>
      </c>
      <c r="F51" s="63">
        <v>180699447.57268086</v>
      </c>
      <c r="G51" s="63">
        <v>59689192.427319132</v>
      </c>
      <c r="H51" s="65">
        <f t="shared" si="0"/>
        <v>1550000</v>
      </c>
      <c r="I51" s="65">
        <v>1776970</v>
      </c>
      <c r="J51" s="65">
        <v>1621970</v>
      </c>
      <c r="K51" s="65">
        <v>7041450</v>
      </c>
      <c r="L51" s="65">
        <v>19419330</v>
      </c>
      <c r="M51" s="63">
        <v>1395000</v>
      </c>
      <c r="N51" s="1"/>
      <c r="O51" s="65">
        <v>1472500</v>
      </c>
      <c r="P51" s="65">
        <v>77500</v>
      </c>
    </row>
    <row r="52" spans="1:16" ht="16" hidden="1" customHeight="1" outlineLevel="1" x14ac:dyDescent="0.45">
      <c r="A52" s="29" t="s">
        <v>127</v>
      </c>
      <c r="B52" s="44">
        <v>180000</v>
      </c>
      <c r="C52" s="63">
        <v>60000</v>
      </c>
      <c r="D52" s="63">
        <v>80000</v>
      </c>
      <c r="E52" s="64">
        <v>40000</v>
      </c>
      <c r="F52" s="63">
        <v>40000</v>
      </c>
      <c r="G52" s="63">
        <v>0</v>
      </c>
      <c r="H52" s="65">
        <f t="shared" si="0"/>
        <v>0</v>
      </c>
      <c r="I52" s="65">
        <v>0</v>
      </c>
      <c r="J52" s="65">
        <v>0</v>
      </c>
      <c r="K52" s="65">
        <v>0</v>
      </c>
      <c r="L52" s="65">
        <v>0</v>
      </c>
      <c r="M52" s="63">
        <v>0</v>
      </c>
      <c r="N52" s="1"/>
      <c r="O52" s="65">
        <v>0</v>
      </c>
      <c r="P52" s="65">
        <v>0</v>
      </c>
    </row>
    <row r="53" spans="1:16" ht="16" hidden="1" customHeight="1" outlineLevel="1" x14ac:dyDescent="0.45">
      <c r="A53" s="29" t="s">
        <v>177</v>
      </c>
      <c r="B53" s="44">
        <v>0</v>
      </c>
      <c r="C53" s="63">
        <v>0</v>
      </c>
      <c r="D53" s="63">
        <v>0</v>
      </c>
      <c r="E53" s="64">
        <v>0</v>
      </c>
      <c r="F53" s="63">
        <v>0</v>
      </c>
      <c r="G53" s="63">
        <v>0</v>
      </c>
      <c r="H53" s="65">
        <f t="shared" si="0"/>
        <v>0</v>
      </c>
      <c r="I53" s="65">
        <v>0</v>
      </c>
      <c r="J53" s="65">
        <v>0</v>
      </c>
      <c r="K53" s="65">
        <v>0</v>
      </c>
      <c r="L53" s="65">
        <v>0</v>
      </c>
      <c r="M53" s="63">
        <v>0</v>
      </c>
      <c r="N53" s="1"/>
      <c r="O53" s="65">
        <v>0</v>
      </c>
      <c r="P53" s="65">
        <v>0</v>
      </c>
    </row>
    <row r="54" spans="1:16" ht="16" hidden="1" customHeight="1" outlineLevel="1" x14ac:dyDescent="0.45">
      <c r="A54" s="29" t="s">
        <v>30</v>
      </c>
      <c r="B54" s="44">
        <v>35411540</v>
      </c>
      <c r="C54" s="63">
        <v>9283920</v>
      </c>
      <c r="D54" s="63">
        <v>0</v>
      </c>
      <c r="E54" s="64">
        <v>26127620</v>
      </c>
      <c r="F54" s="63">
        <v>18746330</v>
      </c>
      <c r="G54" s="63">
        <v>4313700</v>
      </c>
      <c r="H54" s="65">
        <f t="shared" si="0"/>
        <v>0</v>
      </c>
      <c r="I54" s="65">
        <v>0</v>
      </c>
      <c r="J54" s="65">
        <v>0</v>
      </c>
      <c r="K54" s="65">
        <v>1817550</v>
      </c>
      <c r="L54" s="65">
        <v>978670</v>
      </c>
      <c r="M54" s="63">
        <v>271370</v>
      </c>
      <c r="N54" s="1"/>
      <c r="O54" s="65">
        <v>0</v>
      </c>
      <c r="P54" s="65">
        <v>0</v>
      </c>
    </row>
    <row r="55" spans="1:16" ht="16" hidden="1" customHeight="1" outlineLevel="1" x14ac:dyDescent="0.45">
      <c r="A55" s="29" t="s">
        <v>128</v>
      </c>
      <c r="B55" s="44">
        <v>59582880</v>
      </c>
      <c r="C55" s="63">
        <v>0</v>
      </c>
      <c r="D55" s="63">
        <v>0</v>
      </c>
      <c r="E55" s="64">
        <v>59582880</v>
      </c>
      <c r="F55" s="63">
        <v>0</v>
      </c>
      <c r="G55" s="63">
        <v>0</v>
      </c>
      <c r="H55" s="65">
        <f t="shared" si="0"/>
        <v>0</v>
      </c>
      <c r="I55" s="65">
        <v>0</v>
      </c>
      <c r="J55" s="65">
        <v>0</v>
      </c>
      <c r="K55" s="65">
        <v>0</v>
      </c>
      <c r="L55" s="65">
        <v>59582880</v>
      </c>
      <c r="M55" s="63">
        <v>0</v>
      </c>
      <c r="N55" s="1"/>
      <c r="O55" s="65">
        <v>0</v>
      </c>
      <c r="P55" s="65">
        <v>0</v>
      </c>
    </row>
    <row r="56" spans="1:16" ht="16" hidden="1" customHeight="1" outlineLevel="1" x14ac:dyDescent="0.45">
      <c r="A56" s="29" t="s">
        <v>129</v>
      </c>
      <c r="B56" s="44">
        <v>0</v>
      </c>
      <c r="C56" s="63">
        <v>0</v>
      </c>
      <c r="D56" s="63">
        <v>0</v>
      </c>
      <c r="E56" s="64">
        <v>0</v>
      </c>
      <c r="F56" s="63">
        <v>0</v>
      </c>
      <c r="G56" s="63">
        <v>0</v>
      </c>
      <c r="H56" s="65">
        <f t="shared" si="0"/>
        <v>0</v>
      </c>
      <c r="I56" s="65">
        <v>0</v>
      </c>
      <c r="J56" s="65">
        <v>0</v>
      </c>
      <c r="K56" s="65">
        <v>0</v>
      </c>
      <c r="L56" s="65">
        <v>0</v>
      </c>
      <c r="M56" s="63">
        <v>0</v>
      </c>
      <c r="N56" s="1"/>
      <c r="O56" s="65">
        <v>0</v>
      </c>
      <c r="P56" s="65">
        <v>0</v>
      </c>
    </row>
    <row r="57" spans="1:16" ht="16" hidden="1" customHeight="1" outlineLevel="1" x14ac:dyDescent="0.45">
      <c r="A57" s="29" t="s">
        <v>178</v>
      </c>
      <c r="B57" s="44">
        <v>0</v>
      </c>
      <c r="C57" s="63">
        <v>0</v>
      </c>
      <c r="D57" s="63">
        <v>0</v>
      </c>
      <c r="E57" s="64">
        <v>0</v>
      </c>
      <c r="F57" s="63">
        <v>0</v>
      </c>
      <c r="G57" s="63">
        <v>0</v>
      </c>
      <c r="H57" s="65">
        <f t="shared" si="0"/>
        <v>0</v>
      </c>
      <c r="I57" s="65">
        <v>0</v>
      </c>
      <c r="J57" s="65">
        <v>0</v>
      </c>
      <c r="K57" s="65">
        <v>0</v>
      </c>
      <c r="L57" s="65">
        <v>0</v>
      </c>
      <c r="M57" s="63">
        <v>0</v>
      </c>
      <c r="N57" s="1"/>
      <c r="O57" s="65">
        <v>0</v>
      </c>
      <c r="P57" s="65">
        <v>0</v>
      </c>
    </row>
    <row r="58" spans="1:16" ht="16" hidden="1" customHeight="1" outlineLevel="1" x14ac:dyDescent="0.45">
      <c r="A58" s="29" t="s">
        <v>31</v>
      </c>
      <c r="B58" s="44">
        <v>13115270</v>
      </c>
      <c r="C58" s="63">
        <v>1867880</v>
      </c>
      <c r="D58" s="63">
        <v>307730</v>
      </c>
      <c r="E58" s="64">
        <v>10939660</v>
      </c>
      <c r="F58" s="63">
        <v>6961199.5330108022</v>
      </c>
      <c r="G58" s="63">
        <v>3423700.4669891978</v>
      </c>
      <c r="H58" s="65">
        <f t="shared" si="0"/>
        <v>336240</v>
      </c>
      <c r="I58" s="65">
        <v>0</v>
      </c>
      <c r="J58" s="65">
        <v>0</v>
      </c>
      <c r="K58" s="65">
        <v>0</v>
      </c>
      <c r="L58" s="65">
        <v>76590</v>
      </c>
      <c r="M58" s="63">
        <v>141930</v>
      </c>
      <c r="N58" s="1"/>
      <c r="O58" s="65">
        <v>319426</v>
      </c>
      <c r="P58" s="65">
        <v>16814</v>
      </c>
    </row>
    <row r="59" spans="1:16" ht="16" hidden="1" customHeight="1" outlineLevel="1" x14ac:dyDescent="0.45">
      <c r="A59" s="29" t="s">
        <v>113</v>
      </c>
      <c r="B59" s="44">
        <v>0</v>
      </c>
      <c r="C59" s="63">
        <v>0</v>
      </c>
      <c r="D59" s="63">
        <v>0</v>
      </c>
      <c r="E59" s="64">
        <v>0</v>
      </c>
      <c r="F59" s="63">
        <v>0</v>
      </c>
      <c r="G59" s="63">
        <v>0</v>
      </c>
      <c r="H59" s="65">
        <f t="shared" si="0"/>
        <v>0</v>
      </c>
      <c r="I59" s="65">
        <v>0</v>
      </c>
      <c r="J59" s="65">
        <v>0</v>
      </c>
      <c r="K59" s="65">
        <v>0</v>
      </c>
      <c r="L59" s="65">
        <v>0</v>
      </c>
      <c r="M59" s="63">
        <v>0</v>
      </c>
      <c r="N59" s="1"/>
      <c r="O59" s="65">
        <v>0</v>
      </c>
      <c r="P59" s="65">
        <v>0</v>
      </c>
    </row>
    <row r="60" spans="1:16" ht="16" hidden="1" customHeight="1" outlineLevel="1" x14ac:dyDescent="0.45">
      <c r="A60" s="29" t="s">
        <v>32</v>
      </c>
      <c r="B60" s="44">
        <v>62474252</v>
      </c>
      <c r="C60" s="63">
        <v>1600000</v>
      </c>
      <c r="D60" s="63">
        <v>500000</v>
      </c>
      <c r="E60" s="64">
        <v>60374252</v>
      </c>
      <c r="F60" s="63">
        <v>4805138</v>
      </c>
      <c r="G60" s="63">
        <v>3466350</v>
      </c>
      <c r="H60" s="65">
        <f t="shared" si="0"/>
        <v>0</v>
      </c>
      <c r="I60" s="65">
        <v>0</v>
      </c>
      <c r="J60" s="65">
        <v>0</v>
      </c>
      <c r="K60" s="65">
        <v>0</v>
      </c>
      <c r="L60" s="65">
        <v>51102764</v>
      </c>
      <c r="M60" s="63">
        <v>1000000</v>
      </c>
      <c r="N60" s="1"/>
      <c r="O60" s="65">
        <v>0</v>
      </c>
      <c r="P60" s="65">
        <v>0</v>
      </c>
    </row>
    <row r="61" spans="1:16" ht="16" hidden="1" customHeight="1" outlineLevel="1" x14ac:dyDescent="0.45">
      <c r="A61" s="29" t="s">
        <v>130</v>
      </c>
      <c r="B61" s="44">
        <v>9768571</v>
      </c>
      <c r="C61" s="63">
        <v>0</v>
      </c>
      <c r="D61" s="63">
        <v>0</v>
      </c>
      <c r="E61" s="64">
        <v>9768571</v>
      </c>
      <c r="F61" s="63">
        <v>0</v>
      </c>
      <c r="G61" s="63">
        <v>0</v>
      </c>
      <c r="H61" s="65">
        <f t="shared" si="0"/>
        <v>0</v>
      </c>
      <c r="I61" s="65">
        <v>0</v>
      </c>
      <c r="J61" s="65">
        <v>0</v>
      </c>
      <c r="K61" s="65">
        <v>0</v>
      </c>
      <c r="L61" s="65">
        <v>9768571</v>
      </c>
      <c r="M61" s="63">
        <v>0</v>
      </c>
      <c r="N61" s="1"/>
      <c r="O61" s="65">
        <v>0</v>
      </c>
      <c r="P61" s="65">
        <v>0</v>
      </c>
    </row>
    <row r="62" spans="1:16" ht="16" hidden="1" customHeight="1" outlineLevel="1" x14ac:dyDescent="0.45">
      <c r="A62" s="29" t="s">
        <v>302</v>
      </c>
      <c r="B62" s="44">
        <v>0</v>
      </c>
      <c r="C62" s="63">
        <v>0</v>
      </c>
      <c r="D62" s="63">
        <v>0</v>
      </c>
      <c r="E62" s="64">
        <v>0</v>
      </c>
      <c r="F62" s="63">
        <v>0</v>
      </c>
      <c r="G62" s="63">
        <v>0</v>
      </c>
      <c r="H62" s="65">
        <f t="shared" si="0"/>
        <v>0</v>
      </c>
      <c r="I62" s="65">
        <v>0</v>
      </c>
      <c r="J62" s="65">
        <v>0</v>
      </c>
      <c r="K62" s="65">
        <v>0</v>
      </c>
      <c r="L62" s="65">
        <v>0</v>
      </c>
      <c r="M62" s="63">
        <v>0</v>
      </c>
      <c r="N62" s="1"/>
      <c r="O62" s="65">
        <v>0</v>
      </c>
      <c r="P62" s="65">
        <v>0</v>
      </c>
    </row>
    <row r="63" spans="1:16" ht="16" customHeight="1" collapsed="1" x14ac:dyDescent="0.45">
      <c r="A63" s="28" t="s">
        <v>33</v>
      </c>
      <c r="B63" s="43">
        <v>1242119784</v>
      </c>
      <c r="C63" s="60">
        <v>-899838316</v>
      </c>
      <c r="D63" s="60">
        <v>361922620</v>
      </c>
      <c r="E63" s="61">
        <v>1780035480</v>
      </c>
      <c r="F63" s="60">
        <v>1017090588.3938751</v>
      </c>
      <c r="G63" s="60">
        <v>317731161.60612494</v>
      </c>
      <c r="H63" s="62">
        <f t="shared" si="0"/>
        <v>72892430</v>
      </c>
      <c r="I63" s="62">
        <v>23778021.852646627</v>
      </c>
      <c r="J63" s="62">
        <v>23664991.075648915</v>
      </c>
      <c r="K63" s="62">
        <v>50230499.793639392</v>
      </c>
      <c r="L63" s="62">
        <v>165438427.27806509</v>
      </c>
      <c r="M63" s="60">
        <v>109209360</v>
      </c>
      <c r="N63" s="1"/>
      <c r="O63" s="62">
        <v>69247809</v>
      </c>
      <c r="P63" s="62">
        <v>3644621</v>
      </c>
    </row>
    <row r="64" spans="1:16" s="1" customFormat="1" hidden="1" outlineLevel="1" collapsed="1" x14ac:dyDescent="0.45">
      <c r="A64" s="29" t="s">
        <v>34</v>
      </c>
      <c r="B64" s="44">
        <v>111799000</v>
      </c>
      <c r="C64" s="63">
        <v>111799000</v>
      </c>
      <c r="D64" s="63">
        <v>0</v>
      </c>
      <c r="E64" s="64">
        <v>0</v>
      </c>
      <c r="F64" s="63">
        <v>0</v>
      </c>
      <c r="G64" s="63">
        <v>0</v>
      </c>
      <c r="H64" s="65">
        <f t="shared" si="0"/>
        <v>0</v>
      </c>
      <c r="I64" s="65">
        <v>0</v>
      </c>
      <c r="J64" s="65">
        <v>0</v>
      </c>
      <c r="K64" s="65">
        <v>0</v>
      </c>
      <c r="L64" s="65">
        <v>0</v>
      </c>
      <c r="M64" s="63">
        <v>0</v>
      </c>
      <c r="O64" s="65">
        <v>0</v>
      </c>
      <c r="P64" s="65">
        <v>0</v>
      </c>
    </row>
    <row r="65" spans="1:16" ht="16" hidden="1" customHeight="1" outlineLevel="1" x14ac:dyDescent="0.45">
      <c r="A65" s="29" t="s">
        <v>179</v>
      </c>
      <c r="B65" s="44">
        <v>-522766066</v>
      </c>
      <c r="C65" s="63">
        <v>-1946681586</v>
      </c>
      <c r="D65" s="63">
        <v>190069460</v>
      </c>
      <c r="E65" s="64">
        <v>1233846060</v>
      </c>
      <c r="F65" s="63">
        <v>569649294.29961324</v>
      </c>
      <c r="G65" s="63">
        <v>253518055.70038685</v>
      </c>
      <c r="H65" s="65">
        <f t="shared" si="0"/>
        <v>46811290</v>
      </c>
      <c r="I65" s="65">
        <v>23778021.852646627</v>
      </c>
      <c r="J65" s="65">
        <v>23664991.075648915</v>
      </c>
      <c r="K65" s="65">
        <v>49360499.793639392</v>
      </c>
      <c r="L65" s="65">
        <v>157854547.27806509</v>
      </c>
      <c r="M65" s="63">
        <v>109209360</v>
      </c>
      <c r="N65" s="1"/>
      <c r="O65" s="65">
        <v>44470726</v>
      </c>
      <c r="P65" s="65">
        <v>2340564</v>
      </c>
    </row>
    <row r="66" spans="1:16" ht="16" hidden="1" customHeight="1" outlineLevel="1" x14ac:dyDescent="0.45">
      <c r="A66" s="29" t="s">
        <v>180</v>
      </c>
      <c r="B66" s="44">
        <v>1043983310</v>
      </c>
      <c r="C66" s="63">
        <v>361825750</v>
      </c>
      <c r="D66" s="63">
        <v>171853160</v>
      </c>
      <c r="E66" s="64">
        <v>510304400</v>
      </c>
      <c r="F66" s="63">
        <v>446091294.09426194</v>
      </c>
      <c r="G66" s="63">
        <v>64213105.905738078</v>
      </c>
      <c r="H66" s="65">
        <f t="shared" si="0"/>
        <v>0</v>
      </c>
      <c r="I66" s="65">
        <v>0</v>
      </c>
      <c r="J66" s="65">
        <v>0</v>
      </c>
      <c r="K66" s="65">
        <v>0</v>
      </c>
      <c r="L66" s="65">
        <v>0</v>
      </c>
      <c r="M66" s="63">
        <v>0</v>
      </c>
      <c r="N66" s="1"/>
      <c r="O66" s="65">
        <v>0</v>
      </c>
      <c r="P66" s="65">
        <v>0</v>
      </c>
    </row>
    <row r="67" spans="1:16" ht="16" hidden="1" customHeight="1" outlineLevel="1" x14ac:dyDescent="0.45">
      <c r="A67" s="29" t="s">
        <v>131</v>
      </c>
      <c r="B67" s="44">
        <v>28301140</v>
      </c>
      <c r="C67" s="63">
        <v>0</v>
      </c>
      <c r="D67" s="63">
        <v>0</v>
      </c>
      <c r="E67" s="64">
        <v>28301140</v>
      </c>
      <c r="F67" s="63">
        <v>1350000</v>
      </c>
      <c r="G67" s="63">
        <v>0</v>
      </c>
      <c r="H67" s="65">
        <f t="shared" si="0"/>
        <v>26081140</v>
      </c>
      <c r="I67" s="65">
        <v>0</v>
      </c>
      <c r="J67" s="65">
        <v>0</v>
      </c>
      <c r="K67" s="65">
        <v>870000</v>
      </c>
      <c r="L67" s="65">
        <v>0</v>
      </c>
      <c r="M67" s="63">
        <v>0</v>
      </c>
      <c r="N67" s="1"/>
      <c r="O67" s="65">
        <v>24777083</v>
      </c>
      <c r="P67" s="65">
        <v>1304057</v>
      </c>
    </row>
    <row r="68" spans="1:16" ht="16" hidden="1" customHeight="1" outlineLevel="1" x14ac:dyDescent="0.45">
      <c r="A68" s="29" t="s">
        <v>35</v>
      </c>
      <c r="B68" s="44">
        <v>573218520</v>
      </c>
      <c r="C68" s="63">
        <v>573218520</v>
      </c>
      <c r="D68" s="63">
        <v>0</v>
      </c>
      <c r="E68" s="64">
        <v>0</v>
      </c>
      <c r="F68" s="63">
        <v>0</v>
      </c>
      <c r="G68" s="63">
        <v>0</v>
      </c>
      <c r="H68" s="65">
        <f t="shared" ref="H68:H131" si="1">O68+P68</f>
        <v>0</v>
      </c>
      <c r="I68" s="65">
        <v>0</v>
      </c>
      <c r="J68" s="65">
        <v>0</v>
      </c>
      <c r="K68" s="65">
        <v>0</v>
      </c>
      <c r="L68" s="65">
        <v>0</v>
      </c>
      <c r="M68" s="63">
        <v>0</v>
      </c>
      <c r="N68" s="1"/>
      <c r="O68" s="65">
        <v>0</v>
      </c>
      <c r="P68" s="65">
        <v>0</v>
      </c>
    </row>
    <row r="69" spans="1:16" ht="16" hidden="1" customHeight="1" outlineLevel="1" x14ac:dyDescent="0.45">
      <c r="A69" s="29" t="s">
        <v>132</v>
      </c>
      <c r="B69" s="44">
        <v>7583880</v>
      </c>
      <c r="C69" s="63">
        <v>0</v>
      </c>
      <c r="D69" s="63">
        <v>0</v>
      </c>
      <c r="E69" s="64">
        <v>7583880</v>
      </c>
      <c r="F69" s="63">
        <v>0</v>
      </c>
      <c r="G69" s="63">
        <v>0</v>
      </c>
      <c r="H69" s="65">
        <f t="shared" si="1"/>
        <v>0</v>
      </c>
      <c r="I69" s="65">
        <v>0</v>
      </c>
      <c r="J69" s="65">
        <v>0</v>
      </c>
      <c r="K69" s="65">
        <v>0</v>
      </c>
      <c r="L69" s="65">
        <v>7583880</v>
      </c>
      <c r="M69" s="63">
        <v>0</v>
      </c>
      <c r="N69" s="1"/>
      <c r="O69" s="65">
        <v>0</v>
      </c>
      <c r="P69" s="65">
        <v>0</v>
      </c>
    </row>
    <row r="70" spans="1:16" ht="16" customHeight="1" collapsed="1" x14ac:dyDescent="0.45">
      <c r="A70" s="28" t="s">
        <v>133</v>
      </c>
      <c r="B70" s="43">
        <v>0</v>
      </c>
      <c r="C70" s="60">
        <v>0</v>
      </c>
      <c r="D70" s="60">
        <v>0</v>
      </c>
      <c r="E70" s="61">
        <v>0</v>
      </c>
      <c r="F70" s="60">
        <v>0</v>
      </c>
      <c r="G70" s="60">
        <v>0</v>
      </c>
      <c r="H70" s="62">
        <f t="shared" si="1"/>
        <v>0</v>
      </c>
      <c r="I70" s="62">
        <v>0</v>
      </c>
      <c r="J70" s="62">
        <v>0</v>
      </c>
      <c r="K70" s="62">
        <v>0</v>
      </c>
      <c r="L70" s="62">
        <v>0</v>
      </c>
      <c r="M70" s="60">
        <v>0</v>
      </c>
      <c r="N70" s="1"/>
      <c r="O70" s="62">
        <v>0</v>
      </c>
      <c r="P70" s="62">
        <v>0</v>
      </c>
    </row>
    <row r="71" spans="1:16" s="1" customFormat="1" collapsed="1" x14ac:dyDescent="0.45">
      <c r="A71" s="28" t="s">
        <v>36</v>
      </c>
      <c r="B71" s="43">
        <v>743627707</v>
      </c>
      <c r="C71" s="60">
        <v>44151862</v>
      </c>
      <c r="D71" s="60">
        <v>20133289</v>
      </c>
      <c r="E71" s="61">
        <v>679342556</v>
      </c>
      <c r="F71" s="60">
        <v>419719171.05043739</v>
      </c>
      <c r="G71" s="60">
        <v>130066054.15771203</v>
      </c>
      <c r="H71" s="62">
        <f t="shared" si="1"/>
        <v>38240284.791850589</v>
      </c>
      <c r="I71" s="62">
        <v>4418501.1728300406</v>
      </c>
      <c r="J71" s="62">
        <v>4292469.5424731476</v>
      </c>
      <c r="K71" s="62">
        <v>17627256.940680917</v>
      </c>
      <c r="L71" s="62">
        <v>57133322.344015896</v>
      </c>
      <c r="M71" s="60">
        <v>7845496</v>
      </c>
      <c r="O71" s="62">
        <v>36313793.810132422</v>
      </c>
      <c r="P71" s="62">
        <v>1926490.9817181642</v>
      </c>
    </row>
    <row r="72" spans="1:16" s="1" customFormat="1" hidden="1" outlineLevel="1" x14ac:dyDescent="0.45">
      <c r="A72" s="29" t="s">
        <v>37</v>
      </c>
      <c r="B72" s="44">
        <v>743627707</v>
      </c>
      <c r="C72" s="63">
        <v>44151862</v>
      </c>
      <c r="D72" s="63">
        <v>20133289</v>
      </c>
      <c r="E72" s="64">
        <v>679342556</v>
      </c>
      <c r="F72" s="63">
        <v>419719171.05043739</v>
      </c>
      <c r="G72" s="63">
        <v>130066054.15771203</v>
      </c>
      <c r="H72" s="65">
        <f t="shared" si="1"/>
        <v>38240284.791850589</v>
      </c>
      <c r="I72" s="65">
        <v>4418501.1728300406</v>
      </c>
      <c r="J72" s="65">
        <v>4292469.5424731476</v>
      </c>
      <c r="K72" s="65">
        <v>17627256.940680917</v>
      </c>
      <c r="L72" s="65">
        <v>57133322.344015896</v>
      </c>
      <c r="M72" s="63">
        <v>7845496</v>
      </c>
      <c r="O72" s="65">
        <v>36313793.810132422</v>
      </c>
      <c r="P72" s="65">
        <v>1926490.9817181642</v>
      </c>
    </row>
    <row r="73" spans="1:16" ht="16" customHeight="1" collapsed="1" x14ac:dyDescent="0.45">
      <c r="A73" s="28" t="s">
        <v>181</v>
      </c>
      <c r="B73" s="43">
        <v>9743053</v>
      </c>
      <c r="C73" s="60">
        <v>-84756947</v>
      </c>
      <c r="D73" s="60">
        <v>10000000</v>
      </c>
      <c r="E73" s="61">
        <v>84500000</v>
      </c>
      <c r="F73" s="60">
        <v>25526503.662161272</v>
      </c>
      <c r="G73" s="60">
        <v>7473496.337838727</v>
      </c>
      <c r="H73" s="62">
        <f t="shared" si="1"/>
        <v>29000000</v>
      </c>
      <c r="I73" s="62">
        <v>4000000</v>
      </c>
      <c r="J73" s="62">
        <v>5000000</v>
      </c>
      <c r="K73" s="62">
        <v>7000000</v>
      </c>
      <c r="L73" s="62">
        <v>6500000</v>
      </c>
      <c r="M73" s="60">
        <v>0</v>
      </c>
      <c r="N73" s="1"/>
      <c r="O73" s="62">
        <v>27550000</v>
      </c>
      <c r="P73" s="62">
        <v>1450000</v>
      </c>
    </row>
    <row r="74" spans="1:16" s="1" customFormat="1" collapsed="1" x14ac:dyDescent="0.45">
      <c r="A74" s="28" t="s">
        <v>38</v>
      </c>
      <c r="B74" s="43">
        <v>2792868213</v>
      </c>
      <c r="C74" s="60">
        <v>94826989.000000477</v>
      </c>
      <c r="D74" s="60">
        <v>152972988</v>
      </c>
      <c r="E74" s="61">
        <v>2545068235.9999995</v>
      </c>
      <c r="F74" s="60">
        <v>1822697974.1629162</v>
      </c>
      <c r="G74" s="60">
        <v>447450347.56741381</v>
      </c>
      <c r="H74" s="62">
        <f t="shared" si="1"/>
        <v>130287159.26966991</v>
      </c>
      <c r="I74" s="62">
        <v>7437872.6925188573</v>
      </c>
      <c r="J74" s="62">
        <v>7245169.5703024622</v>
      </c>
      <c r="K74" s="62">
        <v>31359598.127528396</v>
      </c>
      <c r="L74" s="62">
        <v>87558642.609650284</v>
      </c>
      <c r="M74" s="60">
        <v>11031472</v>
      </c>
      <c r="O74" s="62">
        <v>123757536.03416233</v>
      </c>
      <c r="P74" s="62">
        <v>6529623.235507573</v>
      </c>
    </row>
    <row r="75" spans="1:16" s="1" customFormat="1" hidden="1" outlineLevel="1" x14ac:dyDescent="0.45">
      <c r="A75" s="29" t="s">
        <v>39</v>
      </c>
      <c r="B75" s="44">
        <v>0</v>
      </c>
      <c r="C75" s="63">
        <v>0</v>
      </c>
      <c r="D75" s="63">
        <v>0</v>
      </c>
      <c r="E75" s="64">
        <v>0</v>
      </c>
      <c r="F75" s="63">
        <v>0</v>
      </c>
      <c r="G75" s="63">
        <v>0</v>
      </c>
      <c r="H75" s="65">
        <f t="shared" si="1"/>
        <v>0</v>
      </c>
      <c r="I75" s="65">
        <v>0</v>
      </c>
      <c r="J75" s="65">
        <v>0</v>
      </c>
      <c r="K75" s="65">
        <v>0</v>
      </c>
      <c r="L75" s="65">
        <v>0</v>
      </c>
      <c r="M75" s="63">
        <v>0</v>
      </c>
      <c r="O75" s="65">
        <v>0</v>
      </c>
      <c r="P75" s="65">
        <v>0</v>
      </c>
    </row>
    <row r="76" spans="1:16" ht="16" hidden="1" customHeight="1" outlineLevel="1" x14ac:dyDescent="0.45">
      <c r="A76" s="29" t="s">
        <v>40</v>
      </c>
      <c r="B76" s="44">
        <v>63753220</v>
      </c>
      <c r="C76" s="63">
        <v>4714205</v>
      </c>
      <c r="D76" s="63">
        <v>3478130</v>
      </c>
      <c r="E76" s="64">
        <v>55560885</v>
      </c>
      <c r="F76" s="63">
        <v>34329791.132953078</v>
      </c>
      <c r="G76" s="63">
        <v>10495098.245170599</v>
      </c>
      <c r="H76" s="65">
        <f t="shared" si="1"/>
        <v>3226051.621876325</v>
      </c>
      <c r="I76" s="65">
        <v>413900.17931578879</v>
      </c>
      <c r="J76" s="65">
        <v>404921.61780847132</v>
      </c>
      <c r="K76" s="65">
        <v>1345713.0592802484</v>
      </c>
      <c r="L76" s="65">
        <v>4216162.1435954915</v>
      </c>
      <c r="M76" s="63">
        <v>1129247</v>
      </c>
      <c r="N76" s="1"/>
      <c r="O76" s="65">
        <v>3063623.967750954</v>
      </c>
      <c r="P76" s="65">
        <v>162427.65412537099</v>
      </c>
    </row>
    <row r="77" spans="1:16" ht="16" hidden="1" customHeight="1" outlineLevel="1" x14ac:dyDescent="0.45">
      <c r="A77" s="29" t="s">
        <v>41</v>
      </c>
      <c r="B77" s="44">
        <v>320064810</v>
      </c>
      <c r="C77" s="63">
        <v>19003400</v>
      </c>
      <c r="D77" s="63">
        <v>8665570</v>
      </c>
      <c r="E77" s="64">
        <v>292395840</v>
      </c>
      <c r="F77" s="63">
        <v>180651337.46127319</v>
      </c>
      <c r="G77" s="63">
        <v>55981731.337156594</v>
      </c>
      <c r="H77" s="65">
        <f t="shared" si="1"/>
        <v>16459001.201570213</v>
      </c>
      <c r="I77" s="65">
        <v>1901767.1072172259</v>
      </c>
      <c r="J77" s="65">
        <v>1847521.9821078314</v>
      </c>
      <c r="K77" s="65">
        <v>7586946.9064729577</v>
      </c>
      <c r="L77" s="65">
        <v>24590754.004201986</v>
      </c>
      <c r="M77" s="63">
        <v>3376780</v>
      </c>
      <c r="N77" s="1"/>
      <c r="O77" s="65">
        <v>15629820.665130554</v>
      </c>
      <c r="P77" s="65">
        <v>829180.53643965966</v>
      </c>
    </row>
    <row r="78" spans="1:16" ht="16" hidden="1" customHeight="1" outlineLevel="1" x14ac:dyDescent="0.45">
      <c r="A78" s="29" t="s">
        <v>42</v>
      </c>
      <c r="B78" s="44">
        <v>339711380</v>
      </c>
      <c r="C78" s="63">
        <v>13835119.999999881</v>
      </c>
      <c r="D78" s="63">
        <v>8400550</v>
      </c>
      <c r="E78" s="64">
        <v>317475710.00000012</v>
      </c>
      <c r="F78" s="63">
        <v>197017901.68313298</v>
      </c>
      <c r="G78" s="63">
        <v>62210672.67455484</v>
      </c>
      <c r="H78" s="65">
        <f t="shared" si="1"/>
        <v>19032365.642312195</v>
      </c>
      <c r="I78" s="65">
        <v>1957650.2208661945</v>
      </c>
      <c r="J78" s="65">
        <v>1904668.8730358416</v>
      </c>
      <c r="K78" s="65">
        <v>7818124.1038958775</v>
      </c>
      <c r="L78" s="65">
        <v>24197516.802202087</v>
      </c>
      <c r="M78" s="63">
        <v>3336810</v>
      </c>
      <c r="N78" s="1"/>
      <c r="O78" s="65">
        <v>18076060.46246478</v>
      </c>
      <c r="P78" s="65">
        <v>956305.17984741437</v>
      </c>
    </row>
    <row r="79" spans="1:16" ht="16" hidden="1" customHeight="1" outlineLevel="1" x14ac:dyDescent="0.45">
      <c r="A79" s="29" t="s">
        <v>43</v>
      </c>
      <c r="B79" s="44">
        <v>119177830</v>
      </c>
      <c r="C79" s="63">
        <v>8497940</v>
      </c>
      <c r="D79" s="63">
        <v>6520418</v>
      </c>
      <c r="E79" s="64">
        <v>104159472</v>
      </c>
      <c r="F79" s="63">
        <v>64357737.224127941</v>
      </c>
      <c r="G79" s="63">
        <v>19675064.452575348</v>
      </c>
      <c r="H79" s="65">
        <f t="shared" si="1"/>
        <v>6047847.3232967108</v>
      </c>
      <c r="I79" s="65">
        <v>775936.49150205893</v>
      </c>
      <c r="J79" s="65">
        <v>759103.26935054327</v>
      </c>
      <c r="K79" s="65">
        <v>2522797.4646638231</v>
      </c>
      <c r="L79" s="65">
        <v>7903997.7744835746</v>
      </c>
      <c r="M79" s="63">
        <v>2116988</v>
      </c>
      <c r="N79" s="1"/>
      <c r="O79" s="65">
        <v>5743345.6327736322</v>
      </c>
      <c r="P79" s="65">
        <v>304501.69052307907</v>
      </c>
    </row>
    <row r="80" spans="1:16" ht="16" hidden="1" customHeight="1" outlineLevel="1" x14ac:dyDescent="0.45">
      <c r="A80" s="29" t="s">
        <v>134</v>
      </c>
      <c r="B80" s="44">
        <v>0</v>
      </c>
      <c r="C80" s="63">
        <v>0</v>
      </c>
      <c r="D80" s="63">
        <v>0</v>
      </c>
      <c r="E80" s="64">
        <v>0</v>
      </c>
      <c r="F80" s="63">
        <v>0</v>
      </c>
      <c r="G80" s="63">
        <v>0</v>
      </c>
      <c r="H80" s="65">
        <f t="shared" si="1"/>
        <v>0</v>
      </c>
      <c r="I80" s="65">
        <v>0</v>
      </c>
      <c r="J80" s="65">
        <v>0</v>
      </c>
      <c r="K80" s="65">
        <v>0</v>
      </c>
      <c r="L80" s="65">
        <v>0</v>
      </c>
      <c r="M80" s="63">
        <v>0</v>
      </c>
      <c r="N80" s="1"/>
      <c r="O80" s="65">
        <v>0</v>
      </c>
      <c r="P80" s="65">
        <v>0</v>
      </c>
    </row>
    <row r="81" spans="1:16" ht="16" hidden="1" customHeight="1" outlineLevel="1" x14ac:dyDescent="0.45">
      <c r="A81" s="24" t="s">
        <v>44</v>
      </c>
      <c r="B81" s="45">
        <v>1434109250</v>
      </c>
      <c r="C81" s="63">
        <v>14195364</v>
      </c>
      <c r="D81" s="63">
        <v>300000</v>
      </c>
      <c r="E81" s="64">
        <v>1419613886</v>
      </c>
      <c r="F81" s="63">
        <v>1199506753.9614468</v>
      </c>
      <c r="G81" s="63">
        <v>147229332.03855324</v>
      </c>
      <c r="H81" s="65">
        <f t="shared" si="1"/>
        <v>68530800</v>
      </c>
      <c r="I81" s="65">
        <v>1223406.5453022441</v>
      </c>
      <c r="J81" s="65">
        <v>830883.68652096018</v>
      </c>
      <c r="K81" s="65">
        <v>894714.33950497746</v>
      </c>
      <c r="L81" s="65">
        <v>1397995.4286718182</v>
      </c>
      <c r="M81" s="63">
        <v>0</v>
      </c>
      <c r="N81" s="1"/>
      <c r="O81" s="65">
        <v>65104260</v>
      </c>
      <c r="P81" s="65">
        <v>3426540</v>
      </c>
    </row>
    <row r="82" spans="1:16" ht="16" hidden="1" customHeight="1" outlineLevel="1" x14ac:dyDescent="0.45">
      <c r="A82" s="29" t="s">
        <v>45</v>
      </c>
      <c r="B82" s="44">
        <v>35270000</v>
      </c>
      <c r="C82" s="63">
        <v>2000000</v>
      </c>
      <c r="D82" s="63">
        <v>5270000</v>
      </c>
      <c r="E82" s="64">
        <v>28000000</v>
      </c>
      <c r="F82" s="63">
        <v>11015969.930598356</v>
      </c>
      <c r="G82" s="63">
        <v>8484030.0694016442</v>
      </c>
      <c r="H82" s="65">
        <f t="shared" si="1"/>
        <v>3700000</v>
      </c>
      <c r="I82" s="65">
        <v>100000</v>
      </c>
      <c r="J82" s="65">
        <v>100000</v>
      </c>
      <c r="K82" s="65">
        <v>900000</v>
      </c>
      <c r="L82" s="65">
        <v>2700000</v>
      </c>
      <c r="M82" s="63">
        <v>1000000</v>
      </c>
      <c r="N82" s="1"/>
      <c r="O82" s="65">
        <v>3515000</v>
      </c>
      <c r="P82" s="65">
        <v>185000</v>
      </c>
    </row>
    <row r="83" spans="1:16" ht="16" hidden="1" customHeight="1" outlineLevel="1" x14ac:dyDescent="0.45">
      <c r="A83" s="29" t="s">
        <v>46</v>
      </c>
      <c r="B83" s="44">
        <v>-15637182</v>
      </c>
      <c r="C83" s="63">
        <v>-16693182</v>
      </c>
      <c r="D83" s="63">
        <v>132000</v>
      </c>
      <c r="E83" s="64">
        <v>924000</v>
      </c>
      <c r="F83" s="63">
        <v>283637.58305095468</v>
      </c>
      <c r="G83" s="63">
        <v>47018.936334585283</v>
      </c>
      <c r="H83" s="65">
        <f t="shared" si="1"/>
        <v>4843.4806144600298</v>
      </c>
      <c r="I83" s="65">
        <v>81392.148315344763</v>
      </c>
      <c r="J83" s="65">
        <v>77150.141478814476</v>
      </c>
      <c r="K83" s="65">
        <v>327398.25371051201</v>
      </c>
      <c r="L83" s="65">
        <v>102559.45649532875</v>
      </c>
      <c r="M83" s="63">
        <v>0</v>
      </c>
      <c r="N83" s="1"/>
      <c r="O83" s="65">
        <v>3487.3060424112214</v>
      </c>
      <c r="P83" s="65">
        <v>1356.1745720488084</v>
      </c>
    </row>
    <row r="84" spans="1:16" ht="16" hidden="1" customHeight="1" outlineLevel="1" x14ac:dyDescent="0.45">
      <c r="A84" s="29" t="s">
        <v>47</v>
      </c>
      <c r="B84" s="44">
        <v>9767015</v>
      </c>
      <c r="C84" s="63">
        <v>925242</v>
      </c>
      <c r="D84" s="63">
        <v>0</v>
      </c>
      <c r="E84" s="64">
        <v>8841773</v>
      </c>
      <c r="F84" s="63">
        <v>7179992.4132893393</v>
      </c>
      <c r="G84" s="63">
        <v>1330142.5867106607</v>
      </c>
      <c r="H84" s="65">
        <f t="shared" si="1"/>
        <v>0</v>
      </c>
      <c r="I84" s="65">
        <v>0</v>
      </c>
      <c r="J84" s="65">
        <v>0</v>
      </c>
      <c r="K84" s="65">
        <v>181364</v>
      </c>
      <c r="L84" s="65">
        <v>20727</v>
      </c>
      <c r="M84" s="63">
        <v>129547</v>
      </c>
      <c r="N84" s="1"/>
      <c r="O84" s="65">
        <v>0</v>
      </c>
      <c r="P84" s="65">
        <v>0</v>
      </c>
    </row>
    <row r="85" spans="1:16" ht="16" hidden="1" customHeight="1" outlineLevel="1" x14ac:dyDescent="0.45">
      <c r="A85" s="29" t="s">
        <v>246</v>
      </c>
      <c r="B85" s="44">
        <v>18150000</v>
      </c>
      <c r="C85" s="63">
        <v>4300000</v>
      </c>
      <c r="D85" s="63">
        <v>0</v>
      </c>
      <c r="E85" s="64">
        <v>13850000</v>
      </c>
      <c r="F85" s="63">
        <v>13850000</v>
      </c>
      <c r="G85" s="63">
        <v>0</v>
      </c>
      <c r="H85" s="65">
        <f t="shared" si="1"/>
        <v>0</v>
      </c>
      <c r="I85" s="65">
        <v>0</v>
      </c>
      <c r="J85" s="65">
        <v>0</v>
      </c>
      <c r="K85" s="65">
        <v>0</v>
      </c>
      <c r="L85" s="65">
        <v>0</v>
      </c>
      <c r="M85" s="63">
        <v>0</v>
      </c>
      <c r="N85" s="1"/>
      <c r="O85" s="65">
        <v>0</v>
      </c>
      <c r="P85" s="65">
        <v>0</v>
      </c>
    </row>
    <row r="86" spans="1:16" ht="16" hidden="1" customHeight="1" outlineLevel="1" x14ac:dyDescent="0.45">
      <c r="A86" s="29" t="s">
        <v>48</v>
      </c>
      <c r="B86" s="44">
        <v>49115870</v>
      </c>
      <c r="C86" s="63">
        <v>3815160</v>
      </c>
      <c r="D86" s="63">
        <v>2601920</v>
      </c>
      <c r="E86" s="64">
        <v>42698790</v>
      </c>
      <c r="F86" s="63">
        <v>24747503.622274894</v>
      </c>
      <c r="G86" s="63">
        <v>10613426.377725106</v>
      </c>
      <c r="H86" s="65">
        <f t="shared" si="1"/>
        <v>2664250</v>
      </c>
      <c r="I86" s="65">
        <v>208820</v>
      </c>
      <c r="J86" s="65">
        <v>208820</v>
      </c>
      <c r="K86" s="65">
        <v>1019740</v>
      </c>
      <c r="L86" s="65">
        <v>1853130</v>
      </c>
      <c r="M86" s="63">
        <v>1383100</v>
      </c>
      <c r="N86" s="1"/>
      <c r="O86" s="65">
        <v>2531038</v>
      </c>
      <c r="P86" s="65">
        <v>133212</v>
      </c>
    </row>
    <row r="87" spans="1:16" ht="16" hidden="1" customHeight="1" outlineLevel="1" x14ac:dyDescent="0.45">
      <c r="A87" s="29" t="s">
        <v>49</v>
      </c>
      <c r="B87" s="44">
        <v>6147100</v>
      </c>
      <c r="C87" s="63">
        <v>-310700</v>
      </c>
      <c r="D87" s="63">
        <v>361000</v>
      </c>
      <c r="E87" s="64">
        <v>6096800</v>
      </c>
      <c r="F87" s="63">
        <v>4197800</v>
      </c>
      <c r="G87" s="63">
        <v>1373900</v>
      </c>
      <c r="H87" s="65">
        <f t="shared" si="1"/>
        <v>0</v>
      </c>
      <c r="I87" s="65">
        <v>0</v>
      </c>
      <c r="J87" s="65">
        <v>0</v>
      </c>
      <c r="K87" s="65">
        <v>25100</v>
      </c>
      <c r="L87" s="65">
        <v>500000</v>
      </c>
      <c r="M87" s="63">
        <v>0</v>
      </c>
      <c r="N87" s="1"/>
      <c r="O87" s="65">
        <v>0</v>
      </c>
      <c r="P87" s="65">
        <v>0</v>
      </c>
    </row>
    <row r="88" spans="1:16" ht="16" hidden="1" customHeight="1" outlineLevel="1" x14ac:dyDescent="0.45">
      <c r="A88" s="29" t="s">
        <v>182</v>
      </c>
      <c r="B88" s="44">
        <v>0</v>
      </c>
      <c r="C88" s="63">
        <v>0</v>
      </c>
      <c r="D88" s="63">
        <v>0</v>
      </c>
      <c r="E88" s="64">
        <v>0</v>
      </c>
      <c r="F88" s="63">
        <v>0</v>
      </c>
      <c r="G88" s="63">
        <v>0</v>
      </c>
      <c r="H88" s="65">
        <f t="shared" si="1"/>
        <v>0</v>
      </c>
      <c r="I88" s="65">
        <v>0</v>
      </c>
      <c r="J88" s="65">
        <v>0</v>
      </c>
      <c r="K88" s="65">
        <v>0</v>
      </c>
      <c r="L88" s="65">
        <v>0</v>
      </c>
      <c r="M88" s="63">
        <v>0</v>
      </c>
      <c r="N88" s="1"/>
      <c r="O88" s="65">
        <v>0</v>
      </c>
      <c r="P88" s="65">
        <v>0</v>
      </c>
    </row>
    <row r="89" spans="1:16" ht="16" hidden="1" customHeight="1" outlineLevel="1" x14ac:dyDescent="0.45">
      <c r="A89" s="29" t="s">
        <v>50</v>
      </c>
      <c r="B89" s="44">
        <v>1100000</v>
      </c>
      <c r="C89" s="63">
        <v>-400000</v>
      </c>
      <c r="D89" s="63">
        <v>500000</v>
      </c>
      <c r="E89" s="64">
        <v>1000000</v>
      </c>
      <c r="F89" s="63">
        <v>500000</v>
      </c>
      <c r="G89" s="63">
        <v>0</v>
      </c>
      <c r="H89" s="65">
        <f t="shared" si="1"/>
        <v>0</v>
      </c>
      <c r="I89" s="65">
        <v>0</v>
      </c>
      <c r="J89" s="65">
        <v>0</v>
      </c>
      <c r="K89" s="65">
        <v>0</v>
      </c>
      <c r="L89" s="65">
        <v>500000</v>
      </c>
      <c r="M89" s="63">
        <v>0</v>
      </c>
      <c r="N89" s="1"/>
      <c r="O89" s="65">
        <v>0</v>
      </c>
      <c r="P89" s="65">
        <v>0</v>
      </c>
    </row>
    <row r="90" spans="1:16" ht="16" hidden="1" customHeight="1" outlineLevel="1" x14ac:dyDescent="0.45">
      <c r="A90" s="29" t="s">
        <v>183</v>
      </c>
      <c r="B90" s="44">
        <v>1700000</v>
      </c>
      <c r="C90" s="63">
        <v>0</v>
      </c>
      <c r="D90" s="63">
        <v>0</v>
      </c>
      <c r="E90" s="64">
        <v>1700000</v>
      </c>
      <c r="F90" s="63">
        <v>0</v>
      </c>
      <c r="G90" s="63">
        <v>0</v>
      </c>
      <c r="H90" s="65">
        <f t="shared" si="1"/>
        <v>1700000</v>
      </c>
      <c r="I90" s="65">
        <v>0</v>
      </c>
      <c r="J90" s="65">
        <v>0</v>
      </c>
      <c r="K90" s="65">
        <v>0</v>
      </c>
      <c r="L90" s="65">
        <v>0</v>
      </c>
      <c r="M90" s="63">
        <v>0</v>
      </c>
      <c r="N90" s="1"/>
      <c r="O90" s="65">
        <v>1615000</v>
      </c>
      <c r="P90" s="65">
        <v>85000</v>
      </c>
    </row>
    <row r="91" spans="1:16" ht="16" hidden="1" customHeight="1" outlineLevel="1" x14ac:dyDescent="0.45">
      <c r="A91" s="29" t="s">
        <v>51</v>
      </c>
      <c r="B91" s="44">
        <v>13400000</v>
      </c>
      <c r="C91" s="63">
        <v>500000</v>
      </c>
      <c r="D91" s="63">
        <v>0</v>
      </c>
      <c r="E91" s="64">
        <v>12900000</v>
      </c>
      <c r="F91" s="63">
        <v>7700000</v>
      </c>
      <c r="G91" s="63">
        <v>3100000</v>
      </c>
      <c r="H91" s="65">
        <f t="shared" si="1"/>
        <v>0</v>
      </c>
      <c r="I91" s="65">
        <v>0</v>
      </c>
      <c r="J91" s="65">
        <v>0</v>
      </c>
      <c r="K91" s="65">
        <v>0</v>
      </c>
      <c r="L91" s="65">
        <v>2000000</v>
      </c>
      <c r="M91" s="63">
        <v>100000</v>
      </c>
      <c r="N91" s="1"/>
      <c r="O91" s="65">
        <v>0</v>
      </c>
      <c r="P91" s="65">
        <v>0</v>
      </c>
    </row>
    <row r="92" spans="1:16" ht="16" hidden="1" customHeight="1" outlineLevel="1" x14ac:dyDescent="0.45">
      <c r="A92" s="31" t="s">
        <v>303</v>
      </c>
      <c r="B92" s="47">
        <v>800000</v>
      </c>
      <c r="C92" s="63">
        <v>0</v>
      </c>
      <c r="D92" s="63">
        <v>0</v>
      </c>
      <c r="E92" s="64">
        <v>800000</v>
      </c>
      <c r="F92" s="63">
        <v>0</v>
      </c>
      <c r="G92" s="63">
        <v>0</v>
      </c>
      <c r="H92" s="65">
        <f t="shared" si="1"/>
        <v>0</v>
      </c>
      <c r="I92" s="65">
        <v>0</v>
      </c>
      <c r="J92" s="65">
        <v>0</v>
      </c>
      <c r="K92" s="65">
        <v>0</v>
      </c>
      <c r="L92" s="65">
        <v>800000</v>
      </c>
      <c r="M92" s="63">
        <v>0</v>
      </c>
      <c r="N92" s="1"/>
      <c r="O92" s="65">
        <v>0</v>
      </c>
      <c r="P92" s="65">
        <v>0</v>
      </c>
    </row>
    <row r="93" spans="1:16" ht="16" hidden="1" customHeight="1" outlineLevel="1" x14ac:dyDescent="0.45">
      <c r="A93" s="29" t="s">
        <v>184</v>
      </c>
      <c r="B93" s="44">
        <v>15100000</v>
      </c>
      <c r="C93" s="63">
        <v>3900000</v>
      </c>
      <c r="D93" s="63">
        <v>1950000</v>
      </c>
      <c r="E93" s="64">
        <v>9250000</v>
      </c>
      <c r="F93" s="63">
        <v>4215083.2513516033</v>
      </c>
      <c r="G93" s="63">
        <v>1334916.7486483965</v>
      </c>
      <c r="H93" s="65">
        <f t="shared" si="1"/>
        <v>600000</v>
      </c>
      <c r="I93" s="65">
        <v>375000</v>
      </c>
      <c r="J93" s="65">
        <v>375000</v>
      </c>
      <c r="K93" s="65">
        <v>300000</v>
      </c>
      <c r="L93" s="65">
        <v>1750000</v>
      </c>
      <c r="M93" s="63">
        <v>300000</v>
      </c>
      <c r="N93" s="1"/>
      <c r="O93" s="65">
        <v>570000</v>
      </c>
      <c r="P93" s="65">
        <v>30000</v>
      </c>
    </row>
    <row r="94" spans="1:16" ht="16" hidden="1" customHeight="1" outlineLevel="1" x14ac:dyDescent="0.45">
      <c r="A94" s="31" t="s">
        <v>185</v>
      </c>
      <c r="B94" s="47">
        <v>2300000</v>
      </c>
      <c r="C94" s="63">
        <v>0</v>
      </c>
      <c r="D94" s="63">
        <v>0</v>
      </c>
      <c r="E94" s="64">
        <v>2300000</v>
      </c>
      <c r="F94" s="63">
        <v>0</v>
      </c>
      <c r="G94" s="63">
        <v>0</v>
      </c>
      <c r="H94" s="65">
        <f t="shared" si="1"/>
        <v>2150000</v>
      </c>
      <c r="I94" s="65">
        <v>0</v>
      </c>
      <c r="J94" s="65">
        <v>0</v>
      </c>
      <c r="K94" s="65">
        <v>150000</v>
      </c>
      <c r="L94" s="65">
        <v>0</v>
      </c>
      <c r="M94" s="63">
        <v>0</v>
      </c>
      <c r="N94" s="1"/>
      <c r="O94" s="65">
        <v>2042500</v>
      </c>
      <c r="P94" s="65">
        <v>107500</v>
      </c>
    </row>
    <row r="95" spans="1:16" ht="16" hidden="1" customHeight="1" outlineLevel="1" x14ac:dyDescent="0.45">
      <c r="A95" s="29" t="s">
        <v>186</v>
      </c>
      <c r="B95" s="44">
        <v>50000000</v>
      </c>
      <c r="C95" s="63">
        <v>1650000</v>
      </c>
      <c r="D95" s="63">
        <v>2250000</v>
      </c>
      <c r="E95" s="64">
        <v>46100000</v>
      </c>
      <c r="F95" s="63">
        <v>23850000</v>
      </c>
      <c r="G95" s="63">
        <v>14100000</v>
      </c>
      <c r="H95" s="65">
        <f t="shared" si="1"/>
        <v>300000</v>
      </c>
      <c r="I95" s="65">
        <v>375000</v>
      </c>
      <c r="J95" s="65">
        <v>675000</v>
      </c>
      <c r="K95" s="65">
        <v>1700000</v>
      </c>
      <c r="L95" s="65">
        <v>5100000</v>
      </c>
      <c r="M95" s="63">
        <v>0</v>
      </c>
      <c r="N95" s="1"/>
      <c r="O95" s="65">
        <v>285000</v>
      </c>
      <c r="P95" s="65">
        <v>15000</v>
      </c>
    </row>
    <row r="96" spans="1:16" ht="16" hidden="1" customHeight="1" outlineLevel="1" x14ac:dyDescent="0.45">
      <c r="A96" s="31" t="s">
        <v>304</v>
      </c>
      <c r="B96" s="47">
        <v>0</v>
      </c>
      <c r="C96" s="63">
        <v>0</v>
      </c>
      <c r="D96" s="63">
        <v>0</v>
      </c>
      <c r="E96" s="64">
        <v>0</v>
      </c>
      <c r="F96" s="63">
        <v>0</v>
      </c>
      <c r="G96" s="63">
        <v>0</v>
      </c>
      <c r="H96" s="65">
        <f t="shared" si="1"/>
        <v>0</v>
      </c>
      <c r="I96" s="65">
        <v>0</v>
      </c>
      <c r="J96" s="65">
        <v>0</v>
      </c>
      <c r="K96" s="65">
        <v>0</v>
      </c>
      <c r="L96" s="65">
        <v>0</v>
      </c>
      <c r="M96" s="63">
        <v>0</v>
      </c>
      <c r="N96" s="1"/>
      <c r="O96" s="65">
        <v>0</v>
      </c>
      <c r="P96" s="65">
        <v>0</v>
      </c>
    </row>
    <row r="97" spans="1:16" ht="16" hidden="1" customHeight="1" outlineLevel="1" x14ac:dyDescent="0.45">
      <c r="A97" s="29" t="s">
        <v>135</v>
      </c>
      <c r="B97" s="44">
        <v>0</v>
      </c>
      <c r="C97" s="63">
        <v>0</v>
      </c>
      <c r="D97" s="63">
        <v>0</v>
      </c>
      <c r="E97" s="64">
        <v>0</v>
      </c>
      <c r="F97" s="63">
        <v>0</v>
      </c>
      <c r="G97" s="63">
        <v>0</v>
      </c>
      <c r="H97" s="65">
        <f t="shared" si="1"/>
        <v>0</v>
      </c>
      <c r="I97" s="65">
        <v>0</v>
      </c>
      <c r="J97" s="65">
        <v>0</v>
      </c>
      <c r="K97" s="65">
        <v>0</v>
      </c>
      <c r="L97" s="65">
        <v>0</v>
      </c>
      <c r="M97" s="63">
        <v>0</v>
      </c>
      <c r="N97" s="1"/>
      <c r="O97" s="65">
        <v>0</v>
      </c>
      <c r="P97" s="65">
        <v>0</v>
      </c>
    </row>
    <row r="98" spans="1:16" ht="16" hidden="1" customHeight="1" outlineLevel="1" x14ac:dyDescent="0.45">
      <c r="A98" s="29" t="s">
        <v>52</v>
      </c>
      <c r="B98" s="44">
        <v>800000</v>
      </c>
      <c r="C98" s="63">
        <v>0</v>
      </c>
      <c r="D98" s="63">
        <v>0</v>
      </c>
      <c r="E98" s="64">
        <v>800000</v>
      </c>
      <c r="F98" s="63">
        <v>0</v>
      </c>
      <c r="G98" s="63">
        <v>800000</v>
      </c>
      <c r="H98" s="65">
        <f t="shared" si="1"/>
        <v>0</v>
      </c>
      <c r="I98" s="65">
        <v>0</v>
      </c>
      <c r="J98" s="65">
        <v>0</v>
      </c>
      <c r="K98" s="65">
        <v>0</v>
      </c>
      <c r="L98" s="65">
        <v>0</v>
      </c>
      <c r="M98" s="63">
        <v>0</v>
      </c>
      <c r="N98" s="1"/>
      <c r="O98" s="65">
        <v>0</v>
      </c>
      <c r="P98" s="65">
        <v>0</v>
      </c>
    </row>
    <row r="99" spans="1:16" ht="16" hidden="1" customHeight="1" outlineLevel="1" x14ac:dyDescent="0.45">
      <c r="A99" s="31" t="s">
        <v>187</v>
      </c>
      <c r="B99" s="47">
        <v>0</v>
      </c>
      <c r="C99" s="63">
        <v>0</v>
      </c>
      <c r="D99" s="63">
        <v>0</v>
      </c>
      <c r="E99" s="64">
        <v>0</v>
      </c>
      <c r="F99" s="63">
        <v>0</v>
      </c>
      <c r="G99" s="63">
        <v>0</v>
      </c>
      <c r="H99" s="65">
        <f t="shared" si="1"/>
        <v>0</v>
      </c>
      <c r="I99" s="65">
        <v>0</v>
      </c>
      <c r="J99" s="65">
        <v>0</v>
      </c>
      <c r="K99" s="65">
        <v>0</v>
      </c>
      <c r="L99" s="65">
        <v>0</v>
      </c>
      <c r="M99" s="63">
        <v>0</v>
      </c>
      <c r="N99" s="1"/>
      <c r="O99" s="65">
        <v>0</v>
      </c>
      <c r="P99" s="65">
        <v>0</v>
      </c>
    </row>
    <row r="100" spans="1:16" ht="16" hidden="1" customHeight="1" outlineLevel="1" x14ac:dyDescent="0.45">
      <c r="A100" s="29" t="s">
        <v>114</v>
      </c>
      <c r="B100" s="44">
        <v>800000</v>
      </c>
      <c r="C100" s="63">
        <v>0</v>
      </c>
      <c r="D100" s="63">
        <v>0</v>
      </c>
      <c r="E100" s="64">
        <v>800000</v>
      </c>
      <c r="F100" s="63">
        <v>800000</v>
      </c>
      <c r="G100" s="63">
        <v>0</v>
      </c>
      <c r="H100" s="65">
        <f t="shared" si="1"/>
        <v>0</v>
      </c>
      <c r="I100" s="65">
        <v>0</v>
      </c>
      <c r="J100" s="65">
        <v>0</v>
      </c>
      <c r="K100" s="65">
        <v>0</v>
      </c>
      <c r="L100" s="65">
        <v>0</v>
      </c>
      <c r="M100" s="63">
        <v>0</v>
      </c>
      <c r="N100" s="1"/>
      <c r="O100" s="65">
        <v>0</v>
      </c>
      <c r="P100" s="65">
        <v>0</v>
      </c>
    </row>
    <row r="101" spans="1:16" ht="16" hidden="1" customHeight="1" outlineLevel="1" x14ac:dyDescent="0.45">
      <c r="A101" s="29" t="s">
        <v>188</v>
      </c>
      <c r="B101" s="44">
        <v>0</v>
      </c>
      <c r="C101" s="63">
        <v>0</v>
      </c>
      <c r="D101" s="63">
        <v>0</v>
      </c>
      <c r="E101" s="64">
        <v>0</v>
      </c>
      <c r="F101" s="63">
        <v>0</v>
      </c>
      <c r="G101" s="63">
        <v>0</v>
      </c>
      <c r="H101" s="65">
        <f t="shared" si="1"/>
        <v>0</v>
      </c>
      <c r="I101" s="65">
        <v>0</v>
      </c>
      <c r="J101" s="65">
        <v>0</v>
      </c>
      <c r="K101" s="65">
        <v>0</v>
      </c>
      <c r="L101" s="65">
        <v>0</v>
      </c>
      <c r="M101" s="63">
        <v>0</v>
      </c>
      <c r="N101" s="1"/>
      <c r="O101" s="65">
        <v>0</v>
      </c>
      <c r="P101" s="65">
        <v>0</v>
      </c>
    </row>
    <row r="102" spans="1:16" ht="16" hidden="1" customHeight="1" outlineLevel="1" x14ac:dyDescent="0.45">
      <c r="A102" s="29" t="s">
        <v>259</v>
      </c>
      <c r="B102" s="44">
        <v>7195000</v>
      </c>
      <c r="C102" s="63">
        <v>2784000</v>
      </c>
      <c r="D102" s="63">
        <v>4411000</v>
      </c>
      <c r="E102" s="64">
        <v>0</v>
      </c>
      <c r="F102" s="63">
        <v>0</v>
      </c>
      <c r="G102" s="63">
        <v>0</v>
      </c>
      <c r="H102" s="65">
        <f t="shared" si="1"/>
        <v>0</v>
      </c>
      <c r="I102" s="65">
        <v>0</v>
      </c>
      <c r="J102" s="65">
        <v>0</v>
      </c>
      <c r="K102" s="65">
        <v>0</v>
      </c>
      <c r="L102" s="65">
        <v>0</v>
      </c>
      <c r="M102" s="63">
        <v>0</v>
      </c>
      <c r="N102" s="1"/>
      <c r="O102" s="65">
        <v>0</v>
      </c>
      <c r="P102" s="65">
        <v>0</v>
      </c>
    </row>
    <row r="103" spans="1:16" ht="16" hidden="1" customHeight="1" outlineLevel="1" x14ac:dyDescent="0.45">
      <c r="A103" s="29" t="s">
        <v>189</v>
      </c>
      <c r="B103" s="44">
        <v>34547000</v>
      </c>
      <c r="C103" s="63">
        <v>6063000</v>
      </c>
      <c r="D103" s="63">
        <v>0</v>
      </c>
      <c r="E103" s="64">
        <v>28484000</v>
      </c>
      <c r="F103" s="63">
        <v>20111391.648516297</v>
      </c>
      <c r="G103" s="63">
        <v>6404608.3514837027</v>
      </c>
      <c r="H103" s="65">
        <f t="shared" si="1"/>
        <v>0</v>
      </c>
      <c r="I103" s="65">
        <v>0</v>
      </c>
      <c r="J103" s="65">
        <v>0</v>
      </c>
      <c r="K103" s="65">
        <v>4359000</v>
      </c>
      <c r="L103" s="65">
        <v>0</v>
      </c>
      <c r="M103" s="63">
        <v>-2391000</v>
      </c>
      <c r="N103" s="1"/>
      <c r="O103" s="65">
        <v>0</v>
      </c>
      <c r="P103" s="65">
        <v>0</v>
      </c>
    </row>
    <row r="104" spans="1:16" ht="16" hidden="1" customHeight="1" outlineLevel="1" x14ac:dyDescent="0.45">
      <c r="A104" s="29" t="s">
        <v>115</v>
      </c>
      <c r="B104" s="44">
        <v>12759000</v>
      </c>
      <c r="C104" s="63">
        <v>0</v>
      </c>
      <c r="D104" s="63">
        <v>0</v>
      </c>
      <c r="E104" s="64">
        <v>12759000</v>
      </c>
      <c r="F104" s="63">
        <v>1926000</v>
      </c>
      <c r="G104" s="63">
        <v>7506000</v>
      </c>
      <c r="H104" s="65">
        <f t="shared" si="1"/>
        <v>0</v>
      </c>
      <c r="I104" s="65">
        <v>0</v>
      </c>
      <c r="J104" s="65">
        <v>0</v>
      </c>
      <c r="K104" s="65">
        <v>1849000</v>
      </c>
      <c r="L104" s="65">
        <v>1478000</v>
      </c>
      <c r="M104" s="63">
        <v>0</v>
      </c>
      <c r="N104" s="1"/>
      <c r="O104" s="65">
        <v>0</v>
      </c>
      <c r="P104" s="65">
        <v>0</v>
      </c>
    </row>
    <row r="105" spans="1:16" ht="16" hidden="1" customHeight="1" outlineLevel="1" x14ac:dyDescent="0.45">
      <c r="A105" s="29" t="s">
        <v>53</v>
      </c>
      <c r="B105" s="44">
        <v>39850000</v>
      </c>
      <c r="C105" s="63">
        <v>300000</v>
      </c>
      <c r="D105" s="63">
        <v>200000</v>
      </c>
      <c r="E105" s="64">
        <v>39350000</v>
      </c>
      <c r="F105" s="63">
        <v>23322231.535510585</v>
      </c>
      <c r="G105" s="63">
        <v>6327768.4644894153</v>
      </c>
      <c r="H105" s="65">
        <f t="shared" si="1"/>
        <v>5800000</v>
      </c>
      <c r="I105" s="65">
        <v>25000</v>
      </c>
      <c r="J105" s="65">
        <v>25000</v>
      </c>
      <c r="K105" s="65">
        <v>150000</v>
      </c>
      <c r="L105" s="65">
        <v>3150000</v>
      </c>
      <c r="M105" s="63">
        <v>550000</v>
      </c>
      <c r="N105" s="1"/>
      <c r="O105" s="65">
        <v>5510000</v>
      </c>
      <c r="P105" s="65">
        <v>290000</v>
      </c>
    </row>
    <row r="106" spans="1:16" ht="16" hidden="1" customHeight="1" outlineLevel="1" x14ac:dyDescent="0.45">
      <c r="A106" s="29" t="s">
        <v>54</v>
      </c>
      <c r="B106" s="44">
        <v>2766280</v>
      </c>
      <c r="C106" s="63">
        <v>175600</v>
      </c>
      <c r="D106" s="63">
        <v>92400</v>
      </c>
      <c r="E106" s="64">
        <v>2498280</v>
      </c>
      <c r="F106" s="63">
        <v>1671322.9722025399</v>
      </c>
      <c r="G106" s="63">
        <v>345157.02779746015</v>
      </c>
      <c r="H106" s="65">
        <f t="shared" si="1"/>
        <v>72000</v>
      </c>
      <c r="I106" s="65">
        <v>0</v>
      </c>
      <c r="J106" s="65">
        <v>37100</v>
      </c>
      <c r="K106" s="65">
        <v>89700</v>
      </c>
      <c r="L106" s="65">
        <v>283000</v>
      </c>
      <c r="M106" s="63">
        <v>0</v>
      </c>
      <c r="N106" s="1"/>
      <c r="O106" s="65">
        <v>68400</v>
      </c>
      <c r="P106" s="65">
        <v>3600</v>
      </c>
    </row>
    <row r="107" spans="1:16" ht="16" hidden="1" customHeight="1" outlineLevel="1" x14ac:dyDescent="0.45">
      <c r="A107" s="29" t="s">
        <v>55</v>
      </c>
      <c r="B107" s="44">
        <v>2170000</v>
      </c>
      <c r="C107" s="63">
        <v>0</v>
      </c>
      <c r="D107" s="63">
        <v>140000</v>
      </c>
      <c r="E107" s="64">
        <v>2030000</v>
      </c>
      <c r="F107" s="63">
        <v>1463519.743187733</v>
      </c>
      <c r="G107" s="63">
        <v>286480.25681226706</v>
      </c>
      <c r="H107" s="65">
        <f t="shared" si="1"/>
        <v>0</v>
      </c>
      <c r="I107" s="65">
        <v>0</v>
      </c>
      <c r="J107" s="65">
        <v>0</v>
      </c>
      <c r="K107" s="65">
        <v>140000</v>
      </c>
      <c r="L107" s="65">
        <v>140000</v>
      </c>
      <c r="M107" s="63">
        <v>0</v>
      </c>
      <c r="N107" s="1"/>
      <c r="O107" s="65">
        <v>0</v>
      </c>
      <c r="P107" s="65">
        <v>0</v>
      </c>
    </row>
    <row r="108" spans="1:16" ht="16" hidden="1" customHeight="1" outlineLevel="1" x14ac:dyDescent="0.45">
      <c r="A108" s="29" t="s">
        <v>190</v>
      </c>
      <c r="B108" s="44">
        <v>0</v>
      </c>
      <c r="C108" s="63">
        <v>0</v>
      </c>
      <c r="D108" s="63">
        <v>0</v>
      </c>
      <c r="E108" s="64">
        <v>0</v>
      </c>
      <c r="F108" s="63">
        <v>0</v>
      </c>
      <c r="G108" s="63">
        <v>0</v>
      </c>
      <c r="H108" s="65">
        <f t="shared" si="1"/>
        <v>0</v>
      </c>
      <c r="I108" s="65">
        <v>0</v>
      </c>
      <c r="J108" s="65">
        <v>0</v>
      </c>
      <c r="K108" s="65">
        <v>0</v>
      </c>
      <c r="L108" s="65">
        <v>0</v>
      </c>
      <c r="M108" s="63">
        <v>0</v>
      </c>
      <c r="N108" s="1"/>
      <c r="O108" s="65">
        <v>0</v>
      </c>
      <c r="P108" s="65">
        <v>0</v>
      </c>
    </row>
    <row r="109" spans="1:16" ht="16" hidden="1" customHeight="1" outlineLevel="1" x14ac:dyDescent="0.45">
      <c r="A109" s="30" t="s">
        <v>56</v>
      </c>
      <c r="B109" s="46">
        <v>94739800</v>
      </c>
      <c r="C109" s="63">
        <v>60000</v>
      </c>
      <c r="D109" s="63">
        <v>0</v>
      </c>
      <c r="E109" s="64">
        <v>94679800</v>
      </c>
      <c r="F109" s="63">
        <v>0</v>
      </c>
      <c r="G109" s="63">
        <v>89805000</v>
      </c>
      <c r="H109" s="65">
        <f t="shared" si="1"/>
        <v>0</v>
      </c>
      <c r="I109" s="65">
        <v>0</v>
      </c>
      <c r="J109" s="65">
        <v>0</v>
      </c>
      <c r="K109" s="65">
        <v>0</v>
      </c>
      <c r="L109" s="65">
        <v>4874800</v>
      </c>
      <c r="M109" s="63">
        <v>0</v>
      </c>
      <c r="N109" s="1"/>
      <c r="O109" s="65">
        <v>0</v>
      </c>
      <c r="P109" s="65">
        <v>0</v>
      </c>
    </row>
    <row r="110" spans="1:16" ht="16" hidden="1" customHeight="1" outlineLevel="1" x14ac:dyDescent="0.45">
      <c r="A110" s="29" t="s">
        <v>305</v>
      </c>
      <c r="B110" s="44">
        <v>0</v>
      </c>
      <c r="C110" s="63">
        <v>0</v>
      </c>
      <c r="D110" s="63">
        <v>0</v>
      </c>
      <c r="E110" s="64">
        <v>0</v>
      </c>
      <c r="F110" s="63">
        <v>0</v>
      </c>
      <c r="G110" s="63">
        <v>0</v>
      </c>
      <c r="H110" s="65">
        <f t="shared" si="1"/>
        <v>0</v>
      </c>
      <c r="I110" s="65">
        <v>0</v>
      </c>
      <c r="J110" s="65">
        <v>0</v>
      </c>
      <c r="K110" s="65">
        <v>0</v>
      </c>
      <c r="L110" s="65">
        <v>0</v>
      </c>
      <c r="M110" s="63">
        <v>0</v>
      </c>
      <c r="N110" s="1"/>
      <c r="O110" s="65">
        <v>0</v>
      </c>
      <c r="P110" s="65">
        <v>0</v>
      </c>
    </row>
    <row r="111" spans="1:16" ht="16" hidden="1" customHeight="1" outlineLevel="1" x14ac:dyDescent="0.45">
      <c r="A111" s="29" t="s">
        <v>253</v>
      </c>
      <c r="B111" s="44">
        <v>107700000</v>
      </c>
      <c r="C111" s="63">
        <v>0</v>
      </c>
      <c r="D111" s="63">
        <v>107700000</v>
      </c>
      <c r="E111" s="64">
        <v>0</v>
      </c>
      <c r="F111" s="63">
        <v>0</v>
      </c>
      <c r="G111" s="63">
        <v>0</v>
      </c>
      <c r="H111" s="65">
        <f t="shared" si="1"/>
        <v>0</v>
      </c>
      <c r="I111" s="65">
        <v>0</v>
      </c>
      <c r="J111" s="65">
        <v>0</v>
      </c>
      <c r="K111" s="65">
        <v>0</v>
      </c>
      <c r="L111" s="65">
        <v>0</v>
      </c>
      <c r="M111" s="63">
        <v>0</v>
      </c>
      <c r="N111" s="1"/>
      <c r="O111" s="65">
        <v>0</v>
      </c>
      <c r="P111" s="65">
        <v>0</v>
      </c>
    </row>
    <row r="112" spans="1:16" ht="16" hidden="1" customHeight="1" outlineLevel="1" x14ac:dyDescent="0.45">
      <c r="A112" s="29" t="s">
        <v>255</v>
      </c>
      <c r="B112" s="44">
        <v>0</v>
      </c>
      <c r="C112" s="63">
        <v>0</v>
      </c>
      <c r="D112" s="63">
        <v>0</v>
      </c>
      <c r="E112" s="64">
        <v>0</v>
      </c>
      <c r="F112" s="63">
        <v>0</v>
      </c>
      <c r="G112" s="63">
        <v>0</v>
      </c>
      <c r="H112" s="65">
        <f t="shared" si="1"/>
        <v>0</v>
      </c>
      <c r="I112" s="65">
        <v>0</v>
      </c>
      <c r="J112" s="65">
        <v>0</v>
      </c>
      <c r="K112" s="65">
        <v>0</v>
      </c>
      <c r="L112" s="65">
        <v>0</v>
      </c>
      <c r="M112" s="63">
        <v>0</v>
      </c>
      <c r="N112" s="1"/>
      <c r="O112" s="65">
        <v>0</v>
      </c>
      <c r="P112" s="65">
        <v>0</v>
      </c>
    </row>
    <row r="113" spans="1:16" ht="16" hidden="1" customHeight="1" outlineLevel="1" x14ac:dyDescent="0.45">
      <c r="A113" s="29" t="s">
        <v>254</v>
      </c>
      <c r="B113" s="44">
        <v>0</v>
      </c>
      <c r="C113" s="63">
        <v>0</v>
      </c>
      <c r="D113" s="63">
        <v>0</v>
      </c>
      <c r="E113" s="64">
        <v>0</v>
      </c>
      <c r="F113" s="63">
        <v>0</v>
      </c>
      <c r="G113" s="63">
        <v>0</v>
      </c>
      <c r="H113" s="65">
        <f t="shared" si="1"/>
        <v>0</v>
      </c>
      <c r="I113" s="65">
        <v>0</v>
      </c>
      <c r="J113" s="65">
        <v>0</v>
      </c>
      <c r="K113" s="65">
        <v>0</v>
      </c>
      <c r="L113" s="65">
        <v>0</v>
      </c>
      <c r="M113" s="63">
        <v>0</v>
      </c>
      <c r="N113" s="1"/>
      <c r="O113" s="65">
        <v>0</v>
      </c>
      <c r="P113" s="65">
        <v>0</v>
      </c>
    </row>
    <row r="114" spans="1:16" ht="16" hidden="1" customHeight="1" outlineLevel="1" x14ac:dyDescent="0.45">
      <c r="A114" s="29" t="s">
        <v>269</v>
      </c>
      <c r="B114" s="44">
        <v>25511840</v>
      </c>
      <c r="C114" s="63">
        <v>25511840</v>
      </c>
      <c r="D114" s="63">
        <v>0</v>
      </c>
      <c r="E114" s="64">
        <v>0</v>
      </c>
      <c r="F114" s="63">
        <v>0</v>
      </c>
      <c r="G114" s="63">
        <v>0</v>
      </c>
      <c r="H114" s="65">
        <f t="shared" si="1"/>
        <v>0</v>
      </c>
      <c r="I114" s="65">
        <v>0</v>
      </c>
      <c r="J114" s="65">
        <v>0</v>
      </c>
      <c r="K114" s="65">
        <v>0</v>
      </c>
      <c r="L114" s="65">
        <v>0</v>
      </c>
      <c r="M114" s="63">
        <v>0</v>
      </c>
      <c r="N114" s="1"/>
      <c r="O114" s="65">
        <v>0</v>
      </c>
      <c r="P114" s="65">
        <v>0</v>
      </c>
    </row>
    <row r="115" spans="1:16" ht="16" customHeight="1" collapsed="1" x14ac:dyDescent="0.45">
      <c r="A115" s="28" t="s">
        <v>57</v>
      </c>
      <c r="B115" s="43">
        <v>59293056</v>
      </c>
      <c r="C115" s="60">
        <v>8678120</v>
      </c>
      <c r="D115" s="60">
        <v>5501550</v>
      </c>
      <c r="E115" s="61">
        <v>45113386</v>
      </c>
      <c r="F115" s="60">
        <v>23427674.496231817</v>
      </c>
      <c r="G115" s="60">
        <v>8130251.5037681814</v>
      </c>
      <c r="H115" s="62">
        <f t="shared" si="1"/>
        <v>970450</v>
      </c>
      <c r="I115" s="62">
        <v>541950</v>
      </c>
      <c r="J115" s="62">
        <v>384150</v>
      </c>
      <c r="K115" s="62">
        <v>1679530</v>
      </c>
      <c r="L115" s="62">
        <v>7999120</v>
      </c>
      <c r="M115" s="60">
        <v>1980260</v>
      </c>
      <c r="N115" s="1"/>
      <c r="O115" s="62">
        <v>921928</v>
      </c>
      <c r="P115" s="62">
        <v>48522</v>
      </c>
    </row>
    <row r="116" spans="1:16" s="1" customFormat="1" hidden="1" outlineLevel="1" collapsed="1" x14ac:dyDescent="0.45">
      <c r="A116" s="29" t="s">
        <v>58</v>
      </c>
      <c r="B116" s="44">
        <v>34529747</v>
      </c>
      <c r="C116" s="63">
        <v>1954400</v>
      </c>
      <c r="D116" s="63">
        <v>1689300</v>
      </c>
      <c r="E116" s="64">
        <v>30886047</v>
      </c>
      <c r="F116" s="63">
        <v>16820036.061407372</v>
      </c>
      <c r="G116" s="63">
        <v>5389510.9385926295</v>
      </c>
      <c r="H116" s="65">
        <f t="shared" si="1"/>
        <v>27200</v>
      </c>
      <c r="I116" s="65">
        <v>336450</v>
      </c>
      <c r="J116" s="65">
        <v>178650</v>
      </c>
      <c r="K116" s="65">
        <v>1187530</v>
      </c>
      <c r="L116" s="65">
        <v>6255570</v>
      </c>
      <c r="M116" s="63">
        <v>691100</v>
      </c>
      <c r="O116" s="65">
        <v>25840</v>
      </c>
      <c r="P116" s="65">
        <v>1360</v>
      </c>
    </row>
    <row r="117" spans="1:16" ht="16" hidden="1" customHeight="1" outlineLevel="1" x14ac:dyDescent="0.45">
      <c r="A117" s="29" t="s">
        <v>266</v>
      </c>
      <c r="B117" s="44">
        <v>1860950</v>
      </c>
      <c r="C117" s="63">
        <v>463650</v>
      </c>
      <c r="D117" s="63">
        <v>932300</v>
      </c>
      <c r="E117" s="64">
        <v>465000</v>
      </c>
      <c r="F117" s="63">
        <v>385002.39947076875</v>
      </c>
      <c r="G117" s="63">
        <v>79997.600529231218</v>
      </c>
      <c r="H117" s="65">
        <f t="shared" si="1"/>
        <v>0</v>
      </c>
      <c r="I117" s="65">
        <v>0</v>
      </c>
      <c r="J117" s="65">
        <v>0</v>
      </c>
      <c r="K117" s="65">
        <v>0</v>
      </c>
      <c r="L117" s="65">
        <v>0</v>
      </c>
      <c r="M117" s="63">
        <v>0</v>
      </c>
      <c r="N117" s="1"/>
      <c r="O117" s="65">
        <v>0</v>
      </c>
      <c r="P117" s="65">
        <v>0</v>
      </c>
    </row>
    <row r="118" spans="1:16" ht="16" hidden="1" customHeight="1" outlineLevel="1" x14ac:dyDescent="0.45">
      <c r="A118" s="29" t="s">
        <v>296</v>
      </c>
      <c r="B118" s="44">
        <v>0</v>
      </c>
      <c r="C118" s="63">
        <v>0</v>
      </c>
      <c r="D118" s="63">
        <v>0</v>
      </c>
      <c r="E118" s="64">
        <v>0</v>
      </c>
      <c r="F118" s="63">
        <v>0</v>
      </c>
      <c r="G118" s="63">
        <v>0</v>
      </c>
      <c r="H118" s="65">
        <f t="shared" si="1"/>
        <v>0</v>
      </c>
      <c r="I118" s="65">
        <v>0</v>
      </c>
      <c r="J118" s="65">
        <v>0</v>
      </c>
      <c r="K118" s="65">
        <v>0</v>
      </c>
      <c r="L118" s="65">
        <v>0</v>
      </c>
      <c r="M118" s="63">
        <v>0</v>
      </c>
      <c r="N118" s="1"/>
      <c r="O118" s="65">
        <v>0</v>
      </c>
      <c r="P118" s="65">
        <v>0</v>
      </c>
    </row>
    <row r="119" spans="1:16" ht="16" hidden="1" customHeight="1" outlineLevel="1" x14ac:dyDescent="0.45">
      <c r="A119" s="29" t="s">
        <v>270</v>
      </c>
      <c r="B119" s="44">
        <v>9465380</v>
      </c>
      <c r="C119" s="63">
        <v>1366100</v>
      </c>
      <c r="D119" s="63">
        <v>158000</v>
      </c>
      <c r="E119" s="64">
        <v>7941280</v>
      </c>
      <c r="F119" s="63">
        <v>4972636.0353536783</v>
      </c>
      <c r="G119" s="63">
        <v>2169483.9646463217</v>
      </c>
      <c r="H119" s="65">
        <f t="shared" si="1"/>
        <v>0</v>
      </c>
      <c r="I119" s="65">
        <v>55500</v>
      </c>
      <c r="J119" s="65">
        <v>55500</v>
      </c>
      <c r="K119" s="65">
        <v>92000</v>
      </c>
      <c r="L119" s="65">
        <v>307000</v>
      </c>
      <c r="M119" s="63">
        <v>289160</v>
      </c>
      <c r="N119" s="1"/>
      <c r="O119" s="65">
        <v>0</v>
      </c>
      <c r="P119" s="65">
        <v>0</v>
      </c>
    </row>
    <row r="120" spans="1:16" ht="16" hidden="1" customHeight="1" outlineLevel="1" x14ac:dyDescent="0.45">
      <c r="A120" s="29" t="s">
        <v>271</v>
      </c>
      <c r="B120" s="44">
        <v>1676220</v>
      </c>
      <c r="C120" s="63">
        <v>1676220</v>
      </c>
      <c r="D120" s="63">
        <v>0</v>
      </c>
      <c r="E120" s="64">
        <v>0</v>
      </c>
      <c r="F120" s="63">
        <v>0</v>
      </c>
      <c r="G120" s="63">
        <v>0</v>
      </c>
      <c r="H120" s="65">
        <f t="shared" si="1"/>
        <v>0</v>
      </c>
      <c r="I120" s="65">
        <v>0</v>
      </c>
      <c r="J120" s="65">
        <v>0</v>
      </c>
      <c r="K120" s="65">
        <v>0</v>
      </c>
      <c r="L120" s="65">
        <v>0</v>
      </c>
      <c r="M120" s="63">
        <v>0</v>
      </c>
      <c r="N120" s="1"/>
      <c r="O120" s="65">
        <v>0</v>
      </c>
      <c r="P120" s="65">
        <v>0</v>
      </c>
    </row>
    <row r="121" spans="1:16" ht="16" hidden="1" customHeight="1" outlineLevel="1" x14ac:dyDescent="0.45">
      <c r="A121" s="29" t="s">
        <v>297</v>
      </c>
      <c r="B121" s="44">
        <v>11760759</v>
      </c>
      <c r="C121" s="63">
        <v>3217750</v>
      </c>
      <c r="D121" s="63">
        <v>2721950</v>
      </c>
      <c r="E121" s="64">
        <v>5821059</v>
      </c>
      <c r="F121" s="63">
        <v>1250000</v>
      </c>
      <c r="G121" s="63">
        <v>491259</v>
      </c>
      <c r="H121" s="65">
        <f t="shared" si="1"/>
        <v>943250</v>
      </c>
      <c r="I121" s="65">
        <v>150000</v>
      </c>
      <c r="J121" s="65">
        <v>150000</v>
      </c>
      <c r="K121" s="65">
        <v>400000</v>
      </c>
      <c r="L121" s="65">
        <v>1436550</v>
      </c>
      <c r="M121" s="63">
        <v>1000000</v>
      </c>
      <c r="N121" s="1"/>
      <c r="O121" s="65">
        <v>896088</v>
      </c>
      <c r="P121" s="65">
        <v>47162</v>
      </c>
    </row>
    <row r="122" spans="1:16" s="1" customFormat="1" collapsed="1" x14ac:dyDescent="0.45">
      <c r="A122" s="28" t="s">
        <v>136</v>
      </c>
      <c r="B122" s="43">
        <v>20348100</v>
      </c>
      <c r="C122" s="60">
        <v>19327100</v>
      </c>
      <c r="D122" s="60">
        <v>0</v>
      </c>
      <c r="E122" s="61">
        <v>1021000</v>
      </c>
      <c r="F122" s="60">
        <v>432357.66602303903</v>
      </c>
      <c r="G122" s="60">
        <v>67642.333976960974</v>
      </c>
      <c r="H122" s="62">
        <f t="shared" si="1"/>
        <v>0</v>
      </c>
      <c r="I122" s="62">
        <v>58226.158777842211</v>
      </c>
      <c r="J122" s="62">
        <v>55191.520072354964</v>
      </c>
      <c r="K122" s="62">
        <v>234213.53409027285</v>
      </c>
      <c r="L122" s="62">
        <v>173368.78705953</v>
      </c>
      <c r="M122" s="60">
        <v>0</v>
      </c>
      <c r="O122" s="62">
        <v>0</v>
      </c>
      <c r="P122" s="62">
        <v>0</v>
      </c>
    </row>
    <row r="123" spans="1:16" ht="16" hidden="1" customHeight="1" outlineLevel="1" x14ac:dyDescent="0.45">
      <c r="A123" s="29" t="s">
        <v>137</v>
      </c>
      <c r="B123" s="44">
        <v>0</v>
      </c>
      <c r="C123" s="63">
        <v>0</v>
      </c>
      <c r="D123" s="63">
        <v>0</v>
      </c>
      <c r="E123" s="64">
        <v>0</v>
      </c>
      <c r="F123" s="63">
        <v>0</v>
      </c>
      <c r="G123" s="63">
        <v>0</v>
      </c>
      <c r="H123" s="65">
        <f t="shared" si="1"/>
        <v>0</v>
      </c>
      <c r="I123" s="65">
        <v>0</v>
      </c>
      <c r="J123" s="65">
        <v>0</v>
      </c>
      <c r="K123" s="65">
        <v>0</v>
      </c>
      <c r="L123" s="65">
        <v>0</v>
      </c>
      <c r="M123" s="63">
        <v>0</v>
      </c>
      <c r="N123" s="1"/>
      <c r="O123" s="65">
        <v>0</v>
      </c>
      <c r="P123" s="65">
        <v>0</v>
      </c>
    </row>
    <row r="124" spans="1:16" ht="16" hidden="1" customHeight="1" outlineLevel="1" x14ac:dyDescent="0.45">
      <c r="A124" s="29" t="s">
        <v>191</v>
      </c>
      <c r="B124" s="44">
        <v>0</v>
      </c>
      <c r="C124" s="63">
        <v>0</v>
      </c>
      <c r="D124" s="63">
        <v>0</v>
      </c>
      <c r="E124" s="64">
        <v>0</v>
      </c>
      <c r="F124" s="63">
        <v>0</v>
      </c>
      <c r="G124" s="63">
        <v>0</v>
      </c>
      <c r="H124" s="65">
        <f t="shared" si="1"/>
        <v>0</v>
      </c>
      <c r="I124" s="65">
        <v>0</v>
      </c>
      <c r="J124" s="65">
        <v>0</v>
      </c>
      <c r="K124" s="65">
        <v>0</v>
      </c>
      <c r="L124" s="65">
        <v>0</v>
      </c>
      <c r="M124" s="63">
        <v>0</v>
      </c>
      <c r="N124" s="1"/>
      <c r="O124" s="65">
        <v>0</v>
      </c>
      <c r="P124" s="65">
        <v>0</v>
      </c>
    </row>
    <row r="125" spans="1:16" ht="16" hidden="1" customHeight="1" outlineLevel="1" x14ac:dyDescent="0.45">
      <c r="A125" s="29" t="s">
        <v>138</v>
      </c>
      <c r="B125" s="44">
        <v>20348100</v>
      </c>
      <c r="C125" s="63">
        <v>19327100</v>
      </c>
      <c r="D125" s="63">
        <v>0</v>
      </c>
      <c r="E125" s="64">
        <v>1021000</v>
      </c>
      <c r="F125" s="63">
        <v>432357.66602303903</v>
      </c>
      <c r="G125" s="63">
        <v>67642.333976960974</v>
      </c>
      <c r="H125" s="65">
        <f t="shared" si="1"/>
        <v>0</v>
      </c>
      <c r="I125" s="65">
        <v>58226.158777842211</v>
      </c>
      <c r="J125" s="65">
        <v>55191.520072354964</v>
      </c>
      <c r="K125" s="65">
        <v>234213.53409027285</v>
      </c>
      <c r="L125" s="65">
        <v>173368.78705953</v>
      </c>
      <c r="M125" s="63">
        <v>0</v>
      </c>
      <c r="N125" s="1"/>
      <c r="O125" s="65">
        <v>0</v>
      </c>
      <c r="P125" s="65">
        <v>0</v>
      </c>
    </row>
    <row r="126" spans="1:16" s="1" customFormat="1" collapsed="1" x14ac:dyDescent="0.45">
      <c r="A126" s="28" t="s">
        <v>59</v>
      </c>
      <c r="B126" s="43">
        <v>73643846</v>
      </c>
      <c r="C126" s="60">
        <v>28165409</v>
      </c>
      <c r="D126" s="60">
        <v>1233235</v>
      </c>
      <c r="E126" s="61">
        <v>44245202</v>
      </c>
      <c r="F126" s="60">
        <v>14768680.886595771</v>
      </c>
      <c r="G126" s="60">
        <v>7184550.1134042293</v>
      </c>
      <c r="H126" s="62">
        <f t="shared" si="1"/>
        <v>7133077</v>
      </c>
      <c r="I126" s="62">
        <v>282600.5</v>
      </c>
      <c r="J126" s="62">
        <v>12391144.5</v>
      </c>
      <c r="K126" s="62">
        <v>1253168</v>
      </c>
      <c r="L126" s="62">
        <v>419331</v>
      </c>
      <c r="M126" s="60">
        <v>812650</v>
      </c>
      <c r="O126" s="62">
        <v>6776423</v>
      </c>
      <c r="P126" s="62">
        <v>356654</v>
      </c>
    </row>
    <row r="127" spans="1:16" ht="16" hidden="1" customHeight="1" outlineLevel="1" x14ac:dyDescent="0.45">
      <c r="A127" s="29" t="s">
        <v>60</v>
      </c>
      <c r="B127" s="44">
        <v>30471166</v>
      </c>
      <c r="C127" s="63">
        <v>12012845</v>
      </c>
      <c r="D127" s="63">
        <v>827354</v>
      </c>
      <c r="E127" s="64">
        <v>17630967</v>
      </c>
      <c r="F127" s="63">
        <v>10000837.466111401</v>
      </c>
      <c r="G127" s="63">
        <v>6408413.5338885989</v>
      </c>
      <c r="H127" s="65">
        <f t="shared" si="1"/>
        <v>716425</v>
      </c>
      <c r="I127" s="65">
        <v>0</v>
      </c>
      <c r="J127" s="65">
        <v>0</v>
      </c>
      <c r="K127" s="65">
        <v>386277</v>
      </c>
      <c r="L127" s="65">
        <v>69371</v>
      </c>
      <c r="M127" s="63">
        <v>49643</v>
      </c>
      <c r="N127" s="1"/>
      <c r="O127" s="65">
        <v>680604</v>
      </c>
      <c r="P127" s="65">
        <v>35821</v>
      </c>
    </row>
    <row r="128" spans="1:16" ht="16" hidden="1" customHeight="1" outlineLevel="1" x14ac:dyDescent="0.45">
      <c r="A128" s="29" t="s">
        <v>61</v>
      </c>
      <c r="B128" s="44">
        <v>26354181</v>
      </c>
      <c r="C128" s="63">
        <v>10916076</v>
      </c>
      <c r="D128" s="63">
        <v>0</v>
      </c>
      <c r="E128" s="64">
        <v>15438105</v>
      </c>
      <c r="F128" s="63">
        <v>0</v>
      </c>
      <c r="G128" s="63">
        <v>0</v>
      </c>
      <c r="H128" s="65">
        <f t="shared" si="1"/>
        <v>2673991</v>
      </c>
      <c r="I128" s="65">
        <v>0</v>
      </c>
      <c r="J128" s="65">
        <v>12013544</v>
      </c>
      <c r="K128" s="65">
        <v>173297</v>
      </c>
      <c r="L128" s="65">
        <v>0</v>
      </c>
      <c r="M128" s="63">
        <v>577273</v>
      </c>
      <c r="N128" s="1"/>
      <c r="O128" s="65">
        <v>2540291</v>
      </c>
      <c r="P128" s="65">
        <v>133700</v>
      </c>
    </row>
    <row r="129" spans="1:16" ht="16" hidden="1" customHeight="1" outlineLevel="1" x14ac:dyDescent="0.45">
      <c r="A129" s="29" t="s">
        <v>62</v>
      </c>
      <c r="B129" s="44">
        <v>10565199</v>
      </c>
      <c r="C129" s="63">
        <v>5152388</v>
      </c>
      <c r="D129" s="63">
        <v>398001</v>
      </c>
      <c r="E129" s="64">
        <v>5014810</v>
      </c>
      <c r="F129" s="63">
        <v>0</v>
      </c>
      <c r="G129" s="63">
        <v>0</v>
      </c>
      <c r="H129" s="65">
        <f t="shared" si="1"/>
        <v>3688141</v>
      </c>
      <c r="I129" s="65">
        <v>278600.5</v>
      </c>
      <c r="J129" s="65">
        <v>278600.5</v>
      </c>
      <c r="K129" s="65">
        <v>583734</v>
      </c>
      <c r="L129" s="65">
        <v>0</v>
      </c>
      <c r="M129" s="63">
        <v>185734</v>
      </c>
      <c r="N129" s="1"/>
      <c r="O129" s="65">
        <v>3503734</v>
      </c>
      <c r="P129" s="65">
        <v>184407</v>
      </c>
    </row>
    <row r="130" spans="1:16" ht="16" hidden="1" customHeight="1" outlineLevel="1" x14ac:dyDescent="0.45">
      <c r="A130" s="29" t="s">
        <v>63</v>
      </c>
      <c r="B130" s="44">
        <v>6253300</v>
      </c>
      <c r="C130" s="63">
        <v>84100</v>
      </c>
      <c r="D130" s="63">
        <v>7880</v>
      </c>
      <c r="E130" s="64">
        <v>6161320</v>
      </c>
      <c r="F130" s="63">
        <v>4767843.4204843696</v>
      </c>
      <c r="G130" s="63">
        <v>776136.57951563015</v>
      </c>
      <c r="H130" s="65">
        <f t="shared" si="1"/>
        <v>54520</v>
      </c>
      <c r="I130" s="65">
        <v>4000</v>
      </c>
      <c r="J130" s="65">
        <v>99000</v>
      </c>
      <c r="K130" s="65">
        <v>109860</v>
      </c>
      <c r="L130" s="65">
        <v>349960</v>
      </c>
      <c r="M130" s="63">
        <v>0</v>
      </c>
      <c r="N130" s="1"/>
      <c r="O130" s="65">
        <v>51794</v>
      </c>
      <c r="P130" s="65">
        <v>2726</v>
      </c>
    </row>
    <row r="131" spans="1:16" ht="16" hidden="1" customHeight="1" outlineLevel="1" x14ac:dyDescent="0.45">
      <c r="A131" s="24" t="s">
        <v>192</v>
      </c>
      <c r="B131" s="45">
        <v>0</v>
      </c>
      <c r="C131" s="63">
        <v>0</v>
      </c>
      <c r="D131" s="63">
        <v>0</v>
      </c>
      <c r="E131" s="64">
        <v>0</v>
      </c>
      <c r="F131" s="63">
        <v>0</v>
      </c>
      <c r="G131" s="63">
        <v>0</v>
      </c>
      <c r="H131" s="65">
        <f t="shared" si="1"/>
        <v>0</v>
      </c>
      <c r="I131" s="65">
        <v>0</v>
      </c>
      <c r="J131" s="65">
        <v>0</v>
      </c>
      <c r="K131" s="65">
        <v>0</v>
      </c>
      <c r="L131" s="65">
        <v>0</v>
      </c>
      <c r="M131" s="63">
        <v>0</v>
      </c>
      <c r="N131" s="1"/>
      <c r="O131" s="65">
        <v>0</v>
      </c>
      <c r="P131" s="65">
        <v>0</v>
      </c>
    </row>
    <row r="132" spans="1:16" ht="16" hidden="1" customHeight="1" outlineLevel="1" x14ac:dyDescent="0.45">
      <c r="A132" s="29" t="s">
        <v>193</v>
      </c>
      <c r="B132" s="44">
        <v>0</v>
      </c>
      <c r="C132" s="63">
        <v>0</v>
      </c>
      <c r="D132" s="63">
        <v>0</v>
      </c>
      <c r="E132" s="64">
        <v>0</v>
      </c>
      <c r="F132" s="63">
        <v>0</v>
      </c>
      <c r="G132" s="63">
        <v>0</v>
      </c>
      <c r="H132" s="65">
        <f t="shared" ref="H132:H195" si="2">O132+P132</f>
        <v>0</v>
      </c>
      <c r="I132" s="65">
        <v>0</v>
      </c>
      <c r="J132" s="65">
        <v>0</v>
      </c>
      <c r="K132" s="65">
        <v>0</v>
      </c>
      <c r="L132" s="65">
        <v>0</v>
      </c>
      <c r="M132" s="63">
        <v>0</v>
      </c>
      <c r="N132" s="1"/>
      <c r="O132" s="65">
        <v>0</v>
      </c>
      <c r="P132" s="65">
        <v>0</v>
      </c>
    </row>
    <row r="133" spans="1:16" s="1" customFormat="1" collapsed="1" x14ac:dyDescent="0.45">
      <c r="A133" s="28" t="s">
        <v>64</v>
      </c>
      <c r="B133" s="43">
        <v>82276914</v>
      </c>
      <c r="C133" s="60">
        <v>0</v>
      </c>
      <c r="D133" s="60">
        <v>0</v>
      </c>
      <c r="E133" s="61">
        <v>82276914</v>
      </c>
      <c r="F133" s="60">
        <v>75561767.561070457</v>
      </c>
      <c r="G133" s="60">
        <v>6270524.4389295392</v>
      </c>
      <c r="H133" s="62">
        <f t="shared" si="2"/>
        <v>0</v>
      </c>
      <c r="I133" s="62">
        <v>0</v>
      </c>
      <c r="J133" s="62">
        <v>0</v>
      </c>
      <c r="K133" s="62">
        <v>0</v>
      </c>
      <c r="L133" s="62">
        <v>0</v>
      </c>
      <c r="M133" s="60">
        <v>444622</v>
      </c>
      <c r="O133" s="62">
        <v>0</v>
      </c>
      <c r="P133" s="62">
        <v>0</v>
      </c>
    </row>
    <row r="134" spans="1:16" ht="16" hidden="1" customHeight="1" outlineLevel="1" x14ac:dyDescent="0.45">
      <c r="A134" s="29" t="s">
        <v>65</v>
      </c>
      <c r="B134" s="44">
        <v>82276914</v>
      </c>
      <c r="C134" s="63">
        <v>0</v>
      </c>
      <c r="D134" s="63">
        <v>0</v>
      </c>
      <c r="E134" s="64">
        <v>82276914</v>
      </c>
      <c r="F134" s="63">
        <v>75561767.561070457</v>
      </c>
      <c r="G134" s="63">
        <v>6270524.4389295392</v>
      </c>
      <c r="H134" s="65">
        <f t="shared" si="2"/>
        <v>0</v>
      </c>
      <c r="I134" s="65">
        <v>0</v>
      </c>
      <c r="J134" s="65">
        <v>0</v>
      </c>
      <c r="K134" s="65">
        <v>0</v>
      </c>
      <c r="L134" s="65">
        <v>0</v>
      </c>
      <c r="M134" s="63">
        <v>444622</v>
      </c>
      <c r="N134" s="1"/>
      <c r="O134" s="65">
        <v>0</v>
      </c>
      <c r="P134" s="65">
        <v>0</v>
      </c>
    </row>
    <row r="135" spans="1:16" ht="16" hidden="1" customHeight="1" outlineLevel="1" x14ac:dyDescent="0.45">
      <c r="A135" s="29" t="s">
        <v>261</v>
      </c>
      <c r="B135" s="44">
        <v>0</v>
      </c>
      <c r="C135" s="63">
        <v>0</v>
      </c>
      <c r="D135" s="63">
        <v>0</v>
      </c>
      <c r="E135" s="64">
        <v>0</v>
      </c>
      <c r="F135" s="63">
        <v>0</v>
      </c>
      <c r="G135" s="63">
        <v>0</v>
      </c>
      <c r="H135" s="65">
        <f t="shared" si="2"/>
        <v>0</v>
      </c>
      <c r="I135" s="65">
        <v>0</v>
      </c>
      <c r="J135" s="65">
        <v>0</v>
      </c>
      <c r="K135" s="65">
        <v>0</v>
      </c>
      <c r="L135" s="65">
        <v>0</v>
      </c>
      <c r="M135" s="63">
        <v>0</v>
      </c>
      <c r="N135" s="1"/>
      <c r="O135" s="65">
        <v>0</v>
      </c>
      <c r="P135" s="65">
        <v>0</v>
      </c>
    </row>
    <row r="136" spans="1:16" s="1" customFormat="1" collapsed="1" x14ac:dyDescent="0.45">
      <c r="A136" s="28" t="s">
        <v>139</v>
      </c>
      <c r="B136" s="43">
        <v>11912980</v>
      </c>
      <c r="C136" s="60">
        <v>11912980</v>
      </c>
      <c r="D136" s="60">
        <v>0</v>
      </c>
      <c r="E136" s="61">
        <v>0</v>
      </c>
      <c r="F136" s="60">
        <v>0</v>
      </c>
      <c r="G136" s="60">
        <v>0</v>
      </c>
      <c r="H136" s="62">
        <f t="shared" si="2"/>
        <v>0</v>
      </c>
      <c r="I136" s="62">
        <v>0</v>
      </c>
      <c r="J136" s="62">
        <v>0</v>
      </c>
      <c r="K136" s="62">
        <v>0</v>
      </c>
      <c r="L136" s="62">
        <v>0</v>
      </c>
      <c r="M136" s="60">
        <v>0</v>
      </c>
      <c r="O136" s="62">
        <v>0</v>
      </c>
      <c r="P136" s="62">
        <v>0</v>
      </c>
    </row>
    <row r="137" spans="1:16" ht="16" hidden="1" customHeight="1" outlineLevel="1" x14ac:dyDescent="0.45">
      <c r="A137" s="29" t="s">
        <v>140</v>
      </c>
      <c r="B137" s="44">
        <v>0</v>
      </c>
      <c r="C137" s="63">
        <v>0</v>
      </c>
      <c r="D137" s="63">
        <v>0</v>
      </c>
      <c r="E137" s="64">
        <v>0</v>
      </c>
      <c r="F137" s="63">
        <v>0</v>
      </c>
      <c r="G137" s="63">
        <v>0</v>
      </c>
      <c r="H137" s="65">
        <f t="shared" si="2"/>
        <v>0</v>
      </c>
      <c r="I137" s="65">
        <v>0</v>
      </c>
      <c r="J137" s="65">
        <v>0</v>
      </c>
      <c r="K137" s="65">
        <v>0</v>
      </c>
      <c r="L137" s="65">
        <v>0</v>
      </c>
      <c r="M137" s="63">
        <v>0</v>
      </c>
      <c r="N137" s="1"/>
      <c r="O137" s="65">
        <v>0</v>
      </c>
      <c r="P137" s="65">
        <v>0</v>
      </c>
    </row>
    <row r="138" spans="1:16" ht="16" hidden="1" customHeight="1" outlineLevel="1" x14ac:dyDescent="0.45">
      <c r="A138" s="29" t="s">
        <v>194</v>
      </c>
      <c r="B138" s="44">
        <v>56000</v>
      </c>
      <c r="C138" s="63">
        <v>56000</v>
      </c>
      <c r="D138" s="63">
        <v>0</v>
      </c>
      <c r="E138" s="64">
        <v>0</v>
      </c>
      <c r="F138" s="63">
        <v>0</v>
      </c>
      <c r="G138" s="63">
        <v>0</v>
      </c>
      <c r="H138" s="65">
        <f t="shared" si="2"/>
        <v>0</v>
      </c>
      <c r="I138" s="65">
        <v>0</v>
      </c>
      <c r="J138" s="65">
        <v>0</v>
      </c>
      <c r="K138" s="65">
        <v>0</v>
      </c>
      <c r="L138" s="65">
        <v>0</v>
      </c>
      <c r="M138" s="63">
        <v>0</v>
      </c>
      <c r="N138" s="1"/>
      <c r="O138" s="65">
        <v>0</v>
      </c>
      <c r="P138" s="65">
        <v>0</v>
      </c>
    </row>
    <row r="139" spans="1:16" ht="16" hidden="1" customHeight="1" outlineLevel="1" x14ac:dyDescent="0.45">
      <c r="A139" s="29" t="s">
        <v>195</v>
      </c>
      <c r="B139" s="44">
        <v>11430</v>
      </c>
      <c r="C139" s="63">
        <v>11430</v>
      </c>
      <c r="D139" s="63">
        <v>0</v>
      </c>
      <c r="E139" s="64">
        <v>0</v>
      </c>
      <c r="F139" s="63">
        <v>0</v>
      </c>
      <c r="G139" s="63">
        <v>0</v>
      </c>
      <c r="H139" s="65">
        <f t="shared" si="2"/>
        <v>0</v>
      </c>
      <c r="I139" s="65">
        <v>0</v>
      </c>
      <c r="J139" s="65">
        <v>0</v>
      </c>
      <c r="K139" s="65">
        <v>0</v>
      </c>
      <c r="L139" s="65">
        <v>0</v>
      </c>
      <c r="M139" s="63">
        <v>0</v>
      </c>
      <c r="N139" s="1"/>
      <c r="O139" s="65">
        <v>0</v>
      </c>
      <c r="P139" s="65">
        <v>0</v>
      </c>
    </row>
    <row r="140" spans="1:16" ht="16" hidden="1" customHeight="1" outlineLevel="1" x14ac:dyDescent="0.45">
      <c r="A140" s="29" t="s">
        <v>141</v>
      </c>
      <c r="B140" s="44">
        <v>11845550</v>
      </c>
      <c r="C140" s="63">
        <v>11845550</v>
      </c>
      <c r="D140" s="63">
        <v>0</v>
      </c>
      <c r="E140" s="64">
        <v>0</v>
      </c>
      <c r="F140" s="63">
        <v>0</v>
      </c>
      <c r="G140" s="63">
        <v>0</v>
      </c>
      <c r="H140" s="65">
        <f t="shared" si="2"/>
        <v>0</v>
      </c>
      <c r="I140" s="65">
        <v>0</v>
      </c>
      <c r="J140" s="65">
        <v>0</v>
      </c>
      <c r="K140" s="65">
        <v>0</v>
      </c>
      <c r="L140" s="65">
        <v>0</v>
      </c>
      <c r="M140" s="63">
        <v>0</v>
      </c>
      <c r="N140" s="1"/>
      <c r="O140" s="65">
        <v>0</v>
      </c>
      <c r="P140" s="65">
        <v>0</v>
      </c>
    </row>
    <row r="141" spans="1:16" s="1" customFormat="1" collapsed="1" x14ac:dyDescent="0.45">
      <c r="A141" s="28" t="s">
        <v>66</v>
      </c>
      <c r="B141" s="43">
        <v>1439798365</v>
      </c>
      <c r="C141" s="66">
        <v>1395908655</v>
      </c>
      <c r="D141" s="66">
        <v>0</v>
      </c>
      <c r="E141" s="61">
        <v>43889710</v>
      </c>
      <c r="F141" s="60">
        <v>11631571.050663404</v>
      </c>
      <c r="G141" s="60">
        <v>3258139.9493365944</v>
      </c>
      <c r="H141" s="62">
        <f t="shared" si="2"/>
        <v>0</v>
      </c>
      <c r="I141" s="62">
        <v>0</v>
      </c>
      <c r="J141" s="62">
        <v>0</v>
      </c>
      <c r="K141" s="62">
        <v>0</v>
      </c>
      <c r="L141" s="62">
        <v>0</v>
      </c>
      <c r="M141" s="60">
        <v>28999999</v>
      </c>
      <c r="O141" s="62">
        <v>0</v>
      </c>
      <c r="P141" s="62">
        <v>0</v>
      </c>
    </row>
    <row r="142" spans="1:16" s="1" customFormat="1" x14ac:dyDescent="0.45">
      <c r="A142" s="28" t="s">
        <v>67</v>
      </c>
      <c r="B142" s="43">
        <v>-674422788</v>
      </c>
      <c r="C142" s="66">
        <v>-1369960602</v>
      </c>
      <c r="D142" s="66">
        <v>31887815</v>
      </c>
      <c r="E142" s="61">
        <v>663649999</v>
      </c>
      <c r="F142" s="60">
        <v>271817694.41442835</v>
      </c>
      <c r="G142" s="60">
        <v>246343621.58557165</v>
      </c>
      <c r="H142" s="62">
        <f t="shared" si="2"/>
        <v>40296744</v>
      </c>
      <c r="I142" s="62">
        <v>5318264.5</v>
      </c>
      <c r="J142" s="62">
        <v>5318264.5</v>
      </c>
      <c r="K142" s="62">
        <v>30100635</v>
      </c>
      <c r="L142" s="62">
        <v>55641195</v>
      </c>
      <c r="M142" s="60">
        <v>8813580</v>
      </c>
      <c r="O142" s="62">
        <v>38281907</v>
      </c>
      <c r="P142" s="62">
        <v>2014837</v>
      </c>
    </row>
    <row r="143" spans="1:16" ht="16" hidden="1" customHeight="1" outlineLevel="1" x14ac:dyDescent="0.45">
      <c r="A143" s="29" t="s">
        <v>68</v>
      </c>
      <c r="B143" s="44">
        <v>172258082</v>
      </c>
      <c r="C143" s="67">
        <v>11790082</v>
      </c>
      <c r="D143" s="67">
        <v>1330000</v>
      </c>
      <c r="E143" s="64">
        <v>159138000</v>
      </c>
      <c r="F143" s="63">
        <v>27249522.360484615</v>
      </c>
      <c r="G143" s="63">
        <v>118413477.63951539</v>
      </c>
      <c r="H143" s="65">
        <f t="shared" si="2"/>
        <v>0</v>
      </c>
      <c r="I143" s="65">
        <v>0</v>
      </c>
      <c r="J143" s="65">
        <v>0</v>
      </c>
      <c r="K143" s="65">
        <v>539000</v>
      </c>
      <c r="L143" s="65">
        <v>12936000</v>
      </c>
      <c r="M143" s="63">
        <v>0</v>
      </c>
      <c r="N143" s="1"/>
      <c r="O143" s="65">
        <v>0</v>
      </c>
      <c r="P143" s="65">
        <v>0</v>
      </c>
    </row>
    <row r="144" spans="1:16" ht="16" hidden="1" customHeight="1" outlineLevel="1" x14ac:dyDescent="0.45">
      <c r="A144" s="29" t="s">
        <v>196</v>
      </c>
      <c r="B144" s="44">
        <v>-1535312078</v>
      </c>
      <c r="C144" s="67">
        <v>-1535312078</v>
      </c>
      <c r="D144" s="67">
        <v>0</v>
      </c>
      <c r="E144" s="64">
        <v>0</v>
      </c>
      <c r="F144" s="63">
        <v>0</v>
      </c>
      <c r="G144" s="63">
        <v>0</v>
      </c>
      <c r="H144" s="65">
        <f t="shared" si="2"/>
        <v>0</v>
      </c>
      <c r="I144" s="65">
        <v>0</v>
      </c>
      <c r="J144" s="65">
        <v>0</v>
      </c>
      <c r="K144" s="65">
        <v>0</v>
      </c>
      <c r="L144" s="65">
        <v>0</v>
      </c>
      <c r="M144" s="63">
        <v>0</v>
      </c>
      <c r="N144" s="1"/>
      <c r="O144" s="65">
        <v>0</v>
      </c>
      <c r="P144" s="65">
        <v>0</v>
      </c>
    </row>
    <row r="145" spans="1:16" ht="16" hidden="1" customHeight="1" outlineLevel="1" x14ac:dyDescent="0.45">
      <c r="A145" s="29" t="s">
        <v>69</v>
      </c>
      <c r="B145" s="44">
        <v>317049222</v>
      </c>
      <c r="C145" s="67">
        <v>44536994</v>
      </c>
      <c r="D145" s="67">
        <v>17527552</v>
      </c>
      <c r="E145" s="64">
        <v>254984676</v>
      </c>
      <c r="F145" s="63">
        <v>71430021.240370214</v>
      </c>
      <c r="G145" s="63">
        <v>90588607.759629786</v>
      </c>
      <c r="H145" s="65">
        <f t="shared" si="2"/>
        <v>25315575</v>
      </c>
      <c r="I145" s="65">
        <v>4882068</v>
      </c>
      <c r="J145" s="65">
        <v>4882068</v>
      </c>
      <c r="K145" s="65">
        <v>20711637</v>
      </c>
      <c r="L145" s="65">
        <v>31174699</v>
      </c>
      <c r="M145" s="63">
        <v>6000000</v>
      </c>
      <c r="N145" s="1"/>
      <c r="O145" s="65">
        <v>24049796</v>
      </c>
      <c r="P145" s="65">
        <v>1265779</v>
      </c>
    </row>
    <row r="146" spans="1:16" ht="16" hidden="1" customHeight="1" outlineLevel="1" x14ac:dyDescent="0.45">
      <c r="A146" s="29" t="s">
        <v>70</v>
      </c>
      <c r="B146" s="44">
        <v>288317186</v>
      </c>
      <c r="C146" s="67">
        <v>28149200</v>
      </c>
      <c r="D146" s="67">
        <v>11835463</v>
      </c>
      <c r="E146" s="64">
        <v>248332523</v>
      </c>
      <c r="F146" s="63">
        <v>171943350.81357351</v>
      </c>
      <c r="G146" s="63">
        <v>37341536.186426483</v>
      </c>
      <c r="H146" s="65">
        <f t="shared" si="2"/>
        <v>14981169</v>
      </c>
      <c r="I146" s="65">
        <v>436196.5</v>
      </c>
      <c r="J146" s="65">
        <v>436196.5</v>
      </c>
      <c r="K146" s="65">
        <v>8849998</v>
      </c>
      <c r="L146" s="65">
        <v>11530496</v>
      </c>
      <c r="M146" s="63">
        <v>2813580</v>
      </c>
      <c r="N146" s="1"/>
      <c r="O146" s="65">
        <v>14232111</v>
      </c>
      <c r="P146" s="65">
        <v>749058</v>
      </c>
    </row>
    <row r="147" spans="1:16" ht="16" hidden="1" customHeight="1" outlineLevel="1" x14ac:dyDescent="0.45">
      <c r="A147" s="29" t="s">
        <v>142</v>
      </c>
      <c r="B147" s="44">
        <v>83264800</v>
      </c>
      <c r="C147" s="63">
        <v>80875200</v>
      </c>
      <c r="D147" s="63">
        <v>1194800</v>
      </c>
      <c r="E147" s="64">
        <v>1194800</v>
      </c>
      <c r="F147" s="63">
        <v>1194800</v>
      </c>
      <c r="G147" s="63">
        <v>0</v>
      </c>
      <c r="H147" s="65">
        <f t="shared" si="2"/>
        <v>0</v>
      </c>
      <c r="I147" s="65">
        <v>0</v>
      </c>
      <c r="J147" s="65">
        <v>0</v>
      </c>
      <c r="K147" s="65">
        <v>0</v>
      </c>
      <c r="L147" s="65">
        <v>0</v>
      </c>
      <c r="M147" s="63">
        <v>0</v>
      </c>
      <c r="N147" s="1"/>
      <c r="O147" s="65">
        <v>0</v>
      </c>
      <c r="P147" s="65">
        <v>0</v>
      </c>
    </row>
    <row r="148" spans="1:16" ht="16" hidden="1" customHeight="1" outlineLevel="1" x14ac:dyDescent="0.45">
      <c r="A148" s="29" t="s">
        <v>197</v>
      </c>
      <c r="B148" s="44">
        <v>0</v>
      </c>
      <c r="C148" s="63">
        <v>0</v>
      </c>
      <c r="D148" s="63">
        <v>0</v>
      </c>
      <c r="E148" s="64">
        <v>0</v>
      </c>
      <c r="F148" s="63">
        <v>0</v>
      </c>
      <c r="G148" s="63">
        <v>0</v>
      </c>
      <c r="H148" s="65">
        <f t="shared" si="2"/>
        <v>0</v>
      </c>
      <c r="I148" s="65">
        <v>0</v>
      </c>
      <c r="J148" s="65">
        <v>0</v>
      </c>
      <c r="K148" s="65">
        <v>0</v>
      </c>
      <c r="L148" s="65">
        <v>0</v>
      </c>
      <c r="M148" s="63">
        <v>0</v>
      </c>
      <c r="N148" s="1"/>
      <c r="O148" s="65">
        <v>0</v>
      </c>
      <c r="P148" s="65">
        <v>0</v>
      </c>
    </row>
    <row r="149" spans="1:16" ht="16" hidden="1" customHeight="1" outlineLevel="1" x14ac:dyDescent="0.45">
      <c r="A149" s="29" t="s">
        <v>262</v>
      </c>
      <c r="B149" s="44">
        <v>0</v>
      </c>
      <c r="C149" s="63">
        <v>0</v>
      </c>
      <c r="D149" s="63">
        <v>0</v>
      </c>
      <c r="E149" s="64">
        <v>0</v>
      </c>
      <c r="F149" s="63">
        <v>0</v>
      </c>
      <c r="G149" s="63">
        <v>0</v>
      </c>
      <c r="H149" s="65">
        <f t="shared" si="2"/>
        <v>0</v>
      </c>
      <c r="I149" s="65">
        <v>0</v>
      </c>
      <c r="J149" s="65">
        <v>0</v>
      </c>
      <c r="K149" s="65">
        <v>0</v>
      </c>
      <c r="L149" s="65">
        <v>0</v>
      </c>
      <c r="M149" s="63">
        <v>0</v>
      </c>
      <c r="N149" s="1"/>
      <c r="O149" s="65">
        <v>0</v>
      </c>
      <c r="P149" s="65">
        <v>0</v>
      </c>
    </row>
    <row r="150" spans="1:16" ht="16" hidden="1" customHeight="1" outlineLevel="1" x14ac:dyDescent="0.45">
      <c r="A150" s="29" t="s">
        <v>263</v>
      </c>
      <c r="B150" s="44">
        <v>0</v>
      </c>
      <c r="C150" s="63">
        <v>0</v>
      </c>
      <c r="D150" s="63">
        <v>0</v>
      </c>
      <c r="E150" s="64">
        <v>0</v>
      </c>
      <c r="F150" s="63">
        <v>0</v>
      </c>
      <c r="G150" s="63">
        <v>0</v>
      </c>
      <c r="H150" s="65">
        <f t="shared" si="2"/>
        <v>0</v>
      </c>
      <c r="I150" s="65">
        <v>0</v>
      </c>
      <c r="J150" s="65">
        <v>0</v>
      </c>
      <c r="K150" s="65">
        <v>0</v>
      </c>
      <c r="L150" s="65">
        <v>0</v>
      </c>
      <c r="M150" s="63">
        <v>0</v>
      </c>
      <c r="N150" s="1"/>
      <c r="O150" s="65">
        <v>0</v>
      </c>
      <c r="P150" s="65">
        <v>0</v>
      </c>
    </row>
    <row r="151" spans="1:16" s="1" customFormat="1" collapsed="1" x14ac:dyDescent="0.45">
      <c r="A151" s="28" t="s">
        <v>71</v>
      </c>
      <c r="B151" s="43">
        <v>70889920</v>
      </c>
      <c r="C151" s="60">
        <v>69912578</v>
      </c>
      <c r="D151" s="60">
        <v>0</v>
      </c>
      <c r="E151" s="61">
        <v>977342</v>
      </c>
      <c r="F151" s="60">
        <v>390291</v>
      </c>
      <c r="G151" s="60">
        <v>0</v>
      </c>
      <c r="H151" s="62">
        <f t="shared" si="2"/>
        <v>200628</v>
      </c>
      <c r="I151" s="62">
        <v>0</v>
      </c>
      <c r="J151" s="62">
        <v>0</v>
      </c>
      <c r="K151" s="62">
        <v>190230</v>
      </c>
      <c r="L151" s="62">
        <v>0</v>
      </c>
      <c r="M151" s="60">
        <v>196193</v>
      </c>
      <c r="O151" s="62">
        <v>190597</v>
      </c>
      <c r="P151" s="62">
        <v>10031</v>
      </c>
    </row>
    <row r="152" spans="1:16" ht="16" hidden="1" customHeight="1" outlineLevel="1" x14ac:dyDescent="0.45">
      <c r="A152" s="29" t="s">
        <v>143</v>
      </c>
      <c r="B152" s="44">
        <v>407400</v>
      </c>
      <c r="C152" s="63">
        <v>217170</v>
      </c>
      <c r="D152" s="63">
        <v>0</v>
      </c>
      <c r="E152" s="64">
        <v>190230</v>
      </c>
      <c r="F152" s="63">
        <v>0</v>
      </c>
      <c r="G152" s="63">
        <v>0</v>
      </c>
      <c r="H152" s="65">
        <f t="shared" si="2"/>
        <v>0</v>
      </c>
      <c r="I152" s="65">
        <v>0</v>
      </c>
      <c r="J152" s="65">
        <v>0</v>
      </c>
      <c r="K152" s="65">
        <v>190230</v>
      </c>
      <c r="L152" s="65">
        <v>0</v>
      </c>
      <c r="M152" s="63">
        <v>0</v>
      </c>
      <c r="N152" s="1"/>
      <c r="O152" s="65">
        <v>0</v>
      </c>
      <c r="P152" s="65">
        <v>0</v>
      </c>
    </row>
    <row r="153" spans="1:16" ht="16" hidden="1" customHeight="1" outlineLevel="1" x14ac:dyDescent="0.45">
      <c r="A153" s="29" t="s">
        <v>72</v>
      </c>
      <c r="B153" s="44">
        <v>14116279</v>
      </c>
      <c r="C153" s="63">
        <v>13329167</v>
      </c>
      <c r="D153" s="63">
        <v>0</v>
      </c>
      <c r="E153" s="64">
        <v>787112</v>
      </c>
      <c r="F153" s="63">
        <v>390291</v>
      </c>
      <c r="G153" s="63">
        <v>0</v>
      </c>
      <c r="H153" s="65">
        <f t="shared" si="2"/>
        <v>200628</v>
      </c>
      <c r="I153" s="65">
        <v>0</v>
      </c>
      <c r="J153" s="65">
        <v>0</v>
      </c>
      <c r="K153" s="65">
        <v>0</v>
      </c>
      <c r="L153" s="65">
        <v>0</v>
      </c>
      <c r="M153" s="63">
        <v>196193</v>
      </c>
      <c r="N153" s="1"/>
      <c r="O153" s="65">
        <v>190597</v>
      </c>
      <c r="P153" s="65">
        <v>10031</v>
      </c>
    </row>
    <row r="154" spans="1:16" ht="16" hidden="1" customHeight="1" outlineLevel="1" x14ac:dyDescent="0.45">
      <c r="A154" s="29" t="s">
        <v>144</v>
      </c>
      <c r="B154" s="44">
        <v>56366241</v>
      </c>
      <c r="C154" s="63">
        <v>56366241</v>
      </c>
      <c r="D154" s="63">
        <v>0</v>
      </c>
      <c r="E154" s="64">
        <v>0</v>
      </c>
      <c r="F154" s="63">
        <v>0</v>
      </c>
      <c r="G154" s="63">
        <v>0</v>
      </c>
      <c r="H154" s="65">
        <f t="shared" si="2"/>
        <v>0</v>
      </c>
      <c r="I154" s="65">
        <v>0</v>
      </c>
      <c r="J154" s="65">
        <v>0</v>
      </c>
      <c r="K154" s="65">
        <v>0</v>
      </c>
      <c r="L154" s="65">
        <v>0</v>
      </c>
      <c r="M154" s="63">
        <v>0</v>
      </c>
      <c r="N154" s="1"/>
      <c r="O154" s="65">
        <v>0</v>
      </c>
      <c r="P154" s="65">
        <v>0</v>
      </c>
    </row>
    <row r="155" spans="1:16" ht="16" hidden="1" customHeight="1" outlineLevel="1" x14ac:dyDescent="0.45">
      <c r="A155" s="29" t="s">
        <v>145</v>
      </c>
      <c r="B155" s="44">
        <v>0</v>
      </c>
      <c r="C155" s="63">
        <v>0</v>
      </c>
      <c r="D155" s="63">
        <v>0</v>
      </c>
      <c r="E155" s="64">
        <v>0</v>
      </c>
      <c r="F155" s="63">
        <v>0</v>
      </c>
      <c r="G155" s="63">
        <v>0</v>
      </c>
      <c r="H155" s="65">
        <f t="shared" si="2"/>
        <v>0</v>
      </c>
      <c r="I155" s="65">
        <v>0</v>
      </c>
      <c r="J155" s="65">
        <v>0</v>
      </c>
      <c r="K155" s="65">
        <v>0</v>
      </c>
      <c r="L155" s="65">
        <v>0</v>
      </c>
      <c r="M155" s="63">
        <v>0</v>
      </c>
      <c r="N155" s="1"/>
      <c r="O155" s="65">
        <v>0</v>
      </c>
      <c r="P155" s="65">
        <v>0</v>
      </c>
    </row>
    <row r="156" spans="1:16" s="1" customFormat="1" collapsed="1" x14ac:dyDescent="0.45">
      <c r="A156" s="28" t="s">
        <v>73</v>
      </c>
      <c r="B156" s="43">
        <v>108055524</v>
      </c>
      <c r="C156" s="60">
        <v>9040360</v>
      </c>
      <c r="D156" s="60">
        <v>1845850</v>
      </c>
      <c r="E156" s="61">
        <v>97169314</v>
      </c>
      <c r="F156" s="60">
        <v>16784815.073719375</v>
      </c>
      <c r="G156" s="60">
        <v>55589905.864841983</v>
      </c>
      <c r="H156" s="62">
        <f t="shared" si="2"/>
        <v>695636.06143863779</v>
      </c>
      <c r="I156" s="62">
        <v>448986.79782373476</v>
      </c>
      <c r="J156" s="62">
        <v>969032.75186782004</v>
      </c>
      <c r="K156" s="62">
        <v>3318602.8306517852</v>
      </c>
      <c r="L156" s="62">
        <v>19156614.61965666</v>
      </c>
      <c r="M156" s="60">
        <v>205720</v>
      </c>
      <c r="O156" s="62">
        <v>693637.96423581918</v>
      </c>
      <c r="P156" s="62">
        <v>1998.0972028185779</v>
      </c>
    </row>
    <row r="157" spans="1:16" ht="16" hidden="1" customHeight="1" outlineLevel="1" x14ac:dyDescent="0.45">
      <c r="A157" s="29" t="s">
        <v>74</v>
      </c>
      <c r="B157" s="44">
        <v>27023275</v>
      </c>
      <c r="C157" s="63">
        <v>4551000</v>
      </c>
      <c r="D157" s="63">
        <v>250850</v>
      </c>
      <c r="E157" s="64">
        <v>22221425</v>
      </c>
      <c r="F157" s="63">
        <v>5617762.2454812434</v>
      </c>
      <c r="G157" s="63">
        <v>13591242.754518757</v>
      </c>
      <c r="H157" s="65">
        <f t="shared" si="2"/>
        <v>37500</v>
      </c>
      <c r="I157" s="65">
        <v>167206.43532119415</v>
      </c>
      <c r="J157" s="65">
        <v>351848.76997762197</v>
      </c>
      <c r="K157" s="65">
        <v>283650.61347439949</v>
      </c>
      <c r="L157" s="65">
        <v>1996494.1812267844</v>
      </c>
      <c r="M157" s="63">
        <v>175720</v>
      </c>
      <c r="N157" s="1"/>
      <c r="O157" s="65">
        <v>37500</v>
      </c>
      <c r="P157" s="65">
        <v>0</v>
      </c>
    </row>
    <row r="158" spans="1:16" ht="16" hidden="1" customHeight="1" outlineLevel="1" x14ac:dyDescent="0.45">
      <c r="A158" s="29" t="s">
        <v>75</v>
      </c>
      <c r="B158" s="44">
        <v>10333802</v>
      </c>
      <c r="C158" s="63">
        <v>2725962</v>
      </c>
      <c r="D158" s="63">
        <v>1595000</v>
      </c>
      <c r="E158" s="64">
        <v>6012840</v>
      </c>
      <c r="F158" s="63">
        <v>3665329.960903808</v>
      </c>
      <c r="G158" s="63">
        <v>703813.97765755386</v>
      </c>
      <c r="H158" s="65">
        <f t="shared" si="2"/>
        <v>658136.06143863779</v>
      </c>
      <c r="I158" s="65">
        <v>217780.36250254064</v>
      </c>
      <c r="J158" s="65">
        <v>216208.98189019805</v>
      </c>
      <c r="K158" s="65">
        <v>483579.21717738593</v>
      </c>
      <c r="L158" s="65">
        <v>37991.438429875394</v>
      </c>
      <c r="M158" s="63">
        <v>30000</v>
      </c>
      <c r="N158" s="1"/>
      <c r="O158" s="65">
        <v>656137.96423581918</v>
      </c>
      <c r="P158" s="65">
        <v>1998.0972028185779</v>
      </c>
    </row>
    <row r="159" spans="1:16" ht="16" hidden="1" customHeight="1" outlineLevel="1" x14ac:dyDescent="0.45">
      <c r="A159" s="29" t="s">
        <v>76</v>
      </c>
      <c r="B159" s="44">
        <v>20580675</v>
      </c>
      <c r="C159" s="63">
        <v>360000</v>
      </c>
      <c r="D159" s="63">
        <v>0</v>
      </c>
      <c r="E159" s="64">
        <v>20220675</v>
      </c>
      <c r="F159" s="63">
        <v>2281649</v>
      </c>
      <c r="G159" s="63">
        <v>1929079</v>
      </c>
      <c r="H159" s="65">
        <f t="shared" si="2"/>
        <v>0</v>
      </c>
      <c r="I159" s="65">
        <v>64000</v>
      </c>
      <c r="J159" s="65">
        <v>400975</v>
      </c>
      <c r="K159" s="65">
        <v>2438825</v>
      </c>
      <c r="L159" s="65">
        <v>13106147</v>
      </c>
      <c r="M159" s="63">
        <v>0</v>
      </c>
      <c r="N159" s="1"/>
      <c r="O159" s="65">
        <v>0</v>
      </c>
      <c r="P159" s="65">
        <v>0</v>
      </c>
    </row>
    <row r="160" spans="1:16" ht="16" hidden="1" customHeight="1" outlineLevel="1" x14ac:dyDescent="0.45">
      <c r="A160" s="29" t="s">
        <v>77</v>
      </c>
      <c r="B160" s="44">
        <v>50117772</v>
      </c>
      <c r="C160" s="63">
        <v>1403398</v>
      </c>
      <c r="D160" s="63">
        <v>0</v>
      </c>
      <c r="E160" s="64">
        <v>48714374</v>
      </c>
      <c r="F160" s="63">
        <v>5220073.8673343249</v>
      </c>
      <c r="G160" s="63">
        <v>39365770.132665679</v>
      </c>
      <c r="H160" s="65">
        <f t="shared" si="2"/>
        <v>0</v>
      </c>
      <c r="I160" s="65">
        <v>0</v>
      </c>
      <c r="J160" s="65">
        <v>0</v>
      </c>
      <c r="K160" s="65">
        <v>112548</v>
      </c>
      <c r="L160" s="65">
        <v>4015982</v>
      </c>
      <c r="M160" s="63">
        <v>0</v>
      </c>
      <c r="N160" s="1"/>
      <c r="O160" s="65">
        <v>0</v>
      </c>
      <c r="P160" s="65">
        <v>0</v>
      </c>
    </row>
    <row r="161" spans="1:16" ht="16" hidden="1" customHeight="1" outlineLevel="1" x14ac:dyDescent="0.45">
      <c r="A161" s="29" t="s">
        <v>198</v>
      </c>
      <c r="B161" s="44">
        <v>0</v>
      </c>
      <c r="C161" s="63">
        <v>0</v>
      </c>
      <c r="D161" s="63">
        <v>0</v>
      </c>
      <c r="E161" s="64">
        <v>0</v>
      </c>
      <c r="F161" s="63">
        <v>0</v>
      </c>
      <c r="G161" s="63">
        <v>0</v>
      </c>
      <c r="H161" s="65">
        <f t="shared" si="2"/>
        <v>0</v>
      </c>
      <c r="I161" s="65">
        <v>0</v>
      </c>
      <c r="J161" s="65">
        <v>0</v>
      </c>
      <c r="K161" s="65">
        <v>0</v>
      </c>
      <c r="L161" s="65">
        <v>0</v>
      </c>
      <c r="M161" s="63">
        <v>0</v>
      </c>
      <c r="N161" s="1"/>
      <c r="O161" s="65">
        <v>0</v>
      </c>
      <c r="P161" s="65">
        <v>0</v>
      </c>
    </row>
    <row r="162" spans="1:16" ht="16" hidden="1" customHeight="1" outlineLevel="1" x14ac:dyDescent="0.45">
      <c r="A162" s="24" t="s">
        <v>199</v>
      </c>
      <c r="B162" s="45">
        <v>0</v>
      </c>
      <c r="C162" s="63">
        <v>0</v>
      </c>
      <c r="D162" s="63">
        <v>0</v>
      </c>
      <c r="E162" s="64">
        <v>0</v>
      </c>
      <c r="F162" s="63">
        <v>0</v>
      </c>
      <c r="G162" s="63">
        <v>0</v>
      </c>
      <c r="H162" s="65">
        <f t="shared" si="2"/>
        <v>0</v>
      </c>
      <c r="I162" s="65">
        <v>0</v>
      </c>
      <c r="J162" s="65">
        <v>0</v>
      </c>
      <c r="K162" s="65">
        <v>0</v>
      </c>
      <c r="L162" s="65">
        <v>0</v>
      </c>
      <c r="M162" s="63">
        <v>0</v>
      </c>
      <c r="N162" s="1"/>
      <c r="O162" s="65">
        <v>0</v>
      </c>
      <c r="P162" s="65">
        <v>0</v>
      </c>
    </row>
    <row r="163" spans="1:16" ht="16" hidden="1" customHeight="1" outlineLevel="1" x14ac:dyDescent="0.45">
      <c r="A163" s="30" t="s">
        <v>200</v>
      </c>
      <c r="B163" s="46">
        <v>0</v>
      </c>
      <c r="C163" s="63">
        <v>0</v>
      </c>
      <c r="D163" s="63">
        <v>0</v>
      </c>
      <c r="E163" s="64">
        <v>0</v>
      </c>
      <c r="F163" s="63">
        <v>0</v>
      </c>
      <c r="G163" s="63">
        <v>0</v>
      </c>
      <c r="H163" s="65">
        <f t="shared" si="2"/>
        <v>0</v>
      </c>
      <c r="I163" s="65">
        <v>0</v>
      </c>
      <c r="J163" s="65">
        <v>0</v>
      </c>
      <c r="K163" s="65">
        <v>0</v>
      </c>
      <c r="L163" s="65">
        <v>0</v>
      </c>
      <c r="M163" s="63">
        <v>0</v>
      </c>
      <c r="N163" s="1"/>
      <c r="O163" s="65">
        <v>0</v>
      </c>
      <c r="P163" s="65">
        <v>0</v>
      </c>
    </row>
    <row r="164" spans="1:16" s="1" customFormat="1" collapsed="1" x14ac:dyDescent="0.45">
      <c r="A164" s="28" t="s">
        <v>78</v>
      </c>
      <c r="B164" s="43">
        <v>242864204</v>
      </c>
      <c r="C164" s="60">
        <v>-90973974</v>
      </c>
      <c r="D164" s="60">
        <v>94981519</v>
      </c>
      <c r="E164" s="61">
        <v>238856659</v>
      </c>
      <c r="F164" s="60">
        <v>193632919</v>
      </c>
      <c r="G164" s="60">
        <v>82664890</v>
      </c>
      <c r="H164" s="62">
        <f t="shared" si="2"/>
        <v>35431734</v>
      </c>
      <c r="I164" s="62">
        <v>1127830.5</v>
      </c>
      <c r="J164" s="62">
        <v>1127830.5</v>
      </c>
      <c r="K164" s="62">
        <v>-76632459</v>
      </c>
      <c r="L164" s="62">
        <v>0</v>
      </c>
      <c r="M164" s="60">
        <v>1503914</v>
      </c>
      <c r="O164" s="62">
        <v>33660147</v>
      </c>
      <c r="P164" s="62">
        <v>1771587</v>
      </c>
    </row>
    <row r="165" spans="1:16" ht="16" hidden="1" customHeight="1" outlineLevel="1" x14ac:dyDescent="0.45">
      <c r="A165" s="30" t="s">
        <v>201</v>
      </c>
      <c r="B165" s="46">
        <v>0</v>
      </c>
      <c r="C165" s="63">
        <v>0</v>
      </c>
      <c r="D165" s="63">
        <v>0</v>
      </c>
      <c r="E165" s="64">
        <v>0</v>
      </c>
      <c r="F165" s="63">
        <v>0</v>
      </c>
      <c r="G165" s="63">
        <v>0</v>
      </c>
      <c r="H165" s="65">
        <f t="shared" si="2"/>
        <v>0</v>
      </c>
      <c r="I165" s="65">
        <v>0</v>
      </c>
      <c r="J165" s="65">
        <v>0</v>
      </c>
      <c r="K165" s="65">
        <v>0</v>
      </c>
      <c r="L165" s="65">
        <v>0</v>
      </c>
      <c r="M165" s="63">
        <v>0</v>
      </c>
      <c r="N165" s="1"/>
      <c r="O165" s="65">
        <v>0</v>
      </c>
      <c r="P165" s="65">
        <v>0</v>
      </c>
    </row>
    <row r="166" spans="1:16" ht="16" hidden="1" customHeight="1" outlineLevel="1" x14ac:dyDescent="0.45">
      <c r="A166" s="29" t="s">
        <v>79</v>
      </c>
      <c r="B166" s="44">
        <v>242864204</v>
      </c>
      <c r="C166" s="63">
        <v>-90973974</v>
      </c>
      <c r="D166" s="63">
        <v>94981519</v>
      </c>
      <c r="E166" s="64">
        <v>238856659</v>
      </c>
      <c r="F166" s="63">
        <v>193632919</v>
      </c>
      <c r="G166" s="63">
        <v>82664890</v>
      </c>
      <c r="H166" s="65">
        <f t="shared" si="2"/>
        <v>35431734</v>
      </c>
      <c r="I166" s="65">
        <v>1127830.5</v>
      </c>
      <c r="J166" s="65">
        <v>1127830.5</v>
      </c>
      <c r="K166" s="65">
        <v>-76632459</v>
      </c>
      <c r="L166" s="65">
        <v>0</v>
      </c>
      <c r="M166" s="63">
        <v>1503914</v>
      </c>
      <c r="N166" s="1"/>
      <c r="O166" s="65">
        <v>33660147</v>
      </c>
      <c r="P166" s="65">
        <v>1771587</v>
      </c>
    </row>
    <row r="167" spans="1:16" ht="16" hidden="1" customHeight="1" outlineLevel="1" x14ac:dyDescent="0.45">
      <c r="A167" s="29" t="s">
        <v>202</v>
      </c>
      <c r="B167" s="44">
        <v>0</v>
      </c>
      <c r="C167" s="63">
        <v>0</v>
      </c>
      <c r="D167" s="63">
        <v>0</v>
      </c>
      <c r="E167" s="64">
        <v>0</v>
      </c>
      <c r="F167" s="63">
        <v>0</v>
      </c>
      <c r="G167" s="63">
        <v>0</v>
      </c>
      <c r="H167" s="65">
        <f t="shared" si="2"/>
        <v>0</v>
      </c>
      <c r="I167" s="65">
        <v>0</v>
      </c>
      <c r="J167" s="65">
        <v>0</v>
      </c>
      <c r="K167" s="65">
        <v>0</v>
      </c>
      <c r="L167" s="65">
        <v>0</v>
      </c>
      <c r="M167" s="63">
        <v>0</v>
      </c>
      <c r="N167" s="1"/>
      <c r="O167" s="65">
        <v>0</v>
      </c>
      <c r="P167" s="65">
        <v>0</v>
      </c>
    </row>
    <row r="168" spans="1:16" ht="16" hidden="1" customHeight="1" outlineLevel="1" x14ac:dyDescent="0.45">
      <c r="A168" s="24" t="s">
        <v>203</v>
      </c>
      <c r="B168" s="45">
        <v>0</v>
      </c>
      <c r="C168" s="63">
        <v>0</v>
      </c>
      <c r="D168" s="63">
        <v>0</v>
      </c>
      <c r="E168" s="64">
        <v>0</v>
      </c>
      <c r="F168" s="63">
        <v>0</v>
      </c>
      <c r="G168" s="63">
        <v>0</v>
      </c>
      <c r="H168" s="65">
        <f t="shared" si="2"/>
        <v>0</v>
      </c>
      <c r="I168" s="65">
        <v>0</v>
      </c>
      <c r="J168" s="65">
        <v>0</v>
      </c>
      <c r="K168" s="65">
        <v>0</v>
      </c>
      <c r="L168" s="65">
        <v>0</v>
      </c>
      <c r="M168" s="63">
        <v>0</v>
      </c>
      <c r="N168" s="1"/>
      <c r="O168" s="65">
        <v>0</v>
      </c>
      <c r="P168" s="65">
        <v>0</v>
      </c>
    </row>
    <row r="169" spans="1:16" ht="16" hidden="1" customHeight="1" outlineLevel="1" x14ac:dyDescent="0.45">
      <c r="A169" s="29" t="s">
        <v>204</v>
      </c>
      <c r="B169" s="44">
        <v>0</v>
      </c>
      <c r="C169" s="63">
        <v>0</v>
      </c>
      <c r="D169" s="63">
        <v>0</v>
      </c>
      <c r="E169" s="64">
        <v>0</v>
      </c>
      <c r="F169" s="63">
        <v>0</v>
      </c>
      <c r="G169" s="63">
        <v>0</v>
      </c>
      <c r="H169" s="65">
        <f t="shared" si="2"/>
        <v>0</v>
      </c>
      <c r="I169" s="65">
        <v>0</v>
      </c>
      <c r="J169" s="65">
        <v>0</v>
      </c>
      <c r="K169" s="65">
        <v>0</v>
      </c>
      <c r="L169" s="65">
        <v>0</v>
      </c>
      <c r="M169" s="63">
        <v>0</v>
      </c>
      <c r="N169" s="1"/>
      <c r="O169" s="65">
        <v>0</v>
      </c>
      <c r="P169" s="65">
        <v>0</v>
      </c>
    </row>
    <row r="170" spans="1:16" ht="16" hidden="1" customHeight="1" outlineLevel="1" x14ac:dyDescent="0.45">
      <c r="A170" s="30" t="s">
        <v>205</v>
      </c>
      <c r="B170" s="46">
        <v>0</v>
      </c>
      <c r="C170" s="63">
        <v>0</v>
      </c>
      <c r="D170" s="63">
        <v>0</v>
      </c>
      <c r="E170" s="64">
        <v>0</v>
      </c>
      <c r="F170" s="63">
        <v>0</v>
      </c>
      <c r="G170" s="63">
        <v>0</v>
      </c>
      <c r="H170" s="65">
        <f t="shared" si="2"/>
        <v>0</v>
      </c>
      <c r="I170" s="65">
        <v>0</v>
      </c>
      <c r="J170" s="65">
        <v>0</v>
      </c>
      <c r="K170" s="65">
        <v>0</v>
      </c>
      <c r="L170" s="65">
        <v>0</v>
      </c>
      <c r="M170" s="63">
        <v>0</v>
      </c>
      <c r="N170" s="1"/>
      <c r="O170" s="65">
        <v>0</v>
      </c>
      <c r="P170" s="65">
        <v>0</v>
      </c>
    </row>
    <row r="171" spans="1:16" s="1" customFormat="1" hidden="1" outlineLevel="1" collapsed="1" x14ac:dyDescent="0.45">
      <c r="A171" s="28" t="s">
        <v>80</v>
      </c>
      <c r="B171" s="43">
        <v>23843495</v>
      </c>
      <c r="C171" s="60">
        <v>9398453</v>
      </c>
      <c r="D171" s="60">
        <v>4498589</v>
      </c>
      <c r="E171" s="61">
        <v>9946453</v>
      </c>
      <c r="F171" s="60">
        <v>4389860</v>
      </c>
      <c r="G171" s="60">
        <v>2161153</v>
      </c>
      <c r="H171" s="62">
        <f t="shared" si="2"/>
        <v>0</v>
      </c>
      <c r="I171" s="62">
        <v>0</v>
      </c>
      <c r="J171" s="62">
        <v>0</v>
      </c>
      <c r="K171" s="62">
        <v>0</v>
      </c>
      <c r="L171" s="62">
        <v>3395440</v>
      </c>
      <c r="M171" s="60">
        <v>0</v>
      </c>
      <c r="O171" s="62">
        <v>0</v>
      </c>
      <c r="P171" s="62">
        <v>0</v>
      </c>
    </row>
    <row r="172" spans="1:16" ht="16" hidden="1" customHeight="1" outlineLevel="1" x14ac:dyDescent="0.45">
      <c r="A172" s="29" t="s">
        <v>81</v>
      </c>
      <c r="B172" s="44">
        <v>10668028</v>
      </c>
      <c r="C172" s="63">
        <v>2561273</v>
      </c>
      <c r="D172" s="63">
        <v>3848589</v>
      </c>
      <c r="E172" s="64">
        <v>4258166</v>
      </c>
      <c r="F172" s="63">
        <v>833209</v>
      </c>
      <c r="G172" s="63">
        <v>1610153</v>
      </c>
      <c r="H172" s="65">
        <f t="shared" si="2"/>
        <v>0</v>
      </c>
      <c r="I172" s="65">
        <v>0</v>
      </c>
      <c r="J172" s="65">
        <v>0</v>
      </c>
      <c r="K172" s="65">
        <v>0</v>
      </c>
      <c r="L172" s="65">
        <v>1814804</v>
      </c>
      <c r="M172" s="63">
        <v>0</v>
      </c>
      <c r="N172" s="1"/>
      <c r="O172" s="65">
        <v>0</v>
      </c>
      <c r="P172" s="65">
        <v>0</v>
      </c>
    </row>
    <row r="173" spans="1:16" ht="16" hidden="1" customHeight="1" outlineLevel="1" x14ac:dyDescent="0.45">
      <c r="A173" s="29" t="s">
        <v>206</v>
      </c>
      <c r="B173" s="44">
        <v>4721090</v>
      </c>
      <c r="C173" s="63">
        <v>2671090</v>
      </c>
      <c r="D173" s="63">
        <v>650000</v>
      </c>
      <c r="E173" s="64">
        <v>1400000</v>
      </c>
      <c r="F173" s="63">
        <v>0</v>
      </c>
      <c r="G173" s="63">
        <v>0</v>
      </c>
      <c r="H173" s="65">
        <f t="shared" si="2"/>
        <v>0</v>
      </c>
      <c r="I173" s="65">
        <v>0</v>
      </c>
      <c r="J173" s="65">
        <v>0</v>
      </c>
      <c r="K173" s="65">
        <v>0</v>
      </c>
      <c r="L173" s="65">
        <v>1400000</v>
      </c>
      <c r="M173" s="63">
        <v>0</v>
      </c>
      <c r="N173" s="1"/>
      <c r="O173" s="65">
        <v>0</v>
      </c>
      <c r="P173" s="65">
        <v>0</v>
      </c>
    </row>
    <row r="174" spans="1:16" ht="16" hidden="1" customHeight="1" outlineLevel="1" x14ac:dyDescent="0.45">
      <c r="A174" s="29" t="s">
        <v>82</v>
      </c>
      <c r="B174" s="44">
        <v>8454377</v>
      </c>
      <c r="C174" s="63">
        <v>4166090</v>
      </c>
      <c r="D174" s="63">
        <v>0</v>
      </c>
      <c r="E174" s="64">
        <v>4288287</v>
      </c>
      <c r="F174" s="63">
        <v>3556651</v>
      </c>
      <c r="G174" s="63">
        <v>551000</v>
      </c>
      <c r="H174" s="65">
        <f t="shared" si="2"/>
        <v>0</v>
      </c>
      <c r="I174" s="65">
        <v>0</v>
      </c>
      <c r="J174" s="65">
        <v>0</v>
      </c>
      <c r="K174" s="65">
        <v>0</v>
      </c>
      <c r="L174" s="65">
        <v>180636</v>
      </c>
      <c r="M174" s="63">
        <v>0</v>
      </c>
      <c r="N174" s="1"/>
      <c r="O174" s="65">
        <v>0</v>
      </c>
      <c r="P174" s="65">
        <v>0</v>
      </c>
    </row>
    <row r="175" spans="1:16" ht="16" hidden="1" customHeight="1" outlineLevel="1" x14ac:dyDescent="0.45">
      <c r="A175" s="24" t="s">
        <v>207</v>
      </c>
      <c r="B175" s="45">
        <v>0</v>
      </c>
      <c r="C175" s="63">
        <v>0</v>
      </c>
      <c r="D175" s="63">
        <v>0</v>
      </c>
      <c r="E175" s="64">
        <v>0</v>
      </c>
      <c r="F175" s="63">
        <v>0</v>
      </c>
      <c r="G175" s="63">
        <v>0</v>
      </c>
      <c r="H175" s="65">
        <f t="shared" si="2"/>
        <v>0</v>
      </c>
      <c r="I175" s="65">
        <v>0</v>
      </c>
      <c r="J175" s="65">
        <v>0</v>
      </c>
      <c r="K175" s="65">
        <v>0</v>
      </c>
      <c r="L175" s="65">
        <v>0</v>
      </c>
      <c r="M175" s="63">
        <v>0</v>
      </c>
      <c r="N175" s="1"/>
      <c r="O175" s="65">
        <v>0</v>
      </c>
      <c r="P175" s="65">
        <v>0</v>
      </c>
    </row>
    <row r="176" spans="1:16" ht="16" hidden="1" customHeight="1" outlineLevel="1" x14ac:dyDescent="0.45">
      <c r="A176" s="29" t="s">
        <v>256</v>
      </c>
      <c r="B176" s="44">
        <v>0</v>
      </c>
      <c r="C176" s="63">
        <v>0</v>
      </c>
      <c r="D176" s="63">
        <v>0</v>
      </c>
      <c r="E176" s="64">
        <v>0</v>
      </c>
      <c r="F176" s="63">
        <v>0</v>
      </c>
      <c r="G176" s="63">
        <v>0</v>
      </c>
      <c r="H176" s="65">
        <f t="shared" si="2"/>
        <v>0</v>
      </c>
      <c r="I176" s="65">
        <v>0</v>
      </c>
      <c r="J176" s="65">
        <v>0</v>
      </c>
      <c r="K176" s="65">
        <v>0</v>
      </c>
      <c r="L176" s="65">
        <v>0</v>
      </c>
      <c r="M176" s="63">
        <v>0</v>
      </c>
      <c r="N176" s="1"/>
      <c r="O176" s="65">
        <v>0</v>
      </c>
      <c r="P176" s="65">
        <v>0</v>
      </c>
    </row>
    <row r="177" spans="1:16" ht="16" hidden="1" customHeight="1" outlineLevel="1" x14ac:dyDescent="0.45">
      <c r="A177" s="29" t="s">
        <v>208</v>
      </c>
      <c r="B177" s="44">
        <v>0</v>
      </c>
      <c r="C177" s="63">
        <v>0</v>
      </c>
      <c r="D177" s="63">
        <v>0</v>
      </c>
      <c r="E177" s="64">
        <v>0</v>
      </c>
      <c r="F177" s="63">
        <v>0</v>
      </c>
      <c r="G177" s="63">
        <v>0</v>
      </c>
      <c r="H177" s="65">
        <f t="shared" si="2"/>
        <v>0</v>
      </c>
      <c r="I177" s="65">
        <v>0</v>
      </c>
      <c r="J177" s="65">
        <v>0</v>
      </c>
      <c r="K177" s="65">
        <v>0</v>
      </c>
      <c r="L177" s="65">
        <v>0</v>
      </c>
      <c r="M177" s="63">
        <v>0</v>
      </c>
      <c r="N177" s="1"/>
      <c r="O177" s="65">
        <v>0</v>
      </c>
      <c r="P177" s="65">
        <v>0</v>
      </c>
    </row>
    <row r="178" spans="1:16" s="1" customFormat="1" collapsed="1" x14ac:dyDescent="0.45">
      <c r="A178" s="28" t="s">
        <v>146</v>
      </c>
      <c r="B178" s="43">
        <v>141455</v>
      </c>
      <c r="C178" s="60">
        <v>141455</v>
      </c>
      <c r="D178" s="60">
        <v>0</v>
      </c>
      <c r="E178" s="61">
        <v>0</v>
      </c>
      <c r="F178" s="60">
        <v>0</v>
      </c>
      <c r="G178" s="60">
        <v>0</v>
      </c>
      <c r="H178" s="62">
        <f t="shared" si="2"/>
        <v>0</v>
      </c>
      <c r="I178" s="62">
        <v>0</v>
      </c>
      <c r="J178" s="62">
        <v>0</v>
      </c>
      <c r="K178" s="62">
        <v>0</v>
      </c>
      <c r="L178" s="62">
        <v>0</v>
      </c>
      <c r="M178" s="60">
        <v>0</v>
      </c>
      <c r="O178" s="62">
        <v>0</v>
      </c>
      <c r="P178" s="62">
        <v>0</v>
      </c>
    </row>
    <row r="179" spans="1:16" ht="16" hidden="1" customHeight="1" outlineLevel="1" x14ac:dyDescent="0.45">
      <c r="A179" s="29" t="s">
        <v>147</v>
      </c>
      <c r="B179" s="44">
        <v>141455</v>
      </c>
      <c r="C179" s="63">
        <v>141455</v>
      </c>
      <c r="D179" s="63">
        <v>0</v>
      </c>
      <c r="E179" s="64">
        <v>0</v>
      </c>
      <c r="F179" s="63">
        <v>0</v>
      </c>
      <c r="G179" s="63">
        <v>0</v>
      </c>
      <c r="H179" s="65">
        <f t="shared" si="2"/>
        <v>0</v>
      </c>
      <c r="I179" s="65">
        <v>0</v>
      </c>
      <c r="J179" s="65">
        <v>0</v>
      </c>
      <c r="K179" s="65">
        <v>0</v>
      </c>
      <c r="L179" s="65">
        <v>0</v>
      </c>
      <c r="M179" s="63">
        <v>0</v>
      </c>
      <c r="N179" s="1"/>
      <c r="O179" s="65">
        <v>0</v>
      </c>
      <c r="P179" s="65">
        <v>0</v>
      </c>
    </row>
    <row r="180" spans="1:16" ht="16" hidden="1" customHeight="1" outlineLevel="1" x14ac:dyDescent="0.45">
      <c r="A180" s="29" t="s">
        <v>148</v>
      </c>
      <c r="B180" s="54">
        <v>0</v>
      </c>
      <c r="C180" s="68">
        <v>0</v>
      </c>
      <c r="D180" s="63">
        <v>0</v>
      </c>
      <c r="E180" s="64">
        <v>0</v>
      </c>
      <c r="F180" s="63">
        <v>0</v>
      </c>
      <c r="G180" s="63">
        <v>0</v>
      </c>
      <c r="H180" s="65">
        <f t="shared" si="2"/>
        <v>0</v>
      </c>
      <c r="I180" s="65">
        <v>0</v>
      </c>
      <c r="J180" s="65">
        <v>0</v>
      </c>
      <c r="K180" s="65">
        <v>0</v>
      </c>
      <c r="L180" s="65">
        <v>0</v>
      </c>
      <c r="M180" s="63">
        <v>0</v>
      </c>
      <c r="N180" s="1"/>
      <c r="O180" s="65">
        <v>0</v>
      </c>
      <c r="P180" s="65">
        <v>0</v>
      </c>
    </row>
    <row r="181" spans="1:16" s="1" customFormat="1" collapsed="1" x14ac:dyDescent="0.45">
      <c r="A181" s="28" t="s">
        <v>83</v>
      </c>
      <c r="B181" s="43">
        <v>427810940</v>
      </c>
      <c r="C181" s="60">
        <v>48783843.00000006</v>
      </c>
      <c r="D181" s="60">
        <v>20240040</v>
      </c>
      <c r="E181" s="61">
        <v>358787056.99999994</v>
      </c>
      <c r="F181" s="60">
        <v>191557651.3507565</v>
      </c>
      <c r="G181" s="60">
        <v>81391548.834368691</v>
      </c>
      <c r="H181" s="60">
        <f t="shared" si="2"/>
        <v>13080421.814874809</v>
      </c>
      <c r="I181" s="60">
        <v>2081322.6392058043</v>
      </c>
      <c r="J181" s="60">
        <v>1853702.7432364738</v>
      </c>
      <c r="K181" s="60">
        <v>9890998.873104779</v>
      </c>
      <c r="L181" s="60">
        <v>40677341.744452946</v>
      </c>
      <c r="M181" s="60">
        <v>18254069</v>
      </c>
      <c r="O181" s="60">
        <v>12400464.666709863</v>
      </c>
      <c r="P181" s="60">
        <v>679957.1481649467</v>
      </c>
    </row>
    <row r="182" spans="1:16" s="1" customFormat="1" ht="16" hidden="1" customHeight="1" outlineLevel="1" x14ac:dyDescent="0.45">
      <c r="A182" s="29" t="s">
        <v>84</v>
      </c>
      <c r="B182" s="44">
        <v>57273164</v>
      </c>
      <c r="C182" s="63">
        <v>2130025</v>
      </c>
      <c r="D182" s="63">
        <v>482564</v>
      </c>
      <c r="E182" s="64">
        <v>54660575</v>
      </c>
      <c r="F182" s="63">
        <v>35752348</v>
      </c>
      <c r="G182" s="63">
        <v>8928852</v>
      </c>
      <c r="H182" s="63">
        <f t="shared" si="2"/>
        <v>3059830</v>
      </c>
      <c r="I182" s="63">
        <v>261857.5</v>
      </c>
      <c r="J182" s="63">
        <v>168126.5</v>
      </c>
      <c r="K182" s="63">
        <v>1158279</v>
      </c>
      <c r="L182" s="63">
        <v>5215939</v>
      </c>
      <c r="M182" s="63">
        <v>115343</v>
      </c>
      <c r="O182" s="63">
        <v>2906838</v>
      </c>
      <c r="P182" s="63">
        <v>152992</v>
      </c>
    </row>
    <row r="183" spans="1:16" ht="16" hidden="1" customHeight="1" outlineLevel="1" x14ac:dyDescent="0.45">
      <c r="A183" s="29" t="s">
        <v>149</v>
      </c>
      <c r="B183" s="44">
        <v>3104907</v>
      </c>
      <c r="C183" s="63">
        <v>3104907</v>
      </c>
      <c r="D183" s="63">
        <v>0</v>
      </c>
      <c r="E183" s="64">
        <v>0</v>
      </c>
      <c r="F183" s="63">
        <v>0</v>
      </c>
      <c r="G183" s="63">
        <v>0</v>
      </c>
      <c r="H183" s="63">
        <f t="shared" si="2"/>
        <v>0</v>
      </c>
      <c r="I183" s="63">
        <v>0</v>
      </c>
      <c r="J183" s="63">
        <v>0</v>
      </c>
      <c r="K183" s="63">
        <v>0</v>
      </c>
      <c r="L183" s="63">
        <v>0</v>
      </c>
      <c r="M183" s="63">
        <v>0</v>
      </c>
      <c r="N183" s="1"/>
      <c r="O183" s="63">
        <v>0</v>
      </c>
      <c r="P183" s="63">
        <v>0</v>
      </c>
    </row>
    <row r="184" spans="1:16" ht="16" hidden="1" customHeight="1" outlineLevel="1" x14ac:dyDescent="0.45">
      <c r="A184" s="29" t="s">
        <v>85</v>
      </c>
      <c r="B184" s="44">
        <v>38061886</v>
      </c>
      <c r="C184" s="63">
        <v>10529108</v>
      </c>
      <c r="D184" s="63">
        <v>5053867</v>
      </c>
      <c r="E184" s="64">
        <v>22478911</v>
      </c>
      <c r="F184" s="63">
        <v>12373444.753784999</v>
      </c>
      <c r="G184" s="63">
        <v>4688947.4313401906</v>
      </c>
      <c r="H184" s="63">
        <f t="shared" si="2"/>
        <v>632763.8148748097</v>
      </c>
      <c r="I184" s="63">
        <v>166792.13920580427</v>
      </c>
      <c r="J184" s="63">
        <v>162138.24323647365</v>
      </c>
      <c r="K184" s="63">
        <v>619371.87310477893</v>
      </c>
      <c r="L184" s="63">
        <v>3058046.7444529431</v>
      </c>
      <c r="M184" s="63">
        <v>777406</v>
      </c>
      <c r="N184" s="1"/>
      <c r="O184" s="63">
        <v>575189.666709863</v>
      </c>
      <c r="P184" s="63">
        <v>57574.14816494671</v>
      </c>
    </row>
    <row r="185" spans="1:16" ht="16" hidden="1" customHeight="1" outlineLevel="1" x14ac:dyDescent="0.45">
      <c r="A185" s="29" t="s">
        <v>86</v>
      </c>
      <c r="B185" s="44">
        <v>7114208</v>
      </c>
      <c r="C185" s="63">
        <v>1240438</v>
      </c>
      <c r="D185" s="63">
        <v>0</v>
      </c>
      <c r="E185" s="64">
        <v>5873770</v>
      </c>
      <c r="F185" s="63">
        <v>4389388</v>
      </c>
      <c r="G185" s="63">
        <v>1484382</v>
      </c>
      <c r="H185" s="63">
        <f t="shared" si="2"/>
        <v>0</v>
      </c>
      <c r="I185" s="63">
        <v>0</v>
      </c>
      <c r="J185" s="63">
        <v>0</v>
      </c>
      <c r="K185" s="63">
        <v>0</v>
      </c>
      <c r="L185" s="63">
        <v>0</v>
      </c>
      <c r="M185" s="63">
        <v>0</v>
      </c>
      <c r="N185" s="1"/>
      <c r="O185" s="63">
        <v>0</v>
      </c>
      <c r="P185" s="63">
        <v>0</v>
      </c>
    </row>
    <row r="186" spans="1:16" ht="16" hidden="1" customHeight="1" outlineLevel="1" x14ac:dyDescent="0.45">
      <c r="A186" s="29" t="s">
        <v>150</v>
      </c>
      <c r="B186" s="44">
        <v>0</v>
      </c>
      <c r="C186" s="63">
        <v>0</v>
      </c>
      <c r="D186" s="63">
        <v>0</v>
      </c>
      <c r="E186" s="64">
        <v>0</v>
      </c>
      <c r="F186" s="63">
        <v>0</v>
      </c>
      <c r="G186" s="63">
        <v>0</v>
      </c>
      <c r="H186" s="63">
        <f t="shared" si="2"/>
        <v>0</v>
      </c>
      <c r="I186" s="63">
        <v>0</v>
      </c>
      <c r="J186" s="63">
        <v>0</v>
      </c>
      <c r="K186" s="63">
        <v>0</v>
      </c>
      <c r="L186" s="63">
        <v>0</v>
      </c>
      <c r="M186" s="63">
        <v>0</v>
      </c>
      <c r="N186" s="1"/>
      <c r="O186" s="63">
        <v>0</v>
      </c>
      <c r="P186" s="63">
        <v>0</v>
      </c>
    </row>
    <row r="187" spans="1:16" s="1" customFormat="1" ht="16" hidden="1" customHeight="1" outlineLevel="1" x14ac:dyDescent="0.45">
      <c r="A187" s="29" t="s">
        <v>87</v>
      </c>
      <c r="B187" s="44">
        <v>16496562</v>
      </c>
      <c r="C187" s="63">
        <v>1005721.9999999981</v>
      </c>
      <c r="D187" s="63">
        <v>0</v>
      </c>
      <c r="E187" s="64">
        <v>15490840.000000002</v>
      </c>
      <c r="F187" s="63">
        <v>12551299.684373662</v>
      </c>
      <c r="G187" s="63">
        <v>1765077.3156263393</v>
      </c>
      <c r="H187" s="63">
        <f t="shared" si="2"/>
        <v>0</v>
      </c>
      <c r="I187" s="63">
        <v>0</v>
      </c>
      <c r="J187" s="63">
        <v>0</v>
      </c>
      <c r="K187" s="63">
        <v>898093</v>
      </c>
      <c r="L187" s="63">
        <v>27273</v>
      </c>
      <c r="M187" s="63">
        <v>249097</v>
      </c>
      <c r="O187" s="63">
        <v>0</v>
      </c>
      <c r="P187" s="63">
        <v>0</v>
      </c>
    </row>
    <row r="188" spans="1:16" ht="16" hidden="1" customHeight="1" outlineLevel="1" x14ac:dyDescent="0.45">
      <c r="A188" s="29" t="s">
        <v>88</v>
      </c>
      <c r="B188" s="44">
        <v>141307327</v>
      </c>
      <c r="C188" s="63">
        <v>22901031</v>
      </c>
      <c r="D188" s="63">
        <v>14457513</v>
      </c>
      <c r="E188" s="64">
        <v>103948783</v>
      </c>
      <c r="F188" s="63">
        <v>17946074.41538161</v>
      </c>
      <c r="G188" s="63">
        <v>57705392.58461839</v>
      </c>
      <c r="H188" s="63">
        <f t="shared" si="2"/>
        <v>9095276</v>
      </c>
      <c r="I188" s="63">
        <v>699915.5</v>
      </c>
      <c r="J188" s="63">
        <v>699915.5</v>
      </c>
      <c r="K188" s="63">
        <v>4486813</v>
      </c>
      <c r="L188" s="63">
        <v>5688179</v>
      </c>
      <c r="M188" s="63">
        <v>7627217</v>
      </c>
      <c r="N188" s="1"/>
      <c r="O188" s="63">
        <v>8640512</v>
      </c>
      <c r="P188" s="63">
        <v>454764</v>
      </c>
    </row>
    <row r="189" spans="1:16" ht="16" hidden="1" customHeight="1" outlineLevel="1" x14ac:dyDescent="0.45">
      <c r="A189" s="24" t="s">
        <v>89</v>
      </c>
      <c r="B189" s="45">
        <v>161487180</v>
      </c>
      <c r="C189" s="63">
        <v>7676062</v>
      </c>
      <c r="D189" s="63">
        <v>0</v>
      </c>
      <c r="E189" s="64">
        <v>153811118</v>
      </c>
      <c r="F189" s="63">
        <v>107280638.49721622</v>
      </c>
      <c r="G189" s="63">
        <v>5952620.5027837707</v>
      </c>
      <c r="H189" s="63">
        <f t="shared" si="2"/>
        <v>0</v>
      </c>
      <c r="I189" s="63">
        <v>952757.5</v>
      </c>
      <c r="J189" s="63">
        <v>823522.5</v>
      </c>
      <c r="K189" s="63">
        <v>2728442</v>
      </c>
      <c r="L189" s="63">
        <v>26588131</v>
      </c>
      <c r="M189" s="63">
        <v>9485006</v>
      </c>
      <c r="N189" s="1"/>
      <c r="O189" s="63">
        <v>0</v>
      </c>
      <c r="P189" s="63">
        <v>0</v>
      </c>
    </row>
    <row r="190" spans="1:16" ht="16" hidden="1" customHeight="1" outlineLevel="1" x14ac:dyDescent="0.45">
      <c r="A190" s="29" t="s">
        <v>209</v>
      </c>
      <c r="B190" s="44">
        <v>0</v>
      </c>
      <c r="C190" s="63">
        <v>0</v>
      </c>
      <c r="D190" s="63">
        <v>0</v>
      </c>
      <c r="E190" s="64">
        <v>0</v>
      </c>
      <c r="F190" s="63">
        <v>0</v>
      </c>
      <c r="G190" s="63">
        <v>0</v>
      </c>
      <c r="H190" s="63">
        <f t="shared" si="2"/>
        <v>0</v>
      </c>
      <c r="I190" s="63">
        <v>0</v>
      </c>
      <c r="J190" s="63">
        <v>0</v>
      </c>
      <c r="K190" s="63">
        <v>0</v>
      </c>
      <c r="L190" s="63">
        <v>0</v>
      </c>
      <c r="M190" s="63">
        <v>0</v>
      </c>
      <c r="N190" s="1"/>
      <c r="O190" s="63">
        <v>0</v>
      </c>
      <c r="P190" s="63">
        <v>0</v>
      </c>
    </row>
    <row r="191" spans="1:16" ht="16" hidden="1" customHeight="1" outlineLevel="1" x14ac:dyDescent="0.45">
      <c r="A191" s="29" t="s">
        <v>90</v>
      </c>
      <c r="B191" s="44">
        <v>2965706</v>
      </c>
      <c r="C191" s="63">
        <v>196550</v>
      </c>
      <c r="D191" s="63">
        <v>246096</v>
      </c>
      <c r="E191" s="64">
        <v>2523060</v>
      </c>
      <c r="F191" s="63">
        <v>1264458</v>
      </c>
      <c r="G191" s="63">
        <v>866277</v>
      </c>
      <c r="H191" s="63">
        <f t="shared" si="2"/>
        <v>292552</v>
      </c>
      <c r="I191" s="63">
        <v>0</v>
      </c>
      <c r="J191" s="63">
        <v>0</v>
      </c>
      <c r="K191" s="63">
        <v>0</v>
      </c>
      <c r="L191" s="63">
        <v>99773</v>
      </c>
      <c r="M191" s="63">
        <v>0</v>
      </c>
      <c r="N191" s="1"/>
      <c r="O191" s="63">
        <v>277924</v>
      </c>
      <c r="P191" s="63">
        <v>14628</v>
      </c>
    </row>
    <row r="192" spans="1:16" ht="16" hidden="1" customHeight="1" outlineLevel="1" x14ac:dyDescent="0.45">
      <c r="A192" s="30" t="s">
        <v>151</v>
      </c>
      <c r="B192" s="46">
        <v>0</v>
      </c>
      <c r="C192" s="63">
        <v>0</v>
      </c>
      <c r="D192" s="63">
        <v>0</v>
      </c>
      <c r="E192" s="64">
        <v>0</v>
      </c>
      <c r="F192" s="63">
        <v>0</v>
      </c>
      <c r="G192" s="63">
        <v>0</v>
      </c>
      <c r="H192" s="63">
        <f t="shared" si="2"/>
        <v>0</v>
      </c>
      <c r="I192" s="63">
        <v>0</v>
      </c>
      <c r="J192" s="63">
        <v>0</v>
      </c>
      <c r="K192" s="63">
        <v>0</v>
      </c>
      <c r="L192" s="63">
        <v>0</v>
      </c>
      <c r="M192" s="63">
        <v>0</v>
      </c>
      <c r="N192" s="1"/>
      <c r="O192" s="63">
        <v>0</v>
      </c>
      <c r="P192" s="63">
        <v>0</v>
      </c>
    </row>
    <row r="193" spans="1:16" s="1" customFormat="1" collapsed="1" x14ac:dyDescent="0.45">
      <c r="A193" s="28" t="s">
        <v>91</v>
      </c>
      <c r="B193" s="43">
        <v>103759046</v>
      </c>
      <c r="C193" s="60">
        <v>23152750</v>
      </c>
      <c r="D193" s="60">
        <v>911643</v>
      </c>
      <c r="E193" s="61">
        <v>79694653</v>
      </c>
      <c r="F193" s="60">
        <v>64230515.890586272</v>
      </c>
      <c r="G193" s="60">
        <v>6719467.1094137235</v>
      </c>
      <c r="H193" s="60">
        <f t="shared" si="2"/>
        <v>4198784</v>
      </c>
      <c r="I193" s="60">
        <v>47175</v>
      </c>
      <c r="J193" s="60">
        <v>28995</v>
      </c>
      <c r="K193" s="60">
        <v>217612</v>
      </c>
      <c r="L193" s="60">
        <v>2552513</v>
      </c>
      <c r="M193" s="60">
        <v>1699591</v>
      </c>
      <c r="O193" s="60">
        <v>3988845</v>
      </c>
      <c r="P193" s="60">
        <v>209939</v>
      </c>
    </row>
    <row r="194" spans="1:16" ht="16" hidden="1" customHeight="1" outlineLevel="1" x14ac:dyDescent="0.45">
      <c r="A194" s="29" t="s">
        <v>92</v>
      </c>
      <c r="B194" s="44">
        <v>47025806</v>
      </c>
      <c r="C194" s="63">
        <v>12681550</v>
      </c>
      <c r="D194" s="63">
        <v>153710</v>
      </c>
      <c r="E194" s="64">
        <v>34190546</v>
      </c>
      <c r="F194" s="63">
        <v>27248793.379672762</v>
      </c>
      <c r="G194" s="63">
        <v>4218962.6203272389</v>
      </c>
      <c r="H194" s="63">
        <f t="shared" si="2"/>
        <v>573300</v>
      </c>
      <c r="I194" s="63">
        <v>28995</v>
      </c>
      <c r="J194" s="63">
        <v>28995</v>
      </c>
      <c r="K194" s="63">
        <v>193430</v>
      </c>
      <c r="L194" s="63">
        <v>1341785</v>
      </c>
      <c r="M194" s="63">
        <v>556285</v>
      </c>
      <c r="N194" s="1"/>
      <c r="O194" s="63">
        <v>544635</v>
      </c>
      <c r="P194" s="63">
        <v>28665</v>
      </c>
    </row>
    <row r="195" spans="1:16" ht="16" hidden="1" customHeight="1" outlineLevel="1" x14ac:dyDescent="0.45">
      <c r="A195" s="29" t="s">
        <v>93</v>
      </c>
      <c r="B195" s="44">
        <v>33360214</v>
      </c>
      <c r="C195" s="63">
        <v>7761000</v>
      </c>
      <c r="D195" s="63">
        <v>0</v>
      </c>
      <c r="E195" s="64">
        <v>25599214</v>
      </c>
      <c r="F195" s="63">
        <v>21959994</v>
      </c>
      <c r="G195" s="63">
        <v>0</v>
      </c>
      <c r="H195" s="63">
        <f t="shared" si="2"/>
        <v>3349220</v>
      </c>
      <c r="I195" s="63">
        <v>0</v>
      </c>
      <c r="J195" s="63">
        <v>0</v>
      </c>
      <c r="K195" s="63">
        <v>0</v>
      </c>
      <c r="L195" s="63">
        <v>290000</v>
      </c>
      <c r="M195" s="63">
        <v>0</v>
      </c>
      <c r="N195" s="1"/>
      <c r="O195" s="63">
        <v>3181759</v>
      </c>
      <c r="P195" s="63">
        <v>167461</v>
      </c>
    </row>
    <row r="196" spans="1:16" ht="16" hidden="1" customHeight="1" outlineLevel="1" x14ac:dyDescent="0.45">
      <c r="A196" s="29" t="s">
        <v>94</v>
      </c>
      <c r="B196" s="44">
        <v>23373026</v>
      </c>
      <c r="C196" s="63">
        <v>2710200</v>
      </c>
      <c r="D196" s="63">
        <v>757933</v>
      </c>
      <c r="E196" s="64">
        <v>19904893</v>
      </c>
      <c r="F196" s="63">
        <v>15021728.510913515</v>
      </c>
      <c r="G196" s="63">
        <v>2500504.4890864845</v>
      </c>
      <c r="H196" s="63">
        <f t="shared" ref="H196:H259" si="3">O196+P196</f>
        <v>276264</v>
      </c>
      <c r="I196" s="63">
        <v>18180</v>
      </c>
      <c r="J196" s="63">
        <v>0</v>
      </c>
      <c r="K196" s="63">
        <v>24182</v>
      </c>
      <c r="L196" s="63">
        <v>920728</v>
      </c>
      <c r="M196" s="63">
        <v>1143306</v>
      </c>
      <c r="N196" s="1"/>
      <c r="O196" s="63">
        <v>262451</v>
      </c>
      <c r="P196" s="63">
        <v>13813</v>
      </c>
    </row>
    <row r="197" spans="1:16" ht="16" hidden="1" customHeight="1" outlineLevel="1" x14ac:dyDescent="0.45">
      <c r="A197" s="29" t="s">
        <v>210</v>
      </c>
      <c r="B197" s="44">
        <v>0</v>
      </c>
      <c r="C197" s="63">
        <v>0</v>
      </c>
      <c r="D197" s="63">
        <v>0</v>
      </c>
      <c r="E197" s="64">
        <v>0</v>
      </c>
      <c r="F197" s="63">
        <v>0</v>
      </c>
      <c r="G197" s="63">
        <v>0</v>
      </c>
      <c r="H197" s="63">
        <f t="shared" si="3"/>
        <v>0</v>
      </c>
      <c r="I197" s="63">
        <v>0</v>
      </c>
      <c r="J197" s="63">
        <v>0</v>
      </c>
      <c r="K197" s="63">
        <v>0</v>
      </c>
      <c r="L197" s="63">
        <v>0</v>
      </c>
      <c r="M197" s="63">
        <v>0</v>
      </c>
      <c r="N197" s="1"/>
      <c r="O197" s="63">
        <v>0</v>
      </c>
      <c r="P197" s="63">
        <v>0</v>
      </c>
    </row>
    <row r="198" spans="1:16" s="1" customFormat="1" ht="16" hidden="1" customHeight="1" outlineLevel="1" x14ac:dyDescent="0.45">
      <c r="A198" s="24" t="s">
        <v>211</v>
      </c>
      <c r="B198" s="45">
        <v>0</v>
      </c>
      <c r="C198" s="63">
        <v>0</v>
      </c>
      <c r="D198" s="63">
        <v>0</v>
      </c>
      <c r="E198" s="64">
        <v>0</v>
      </c>
      <c r="F198" s="63">
        <v>0</v>
      </c>
      <c r="G198" s="63">
        <v>0</v>
      </c>
      <c r="H198" s="63">
        <f t="shared" si="3"/>
        <v>0</v>
      </c>
      <c r="I198" s="63">
        <v>0</v>
      </c>
      <c r="J198" s="63">
        <v>0</v>
      </c>
      <c r="K198" s="63">
        <v>0</v>
      </c>
      <c r="L198" s="63">
        <v>0</v>
      </c>
      <c r="M198" s="63">
        <v>0</v>
      </c>
      <c r="O198" s="63">
        <v>0</v>
      </c>
      <c r="P198" s="63">
        <v>0</v>
      </c>
    </row>
    <row r="199" spans="1:16" s="1" customFormat="1" collapsed="1" x14ac:dyDescent="0.45">
      <c r="A199" s="28" t="s">
        <v>95</v>
      </c>
      <c r="B199" s="43">
        <v>1301523432</v>
      </c>
      <c r="C199" s="69">
        <v>309492094</v>
      </c>
      <c r="D199" s="69">
        <v>128735341</v>
      </c>
      <c r="E199" s="61">
        <v>863295997</v>
      </c>
      <c r="F199" s="60">
        <v>199547739.44442511</v>
      </c>
      <c r="G199" s="60">
        <v>18391898.555574887</v>
      </c>
      <c r="H199" s="70">
        <f t="shared" si="3"/>
        <v>257473444</v>
      </c>
      <c r="I199" s="70">
        <v>1851678.5</v>
      </c>
      <c r="J199" s="70">
        <v>1851678.5</v>
      </c>
      <c r="K199" s="70">
        <v>3553726</v>
      </c>
      <c r="L199" s="70">
        <v>19549258</v>
      </c>
      <c r="M199" s="60">
        <v>361076574</v>
      </c>
      <c r="O199" s="70">
        <v>172695142</v>
      </c>
      <c r="P199" s="70">
        <v>84778302</v>
      </c>
    </row>
    <row r="200" spans="1:16" ht="16" hidden="1" customHeight="1" outlineLevel="1" x14ac:dyDescent="0.45">
      <c r="A200" s="29" t="s">
        <v>152</v>
      </c>
      <c r="B200" s="44">
        <v>282413948</v>
      </c>
      <c r="C200" s="71">
        <v>282413948</v>
      </c>
      <c r="D200" s="71">
        <v>0</v>
      </c>
      <c r="E200" s="64">
        <v>0</v>
      </c>
      <c r="F200" s="63">
        <v>0</v>
      </c>
      <c r="G200" s="63">
        <v>0</v>
      </c>
      <c r="H200" s="32">
        <f t="shared" si="3"/>
        <v>0</v>
      </c>
      <c r="I200" s="32">
        <v>0</v>
      </c>
      <c r="J200" s="32">
        <v>0</v>
      </c>
      <c r="K200" s="32">
        <v>0</v>
      </c>
      <c r="L200" s="32">
        <v>0</v>
      </c>
      <c r="M200" s="63">
        <v>0</v>
      </c>
      <c r="N200" s="1"/>
      <c r="O200" s="32">
        <v>0</v>
      </c>
      <c r="P200" s="32">
        <v>0</v>
      </c>
    </row>
    <row r="201" spans="1:16" ht="16" hidden="1" customHeight="1" outlineLevel="1" x14ac:dyDescent="0.45">
      <c r="A201" s="29" t="s">
        <v>153</v>
      </c>
      <c r="B201" s="44">
        <v>456146936</v>
      </c>
      <c r="C201" s="71">
        <v>-76702</v>
      </c>
      <c r="D201" s="71">
        <v>4881972</v>
      </c>
      <c r="E201" s="64">
        <v>451341666</v>
      </c>
      <c r="F201" s="63">
        <v>6701550.8124773558</v>
      </c>
      <c r="G201" s="63">
        <v>3610064.1875226442</v>
      </c>
      <c r="H201" s="32">
        <f t="shared" si="3"/>
        <v>98723432</v>
      </c>
      <c r="I201" s="32">
        <v>27681.5</v>
      </c>
      <c r="J201" s="32">
        <v>27681.5</v>
      </c>
      <c r="K201" s="32">
        <v>0</v>
      </c>
      <c r="L201" s="32">
        <v>116000</v>
      </c>
      <c r="M201" s="63">
        <v>342135256</v>
      </c>
      <c r="N201" s="1"/>
      <c r="O201" s="32">
        <v>98259139</v>
      </c>
      <c r="P201" s="32">
        <v>464293</v>
      </c>
    </row>
    <row r="202" spans="1:16" ht="16" hidden="1" customHeight="1" outlineLevel="1" x14ac:dyDescent="0.45">
      <c r="A202" s="29" t="s">
        <v>117</v>
      </c>
      <c r="B202" s="44">
        <v>47583040</v>
      </c>
      <c r="C202" s="71">
        <v>47583040</v>
      </c>
      <c r="D202" s="71">
        <v>0</v>
      </c>
      <c r="E202" s="64">
        <v>0</v>
      </c>
      <c r="F202" s="63">
        <v>0</v>
      </c>
      <c r="G202" s="63">
        <v>0</v>
      </c>
      <c r="H202" s="32">
        <f t="shared" si="3"/>
        <v>0</v>
      </c>
      <c r="I202" s="32">
        <v>0</v>
      </c>
      <c r="J202" s="32">
        <v>0</v>
      </c>
      <c r="K202" s="32">
        <v>0</v>
      </c>
      <c r="L202" s="32">
        <v>0</v>
      </c>
      <c r="M202" s="63">
        <v>0</v>
      </c>
      <c r="N202" s="1"/>
      <c r="O202" s="32">
        <v>0</v>
      </c>
      <c r="P202" s="32">
        <v>0</v>
      </c>
    </row>
    <row r="203" spans="1:16" ht="16" hidden="1" customHeight="1" outlineLevel="1" x14ac:dyDescent="0.45">
      <c r="A203" s="29" t="s">
        <v>154</v>
      </c>
      <c r="B203" s="44">
        <v>572399</v>
      </c>
      <c r="C203" s="71">
        <v>569310</v>
      </c>
      <c r="D203" s="71">
        <v>3089</v>
      </c>
      <c r="E203" s="64">
        <v>0</v>
      </c>
      <c r="F203" s="63">
        <v>0</v>
      </c>
      <c r="G203" s="63">
        <v>0</v>
      </c>
      <c r="H203" s="32">
        <f t="shared" si="3"/>
        <v>0</v>
      </c>
      <c r="I203" s="32">
        <v>0</v>
      </c>
      <c r="J203" s="32">
        <v>0</v>
      </c>
      <c r="K203" s="32">
        <v>0</v>
      </c>
      <c r="L203" s="32">
        <v>0</v>
      </c>
      <c r="M203" s="63">
        <v>0</v>
      </c>
      <c r="N203" s="1"/>
      <c r="O203" s="32">
        <v>0</v>
      </c>
      <c r="P203" s="32">
        <v>0</v>
      </c>
    </row>
    <row r="204" spans="1:16" ht="16" hidden="1" customHeight="1" outlineLevel="1" x14ac:dyDescent="0.45">
      <c r="A204" s="29" t="s">
        <v>96</v>
      </c>
      <c r="B204" s="44">
        <v>25245431</v>
      </c>
      <c r="C204" s="71">
        <v>-427000</v>
      </c>
      <c r="D204" s="71">
        <v>1149000</v>
      </c>
      <c r="E204" s="64">
        <v>24523431</v>
      </c>
      <c r="F204" s="63">
        <v>21014517.258923646</v>
      </c>
      <c r="G204" s="63">
        <v>2927655.7410763549</v>
      </c>
      <c r="H204" s="32">
        <f t="shared" si="3"/>
        <v>0</v>
      </c>
      <c r="I204" s="32">
        <v>0</v>
      </c>
      <c r="J204" s="32">
        <v>0</v>
      </c>
      <c r="K204" s="32">
        <v>178000</v>
      </c>
      <c r="L204" s="32">
        <v>333258</v>
      </c>
      <c r="M204" s="63">
        <v>70000</v>
      </c>
      <c r="N204" s="1"/>
      <c r="O204" s="32">
        <v>0</v>
      </c>
      <c r="P204" s="32">
        <v>0</v>
      </c>
    </row>
    <row r="205" spans="1:16" ht="16" hidden="1" customHeight="1" outlineLevel="1" x14ac:dyDescent="0.45">
      <c r="A205" s="29" t="s">
        <v>97</v>
      </c>
      <c r="B205" s="44">
        <v>77500</v>
      </c>
      <c r="C205" s="71">
        <v>54000</v>
      </c>
      <c r="D205" s="71">
        <v>0</v>
      </c>
      <c r="E205" s="64">
        <v>23500</v>
      </c>
      <c r="F205" s="63">
        <v>23500</v>
      </c>
      <c r="G205" s="63">
        <v>0</v>
      </c>
      <c r="H205" s="32">
        <f t="shared" si="3"/>
        <v>0</v>
      </c>
      <c r="I205" s="32">
        <v>0</v>
      </c>
      <c r="J205" s="32">
        <v>0</v>
      </c>
      <c r="K205" s="32">
        <v>0</v>
      </c>
      <c r="L205" s="32">
        <v>0</v>
      </c>
      <c r="M205" s="63">
        <v>0</v>
      </c>
      <c r="N205" s="1"/>
      <c r="O205" s="32">
        <v>0</v>
      </c>
      <c r="P205" s="32">
        <v>0</v>
      </c>
    </row>
    <row r="206" spans="1:16" ht="16" hidden="1" customHeight="1" outlineLevel="1" x14ac:dyDescent="0.45">
      <c r="A206" s="29" t="s">
        <v>98</v>
      </c>
      <c r="B206" s="44">
        <v>19155068</v>
      </c>
      <c r="C206" s="71">
        <v>-14014932</v>
      </c>
      <c r="D206" s="71">
        <v>0</v>
      </c>
      <c r="E206" s="64">
        <v>33170000</v>
      </c>
      <c r="F206" s="63">
        <v>8370000</v>
      </c>
      <c r="G206" s="63">
        <v>5700000</v>
      </c>
      <c r="H206" s="32">
        <f t="shared" si="3"/>
        <v>0</v>
      </c>
      <c r="I206" s="32">
        <v>0</v>
      </c>
      <c r="J206" s="32">
        <v>0</v>
      </c>
      <c r="K206" s="32">
        <v>0</v>
      </c>
      <c r="L206" s="32">
        <v>19100000</v>
      </c>
      <c r="M206" s="63">
        <v>0</v>
      </c>
      <c r="N206" s="1"/>
      <c r="O206" s="32">
        <v>0</v>
      </c>
      <c r="P206" s="32">
        <v>0</v>
      </c>
    </row>
    <row r="207" spans="1:16" ht="16" hidden="1" customHeight="1" outlineLevel="1" x14ac:dyDescent="0.45">
      <c r="A207" s="29" t="s">
        <v>99</v>
      </c>
      <c r="B207" s="44">
        <v>217281177</v>
      </c>
      <c r="C207" s="71">
        <v>80285695</v>
      </c>
      <c r="D207" s="71">
        <v>4788682</v>
      </c>
      <c r="E207" s="64">
        <v>132206800</v>
      </c>
      <c r="F207" s="63">
        <v>28045751.500130404</v>
      </c>
      <c r="G207" s="63">
        <v>2913780.4998695967</v>
      </c>
      <c r="H207" s="32">
        <f t="shared" si="3"/>
        <v>82208050</v>
      </c>
      <c r="I207" s="32">
        <v>0</v>
      </c>
      <c r="J207" s="32">
        <v>0</v>
      </c>
      <c r="K207" s="32">
        <v>167900</v>
      </c>
      <c r="L207" s="32">
        <v>0</v>
      </c>
      <c r="M207" s="63">
        <v>18871318</v>
      </c>
      <c r="N207" s="1"/>
      <c r="O207" s="32">
        <v>190300</v>
      </c>
      <c r="P207" s="32">
        <v>82017750</v>
      </c>
    </row>
    <row r="208" spans="1:16" ht="16" hidden="1" customHeight="1" outlineLevel="1" x14ac:dyDescent="0.45">
      <c r="A208" s="29" t="s">
        <v>155</v>
      </c>
      <c r="B208" s="44">
        <v>6703763</v>
      </c>
      <c r="C208" s="71">
        <v>6703763</v>
      </c>
      <c r="D208" s="71">
        <v>0</v>
      </c>
      <c r="E208" s="64">
        <v>0</v>
      </c>
      <c r="F208" s="63">
        <v>0</v>
      </c>
      <c r="G208" s="63">
        <v>0</v>
      </c>
      <c r="H208" s="32">
        <f t="shared" si="3"/>
        <v>0</v>
      </c>
      <c r="I208" s="32">
        <v>0</v>
      </c>
      <c r="J208" s="32">
        <v>0</v>
      </c>
      <c r="K208" s="32">
        <v>0</v>
      </c>
      <c r="L208" s="32">
        <v>0</v>
      </c>
      <c r="M208" s="63">
        <v>0</v>
      </c>
      <c r="N208" s="1"/>
      <c r="O208" s="32">
        <v>0</v>
      </c>
      <c r="P208" s="32">
        <v>0</v>
      </c>
    </row>
    <row r="209" spans="1:16" ht="16" hidden="1" customHeight="1" outlineLevel="1" x14ac:dyDescent="0.45">
      <c r="A209" s="29" t="s">
        <v>100</v>
      </c>
      <c r="B209" s="44">
        <v>246344170</v>
      </c>
      <c r="C209" s="71">
        <v>-93599028</v>
      </c>
      <c r="D209" s="71">
        <v>117912598</v>
      </c>
      <c r="E209" s="64">
        <v>222030600</v>
      </c>
      <c r="F209" s="63">
        <v>135392419.87289372</v>
      </c>
      <c r="G209" s="63">
        <v>3240398.1271062884</v>
      </c>
      <c r="H209" s="32">
        <f t="shared" si="3"/>
        <v>76541962</v>
      </c>
      <c r="I209" s="32">
        <v>1823997</v>
      </c>
      <c r="J209" s="32">
        <v>1823997</v>
      </c>
      <c r="K209" s="32">
        <v>3207826</v>
      </c>
      <c r="L209" s="32">
        <v>0</v>
      </c>
      <c r="M209" s="63">
        <v>0</v>
      </c>
      <c r="N209" s="1"/>
      <c r="O209" s="32">
        <v>74245703</v>
      </c>
      <c r="P209" s="32">
        <v>2296259</v>
      </c>
    </row>
    <row r="210" spans="1:16" ht="16" hidden="1" customHeight="1" outlineLevel="1" x14ac:dyDescent="0.45">
      <c r="A210" s="24" t="s">
        <v>212</v>
      </c>
      <c r="B210" s="45">
        <v>0</v>
      </c>
      <c r="C210" s="71">
        <v>0</v>
      </c>
      <c r="D210" s="71">
        <v>0</v>
      </c>
      <c r="E210" s="64">
        <v>0</v>
      </c>
      <c r="F210" s="63">
        <v>0</v>
      </c>
      <c r="G210" s="63">
        <v>0</v>
      </c>
      <c r="H210" s="32">
        <f t="shared" si="3"/>
        <v>0</v>
      </c>
      <c r="I210" s="32">
        <v>0</v>
      </c>
      <c r="J210" s="32">
        <v>0</v>
      </c>
      <c r="K210" s="32">
        <v>0</v>
      </c>
      <c r="L210" s="32">
        <v>0</v>
      </c>
      <c r="M210" s="63">
        <v>0</v>
      </c>
      <c r="N210" s="1"/>
      <c r="O210" s="32">
        <v>0</v>
      </c>
      <c r="P210" s="32">
        <v>0</v>
      </c>
    </row>
    <row r="211" spans="1:16" ht="16" hidden="1" customHeight="1" outlineLevel="1" x14ac:dyDescent="0.45">
      <c r="A211" s="29" t="s">
        <v>213</v>
      </c>
      <c r="B211" s="44">
        <v>0</v>
      </c>
      <c r="C211" s="71">
        <v>0</v>
      </c>
      <c r="D211" s="71">
        <v>0</v>
      </c>
      <c r="E211" s="64">
        <v>0</v>
      </c>
      <c r="F211" s="63">
        <v>0</v>
      </c>
      <c r="G211" s="63">
        <v>0</v>
      </c>
      <c r="H211" s="32">
        <f t="shared" si="3"/>
        <v>0</v>
      </c>
      <c r="I211" s="32">
        <v>0</v>
      </c>
      <c r="J211" s="32">
        <v>0</v>
      </c>
      <c r="K211" s="32">
        <v>0</v>
      </c>
      <c r="L211" s="32">
        <v>0</v>
      </c>
      <c r="M211" s="63">
        <v>0</v>
      </c>
      <c r="N211" s="1"/>
      <c r="O211" s="32">
        <v>0</v>
      </c>
      <c r="P211" s="32">
        <v>0</v>
      </c>
    </row>
    <row r="212" spans="1:16" ht="16" hidden="1" customHeight="1" outlineLevel="1" x14ac:dyDescent="0.45">
      <c r="A212" s="24" t="s">
        <v>214</v>
      </c>
      <c r="B212" s="45">
        <v>0</v>
      </c>
      <c r="C212" s="71">
        <v>0</v>
      </c>
      <c r="D212" s="71">
        <v>0</v>
      </c>
      <c r="E212" s="64">
        <v>0</v>
      </c>
      <c r="F212" s="63">
        <v>0</v>
      </c>
      <c r="G212" s="63">
        <v>0</v>
      </c>
      <c r="H212" s="32">
        <f t="shared" si="3"/>
        <v>0</v>
      </c>
      <c r="I212" s="32">
        <v>0</v>
      </c>
      <c r="J212" s="32">
        <v>0</v>
      </c>
      <c r="K212" s="32">
        <v>0</v>
      </c>
      <c r="L212" s="32">
        <v>0</v>
      </c>
      <c r="M212" s="63">
        <v>0</v>
      </c>
      <c r="N212" s="1"/>
      <c r="O212" s="32">
        <v>0</v>
      </c>
      <c r="P212" s="32">
        <v>0</v>
      </c>
    </row>
    <row r="213" spans="1:16" ht="16" hidden="1" customHeight="1" outlineLevel="1" x14ac:dyDescent="0.45">
      <c r="A213" s="29" t="s">
        <v>215</v>
      </c>
      <c r="B213" s="44">
        <v>0</v>
      </c>
      <c r="C213" s="71">
        <v>0</v>
      </c>
      <c r="D213" s="71">
        <v>0</v>
      </c>
      <c r="E213" s="64">
        <v>0</v>
      </c>
      <c r="F213" s="63">
        <v>0</v>
      </c>
      <c r="G213" s="63">
        <v>0</v>
      </c>
      <c r="H213" s="32">
        <f t="shared" si="3"/>
        <v>0</v>
      </c>
      <c r="I213" s="32">
        <v>0</v>
      </c>
      <c r="J213" s="32">
        <v>0</v>
      </c>
      <c r="K213" s="32">
        <v>0</v>
      </c>
      <c r="L213" s="32">
        <v>0</v>
      </c>
      <c r="M213" s="63">
        <v>0</v>
      </c>
      <c r="N213" s="1"/>
      <c r="O213" s="32">
        <v>0</v>
      </c>
      <c r="P213" s="32">
        <v>0</v>
      </c>
    </row>
    <row r="214" spans="1:16" ht="16" hidden="1" customHeight="1" outlineLevel="1" x14ac:dyDescent="0.45">
      <c r="A214" s="29" t="s">
        <v>257</v>
      </c>
      <c r="B214" s="44">
        <v>0</v>
      </c>
      <c r="C214" s="71">
        <v>0</v>
      </c>
      <c r="D214" s="71">
        <v>0</v>
      </c>
      <c r="E214" s="64">
        <v>0</v>
      </c>
      <c r="F214" s="63">
        <v>0</v>
      </c>
      <c r="G214" s="63">
        <v>0</v>
      </c>
      <c r="H214" s="32">
        <f t="shared" si="3"/>
        <v>0</v>
      </c>
      <c r="I214" s="32">
        <v>0</v>
      </c>
      <c r="J214" s="32">
        <v>0</v>
      </c>
      <c r="K214" s="32">
        <v>0</v>
      </c>
      <c r="L214" s="32">
        <v>0</v>
      </c>
      <c r="M214" s="63">
        <v>0</v>
      </c>
      <c r="N214" s="1"/>
      <c r="O214" s="32">
        <v>0</v>
      </c>
      <c r="P214" s="32">
        <v>0</v>
      </c>
    </row>
    <row r="215" spans="1:16" s="1" customFormat="1" collapsed="1" x14ac:dyDescent="0.45">
      <c r="A215" s="28" t="s">
        <v>156</v>
      </c>
      <c r="B215" s="43">
        <v>18813000</v>
      </c>
      <c r="C215" s="69">
        <v>0</v>
      </c>
      <c r="D215" s="69">
        <v>0</v>
      </c>
      <c r="E215" s="61">
        <v>18813000</v>
      </c>
      <c r="F215" s="60">
        <v>0</v>
      </c>
      <c r="G215" s="60">
        <v>0</v>
      </c>
      <c r="H215" s="70">
        <f t="shared" si="3"/>
        <v>18813000</v>
      </c>
      <c r="I215" s="70">
        <v>0</v>
      </c>
      <c r="J215" s="70">
        <v>0</v>
      </c>
      <c r="K215" s="70">
        <v>0</v>
      </c>
      <c r="L215" s="70">
        <v>0</v>
      </c>
      <c r="M215" s="60">
        <v>0</v>
      </c>
      <c r="O215" s="70">
        <v>0</v>
      </c>
      <c r="P215" s="70">
        <v>18813000</v>
      </c>
    </row>
    <row r="216" spans="1:16" ht="16" hidden="1" customHeight="1" outlineLevel="1" x14ac:dyDescent="0.45">
      <c r="A216" s="29" t="s">
        <v>157</v>
      </c>
      <c r="B216" s="44">
        <v>18813000</v>
      </c>
      <c r="C216" s="71">
        <v>0</v>
      </c>
      <c r="D216" s="71">
        <v>0</v>
      </c>
      <c r="E216" s="64">
        <v>18813000</v>
      </c>
      <c r="F216" s="63">
        <v>0</v>
      </c>
      <c r="G216" s="63">
        <v>0</v>
      </c>
      <c r="H216" s="32">
        <f t="shared" si="3"/>
        <v>18813000</v>
      </c>
      <c r="I216" s="32">
        <v>0</v>
      </c>
      <c r="J216" s="32">
        <v>0</v>
      </c>
      <c r="K216" s="32">
        <v>0</v>
      </c>
      <c r="L216" s="32">
        <v>0</v>
      </c>
      <c r="M216" s="63">
        <v>0</v>
      </c>
      <c r="N216" s="1"/>
      <c r="O216" s="32">
        <v>0</v>
      </c>
      <c r="P216" s="32">
        <v>18813000</v>
      </c>
    </row>
    <row r="217" spans="1:16" s="1" customFormat="1" collapsed="1" x14ac:dyDescent="0.45">
      <c r="A217" s="28" t="s">
        <v>101</v>
      </c>
      <c r="B217" s="43">
        <v>673451154</v>
      </c>
      <c r="C217" s="69">
        <v>-2574549136</v>
      </c>
      <c r="D217" s="69">
        <v>53161145</v>
      </c>
      <c r="E217" s="61">
        <v>3194839145</v>
      </c>
      <c r="F217" s="60">
        <v>2234761383.3113661</v>
      </c>
      <c r="G217" s="60">
        <v>27927884.688633736</v>
      </c>
      <c r="H217" s="70">
        <f t="shared" si="3"/>
        <v>428186336</v>
      </c>
      <c r="I217" s="70">
        <v>12132500</v>
      </c>
      <c r="J217" s="70">
        <v>1202350</v>
      </c>
      <c r="K217" s="70">
        <v>26177204</v>
      </c>
      <c r="L217" s="70">
        <v>455921054</v>
      </c>
      <c r="M217" s="60">
        <v>8530433</v>
      </c>
      <c r="O217" s="70">
        <v>428186336</v>
      </c>
      <c r="P217" s="70">
        <v>0</v>
      </c>
    </row>
    <row r="218" spans="1:16" s="1" customFormat="1" ht="16" hidden="1" customHeight="1" outlineLevel="1" x14ac:dyDescent="0.45">
      <c r="A218" s="28" t="s">
        <v>166</v>
      </c>
      <c r="B218" s="43">
        <v>0</v>
      </c>
      <c r="C218" s="69">
        <v>-509778220</v>
      </c>
      <c r="D218" s="69">
        <v>0</v>
      </c>
      <c r="E218" s="61">
        <v>509778220</v>
      </c>
      <c r="F218" s="60">
        <v>482521950</v>
      </c>
      <c r="G218" s="60">
        <v>0</v>
      </c>
      <c r="H218" s="70">
        <f t="shared" si="3"/>
        <v>1809600</v>
      </c>
      <c r="I218" s="70">
        <v>20000</v>
      </c>
      <c r="J218" s="70">
        <v>1162330</v>
      </c>
      <c r="K218" s="70">
        <v>23594340</v>
      </c>
      <c r="L218" s="70">
        <v>670000</v>
      </c>
      <c r="M218" s="60">
        <v>0</v>
      </c>
      <c r="O218" s="70">
        <v>1809600</v>
      </c>
      <c r="P218" s="70">
        <v>0</v>
      </c>
    </row>
    <row r="219" spans="1:16" ht="16" hidden="1" customHeight="1" outlineLevel="1" x14ac:dyDescent="0.45">
      <c r="A219" s="29" t="s">
        <v>216</v>
      </c>
      <c r="B219" s="44">
        <v>0</v>
      </c>
      <c r="C219" s="71">
        <v>0</v>
      </c>
      <c r="D219" s="71">
        <v>0</v>
      </c>
      <c r="E219" s="64">
        <v>0</v>
      </c>
      <c r="F219" s="63">
        <v>0</v>
      </c>
      <c r="G219" s="63">
        <v>0</v>
      </c>
      <c r="H219" s="32">
        <f t="shared" si="3"/>
        <v>0</v>
      </c>
      <c r="I219" s="32">
        <v>0</v>
      </c>
      <c r="J219" s="32">
        <v>0</v>
      </c>
      <c r="K219" s="32">
        <v>0</v>
      </c>
      <c r="L219" s="32">
        <v>0</v>
      </c>
      <c r="M219" s="63">
        <v>0</v>
      </c>
      <c r="N219" s="1"/>
      <c r="O219" s="32">
        <v>0</v>
      </c>
      <c r="P219" s="32">
        <v>0</v>
      </c>
    </row>
    <row r="220" spans="1:16" ht="16" hidden="1" customHeight="1" outlineLevel="1" x14ac:dyDescent="0.45">
      <c r="A220" s="29" t="s">
        <v>102</v>
      </c>
      <c r="B220" s="44">
        <v>43977100</v>
      </c>
      <c r="C220" s="71">
        <v>-43536600</v>
      </c>
      <c r="D220" s="71">
        <v>43536600</v>
      </c>
      <c r="E220" s="64">
        <v>43977100</v>
      </c>
      <c r="F220" s="63">
        <v>43536600</v>
      </c>
      <c r="G220" s="63">
        <v>0</v>
      </c>
      <c r="H220" s="32">
        <f t="shared" si="3"/>
        <v>0</v>
      </c>
      <c r="I220" s="32">
        <v>0</v>
      </c>
      <c r="J220" s="32">
        <v>0</v>
      </c>
      <c r="K220" s="32">
        <v>440500</v>
      </c>
      <c r="L220" s="32">
        <v>0</v>
      </c>
      <c r="M220" s="63">
        <v>0</v>
      </c>
      <c r="N220" s="1"/>
      <c r="O220" s="32">
        <v>0</v>
      </c>
      <c r="P220" s="32">
        <v>0</v>
      </c>
    </row>
    <row r="221" spans="1:16" ht="16" hidden="1" customHeight="1" outlineLevel="1" x14ac:dyDescent="0.45">
      <c r="A221" s="29" t="s">
        <v>103</v>
      </c>
      <c r="B221" s="44">
        <v>11926809</v>
      </c>
      <c r="C221" s="71">
        <v>1273853</v>
      </c>
      <c r="D221" s="71">
        <v>0</v>
      </c>
      <c r="E221" s="64">
        <v>10652956</v>
      </c>
      <c r="F221" s="63">
        <v>10426936</v>
      </c>
      <c r="G221" s="63">
        <v>0</v>
      </c>
      <c r="H221" s="32">
        <f t="shared" si="3"/>
        <v>0</v>
      </c>
      <c r="I221" s="32">
        <v>0</v>
      </c>
      <c r="J221" s="32">
        <v>40020</v>
      </c>
      <c r="K221" s="32">
        <v>186000</v>
      </c>
      <c r="L221" s="32">
        <v>0</v>
      </c>
      <c r="M221" s="63">
        <v>0</v>
      </c>
      <c r="N221" s="1"/>
      <c r="O221" s="32">
        <v>0</v>
      </c>
      <c r="P221" s="32">
        <v>0</v>
      </c>
    </row>
    <row r="222" spans="1:16" s="1" customFormat="1" ht="16" hidden="1" customHeight="1" outlineLevel="1" collapsed="1" x14ac:dyDescent="0.45">
      <c r="A222" s="28" t="s">
        <v>104</v>
      </c>
      <c r="B222" s="43">
        <v>0</v>
      </c>
      <c r="C222" s="69">
        <v>-1921312270</v>
      </c>
      <c r="D222" s="69">
        <v>0</v>
      </c>
      <c r="E222" s="61">
        <v>1921312270</v>
      </c>
      <c r="F222" s="60">
        <v>1552883270</v>
      </c>
      <c r="G222" s="60">
        <v>0</v>
      </c>
      <c r="H222" s="70">
        <f t="shared" si="3"/>
        <v>0</v>
      </c>
      <c r="I222" s="70">
        <v>0</v>
      </c>
      <c r="J222" s="70">
        <v>0</v>
      </c>
      <c r="K222" s="70">
        <v>0</v>
      </c>
      <c r="L222" s="70">
        <v>368429000</v>
      </c>
      <c r="M222" s="60">
        <v>0</v>
      </c>
      <c r="O222" s="70">
        <v>0</v>
      </c>
      <c r="P222" s="70">
        <v>0</v>
      </c>
    </row>
    <row r="223" spans="1:16" ht="16" hidden="1" customHeight="1" outlineLevel="1" x14ac:dyDescent="0.45">
      <c r="A223" s="29" t="s">
        <v>116</v>
      </c>
      <c r="B223" s="44">
        <v>38709789</v>
      </c>
      <c r="C223" s="71">
        <v>0</v>
      </c>
      <c r="D223" s="71">
        <v>4982727</v>
      </c>
      <c r="E223" s="64">
        <v>33727062</v>
      </c>
      <c r="F223" s="63">
        <v>251727</v>
      </c>
      <c r="G223" s="63">
        <v>27644902</v>
      </c>
      <c r="H223" s="32">
        <f t="shared" si="3"/>
        <v>0</v>
      </c>
      <c r="I223" s="32">
        <v>0</v>
      </c>
      <c r="J223" s="32">
        <v>0</v>
      </c>
      <c r="K223" s="32">
        <v>0</v>
      </c>
      <c r="L223" s="32">
        <v>0</v>
      </c>
      <c r="M223" s="63">
        <v>5830433</v>
      </c>
      <c r="N223" s="1"/>
      <c r="O223" s="32">
        <v>0</v>
      </c>
      <c r="P223" s="32">
        <v>0</v>
      </c>
    </row>
    <row r="224" spans="1:16" ht="16" hidden="1" customHeight="1" outlineLevel="1" x14ac:dyDescent="0.45">
      <c r="A224" s="29" t="s">
        <v>105</v>
      </c>
      <c r="B224" s="44">
        <v>578837456</v>
      </c>
      <c r="C224" s="71">
        <v>-101195899</v>
      </c>
      <c r="D224" s="71">
        <v>4641818</v>
      </c>
      <c r="E224" s="64">
        <v>675391537</v>
      </c>
      <c r="F224" s="63">
        <v>145140900.31136626</v>
      </c>
      <c r="G224" s="63">
        <v>282982.68863373564</v>
      </c>
      <c r="H224" s="32">
        <f t="shared" si="3"/>
        <v>426376736</v>
      </c>
      <c r="I224" s="72">
        <v>12112500</v>
      </c>
      <c r="J224" s="72">
        <v>0</v>
      </c>
      <c r="K224" s="72">
        <v>1956364</v>
      </c>
      <c r="L224" s="72">
        <v>86822054</v>
      </c>
      <c r="M224" s="63">
        <v>2700000</v>
      </c>
      <c r="N224" s="1"/>
      <c r="O224" s="32">
        <v>426376736</v>
      </c>
      <c r="P224" s="32">
        <v>0</v>
      </c>
    </row>
    <row r="225" spans="1:16" ht="16" hidden="1" customHeight="1" outlineLevel="1" x14ac:dyDescent="0.45">
      <c r="A225" s="29" t="s">
        <v>217</v>
      </c>
      <c r="B225" s="44">
        <v>0</v>
      </c>
      <c r="C225" s="71">
        <v>0</v>
      </c>
      <c r="D225" s="71">
        <v>0</v>
      </c>
      <c r="E225" s="64">
        <v>0</v>
      </c>
      <c r="F225" s="63">
        <v>0</v>
      </c>
      <c r="G225" s="63">
        <v>0</v>
      </c>
      <c r="H225" s="32">
        <f t="shared" si="3"/>
        <v>0</v>
      </c>
      <c r="I225" s="32">
        <v>0</v>
      </c>
      <c r="J225" s="32">
        <v>0</v>
      </c>
      <c r="K225" s="32">
        <v>0</v>
      </c>
      <c r="L225" s="32">
        <v>0</v>
      </c>
      <c r="M225" s="63">
        <v>0</v>
      </c>
      <c r="N225" s="1"/>
      <c r="O225" s="32">
        <v>0</v>
      </c>
      <c r="P225" s="32">
        <v>0</v>
      </c>
    </row>
    <row r="226" spans="1:16" ht="16" hidden="1" customHeight="1" outlineLevel="1" x14ac:dyDescent="0.45">
      <c r="A226" s="29" t="s">
        <v>106</v>
      </c>
      <c r="B226" s="44">
        <v>0</v>
      </c>
      <c r="C226" s="71">
        <v>0</v>
      </c>
      <c r="D226" s="71">
        <v>0</v>
      </c>
      <c r="E226" s="64">
        <v>0</v>
      </c>
      <c r="F226" s="63">
        <v>0</v>
      </c>
      <c r="G226" s="63">
        <v>0</v>
      </c>
      <c r="H226" s="32">
        <f t="shared" si="3"/>
        <v>0</v>
      </c>
      <c r="I226" s="32">
        <v>0</v>
      </c>
      <c r="J226" s="32">
        <v>0</v>
      </c>
      <c r="K226" s="32">
        <v>0</v>
      </c>
      <c r="L226" s="32">
        <v>0</v>
      </c>
      <c r="M226" s="63">
        <v>0</v>
      </c>
      <c r="N226" s="1"/>
      <c r="O226" s="32">
        <v>0</v>
      </c>
      <c r="P226" s="32">
        <v>0</v>
      </c>
    </row>
    <row r="227" spans="1:16" s="1" customFormat="1" ht="16" hidden="1" customHeight="1" outlineLevel="1" collapsed="1" x14ac:dyDescent="0.45">
      <c r="A227" s="28" t="s">
        <v>306</v>
      </c>
      <c r="B227" s="43">
        <v>0</v>
      </c>
      <c r="C227" s="69">
        <v>0</v>
      </c>
      <c r="D227" s="69">
        <v>0</v>
      </c>
      <c r="E227" s="61">
        <v>0</v>
      </c>
      <c r="F227" s="60">
        <v>0</v>
      </c>
      <c r="G227" s="60">
        <v>0</v>
      </c>
      <c r="H227" s="70">
        <f t="shared" si="3"/>
        <v>0</v>
      </c>
      <c r="I227" s="70">
        <v>0</v>
      </c>
      <c r="J227" s="70">
        <v>0</v>
      </c>
      <c r="K227" s="70">
        <v>0</v>
      </c>
      <c r="L227" s="70">
        <v>0</v>
      </c>
      <c r="M227" s="60">
        <v>0</v>
      </c>
      <c r="O227" s="70">
        <v>0</v>
      </c>
      <c r="P227" s="70">
        <v>0</v>
      </c>
    </row>
    <row r="228" spans="1:16" s="1" customFormat="1" collapsed="1" x14ac:dyDescent="0.45">
      <c r="A228" s="28" t="s">
        <v>218</v>
      </c>
      <c r="B228" s="43">
        <v>0</v>
      </c>
      <c r="C228" s="69">
        <v>0</v>
      </c>
      <c r="D228" s="69">
        <v>0</v>
      </c>
      <c r="E228" s="61">
        <v>0</v>
      </c>
      <c r="F228" s="60">
        <v>0</v>
      </c>
      <c r="G228" s="60">
        <v>0</v>
      </c>
      <c r="H228" s="70">
        <f t="shared" si="3"/>
        <v>0</v>
      </c>
      <c r="I228" s="70">
        <v>0</v>
      </c>
      <c r="J228" s="70">
        <v>0</v>
      </c>
      <c r="K228" s="70">
        <v>0</v>
      </c>
      <c r="L228" s="70">
        <v>0</v>
      </c>
      <c r="M228" s="60">
        <v>0</v>
      </c>
      <c r="O228" s="70">
        <v>0</v>
      </c>
      <c r="P228" s="70">
        <v>0</v>
      </c>
    </row>
    <row r="229" spans="1:16" s="1" customFormat="1" x14ac:dyDescent="0.45">
      <c r="A229" s="28" t="s">
        <v>107</v>
      </c>
      <c r="B229" s="43">
        <v>907802263</v>
      </c>
      <c r="C229" s="69">
        <v>-10189193</v>
      </c>
      <c r="D229" s="69">
        <v>71221822</v>
      </c>
      <c r="E229" s="61">
        <v>846769634</v>
      </c>
      <c r="F229" s="60">
        <v>0</v>
      </c>
      <c r="G229" s="60">
        <v>2747020</v>
      </c>
      <c r="H229" s="70">
        <f t="shared" si="3"/>
        <v>202230137</v>
      </c>
      <c r="I229" s="70">
        <v>313219636</v>
      </c>
      <c r="J229" s="70">
        <v>21620108</v>
      </c>
      <c r="K229" s="70">
        <v>299510560</v>
      </c>
      <c r="L229" s="70">
        <v>7442173</v>
      </c>
      <c r="M229" s="60">
        <v>0</v>
      </c>
      <c r="O229" s="70">
        <v>205126501</v>
      </c>
      <c r="P229" s="70">
        <v>-2896364</v>
      </c>
    </row>
    <row r="230" spans="1:16" ht="16" hidden="1" customHeight="1" outlineLevel="1" x14ac:dyDescent="0.45">
      <c r="A230" s="29" t="s">
        <v>158</v>
      </c>
      <c r="B230" s="44">
        <v>0</v>
      </c>
      <c r="C230" s="71">
        <v>0</v>
      </c>
      <c r="D230" s="71">
        <v>0</v>
      </c>
      <c r="E230" s="64">
        <v>0</v>
      </c>
      <c r="F230" s="63">
        <v>0</v>
      </c>
      <c r="G230" s="63">
        <v>0</v>
      </c>
      <c r="H230" s="32">
        <f t="shared" si="3"/>
        <v>0</v>
      </c>
      <c r="I230" s="32">
        <v>0</v>
      </c>
      <c r="J230" s="32">
        <v>0</v>
      </c>
      <c r="K230" s="32">
        <v>0</v>
      </c>
      <c r="L230" s="32">
        <v>0</v>
      </c>
      <c r="M230" s="63">
        <v>0</v>
      </c>
      <c r="N230" s="1"/>
      <c r="O230" s="32">
        <v>0</v>
      </c>
      <c r="P230" s="32">
        <v>0</v>
      </c>
    </row>
    <row r="231" spans="1:16" ht="16" hidden="1" customHeight="1" outlineLevel="1" x14ac:dyDescent="0.45">
      <c r="A231" s="29" t="s">
        <v>219</v>
      </c>
      <c r="B231" s="44">
        <v>0</v>
      </c>
      <c r="C231" s="71">
        <v>0</v>
      </c>
      <c r="D231" s="71">
        <v>0</v>
      </c>
      <c r="E231" s="64">
        <v>0</v>
      </c>
      <c r="F231" s="63">
        <v>0</v>
      </c>
      <c r="G231" s="63">
        <v>0</v>
      </c>
      <c r="H231" s="32">
        <f t="shared" si="3"/>
        <v>0</v>
      </c>
      <c r="I231" s="32">
        <v>0</v>
      </c>
      <c r="J231" s="32">
        <v>0</v>
      </c>
      <c r="K231" s="32">
        <v>0</v>
      </c>
      <c r="L231" s="32">
        <v>0</v>
      </c>
      <c r="M231" s="63">
        <v>0</v>
      </c>
      <c r="N231" s="1"/>
      <c r="O231" s="32">
        <v>0</v>
      </c>
      <c r="P231" s="32">
        <v>0</v>
      </c>
    </row>
    <row r="232" spans="1:16" ht="16" hidden="1" customHeight="1" outlineLevel="1" x14ac:dyDescent="0.45">
      <c r="A232" s="29" t="s">
        <v>307</v>
      </c>
      <c r="B232" s="44">
        <v>836580441</v>
      </c>
      <c r="C232" s="71">
        <v>0</v>
      </c>
      <c r="D232" s="71">
        <v>0</v>
      </c>
      <c r="E232" s="64">
        <v>836580441</v>
      </c>
      <c r="F232" s="63">
        <v>0</v>
      </c>
      <c r="G232" s="63">
        <v>0</v>
      </c>
      <c r="H232" s="32">
        <f t="shared" si="3"/>
        <v>202230137</v>
      </c>
      <c r="I232" s="32">
        <v>313219636</v>
      </c>
      <c r="J232" s="32">
        <v>21620108</v>
      </c>
      <c r="K232" s="32">
        <v>299510560</v>
      </c>
      <c r="L232" s="32">
        <v>0</v>
      </c>
      <c r="M232" s="63">
        <v>0</v>
      </c>
      <c r="N232" s="1"/>
      <c r="O232" s="32">
        <v>205126501</v>
      </c>
      <c r="P232" s="32">
        <v>-2896364</v>
      </c>
    </row>
    <row r="233" spans="1:16" ht="16" hidden="1" customHeight="1" outlineLevel="1" x14ac:dyDescent="0.45">
      <c r="A233" s="29" t="s">
        <v>220</v>
      </c>
      <c r="B233" s="44">
        <v>0</v>
      </c>
      <c r="C233" s="71">
        <v>0</v>
      </c>
      <c r="D233" s="71">
        <v>0</v>
      </c>
      <c r="E233" s="64">
        <v>0</v>
      </c>
      <c r="F233" s="63">
        <v>0</v>
      </c>
      <c r="G233" s="63">
        <v>0</v>
      </c>
      <c r="H233" s="32">
        <f t="shared" si="3"/>
        <v>0</v>
      </c>
      <c r="I233" s="32">
        <v>0</v>
      </c>
      <c r="J233" s="32">
        <v>0</v>
      </c>
      <c r="K233" s="32">
        <v>0</v>
      </c>
      <c r="L233" s="32">
        <v>0</v>
      </c>
      <c r="M233" s="63">
        <v>0</v>
      </c>
      <c r="N233" s="1"/>
      <c r="O233" s="32">
        <v>0</v>
      </c>
      <c r="P233" s="32">
        <v>0</v>
      </c>
    </row>
    <row r="234" spans="1:16" s="1" customFormat="1" ht="16" hidden="1" customHeight="1" outlineLevel="1" collapsed="1" x14ac:dyDescent="0.45">
      <c r="A234" s="28" t="s">
        <v>108</v>
      </c>
      <c r="B234" s="43">
        <v>0</v>
      </c>
      <c r="C234" s="69">
        <v>-2972475</v>
      </c>
      <c r="D234" s="69">
        <v>0</v>
      </c>
      <c r="E234" s="61">
        <v>2972475</v>
      </c>
      <c r="F234" s="60">
        <v>0</v>
      </c>
      <c r="G234" s="60">
        <v>2972475</v>
      </c>
      <c r="H234" s="70">
        <f t="shared" si="3"/>
        <v>0</v>
      </c>
      <c r="I234" s="70">
        <v>0</v>
      </c>
      <c r="J234" s="70">
        <v>0</v>
      </c>
      <c r="K234" s="70">
        <v>0</v>
      </c>
      <c r="L234" s="70">
        <v>0</v>
      </c>
      <c r="M234" s="60">
        <v>0</v>
      </c>
      <c r="O234" s="70">
        <v>0</v>
      </c>
      <c r="P234" s="70">
        <v>0</v>
      </c>
    </row>
    <row r="235" spans="1:16" ht="16" hidden="1" customHeight="1" outlineLevel="1" x14ac:dyDescent="0.45">
      <c r="A235" s="29" t="s">
        <v>221</v>
      </c>
      <c r="B235" s="44">
        <v>0</v>
      </c>
      <c r="C235" s="71">
        <v>0</v>
      </c>
      <c r="D235" s="71">
        <v>0</v>
      </c>
      <c r="E235" s="64">
        <v>0</v>
      </c>
      <c r="F235" s="63">
        <v>0</v>
      </c>
      <c r="G235" s="63">
        <v>0</v>
      </c>
      <c r="H235" s="32">
        <f t="shared" si="3"/>
        <v>0</v>
      </c>
      <c r="I235" s="32">
        <v>0</v>
      </c>
      <c r="J235" s="32">
        <v>0</v>
      </c>
      <c r="K235" s="32">
        <v>0</v>
      </c>
      <c r="L235" s="32">
        <v>0</v>
      </c>
      <c r="M235" s="63">
        <v>0</v>
      </c>
      <c r="N235" s="1"/>
      <c r="O235" s="32">
        <v>0</v>
      </c>
      <c r="P235" s="32">
        <v>0</v>
      </c>
    </row>
    <row r="236" spans="1:16" ht="16" hidden="1" customHeight="1" outlineLevel="1" x14ac:dyDescent="0.45">
      <c r="A236" s="29" t="s">
        <v>222</v>
      </c>
      <c r="B236" s="44">
        <v>71221822</v>
      </c>
      <c r="C236" s="71">
        <v>0</v>
      </c>
      <c r="D236" s="71">
        <v>71221822</v>
      </c>
      <c r="E236" s="64">
        <v>0</v>
      </c>
      <c r="F236" s="63">
        <v>0</v>
      </c>
      <c r="G236" s="63">
        <v>0</v>
      </c>
      <c r="H236" s="32">
        <f t="shared" si="3"/>
        <v>0</v>
      </c>
      <c r="I236" s="32">
        <v>0</v>
      </c>
      <c r="J236" s="32">
        <v>0</v>
      </c>
      <c r="K236" s="32">
        <v>0</v>
      </c>
      <c r="L236" s="32">
        <v>0</v>
      </c>
      <c r="M236" s="63">
        <v>0</v>
      </c>
      <c r="N236" s="1"/>
      <c r="O236" s="32">
        <v>0</v>
      </c>
      <c r="P236" s="32">
        <v>0</v>
      </c>
    </row>
    <row r="237" spans="1:16" s="1" customFormat="1" ht="16" hidden="1" customHeight="1" outlineLevel="1" collapsed="1" x14ac:dyDescent="0.45">
      <c r="A237" s="28" t="s">
        <v>109</v>
      </c>
      <c r="B237" s="43">
        <v>0</v>
      </c>
      <c r="C237" s="69">
        <v>-7216718</v>
      </c>
      <c r="D237" s="69">
        <v>0</v>
      </c>
      <c r="E237" s="61">
        <v>7216718</v>
      </c>
      <c r="F237" s="60">
        <v>0</v>
      </c>
      <c r="G237" s="60">
        <v>-225455</v>
      </c>
      <c r="H237" s="70">
        <f t="shared" si="3"/>
        <v>0</v>
      </c>
      <c r="I237" s="70">
        <v>0</v>
      </c>
      <c r="J237" s="70">
        <v>0</v>
      </c>
      <c r="K237" s="70">
        <v>0</v>
      </c>
      <c r="L237" s="70">
        <v>7442173</v>
      </c>
      <c r="M237" s="60">
        <v>0</v>
      </c>
      <c r="O237" s="70">
        <v>0</v>
      </c>
      <c r="P237" s="70">
        <v>0</v>
      </c>
    </row>
    <row r="238" spans="1:16" s="1" customFormat="1" ht="16" customHeight="1" collapsed="1" x14ac:dyDescent="0.45">
      <c r="A238" s="28" t="s">
        <v>110</v>
      </c>
      <c r="B238" s="43">
        <v>20819320</v>
      </c>
      <c r="C238" s="69">
        <v>18077986</v>
      </c>
      <c r="D238" s="69">
        <v>0</v>
      </c>
      <c r="E238" s="61">
        <v>2741334</v>
      </c>
      <c r="F238" s="60">
        <v>241334</v>
      </c>
      <c r="G238" s="60">
        <v>0</v>
      </c>
      <c r="H238" s="70">
        <f t="shared" si="3"/>
        <v>0</v>
      </c>
      <c r="I238" s="70">
        <v>0</v>
      </c>
      <c r="J238" s="70">
        <v>0</v>
      </c>
      <c r="K238" s="70">
        <v>0</v>
      </c>
      <c r="L238" s="70">
        <v>0</v>
      </c>
      <c r="M238" s="60">
        <v>2500000</v>
      </c>
      <c r="O238" s="70">
        <v>0</v>
      </c>
      <c r="P238" s="70">
        <v>0</v>
      </c>
    </row>
    <row r="239" spans="1:16" s="1" customFormat="1" collapsed="1" x14ac:dyDescent="0.45">
      <c r="A239" s="27" t="s">
        <v>308</v>
      </c>
      <c r="B239" s="42">
        <v>2015269319</v>
      </c>
      <c r="C239" s="73">
        <v>-204987124</v>
      </c>
      <c r="D239" s="73">
        <v>-960003636</v>
      </c>
      <c r="E239" s="58">
        <v>3180260079</v>
      </c>
      <c r="F239" s="57">
        <v>1790979854.696075</v>
      </c>
      <c r="G239" s="57">
        <v>932167647.775213</v>
      </c>
      <c r="H239" s="57">
        <f t="shared" si="3"/>
        <v>216715655.52871192</v>
      </c>
      <c r="I239" s="57">
        <v>71590060.282176077</v>
      </c>
      <c r="J239" s="57">
        <v>73865868.948115826</v>
      </c>
      <c r="K239" s="57">
        <v>345036413.66728079</v>
      </c>
      <c r="L239" s="57">
        <v>-277392154.89757264</v>
      </c>
      <c r="M239" s="57">
        <v>27296733</v>
      </c>
      <c r="O239" s="57">
        <v>-65299662.419327423</v>
      </c>
      <c r="P239" s="57">
        <v>282015317.94803935</v>
      </c>
    </row>
    <row r="240" spans="1:16" s="1" customFormat="1" x14ac:dyDescent="0.45">
      <c r="A240" s="28" t="s">
        <v>309</v>
      </c>
      <c r="B240" s="43">
        <v>1761348824</v>
      </c>
      <c r="C240" s="69">
        <v>1754548824</v>
      </c>
      <c r="D240" s="69">
        <v>0</v>
      </c>
      <c r="E240" s="61">
        <v>6800000</v>
      </c>
      <c r="F240" s="60">
        <v>0</v>
      </c>
      <c r="G240" s="60">
        <v>6800000</v>
      </c>
      <c r="H240" s="70">
        <f t="shared" si="3"/>
        <v>0</v>
      </c>
      <c r="I240" s="70">
        <v>0</v>
      </c>
      <c r="J240" s="70">
        <v>0</v>
      </c>
      <c r="K240" s="70">
        <v>0</v>
      </c>
      <c r="L240" s="70">
        <v>0</v>
      </c>
      <c r="M240" s="70">
        <v>0</v>
      </c>
      <c r="O240" s="70">
        <v>0</v>
      </c>
      <c r="P240" s="70">
        <v>0</v>
      </c>
    </row>
    <row r="241" spans="1:16" ht="16" hidden="1" customHeight="1" outlineLevel="1" x14ac:dyDescent="0.45">
      <c r="A241" s="29" t="s">
        <v>159</v>
      </c>
      <c r="B241" s="44">
        <v>295599269</v>
      </c>
      <c r="C241" s="71">
        <v>295599269</v>
      </c>
      <c r="D241" s="71">
        <v>0</v>
      </c>
      <c r="E241" s="64">
        <v>0</v>
      </c>
      <c r="F241" s="63">
        <v>0</v>
      </c>
      <c r="G241" s="63">
        <v>0</v>
      </c>
      <c r="H241" s="32">
        <f t="shared" si="3"/>
        <v>0</v>
      </c>
      <c r="I241" s="32">
        <v>0</v>
      </c>
      <c r="J241" s="32">
        <v>0</v>
      </c>
      <c r="K241" s="32">
        <v>0</v>
      </c>
      <c r="L241" s="32">
        <v>0</v>
      </c>
      <c r="M241" s="32">
        <v>0</v>
      </c>
      <c r="N241" s="1"/>
      <c r="O241" s="32">
        <v>0</v>
      </c>
      <c r="P241" s="32">
        <v>0</v>
      </c>
    </row>
    <row r="242" spans="1:16" ht="16" hidden="1" customHeight="1" outlineLevel="1" x14ac:dyDescent="0.45">
      <c r="A242" s="29" t="s">
        <v>160</v>
      </c>
      <c r="B242" s="44">
        <v>994000000</v>
      </c>
      <c r="C242" s="71">
        <v>994000000</v>
      </c>
      <c r="D242" s="71">
        <v>0</v>
      </c>
      <c r="E242" s="64">
        <v>0</v>
      </c>
      <c r="F242" s="63">
        <v>0</v>
      </c>
      <c r="G242" s="63">
        <v>0</v>
      </c>
      <c r="H242" s="32">
        <f t="shared" si="3"/>
        <v>0</v>
      </c>
      <c r="I242" s="32">
        <v>0</v>
      </c>
      <c r="J242" s="32">
        <v>0</v>
      </c>
      <c r="K242" s="32">
        <v>0</v>
      </c>
      <c r="L242" s="32">
        <v>0</v>
      </c>
      <c r="M242" s="32">
        <v>0</v>
      </c>
      <c r="N242" s="1"/>
      <c r="O242" s="32">
        <v>0</v>
      </c>
      <c r="P242" s="32">
        <v>0</v>
      </c>
    </row>
    <row r="243" spans="1:16" ht="16" hidden="1" customHeight="1" outlineLevel="1" x14ac:dyDescent="0.45">
      <c r="A243" s="29" t="s">
        <v>258</v>
      </c>
      <c r="B243" s="44">
        <v>0</v>
      </c>
      <c r="C243" s="71">
        <v>0</v>
      </c>
      <c r="D243" s="71">
        <v>0</v>
      </c>
      <c r="E243" s="64">
        <v>0</v>
      </c>
      <c r="F243" s="63">
        <v>0</v>
      </c>
      <c r="G243" s="63">
        <v>0</v>
      </c>
      <c r="H243" s="32">
        <f t="shared" si="3"/>
        <v>0</v>
      </c>
      <c r="I243" s="32">
        <v>0</v>
      </c>
      <c r="J243" s="32">
        <v>0</v>
      </c>
      <c r="K243" s="32">
        <v>0</v>
      </c>
      <c r="L243" s="32">
        <v>0</v>
      </c>
      <c r="M243" s="32">
        <v>0</v>
      </c>
      <c r="N243" s="1"/>
      <c r="O243" s="32">
        <v>0</v>
      </c>
      <c r="P243" s="32">
        <v>0</v>
      </c>
    </row>
    <row r="244" spans="1:16" ht="16" hidden="1" customHeight="1" outlineLevel="1" x14ac:dyDescent="0.45">
      <c r="A244" s="29" t="s">
        <v>223</v>
      </c>
      <c r="B244" s="45">
        <v>-9998000</v>
      </c>
      <c r="C244" s="71">
        <v>-9998000</v>
      </c>
      <c r="D244" s="71">
        <v>0</v>
      </c>
      <c r="E244" s="64">
        <v>0</v>
      </c>
      <c r="F244" s="63">
        <v>0</v>
      </c>
      <c r="G244" s="63">
        <v>0</v>
      </c>
      <c r="H244" s="32">
        <f t="shared" si="3"/>
        <v>0</v>
      </c>
      <c r="I244" s="32">
        <v>0</v>
      </c>
      <c r="J244" s="32">
        <v>0</v>
      </c>
      <c r="K244" s="32">
        <v>0</v>
      </c>
      <c r="L244" s="32">
        <v>0</v>
      </c>
      <c r="M244" s="32">
        <v>0</v>
      </c>
      <c r="N244" s="1"/>
      <c r="O244" s="32">
        <v>0</v>
      </c>
      <c r="P244" s="32">
        <v>0</v>
      </c>
    </row>
    <row r="245" spans="1:16" s="3" customFormat="1" ht="16" hidden="1" customHeight="1" outlineLevel="1" x14ac:dyDescent="0.45">
      <c r="A245" s="33" t="s">
        <v>243</v>
      </c>
      <c r="B245" s="33">
        <v>27122907</v>
      </c>
      <c r="C245" s="71">
        <v>27122907</v>
      </c>
      <c r="D245" s="71">
        <v>0</v>
      </c>
      <c r="E245" s="64">
        <v>0</v>
      </c>
      <c r="F245" s="63">
        <v>0</v>
      </c>
      <c r="G245" s="63">
        <v>0</v>
      </c>
      <c r="H245" s="32">
        <f t="shared" si="3"/>
        <v>0</v>
      </c>
      <c r="I245" s="32">
        <v>0</v>
      </c>
      <c r="J245" s="32">
        <v>0</v>
      </c>
      <c r="K245" s="32">
        <v>0</v>
      </c>
      <c r="L245" s="32">
        <v>0</v>
      </c>
      <c r="M245" s="32">
        <v>0</v>
      </c>
      <c r="N245" s="1"/>
      <c r="O245" s="32">
        <v>0</v>
      </c>
      <c r="P245" s="32">
        <v>0</v>
      </c>
    </row>
    <row r="246" spans="1:16" s="3" customFormat="1" ht="16" hidden="1" customHeight="1" outlineLevel="1" x14ac:dyDescent="0.45">
      <c r="A246" s="34" t="s">
        <v>264</v>
      </c>
      <c r="B246" s="33">
        <v>447824648</v>
      </c>
      <c r="C246" s="71">
        <v>447824648</v>
      </c>
      <c r="D246" s="71">
        <v>0</v>
      </c>
      <c r="E246" s="64">
        <v>0</v>
      </c>
      <c r="F246" s="63">
        <v>0</v>
      </c>
      <c r="G246" s="63">
        <v>0</v>
      </c>
      <c r="H246" s="32">
        <f t="shared" si="3"/>
        <v>0</v>
      </c>
      <c r="I246" s="32">
        <v>0</v>
      </c>
      <c r="J246" s="32">
        <v>0</v>
      </c>
      <c r="K246" s="32">
        <v>0</v>
      </c>
      <c r="L246" s="32">
        <v>0</v>
      </c>
      <c r="M246" s="32">
        <v>0</v>
      </c>
      <c r="N246" s="1"/>
      <c r="O246" s="32">
        <v>0</v>
      </c>
      <c r="P246" s="32">
        <v>0</v>
      </c>
    </row>
    <row r="247" spans="1:16" s="3" customFormat="1" ht="16" hidden="1" customHeight="1" outlineLevel="1" x14ac:dyDescent="0.45">
      <c r="A247" s="34" t="s">
        <v>247</v>
      </c>
      <c r="B247" s="33">
        <v>0</v>
      </c>
      <c r="C247" s="71">
        <v>0</v>
      </c>
      <c r="D247" s="71">
        <v>0</v>
      </c>
      <c r="E247" s="64">
        <v>0</v>
      </c>
      <c r="F247" s="63">
        <v>0</v>
      </c>
      <c r="G247" s="63">
        <v>0</v>
      </c>
      <c r="H247" s="32">
        <f t="shared" si="3"/>
        <v>0</v>
      </c>
      <c r="I247" s="32">
        <v>0</v>
      </c>
      <c r="J247" s="32">
        <v>0</v>
      </c>
      <c r="K247" s="32">
        <v>0</v>
      </c>
      <c r="L247" s="32">
        <v>0</v>
      </c>
      <c r="M247" s="32">
        <v>0</v>
      </c>
      <c r="N247" s="1"/>
      <c r="O247" s="32">
        <v>0</v>
      </c>
      <c r="P247" s="32">
        <v>0</v>
      </c>
    </row>
    <row r="248" spans="1:16" hidden="1" outlineLevel="1" collapsed="1" x14ac:dyDescent="0.45">
      <c r="A248" s="29" t="s">
        <v>161</v>
      </c>
      <c r="B248" s="44">
        <v>6800000</v>
      </c>
      <c r="C248" s="71">
        <v>0</v>
      </c>
      <c r="D248" s="71">
        <v>0</v>
      </c>
      <c r="E248" s="64">
        <v>6800000</v>
      </c>
      <c r="F248" s="63">
        <v>0</v>
      </c>
      <c r="G248" s="63">
        <v>6800000</v>
      </c>
      <c r="H248" s="32">
        <f t="shared" si="3"/>
        <v>0</v>
      </c>
      <c r="I248" s="32">
        <v>0</v>
      </c>
      <c r="J248" s="32">
        <v>0</v>
      </c>
      <c r="K248" s="32">
        <v>0</v>
      </c>
      <c r="L248" s="32">
        <v>0</v>
      </c>
      <c r="M248" s="32">
        <v>0</v>
      </c>
      <c r="N248" s="1"/>
      <c r="O248" s="32">
        <v>0</v>
      </c>
      <c r="P248" s="32">
        <v>0</v>
      </c>
    </row>
    <row r="249" spans="1:16" ht="16" hidden="1" customHeight="1" outlineLevel="1" x14ac:dyDescent="0.45">
      <c r="A249" s="29" t="s">
        <v>224</v>
      </c>
      <c r="B249" s="44">
        <v>0</v>
      </c>
      <c r="C249" s="71">
        <v>0</v>
      </c>
      <c r="D249" s="71">
        <v>0</v>
      </c>
      <c r="E249" s="64">
        <v>0</v>
      </c>
      <c r="F249" s="63">
        <v>0</v>
      </c>
      <c r="G249" s="63">
        <v>0</v>
      </c>
      <c r="H249" s="32">
        <f t="shared" si="3"/>
        <v>0</v>
      </c>
      <c r="I249" s="32">
        <v>0</v>
      </c>
      <c r="J249" s="32">
        <v>0</v>
      </c>
      <c r="K249" s="32">
        <v>0</v>
      </c>
      <c r="L249" s="32">
        <v>0</v>
      </c>
      <c r="M249" s="32">
        <v>0</v>
      </c>
      <c r="N249" s="1"/>
      <c r="O249" s="32">
        <v>0</v>
      </c>
      <c r="P249" s="32">
        <v>0</v>
      </c>
    </row>
    <row r="250" spans="1:16" s="1" customFormat="1" collapsed="1" x14ac:dyDescent="0.45">
      <c r="A250" s="28" t="s">
        <v>111</v>
      </c>
      <c r="B250" s="43">
        <v>2153704766</v>
      </c>
      <c r="C250" s="69">
        <v>2153704766</v>
      </c>
      <c r="D250" s="69">
        <v>0</v>
      </c>
      <c r="E250" s="61">
        <v>0</v>
      </c>
      <c r="F250" s="60">
        <v>0</v>
      </c>
      <c r="G250" s="60">
        <v>0</v>
      </c>
      <c r="H250" s="70">
        <f t="shared" si="3"/>
        <v>0</v>
      </c>
      <c r="I250" s="70">
        <v>0</v>
      </c>
      <c r="J250" s="70">
        <v>0</v>
      </c>
      <c r="K250" s="70">
        <v>0</v>
      </c>
      <c r="L250" s="70">
        <v>0</v>
      </c>
      <c r="M250" s="70">
        <v>0</v>
      </c>
      <c r="O250" s="70">
        <v>0</v>
      </c>
      <c r="P250" s="70">
        <v>0</v>
      </c>
    </row>
    <row r="251" spans="1:16" ht="16" hidden="1" customHeight="1" outlineLevel="1" x14ac:dyDescent="0.45">
      <c r="A251" s="29" t="s">
        <v>162</v>
      </c>
      <c r="B251" s="44">
        <v>468709044</v>
      </c>
      <c r="C251" s="71">
        <v>468709044</v>
      </c>
      <c r="D251" s="71">
        <v>0</v>
      </c>
      <c r="E251" s="64">
        <v>0</v>
      </c>
      <c r="F251" s="63">
        <v>0</v>
      </c>
      <c r="G251" s="63">
        <v>0</v>
      </c>
      <c r="H251" s="32">
        <f t="shared" si="3"/>
        <v>0</v>
      </c>
      <c r="I251" s="32">
        <v>0</v>
      </c>
      <c r="J251" s="32">
        <v>0</v>
      </c>
      <c r="K251" s="32">
        <v>0</v>
      </c>
      <c r="L251" s="32">
        <v>0</v>
      </c>
      <c r="M251" s="32">
        <v>0</v>
      </c>
      <c r="N251" s="1"/>
      <c r="O251" s="32">
        <v>0</v>
      </c>
      <c r="P251" s="32">
        <v>0</v>
      </c>
    </row>
    <row r="252" spans="1:16" ht="16" hidden="1" customHeight="1" outlineLevel="1" x14ac:dyDescent="0.45">
      <c r="A252" s="29" t="s">
        <v>251</v>
      </c>
      <c r="B252" s="44">
        <v>665000000</v>
      </c>
      <c r="C252" s="71">
        <v>665000000</v>
      </c>
      <c r="D252" s="71">
        <v>0</v>
      </c>
      <c r="E252" s="64">
        <v>0</v>
      </c>
      <c r="F252" s="63">
        <v>0</v>
      </c>
      <c r="G252" s="63">
        <v>0</v>
      </c>
      <c r="H252" s="32">
        <f t="shared" si="3"/>
        <v>0</v>
      </c>
      <c r="I252" s="32">
        <v>0</v>
      </c>
      <c r="J252" s="32">
        <v>0</v>
      </c>
      <c r="K252" s="32">
        <v>0</v>
      </c>
      <c r="L252" s="32">
        <v>0</v>
      </c>
      <c r="M252" s="32">
        <v>0</v>
      </c>
      <c r="N252" s="1"/>
      <c r="O252" s="32">
        <v>0</v>
      </c>
      <c r="P252" s="32">
        <v>0</v>
      </c>
    </row>
    <row r="253" spans="1:16" ht="16" hidden="1" customHeight="1" outlineLevel="1" x14ac:dyDescent="0.45">
      <c r="A253" s="29" t="s">
        <v>310</v>
      </c>
      <c r="B253" s="44">
        <v>1017818970</v>
      </c>
      <c r="C253" s="71">
        <v>1017818970</v>
      </c>
      <c r="D253" s="71">
        <v>0</v>
      </c>
      <c r="E253" s="64">
        <v>0</v>
      </c>
      <c r="F253" s="63">
        <v>0</v>
      </c>
      <c r="G253" s="63">
        <v>0</v>
      </c>
      <c r="H253" s="32">
        <f t="shared" si="3"/>
        <v>0</v>
      </c>
      <c r="I253" s="32">
        <v>0</v>
      </c>
      <c r="J253" s="32">
        <v>0</v>
      </c>
      <c r="K253" s="32">
        <v>0</v>
      </c>
      <c r="L253" s="32">
        <v>0</v>
      </c>
      <c r="M253" s="32">
        <v>0</v>
      </c>
      <c r="N253" s="1"/>
      <c r="O253" s="32">
        <v>0</v>
      </c>
      <c r="P253" s="32">
        <v>0</v>
      </c>
    </row>
    <row r="254" spans="1:16" ht="16" hidden="1" customHeight="1" outlineLevel="1" x14ac:dyDescent="0.45">
      <c r="A254" s="29" t="s">
        <v>225</v>
      </c>
      <c r="B254" s="44">
        <v>0</v>
      </c>
      <c r="C254" s="71">
        <v>0</v>
      </c>
      <c r="D254" s="71">
        <v>0</v>
      </c>
      <c r="E254" s="64">
        <v>0</v>
      </c>
      <c r="F254" s="63">
        <v>0</v>
      </c>
      <c r="G254" s="63">
        <v>0</v>
      </c>
      <c r="H254" s="32">
        <f t="shared" si="3"/>
        <v>0</v>
      </c>
      <c r="I254" s="32">
        <v>0</v>
      </c>
      <c r="J254" s="32">
        <v>0</v>
      </c>
      <c r="K254" s="32">
        <v>0</v>
      </c>
      <c r="L254" s="32">
        <v>0</v>
      </c>
      <c r="M254" s="32">
        <v>0</v>
      </c>
      <c r="N254" s="1"/>
      <c r="O254" s="32">
        <v>0</v>
      </c>
      <c r="P254" s="32">
        <v>0</v>
      </c>
    </row>
    <row r="255" spans="1:16" ht="16" hidden="1" customHeight="1" outlineLevel="1" x14ac:dyDescent="0.45">
      <c r="A255" s="29" t="s">
        <v>226</v>
      </c>
      <c r="B255" s="44">
        <v>0</v>
      </c>
      <c r="C255" s="71">
        <v>0</v>
      </c>
      <c r="D255" s="71">
        <v>0</v>
      </c>
      <c r="E255" s="64">
        <v>0</v>
      </c>
      <c r="F255" s="63">
        <v>0</v>
      </c>
      <c r="G255" s="63">
        <v>0</v>
      </c>
      <c r="H255" s="32">
        <f t="shared" si="3"/>
        <v>0</v>
      </c>
      <c r="I255" s="32">
        <v>0</v>
      </c>
      <c r="J255" s="32">
        <v>0</v>
      </c>
      <c r="K255" s="32">
        <v>0</v>
      </c>
      <c r="L255" s="32">
        <v>0</v>
      </c>
      <c r="M255" s="32">
        <v>0</v>
      </c>
      <c r="N255" s="1"/>
      <c r="O255" s="32">
        <v>0</v>
      </c>
      <c r="P255" s="32">
        <v>0</v>
      </c>
    </row>
    <row r="256" spans="1:16" ht="16" hidden="1" customHeight="1" outlineLevel="1" x14ac:dyDescent="0.45">
      <c r="A256" s="29" t="s">
        <v>163</v>
      </c>
      <c r="B256" s="44">
        <v>2176752</v>
      </c>
      <c r="C256" s="71">
        <v>2176752</v>
      </c>
      <c r="D256" s="71">
        <v>0</v>
      </c>
      <c r="E256" s="64">
        <v>0</v>
      </c>
      <c r="F256" s="63">
        <v>0</v>
      </c>
      <c r="G256" s="63">
        <v>0</v>
      </c>
      <c r="H256" s="32">
        <f t="shared" si="3"/>
        <v>0</v>
      </c>
      <c r="I256" s="32">
        <v>0</v>
      </c>
      <c r="J256" s="32">
        <v>0</v>
      </c>
      <c r="K256" s="32">
        <v>0</v>
      </c>
      <c r="L256" s="32">
        <v>0</v>
      </c>
      <c r="M256" s="32">
        <v>0</v>
      </c>
      <c r="N256" s="1"/>
      <c r="O256" s="32">
        <v>0</v>
      </c>
      <c r="P256" s="32">
        <v>0</v>
      </c>
    </row>
    <row r="257" spans="1:16" ht="16" hidden="1" customHeight="1" outlineLevel="1" x14ac:dyDescent="0.45">
      <c r="A257" s="29" t="s">
        <v>164</v>
      </c>
      <c r="B257" s="44">
        <v>0</v>
      </c>
      <c r="C257" s="71">
        <v>0</v>
      </c>
      <c r="D257" s="71">
        <v>0</v>
      </c>
      <c r="E257" s="64">
        <v>0</v>
      </c>
      <c r="F257" s="63">
        <v>0</v>
      </c>
      <c r="G257" s="63">
        <v>0</v>
      </c>
      <c r="H257" s="32">
        <f t="shared" si="3"/>
        <v>0</v>
      </c>
      <c r="I257" s="32">
        <v>0</v>
      </c>
      <c r="J257" s="32">
        <v>0</v>
      </c>
      <c r="K257" s="32">
        <v>0</v>
      </c>
      <c r="L257" s="32">
        <v>0</v>
      </c>
      <c r="M257" s="32">
        <v>0</v>
      </c>
      <c r="N257" s="1"/>
      <c r="O257" s="32">
        <v>0</v>
      </c>
      <c r="P257" s="32">
        <v>0</v>
      </c>
    </row>
    <row r="258" spans="1:16" ht="16" hidden="1" customHeight="1" outlineLevel="1" x14ac:dyDescent="0.45">
      <c r="A258" s="29" t="s">
        <v>265</v>
      </c>
      <c r="B258" s="44">
        <v>0</v>
      </c>
      <c r="C258" s="71">
        <v>0</v>
      </c>
      <c r="D258" s="71">
        <v>0</v>
      </c>
      <c r="E258" s="64">
        <v>0</v>
      </c>
      <c r="F258" s="63">
        <v>0</v>
      </c>
      <c r="G258" s="63">
        <v>0</v>
      </c>
      <c r="H258" s="32">
        <f t="shared" si="3"/>
        <v>0</v>
      </c>
      <c r="I258" s="32">
        <v>0</v>
      </c>
      <c r="J258" s="32">
        <v>0</v>
      </c>
      <c r="K258" s="32">
        <v>0</v>
      </c>
      <c r="L258" s="32">
        <v>0</v>
      </c>
      <c r="M258" s="32">
        <v>0</v>
      </c>
      <c r="N258" s="1"/>
      <c r="O258" s="32">
        <v>0</v>
      </c>
      <c r="P258" s="32">
        <v>0</v>
      </c>
    </row>
    <row r="259" spans="1:16" ht="16" hidden="1" customHeight="1" outlineLevel="1" x14ac:dyDescent="0.45">
      <c r="A259" s="29" t="s">
        <v>165</v>
      </c>
      <c r="B259" s="44">
        <v>0</v>
      </c>
      <c r="C259" s="71">
        <v>0</v>
      </c>
      <c r="D259" s="71">
        <v>0</v>
      </c>
      <c r="E259" s="64">
        <v>0</v>
      </c>
      <c r="F259" s="63">
        <v>0</v>
      </c>
      <c r="G259" s="63">
        <v>0</v>
      </c>
      <c r="H259" s="32">
        <f t="shared" si="3"/>
        <v>0</v>
      </c>
      <c r="I259" s="32">
        <v>0</v>
      </c>
      <c r="J259" s="32">
        <v>0</v>
      </c>
      <c r="K259" s="32">
        <v>0</v>
      </c>
      <c r="L259" s="32">
        <v>0</v>
      </c>
      <c r="M259" s="32">
        <v>0</v>
      </c>
      <c r="N259" s="1"/>
      <c r="O259" s="32">
        <v>0</v>
      </c>
      <c r="P259" s="32">
        <v>0</v>
      </c>
    </row>
    <row r="260" spans="1:16" s="1" customFormat="1" collapsed="1" x14ac:dyDescent="0.45">
      <c r="A260" s="74" t="s">
        <v>112</v>
      </c>
      <c r="B260" s="75">
        <v>1167317059</v>
      </c>
      <c r="C260" s="76">
        <v>1167317059</v>
      </c>
      <c r="D260" s="76">
        <v>0</v>
      </c>
      <c r="E260" s="77">
        <v>0</v>
      </c>
      <c r="F260" s="78">
        <v>0</v>
      </c>
      <c r="G260" s="78">
        <v>0</v>
      </c>
      <c r="H260" s="79">
        <f t="shared" ref="H260:H271" si="4">O260+P260</f>
        <v>0</v>
      </c>
      <c r="I260" s="79">
        <v>0</v>
      </c>
      <c r="J260" s="79">
        <v>0</v>
      </c>
      <c r="K260" s="79">
        <v>0</v>
      </c>
      <c r="L260" s="79">
        <v>0</v>
      </c>
      <c r="M260" s="79">
        <v>0</v>
      </c>
      <c r="O260" s="79">
        <v>0</v>
      </c>
      <c r="P260" s="79">
        <v>0</v>
      </c>
    </row>
    <row r="261" spans="1:16" s="1" customFormat="1" x14ac:dyDescent="0.45">
      <c r="A261" s="27" t="s">
        <v>311</v>
      </c>
      <c r="B261" s="42">
        <v>455596318</v>
      </c>
      <c r="C261" s="73">
        <v>-1771460125</v>
      </c>
      <c r="D261" s="73">
        <v>-960003636</v>
      </c>
      <c r="E261" s="58">
        <v>3187060079</v>
      </c>
      <c r="F261" s="57">
        <v>1790979854.696075</v>
      </c>
      <c r="G261" s="57">
        <v>938967647.775213</v>
      </c>
      <c r="H261" s="80">
        <f t="shared" si="4"/>
        <v>216715655.52871192</v>
      </c>
      <c r="I261" s="80">
        <v>71590060.282176077</v>
      </c>
      <c r="J261" s="80">
        <v>73865868.948115826</v>
      </c>
      <c r="K261" s="80">
        <v>345036413.66728079</v>
      </c>
      <c r="L261" s="80">
        <v>-277392154.89757264</v>
      </c>
      <c r="M261" s="57">
        <v>27296733</v>
      </c>
      <c r="O261" s="80">
        <v>-65299662.419327423</v>
      </c>
      <c r="P261" s="80">
        <v>282015317.94803935</v>
      </c>
    </row>
    <row r="262" spans="1:16" ht="16" hidden="1" customHeight="1" x14ac:dyDescent="0.45">
      <c r="A262" s="4"/>
      <c r="B262" s="11"/>
      <c r="C262" s="11"/>
      <c r="D262" s="11"/>
      <c r="E262" s="11"/>
      <c r="F262" s="11"/>
      <c r="G262" s="11"/>
      <c r="H262" s="11">
        <f t="shared" si="4"/>
        <v>0</v>
      </c>
      <c r="I262" s="11"/>
      <c r="J262" s="11"/>
      <c r="K262" s="11"/>
      <c r="L262" s="11"/>
      <c r="M262" s="11"/>
      <c r="O262" s="11"/>
      <c r="P262" s="11"/>
    </row>
    <row r="263" spans="1:16" s="4" customFormat="1" ht="15" hidden="1" customHeight="1" x14ac:dyDescent="0.45">
      <c r="A263" s="22" t="s">
        <v>298</v>
      </c>
      <c r="B263" s="23"/>
      <c r="C263" s="23"/>
      <c r="D263" s="23"/>
      <c r="E263" s="48">
        <v>1</v>
      </c>
      <c r="F263" s="48">
        <v>0.47</v>
      </c>
      <c r="G263" s="48">
        <v>0.4</v>
      </c>
      <c r="H263" s="48">
        <f t="shared" si="4"/>
        <v>4.9999999999999996E-2</v>
      </c>
      <c r="I263" s="48">
        <v>1.06E-2</v>
      </c>
      <c r="J263" s="48">
        <v>8.9999999999999993E-3</v>
      </c>
      <c r="K263" s="48">
        <v>2.0400000000000001E-2</v>
      </c>
      <c r="L263" s="48">
        <v>0.02</v>
      </c>
      <c r="M263" s="11">
        <v>0.02</v>
      </c>
      <c r="O263" s="48">
        <v>3.5999999999999997E-2</v>
      </c>
      <c r="P263" s="48">
        <v>1.4E-2</v>
      </c>
    </row>
    <row r="264" spans="1:16" s="4" customFormat="1" ht="15" customHeight="1" x14ac:dyDescent="0.45"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11"/>
      <c r="O264" s="5"/>
      <c r="P264" s="5"/>
    </row>
    <row r="265" spans="1:16" s="4" customFormat="1" ht="15" customHeight="1" x14ac:dyDescent="0.45">
      <c r="A265" s="6" t="s">
        <v>312</v>
      </c>
      <c r="B265" s="7">
        <v>-960003636</v>
      </c>
      <c r="C265" s="7"/>
      <c r="D265" s="7"/>
      <c r="E265" s="7">
        <v>-960003636</v>
      </c>
      <c r="F265" s="7">
        <v>-451201708.91999996</v>
      </c>
      <c r="G265" s="7">
        <v>-384001454.40000004</v>
      </c>
      <c r="H265" s="7">
        <f t="shared" si="4"/>
        <v>-48000181.799999997</v>
      </c>
      <c r="I265" s="7">
        <v>-10176038.5416</v>
      </c>
      <c r="J265" s="7">
        <v>-8640032.7239999995</v>
      </c>
      <c r="K265" s="7">
        <v>-19584074.174400002</v>
      </c>
      <c r="L265" s="7">
        <v>-19200072.719999999</v>
      </c>
      <c r="M265" s="7">
        <v>-19200072.719999999</v>
      </c>
      <c r="O265" s="7">
        <v>-34560130.895999998</v>
      </c>
      <c r="P265" s="7">
        <v>-13440050.904000001</v>
      </c>
    </row>
    <row r="266" spans="1:16" s="4" customFormat="1" ht="15" customHeight="1" x14ac:dyDescent="0.45">
      <c r="A266" s="8" t="s">
        <v>282</v>
      </c>
      <c r="B266" s="13">
        <v>2220256443</v>
      </c>
      <c r="C266" s="13"/>
      <c r="D266" s="13"/>
      <c r="E266" s="13">
        <v>2220256442.9999995</v>
      </c>
      <c r="F266" s="13">
        <v>1339778145.7760749</v>
      </c>
      <c r="G266" s="13">
        <v>548166193.37521291</v>
      </c>
      <c r="H266" s="13">
        <f t="shared" si="4"/>
        <v>168715473.72871196</v>
      </c>
      <c r="I266" s="13">
        <v>61414021.740576074</v>
      </c>
      <c r="J266" s="13">
        <v>65225836.224115826</v>
      </c>
      <c r="K266" s="13">
        <v>325452339.49288082</v>
      </c>
      <c r="L266" s="13">
        <v>-296592227.61757267</v>
      </c>
      <c r="M266" s="13">
        <v>8096660.2800000012</v>
      </c>
      <c r="O266" s="13">
        <v>-99859793.315327421</v>
      </c>
      <c r="P266" s="13">
        <v>268575267.04403937</v>
      </c>
    </row>
    <row r="267" spans="1:16" s="14" customFormat="1" ht="15" customHeight="1" x14ac:dyDescent="0.4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O267" s="2"/>
      <c r="P267" s="2"/>
    </row>
    <row r="268" spans="1:16" ht="14" customHeight="1" x14ac:dyDescent="0.45">
      <c r="A268" s="6" t="s">
        <v>283</v>
      </c>
      <c r="B268" s="7">
        <v>-204987124</v>
      </c>
      <c r="C268" s="7"/>
      <c r="D268" s="7"/>
      <c r="E268" s="7">
        <v>-204987123.99999997</v>
      </c>
      <c r="F268" s="7">
        <v>-96343948.280000001</v>
      </c>
      <c r="G268" s="7">
        <v>-81994849.600000009</v>
      </c>
      <c r="H268" s="7">
        <f t="shared" si="4"/>
        <v>-10249356.199999999</v>
      </c>
      <c r="I268" s="7">
        <v>-2172863.5144000002</v>
      </c>
      <c r="J268" s="7">
        <v>-1844884.1159999999</v>
      </c>
      <c r="K268" s="7">
        <v>-4181737.3296000003</v>
      </c>
      <c r="L268" s="7">
        <v>-4099742.48</v>
      </c>
      <c r="M268" s="7">
        <v>-4099742.48</v>
      </c>
      <c r="O268" s="7">
        <v>-7379536.4639999997</v>
      </c>
      <c r="P268" s="7">
        <v>-2869819.736</v>
      </c>
    </row>
    <row r="269" spans="1:16" s="4" customFormat="1" ht="15" customHeight="1" x14ac:dyDescent="0.45">
      <c r="A269" s="15" t="s">
        <v>284</v>
      </c>
      <c r="B269" s="16">
        <v>2015269319</v>
      </c>
      <c r="C269" s="16"/>
      <c r="D269" s="16"/>
      <c r="E269" s="16">
        <v>2015269318.9999998</v>
      </c>
      <c r="F269" s="16">
        <v>1243434197.4960749</v>
      </c>
      <c r="G269" s="16">
        <v>466171343.77521288</v>
      </c>
      <c r="H269" s="16">
        <f t="shared" si="4"/>
        <v>158466117.52871194</v>
      </c>
      <c r="I269" s="16">
        <v>59241158.226176076</v>
      </c>
      <c r="J269" s="16">
        <v>63380952.10811583</v>
      </c>
      <c r="K269" s="16">
        <v>321270602.16328084</v>
      </c>
      <c r="L269" s="16">
        <v>-300691970.09757268</v>
      </c>
      <c r="M269" s="16">
        <v>3996917.8000000012</v>
      </c>
      <c r="O269" s="16">
        <v>-107239329.77932742</v>
      </c>
      <c r="P269" s="16">
        <v>265705447.30803937</v>
      </c>
    </row>
    <row r="270" spans="1:16" s="14" customFormat="1" ht="15" customHeight="1" x14ac:dyDescent="0.4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O270" s="2"/>
      <c r="P270" s="2"/>
    </row>
    <row r="271" spans="1:16" x14ac:dyDescent="0.45">
      <c r="A271" s="17" t="s">
        <v>285</v>
      </c>
      <c r="B271" s="18">
        <v>2015269318.9999998</v>
      </c>
      <c r="C271" s="18"/>
      <c r="D271" s="18"/>
      <c r="E271" s="18">
        <v>2015269318.9999998</v>
      </c>
      <c r="F271" s="18">
        <v>1138945313.626575</v>
      </c>
      <c r="G271" s="18">
        <v>570660227.64471292</v>
      </c>
      <c r="H271" s="18">
        <f t="shared" si="4"/>
        <v>158466117.52871194</v>
      </c>
      <c r="I271" s="18">
        <v>59241158.226176076</v>
      </c>
      <c r="J271" s="18">
        <v>63380952.10811583</v>
      </c>
      <c r="K271" s="18">
        <v>321270602.16328084</v>
      </c>
      <c r="L271" s="18">
        <v>-300691970.09757268</v>
      </c>
      <c r="M271" s="18">
        <v>3996917.8000000012</v>
      </c>
      <c r="O271" s="18">
        <v>-107239329.77932742</v>
      </c>
      <c r="P271" s="18">
        <v>265705447.30803937</v>
      </c>
    </row>
    <row r="272" spans="1:16" s="1" customFormat="1" x14ac:dyDescent="0.45">
      <c r="A272" s="19" t="s">
        <v>286</v>
      </c>
      <c r="B272" s="19">
        <v>104488883.8695</v>
      </c>
      <c r="C272" s="3"/>
      <c r="D272" s="3"/>
      <c r="E272" s="3"/>
      <c r="F272" s="3"/>
      <c r="G272" s="3"/>
      <c r="H272" s="3"/>
      <c r="I272" s="3"/>
      <c r="J272" s="3"/>
      <c r="K272" s="3"/>
      <c r="L272" s="2"/>
      <c r="M272" s="2"/>
    </row>
    <row r="273" spans="1:13" ht="15.65" customHeight="1" x14ac:dyDescent="0.45">
      <c r="A273" s="105" t="s">
        <v>321</v>
      </c>
      <c r="B273" s="106">
        <v>156965748</v>
      </c>
      <c r="C273" s="36"/>
      <c r="D273" s="36"/>
      <c r="E273" s="36"/>
      <c r="F273" s="36"/>
      <c r="G273" s="36"/>
      <c r="H273" s="35"/>
      <c r="I273" s="35"/>
      <c r="J273" s="35"/>
      <c r="K273" s="35"/>
      <c r="L273" s="35"/>
      <c r="M273" s="35"/>
    </row>
    <row r="274" spans="1:13" ht="15.65" hidden="1" customHeight="1" x14ac:dyDescent="0.45">
      <c r="A274" s="37" t="s">
        <v>235</v>
      </c>
      <c r="B274" s="38">
        <f t="shared" ref="B274:M274" si="5">B28-B29-B30-B63-B70-B71-B73-B74-B115-B122-B126-B133-B136-B141-B142-B151-B156-B164-B171-B178-B181-B193-B199-B215-B217-B228-B229-B238</f>
        <v>0</v>
      </c>
      <c r="C274" s="38">
        <f t="shared" si="5"/>
        <v>2.384185791015625E-6</v>
      </c>
      <c r="D274" s="38">
        <f t="shared" si="5"/>
        <v>0</v>
      </c>
      <c r="E274" s="38">
        <f t="shared" si="5"/>
        <v>-3.814697265625E-6</v>
      </c>
      <c r="F274" s="38">
        <f t="shared" si="5"/>
        <v>-4.76837158203125E-7</v>
      </c>
      <c r="G274" s="38">
        <f t="shared" si="5"/>
        <v>4.8428773880004883E-8</v>
      </c>
      <c r="H274" s="38">
        <f t="shared" si="5"/>
        <v>1.1920928955078125E-7</v>
      </c>
      <c r="I274" s="38">
        <f t="shared" si="5"/>
        <v>0</v>
      </c>
      <c r="J274" s="38">
        <f t="shared" si="5"/>
        <v>3.7252902984619141E-9</v>
      </c>
      <c r="K274" s="38">
        <f t="shared" si="5"/>
        <v>5.9604644775390625E-8</v>
      </c>
      <c r="L274" s="38">
        <f t="shared" si="5"/>
        <v>-2.384185791015625E-7</v>
      </c>
      <c r="M274" s="38">
        <f t="shared" si="5"/>
        <v>0</v>
      </c>
    </row>
    <row r="275" spans="1:13" s="4" customFormat="1" ht="15" hidden="1" customHeight="1" x14ac:dyDescent="0.45">
      <c r="A275" s="37" t="s">
        <v>236</v>
      </c>
      <c r="B275" s="38">
        <f t="shared" ref="B275:M275" si="6">B28-B29-SUM(B31:B62)-SUM(B64:B69)-B70-B72-B73-SUM(B75:B114)-SUM(B116:B121)-SUM(B123:B125)-SUM(B127:B132)-B134-SUM(B137:B140)-B141-SUM(B143:B150)-SUM(B152:B155)-SUM(B157:B163)-SUM(B165:B170)-SUM(B172:B177)-SUM(B179:B180)-SUM(B182:B192)-SUM(B194:B198)-SUM(B200:B214)-B216-SUM(B218:B227)-B228-SUM(B230:B237)-B238-B135</f>
        <v>0</v>
      </c>
      <c r="C275" s="38">
        <f t="shared" si="6"/>
        <v>3.814697265625E-6</v>
      </c>
      <c r="D275" s="38">
        <f t="shared" si="6"/>
        <v>0</v>
      </c>
      <c r="E275" s="38">
        <f t="shared" si="6"/>
        <v>-3.814697265625E-6</v>
      </c>
      <c r="F275" s="38">
        <f t="shared" si="6"/>
        <v>-1.430511474609375E-6</v>
      </c>
      <c r="G275" s="38">
        <f t="shared" si="6"/>
        <v>-7.0780515670776367E-8</v>
      </c>
      <c r="H275" s="38">
        <f t="shared" si="6"/>
        <v>1.1920928955078125E-7</v>
      </c>
      <c r="I275" s="38">
        <f t="shared" si="6"/>
        <v>0</v>
      </c>
      <c r="J275" s="38">
        <f t="shared" si="6"/>
        <v>3.7252902984619141E-9</v>
      </c>
      <c r="K275" s="38">
        <f t="shared" si="6"/>
        <v>5.9604644775390625E-8</v>
      </c>
      <c r="L275" s="38">
        <f t="shared" si="6"/>
        <v>-2.384185791015625E-7</v>
      </c>
      <c r="M275" s="38">
        <f t="shared" si="6"/>
        <v>0</v>
      </c>
    </row>
    <row r="276" spans="1:13" s="4" customFormat="1" ht="15" hidden="1" customHeight="1" x14ac:dyDescent="0.45">
      <c r="A276" s="37" t="s">
        <v>237</v>
      </c>
      <c r="B276" s="38">
        <f t="shared" ref="B276:M276" si="7">B3-B25-B28-B239</f>
        <v>0</v>
      </c>
      <c r="C276" s="38">
        <f t="shared" si="7"/>
        <v>-3.814697265625E-6</v>
      </c>
      <c r="D276" s="38">
        <f t="shared" si="7"/>
        <v>0</v>
      </c>
      <c r="E276" s="38">
        <f t="shared" si="7"/>
        <v>3.814697265625E-6</v>
      </c>
      <c r="F276" s="38">
        <f t="shared" si="7"/>
        <v>0</v>
      </c>
      <c r="G276" s="38">
        <f t="shared" si="7"/>
        <v>0</v>
      </c>
      <c r="H276" s="38">
        <f t="shared" si="7"/>
        <v>0</v>
      </c>
      <c r="I276" s="38">
        <f t="shared" si="7"/>
        <v>0</v>
      </c>
      <c r="J276" s="38">
        <f t="shared" si="7"/>
        <v>0</v>
      </c>
      <c r="K276" s="38">
        <f t="shared" si="7"/>
        <v>0</v>
      </c>
      <c r="L276" s="38">
        <f t="shared" si="7"/>
        <v>0</v>
      </c>
      <c r="M276" s="38">
        <f t="shared" si="7"/>
        <v>0</v>
      </c>
    </row>
    <row r="277" spans="1:13" s="4" customFormat="1" ht="15" hidden="1" customHeight="1" x14ac:dyDescent="0.45">
      <c r="A277" s="37" t="s">
        <v>238</v>
      </c>
      <c r="B277" s="38">
        <f t="shared" ref="B277:M277" si="8">B239+B240-B250-B261-B260</f>
        <v>0</v>
      </c>
      <c r="C277" s="38">
        <f t="shared" si="8"/>
        <v>0</v>
      </c>
      <c r="D277" s="38">
        <f t="shared" si="8"/>
        <v>0</v>
      </c>
      <c r="E277" s="38">
        <f t="shared" si="8"/>
        <v>0</v>
      </c>
      <c r="F277" s="38">
        <f t="shared" si="8"/>
        <v>0</v>
      </c>
      <c r="G277" s="38">
        <f t="shared" si="8"/>
        <v>0</v>
      </c>
      <c r="H277" s="38">
        <f t="shared" si="8"/>
        <v>0</v>
      </c>
      <c r="I277" s="38">
        <f t="shared" si="8"/>
        <v>0</v>
      </c>
      <c r="J277" s="38">
        <f t="shared" si="8"/>
        <v>0</v>
      </c>
      <c r="K277" s="38">
        <f t="shared" si="8"/>
        <v>0</v>
      </c>
      <c r="L277" s="38">
        <f t="shared" si="8"/>
        <v>0</v>
      </c>
      <c r="M277" s="38">
        <f t="shared" si="8"/>
        <v>0</v>
      </c>
    </row>
    <row r="278" spans="1:13" s="4" customFormat="1" ht="15" hidden="1" customHeight="1" x14ac:dyDescent="0.45">
      <c r="A278" s="32" t="s">
        <v>244</v>
      </c>
      <c r="B278" s="32">
        <f t="shared" ref="B278:M278" si="9">B240-B241-B242-B244-B248-B249-B245-B247-B243-B246</f>
        <v>0</v>
      </c>
      <c r="C278" s="32">
        <f t="shared" si="9"/>
        <v>0</v>
      </c>
      <c r="D278" s="32">
        <f t="shared" si="9"/>
        <v>0</v>
      </c>
      <c r="E278" s="32">
        <f t="shared" si="9"/>
        <v>0</v>
      </c>
      <c r="F278" s="32">
        <f t="shared" si="9"/>
        <v>0</v>
      </c>
      <c r="G278" s="32">
        <f t="shared" si="9"/>
        <v>0</v>
      </c>
      <c r="H278" s="32">
        <f t="shared" si="9"/>
        <v>0</v>
      </c>
      <c r="I278" s="32">
        <f t="shared" si="9"/>
        <v>0</v>
      </c>
      <c r="J278" s="32">
        <f t="shared" si="9"/>
        <v>0</v>
      </c>
      <c r="K278" s="32">
        <f t="shared" si="9"/>
        <v>0</v>
      </c>
      <c r="L278" s="32">
        <f t="shared" si="9"/>
        <v>0</v>
      </c>
      <c r="M278" s="32">
        <f t="shared" si="9"/>
        <v>0</v>
      </c>
    </row>
    <row r="279" spans="1:13" ht="15.65" hidden="1" customHeight="1" x14ac:dyDescent="0.45">
      <c r="A279" s="32" t="s">
        <v>245</v>
      </c>
      <c r="B279" s="32">
        <f t="shared" ref="B279:M279" si="10">B250-B251-B254-B255-B256-B257-B259-B252-B253-B258</f>
        <v>0</v>
      </c>
      <c r="C279" s="32">
        <f t="shared" si="10"/>
        <v>0</v>
      </c>
      <c r="D279" s="32">
        <f t="shared" si="10"/>
        <v>0</v>
      </c>
      <c r="E279" s="32">
        <f t="shared" si="10"/>
        <v>0</v>
      </c>
      <c r="F279" s="32">
        <f t="shared" si="10"/>
        <v>0</v>
      </c>
      <c r="G279" s="32">
        <f t="shared" si="10"/>
        <v>0</v>
      </c>
      <c r="H279" s="32">
        <f t="shared" si="10"/>
        <v>0</v>
      </c>
      <c r="I279" s="32">
        <f t="shared" si="10"/>
        <v>0</v>
      </c>
      <c r="J279" s="32">
        <f t="shared" si="10"/>
        <v>0</v>
      </c>
      <c r="K279" s="32">
        <f t="shared" si="10"/>
        <v>0</v>
      </c>
      <c r="L279" s="32">
        <f t="shared" si="10"/>
        <v>0</v>
      </c>
      <c r="M279" s="32">
        <f t="shared" si="10"/>
        <v>0</v>
      </c>
    </row>
    <row r="280" spans="1:13" ht="15.65" hidden="1" customHeight="1" x14ac:dyDescent="0.45">
      <c r="A280" s="35"/>
      <c r="B280" s="35"/>
      <c r="C280" s="36"/>
      <c r="D280" s="36"/>
      <c r="E280" s="36"/>
      <c r="F280" s="36"/>
      <c r="G280" s="36"/>
      <c r="H280" s="35"/>
      <c r="I280" s="35"/>
      <c r="J280" s="35"/>
      <c r="K280" s="35"/>
      <c r="L280" s="35"/>
      <c r="M280" s="36"/>
    </row>
    <row r="281" spans="1:13" ht="15.65" hidden="1" customHeight="1" x14ac:dyDescent="0.45">
      <c r="A281" s="39" t="s">
        <v>239</v>
      </c>
      <c r="B281" s="38">
        <f>B4+B14+B21-B26-B53-B81-B131-B162-B168-B175-B189-B198-B210-B212-B218-B219-B221-B224-B230-B231-B232-B234-B235-B236-B227</f>
        <v>6028100713</v>
      </c>
      <c r="C281" s="38">
        <f>C4+C14+C21-C26-C53-C81-C131-C162-C168-C175-C189-C198-C210-C212-C219-C221-C224-C230-C231-C232-C235-C236</f>
        <v>98488474</v>
      </c>
      <c r="D281" s="38"/>
      <c r="E281" s="38">
        <f>E4+E14+E21-E26-E53-E81-E131-E162-E168-E175-E189-E198-E210-E212-E218-E219-E221-E224-E230-E231-E232-E234-E235-E236-E227</f>
        <v>5490786456</v>
      </c>
      <c r="F281" s="38">
        <f>F4+F14+F21-F26-F53-F81-F131-F162-F168-F175-F189-F198-F210-F212-F218-F219-F221-F224-F230-F231-F232-F234-F235-F236-F227</f>
        <v>4620251429.4042492</v>
      </c>
      <c r="G281" s="38">
        <f>G4+G14+G21-G26-G53-G81-G131-G162-G168-G175-G189-G198-G210-G212-G218-G219-G221-G224-G230-G231-G232-G234-G235-G236-G227</f>
        <v>13841755.595748492</v>
      </c>
      <c r="H281" s="38">
        <f t="shared" ref="H281:L281" si="11">H4+H14+H21-H26-H53-H81-H131-H162-H168-H175-H189-H198-H210-H212-H218-H219-H221-H224-H230-H231-H232-H234-H235-H236-H227-H164-H215</f>
        <v>-289351074</v>
      </c>
      <c r="I281" s="38">
        <f t="shared" si="11"/>
        <v>82866433.454697728</v>
      </c>
      <c r="J281" s="38">
        <f t="shared" si="11"/>
        <v>55917033.313479036</v>
      </c>
      <c r="K281" s="38">
        <f t="shared" si="11"/>
        <v>354367510.66049504</v>
      </c>
      <c r="L281" s="38">
        <f t="shared" si="11"/>
        <v>69704470.571328193</v>
      </c>
      <c r="M281" s="38">
        <f>M4+M14+M21-M26-M53-M81-M131-M162-M168-M175-M189-M198-M210-M212-M218-M219-M221-M224-M230-M231-M232-M234-M235-M236-M227</f>
        <v>603320961</v>
      </c>
    </row>
    <row r="282" spans="1:13" s="4" customFormat="1" ht="15" hidden="1" customHeight="1" x14ac:dyDescent="0.45">
      <c r="A282" s="40" t="s">
        <v>240</v>
      </c>
      <c r="B282" s="38">
        <f>B18-B109-B163-B165-B170-B192-B222-B226-B237</f>
        <v>2676390865</v>
      </c>
      <c r="C282" s="38">
        <f>C18-C109-C163-C165-C170-C192-C226-C113</f>
        <v>54442392</v>
      </c>
      <c r="D282" s="38"/>
      <c r="E282" s="38">
        <f t="shared" ref="E282:M282" si="12">E18-E109-E163-E165-E170-E192-E222-E226-E237-E113</f>
        <v>686146758</v>
      </c>
      <c r="F282" s="38">
        <f t="shared" si="12"/>
        <v>293440312</v>
      </c>
      <c r="G282" s="38">
        <f t="shared" si="12"/>
        <v>-94370749</v>
      </c>
      <c r="H282" s="38">
        <f t="shared" si="12"/>
        <v>16549093</v>
      </c>
      <c r="I282" s="38">
        <f t="shared" si="12"/>
        <v>0</v>
      </c>
      <c r="J282" s="38">
        <f t="shared" si="12"/>
        <v>0</v>
      </c>
      <c r="K282" s="38">
        <f t="shared" si="12"/>
        <v>16356908</v>
      </c>
      <c r="L282" s="38">
        <f t="shared" si="12"/>
        <v>454171194</v>
      </c>
      <c r="M282" s="38">
        <f t="shared" si="12"/>
        <v>0</v>
      </c>
    </row>
    <row r="283" spans="1:13" s="4" customFormat="1" ht="15" hidden="1" customHeight="1" x14ac:dyDescent="0.45">
      <c r="A283" s="37" t="s">
        <v>241</v>
      </c>
      <c r="B283" s="41">
        <f>SUBTOTAL(9,B281:B282)</f>
        <v>8704491578</v>
      </c>
      <c r="C283" s="41">
        <f t="shared" ref="C283" si="13">SUBTOTAL(9,C281:C282)</f>
        <v>152930866</v>
      </c>
      <c r="D283" s="41"/>
      <c r="E283" s="41">
        <f t="shared" ref="E283:L283" si="14">SUBTOTAL(9,E281:E282)</f>
        <v>6176933214</v>
      </c>
      <c r="F283" s="41">
        <f t="shared" si="14"/>
        <v>4913691741.4042492</v>
      </c>
      <c r="G283" s="41">
        <f>SUBTOTAL(9,G281:G282)</f>
        <v>-80528993.404251516</v>
      </c>
      <c r="H283" s="41">
        <f>SUBTOTAL(9,H281:H282)</f>
        <v>-272801981</v>
      </c>
      <c r="I283" s="41">
        <f t="shared" si="14"/>
        <v>82866433.454697728</v>
      </c>
      <c r="J283" s="41">
        <f t="shared" si="14"/>
        <v>55917033.313479036</v>
      </c>
      <c r="K283" s="41">
        <f t="shared" si="14"/>
        <v>370724418.66049504</v>
      </c>
      <c r="L283" s="41">
        <f t="shared" si="14"/>
        <v>523875664.57132816</v>
      </c>
      <c r="M283" s="41">
        <f>SUBTOTAL(9,M281:M282)</f>
        <v>603320961</v>
      </c>
    </row>
    <row r="284" spans="1:13" s="4" customFormat="1" ht="15" hidden="1" customHeight="1" x14ac:dyDescent="0.45">
      <c r="A284" s="9" t="s">
        <v>241</v>
      </c>
      <c r="B284" s="10">
        <f>SUBTOTAL(9,B282:B283)</f>
        <v>2676390865</v>
      </c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</row>
    <row r="285" spans="1:13" collapsed="1" x14ac:dyDescent="0.45">
      <c r="H285" s="3"/>
      <c r="I285" s="3"/>
      <c r="J285" s="3"/>
      <c r="K285" s="3"/>
      <c r="L285" s="3"/>
      <c r="M285" s="2"/>
    </row>
    <row r="286" spans="1:13" x14ac:dyDescent="0.45">
      <c r="E286" s="20"/>
      <c r="F286" s="20"/>
      <c r="G286" s="20"/>
      <c r="H286" s="20"/>
      <c r="M286" s="2"/>
    </row>
    <row r="287" spans="1:13" x14ac:dyDescent="0.45">
      <c r="H287" s="3"/>
      <c r="I287" s="3"/>
      <c r="J287" s="3"/>
      <c r="K287" s="3"/>
      <c r="L287" s="3"/>
    </row>
    <row r="288" spans="1:13" x14ac:dyDescent="0.45">
      <c r="B288" s="3"/>
      <c r="H288" s="3"/>
      <c r="I288" s="3"/>
      <c r="J288" s="3"/>
      <c r="K288" s="3"/>
      <c r="L288" s="3"/>
    </row>
    <row r="289" spans="8:12" x14ac:dyDescent="0.45">
      <c r="H289" s="3"/>
      <c r="I289" s="3"/>
      <c r="J289" s="3"/>
      <c r="K289" s="3"/>
      <c r="L289" s="3"/>
    </row>
    <row r="290" spans="8:12" x14ac:dyDescent="0.45">
      <c r="H290" s="3"/>
      <c r="I290" s="3"/>
      <c r="J290" s="3"/>
      <c r="K290" s="3"/>
      <c r="L290" s="3"/>
    </row>
    <row r="293" spans="8:12" x14ac:dyDescent="0.45">
      <c r="H293" s="3"/>
      <c r="I293" s="3"/>
      <c r="J293" s="3"/>
      <c r="K293" s="3"/>
      <c r="L293" s="3"/>
    </row>
    <row r="295" spans="8:12" x14ac:dyDescent="0.45">
      <c r="H295" s="3"/>
      <c r="I295" s="3"/>
      <c r="J295" s="3"/>
      <c r="K295" s="3"/>
      <c r="L295" s="3"/>
    </row>
  </sheetData>
  <mergeCells count="8">
    <mergeCell ref="I1:L1"/>
    <mergeCell ref="M1:M2"/>
    <mergeCell ref="A1:A2"/>
    <mergeCell ref="B1:B2"/>
    <mergeCell ref="C1:C2"/>
    <mergeCell ref="D1:D2"/>
    <mergeCell ref="E1:E2"/>
    <mergeCell ref="F1:H1"/>
  </mergeCells>
  <phoneticPr fontId="2" type="noConversion"/>
  <pageMargins left="0.75" right="0.75" top="1" bottom="1" header="0.5" footer="0.5"/>
  <pageSetup paperSize="8" scale="60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D0DC2-7F3C-4A25-9233-F0015611E762}">
  <sheetPr>
    <tabColor rgb="FFFFC000"/>
    <pageSetUpPr fitToPage="1"/>
  </sheetPr>
  <dimension ref="A1:P295"/>
  <sheetViews>
    <sheetView showGridLines="0" zoomScale="85" zoomScaleNormal="85" zoomScaleSheetLayoutView="85" workbookViewId="0">
      <pane xSplit="2" ySplit="3" topLeftCell="C4" activePane="bottomRight" state="frozen"/>
      <selection activeCell="J2" sqref="J2:J253"/>
      <selection pane="topRight" activeCell="J2" sqref="J2:J253"/>
      <selection pane="bottomLeft" activeCell="J2" sqref="J2:J253"/>
      <selection pane="bottomRight" sqref="A1:A2"/>
    </sheetView>
  </sheetViews>
  <sheetFormatPr defaultColWidth="9.08984375" defaultRowHeight="16" outlineLevelRow="1" x14ac:dyDescent="0.45"/>
  <cols>
    <col min="1" max="1" width="36.36328125" style="2" customWidth="1"/>
    <col min="2" max="2" width="19.08984375" style="2" customWidth="1"/>
    <col min="3" max="7" width="19.08984375" style="3" customWidth="1"/>
    <col min="8" max="12" width="19.08984375" style="2" customWidth="1"/>
    <col min="13" max="13" width="19.08984375" style="3" customWidth="1"/>
    <col min="14" max="14" width="9.08984375" style="2"/>
    <col min="15" max="16" width="19.08984375" style="2" customWidth="1"/>
    <col min="17" max="16384" width="9.08984375" style="2"/>
  </cols>
  <sheetData>
    <row r="1" spans="1:16" s="1" customFormat="1" ht="15.65" customHeight="1" x14ac:dyDescent="0.45">
      <c r="A1" s="208" t="s">
        <v>313</v>
      </c>
      <c r="B1" s="210" t="s">
        <v>233</v>
      </c>
      <c r="C1" s="210" t="s">
        <v>250</v>
      </c>
      <c r="D1" s="210" t="s">
        <v>288</v>
      </c>
      <c r="E1" s="212" t="s">
        <v>167</v>
      </c>
      <c r="F1" s="204" t="s">
        <v>289</v>
      </c>
      <c r="G1" s="205"/>
      <c r="H1" s="212"/>
      <c r="I1" s="202" t="s">
        <v>290</v>
      </c>
      <c r="J1" s="206"/>
      <c r="K1" s="206"/>
      <c r="L1" s="207"/>
      <c r="M1" s="202" t="s">
        <v>291</v>
      </c>
      <c r="O1" s="111"/>
      <c r="P1" s="112"/>
    </row>
    <row r="2" spans="1:16" s="1" customFormat="1" ht="15.65" customHeight="1" x14ac:dyDescent="0.45">
      <c r="A2" s="208"/>
      <c r="B2" s="211"/>
      <c r="C2" s="211"/>
      <c r="D2" s="211"/>
      <c r="E2" s="212"/>
      <c r="F2" s="82" t="s">
        <v>248</v>
      </c>
      <c r="G2" s="82" t="s">
        <v>242</v>
      </c>
      <c r="H2" s="26" t="s">
        <v>365</v>
      </c>
      <c r="I2" s="26" t="s">
        <v>168</v>
      </c>
      <c r="J2" s="26" t="s">
        <v>169</v>
      </c>
      <c r="K2" s="26" t="s">
        <v>294</v>
      </c>
      <c r="L2" s="26" t="s">
        <v>295</v>
      </c>
      <c r="M2" s="203"/>
      <c r="O2" s="26" t="s">
        <v>292</v>
      </c>
      <c r="P2" s="26" t="s">
        <v>293</v>
      </c>
    </row>
    <row r="3" spans="1:16" s="1" customFormat="1" ht="15.65" customHeight="1" x14ac:dyDescent="0.45">
      <c r="A3" s="27" t="s">
        <v>0</v>
      </c>
      <c r="B3" s="42">
        <v>44951814092</v>
      </c>
      <c r="C3" s="57">
        <v>-2285740833</v>
      </c>
      <c r="D3" s="57">
        <v>495578456</v>
      </c>
      <c r="E3" s="58">
        <v>46741976469</v>
      </c>
      <c r="F3" s="57">
        <v>24935777807.452507</v>
      </c>
      <c r="G3" s="57">
        <v>3797106411.547493</v>
      </c>
      <c r="H3" s="59">
        <f>O3+P3</f>
        <v>10294316917</v>
      </c>
      <c r="I3" s="59">
        <v>423521622</v>
      </c>
      <c r="J3" s="59">
        <v>642490578</v>
      </c>
      <c r="K3" s="59">
        <v>1880937622</v>
      </c>
      <c r="L3" s="57">
        <v>1166734511</v>
      </c>
      <c r="M3" s="57">
        <v>3601091000</v>
      </c>
      <c r="O3" s="59">
        <v>9662015513</v>
      </c>
      <c r="P3" s="59">
        <v>632301404</v>
      </c>
    </row>
    <row r="4" spans="1:16" s="1" customFormat="1" x14ac:dyDescent="0.45">
      <c r="A4" s="28" t="s">
        <v>1</v>
      </c>
      <c r="B4" s="43">
        <v>24345806517</v>
      </c>
      <c r="C4" s="60">
        <v>-473876417</v>
      </c>
      <c r="D4" s="60">
        <v>365939092</v>
      </c>
      <c r="E4" s="61">
        <v>24453743842</v>
      </c>
      <c r="F4" s="60">
        <v>12172547600</v>
      </c>
      <c r="G4" s="60">
        <v>204046286</v>
      </c>
      <c r="H4" s="62">
        <f t="shared" ref="H4:H67" si="0">O4+P4</f>
        <v>7843544773</v>
      </c>
      <c r="I4" s="62">
        <v>206779667</v>
      </c>
      <c r="J4" s="62">
        <v>21565905</v>
      </c>
      <c r="K4" s="62">
        <v>904045036</v>
      </c>
      <c r="L4" s="62">
        <v>62865999</v>
      </c>
      <c r="M4" s="60">
        <v>3038348576</v>
      </c>
      <c r="O4" s="62">
        <v>7405851421</v>
      </c>
      <c r="P4" s="62">
        <v>437693352</v>
      </c>
    </row>
    <row r="5" spans="1:16" s="1" customFormat="1" ht="16" hidden="1" customHeight="1" outlineLevel="1" x14ac:dyDescent="0.45">
      <c r="A5" s="29" t="s">
        <v>2</v>
      </c>
      <c r="B5" s="44">
        <v>4518045750</v>
      </c>
      <c r="C5" s="63">
        <v>-511750464</v>
      </c>
      <c r="D5" s="63">
        <v>363815091</v>
      </c>
      <c r="E5" s="64">
        <v>4665981123</v>
      </c>
      <c r="F5" s="63">
        <v>388745674</v>
      </c>
      <c r="G5" s="63">
        <v>200533500</v>
      </c>
      <c r="H5" s="65">
        <f t="shared" si="0"/>
        <v>1226865745</v>
      </c>
      <c r="I5" s="65">
        <v>28072727</v>
      </c>
      <c r="J5" s="65">
        <v>16891000</v>
      </c>
      <c r="K5" s="65">
        <v>208317637</v>
      </c>
      <c r="L5" s="65">
        <v>0</v>
      </c>
      <c r="M5" s="63">
        <v>2596554840</v>
      </c>
      <c r="O5" s="65">
        <v>860100973</v>
      </c>
      <c r="P5" s="65">
        <v>366764772</v>
      </c>
    </row>
    <row r="6" spans="1:16" ht="16" hidden="1" customHeight="1" outlineLevel="1" x14ac:dyDescent="0.45">
      <c r="A6" s="29" t="s">
        <v>3</v>
      </c>
      <c r="B6" s="44">
        <v>0</v>
      </c>
      <c r="C6" s="63">
        <v>0</v>
      </c>
      <c r="D6" s="63">
        <v>0</v>
      </c>
      <c r="E6" s="64">
        <v>0</v>
      </c>
      <c r="F6" s="63">
        <v>0</v>
      </c>
      <c r="G6" s="63">
        <v>0</v>
      </c>
      <c r="H6" s="65">
        <f t="shared" si="0"/>
        <v>0</v>
      </c>
      <c r="I6" s="65">
        <v>0</v>
      </c>
      <c r="J6" s="65">
        <v>0</v>
      </c>
      <c r="K6" s="65">
        <v>0</v>
      </c>
      <c r="L6" s="65">
        <v>0</v>
      </c>
      <c r="M6" s="63">
        <v>0</v>
      </c>
      <c r="N6" s="1"/>
      <c r="O6" s="65">
        <v>0</v>
      </c>
      <c r="P6" s="65">
        <v>0</v>
      </c>
    </row>
    <row r="7" spans="1:16" ht="16" hidden="1" customHeight="1" outlineLevel="1" x14ac:dyDescent="0.45">
      <c r="A7" s="29" t="s">
        <v>170</v>
      </c>
      <c r="B7" s="44">
        <v>0</v>
      </c>
      <c r="C7" s="63">
        <v>0</v>
      </c>
      <c r="D7" s="63">
        <v>0</v>
      </c>
      <c r="E7" s="64">
        <v>0</v>
      </c>
      <c r="F7" s="63">
        <v>0</v>
      </c>
      <c r="G7" s="63">
        <v>0</v>
      </c>
      <c r="H7" s="65">
        <f t="shared" si="0"/>
        <v>0</v>
      </c>
      <c r="I7" s="65">
        <v>0</v>
      </c>
      <c r="J7" s="65">
        <v>0</v>
      </c>
      <c r="K7" s="65">
        <v>0</v>
      </c>
      <c r="L7" s="65">
        <v>0</v>
      </c>
      <c r="M7" s="63">
        <v>0</v>
      </c>
      <c r="N7" s="1"/>
      <c r="O7" s="65">
        <v>0</v>
      </c>
      <c r="P7" s="65">
        <v>0</v>
      </c>
    </row>
    <row r="8" spans="1:16" ht="16" hidden="1" customHeight="1" outlineLevel="1" x14ac:dyDescent="0.45">
      <c r="A8" s="29" t="s">
        <v>4</v>
      </c>
      <c r="B8" s="44">
        <v>18783927742</v>
      </c>
      <c r="C8" s="63">
        <v>39972866</v>
      </c>
      <c r="D8" s="63">
        <v>0</v>
      </c>
      <c r="E8" s="64">
        <v>18743954876</v>
      </c>
      <c r="F8" s="63">
        <v>11279854329</v>
      </c>
      <c r="G8" s="63">
        <v>3512786</v>
      </c>
      <c r="H8" s="65">
        <f t="shared" si="0"/>
        <v>6524457587</v>
      </c>
      <c r="I8" s="65">
        <v>176765485</v>
      </c>
      <c r="J8" s="65">
        <v>1419999</v>
      </c>
      <c r="K8" s="65">
        <v>695389691</v>
      </c>
      <c r="L8" s="65">
        <v>62554999</v>
      </c>
      <c r="M8" s="63">
        <v>0</v>
      </c>
      <c r="N8" s="1"/>
      <c r="O8" s="65">
        <v>6523777871</v>
      </c>
      <c r="P8" s="65">
        <v>679716</v>
      </c>
    </row>
    <row r="9" spans="1:16" ht="16" hidden="1" customHeight="1" outlineLevel="1" x14ac:dyDescent="0.45">
      <c r="A9" s="29" t="s">
        <v>5</v>
      </c>
      <c r="B9" s="44">
        <v>288305266</v>
      </c>
      <c r="C9" s="63">
        <v>-2098819</v>
      </c>
      <c r="D9" s="63">
        <v>2124001</v>
      </c>
      <c r="E9" s="64">
        <v>288280084</v>
      </c>
      <c r="F9" s="63">
        <v>225952343</v>
      </c>
      <c r="G9" s="63">
        <v>0</v>
      </c>
      <c r="H9" s="65">
        <f t="shared" si="0"/>
        <v>13518032</v>
      </c>
      <c r="I9" s="65">
        <v>1941455</v>
      </c>
      <c r="J9" s="65">
        <v>0</v>
      </c>
      <c r="K9" s="65">
        <v>103618</v>
      </c>
      <c r="L9" s="65">
        <v>311000</v>
      </c>
      <c r="M9" s="63">
        <v>46453636</v>
      </c>
      <c r="N9" s="1"/>
      <c r="O9" s="65">
        <v>13518032</v>
      </c>
      <c r="P9" s="65">
        <v>0</v>
      </c>
    </row>
    <row r="10" spans="1:16" ht="16" hidden="1" customHeight="1" outlineLevel="1" x14ac:dyDescent="0.45">
      <c r="A10" s="29" t="s">
        <v>118</v>
      </c>
      <c r="B10" s="44">
        <v>11943541</v>
      </c>
      <c r="C10" s="63">
        <v>0</v>
      </c>
      <c r="D10" s="63">
        <v>0</v>
      </c>
      <c r="E10" s="64">
        <v>11943541</v>
      </c>
      <c r="F10" s="63">
        <v>0</v>
      </c>
      <c r="G10" s="63">
        <v>0</v>
      </c>
      <c r="H10" s="65">
        <f t="shared" si="0"/>
        <v>8454545</v>
      </c>
      <c r="I10" s="65">
        <v>0</v>
      </c>
      <c r="J10" s="65">
        <v>3254906</v>
      </c>
      <c r="K10" s="65">
        <v>234090</v>
      </c>
      <c r="L10" s="65">
        <v>0</v>
      </c>
      <c r="M10" s="63">
        <v>0</v>
      </c>
      <c r="N10" s="1"/>
      <c r="O10" s="65">
        <v>8454545</v>
      </c>
      <c r="P10" s="65">
        <v>0</v>
      </c>
    </row>
    <row r="11" spans="1:16" ht="16" hidden="1" customHeight="1" outlineLevel="1" x14ac:dyDescent="0.45">
      <c r="A11" s="29" t="s">
        <v>6</v>
      </c>
      <c r="B11" s="44">
        <v>348244118</v>
      </c>
      <c r="C11" s="63">
        <v>0</v>
      </c>
      <c r="D11" s="63">
        <v>0</v>
      </c>
      <c r="E11" s="64">
        <v>348244118</v>
      </c>
      <c r="F11" s="63">
        <v>277995254</v>
      </c>
      <c r="G11" s="63">
        <v>0</v>
      </c>
      <c r="H11" s="65">
        <f t="shared" si="0"/>
        <v>70248864</v>
      </c>
      <c r="I11" s="65">
        <v>0</v>
      </c>
      <c r="J11" s="65">
        <v>0</v>
      </c>
      <c r="K11" s="65">
        <v>0</v>
      </c>
      <c r="L11" s="65">
        <v>0</v>
      </c>
      <c r="M11" s="63">
        <v>0</v>
      </c>
      <c r="N11" s="1"/>
      <c r="O11" s="65">
        <v>0</v>
      </c>
      <c r="P11" s="65">
        <v>70248864</v>
      </c>
    </row>
    <row r="12" spans="1:16" ht="16" hidden="1" customHeight="1" outlineLevel="1" x14ac:dyDescent="0.45">
      <c r="A12" s="29" t="s">
        <v>299</v>
      </c>
      <c r="B12" s="44">
        <v>395340100</v>
      </c>
      <c r="C12" s="63">
        <v>0</v>
      </c>
      <c r="D12" s="63">
        <v>0</v>
      </c>
      <c r="E12" s="64">
        <v>395340100</v>
      </c>
      <c r="F12" s="63">
        <v>0</v>
      </c>
      <c r="G12" s="63">
        <v>0</v>
      </c>
      <c r="H12" s="65">
        <f t="shared" si="0"/>
        <v>0</v>
      </c>
      <c r="I12" s="65">
        <v>0</v>
      </c>
      <c r="J12" s="65">
        <v>0</v>
      </c>
      <c r="K12" s="65">
        <v>0</v>
      </c>
      <c r="L12" s="65">
        <v>0</v>
      </c>
      <c r="M12" s="63">
        <v>395340100</v>
      </c>
      <c r="N12" s="1"/>
      <c r="O12" s="65">
        <v>0</v>
      </c>
      <c r="P12" s="65">
        <v>0</v>
      </c>
    </row>
    <row r="13" spans="1:16" ht="16" customHeight="1" collapsed="1" x14ac:dyDescent="0.45">
      <c r="A13" s="28" t="s">
        <v>7</v>
      </c>
      <c r="B13" s="43">
        <v>20606007575</v>
      </c>
      <c r="C13" s="60">
        <v>-1811864416</v>
      </c>
      <c r="D13" s="60">
        <v>129639364</v>
      </c>
      <c r="E13" s="61">
        <v>22288232627</v>
      </c>
      <c r="F13" s="60">
        <v>12763230207.452507</v>
      </c>
      <c r="G13" s="60">
        <v>3593060125.547493</v>
      </c>
      <c r="H13" s="62">
        <f t="shared" si="0"/>
        <v>2450772144</v>
      </c>
      <c r="I13" s="62">
        <v>216741955</v>
      </c>
      <c r="J13" s="62">
        <v>620924673</v>
      </c>
      <c r="K13" s="62">
        <v>976892586</v>
      </c>
      <c r="L13" s="62">
        <v>1103868512</v>
      </c>
      <c r="M13" s="60">
        <v>562742424</v>
      </c>
      <c r="N13" s="1"/>
      <c r="O13" s="62">
        <v>2256164092</v>
      </c>
      <c r="P13" s="62">
        <v>194608052</v>
      </c>
    </row>
    <row r="14" spans="1:16" s="1" customFormat="1" ht="16" hidden="1" customHeight="1" outlineLevel="1" collapsed="1" x14ac:dyDescent="0.45">
      <c r="A14" s="24" t="s">
        <v>8</v>
      </c>
      <c r="B14" s="45">
        <v>9620555068</v>
      </c>
      <c r="C14" s="63">
        <v>-424139308</v>
      </c>
      <c r="D14" s="63">
        <v>1836364</v>
      </c>
      <c r="E14" s="64">
        <v>10042858012</v>
      </c>
      <c r="F14" s="63">
        <v>7569065946</v>
      </c>
      <c r="G14" s="63">
        <v>391500615</v>
      </c>
      <c r="H14" s="65">
        <f t="shared" si="0"/>
        <v>564998557</v>
      </c>
      <c r="I14" s="65">
        <v>140151091</v>
      </c>
      <c r="J14" s="65">
        <v>455379031</v>
      </c>
      <c r="K14" s="65">
        <v>623574956</v>
      </c>
      <c r="L14" s="65">
        <v>63441807</v>
      </c>
      <c r="M14" s="63">
        <v>234746009</v>
      </c>
      <c r="O14" s="65">
        <v>565400358</v>
      </c>
      <c r="P14" s="65">
        <v>-401801</v>
      </c>
    </row>
    <row r="15" spans="1:16" ht="16" hidden="1" customHeight="1" outlineLevel="1" x14ac:dyDescent="0.45">
      <c r="A15" s="29" t="s">
        <v>9</v>
      </c>
      <c r="B15" s="44">
        <v>397665078</v>
      </c>
      <c r="C15" s="63">
        <v>286099272</v>
      </c>
      <c r="D15" s="63">
        <v>0</v>
      </c>
      <c r="E15" s="64">
        <v>111565806</v>
      </c>
      <c r="F15" s="63">
        <v>8352909</v>
      </c>
      <c r="G15" s="63">
        <v>909091</v>
      </c>
      <c r="H15" s="65">
        <f t="shared" si="0"/>
        <v>21706181</v>
      </c>
      <c r="I15" s="65">
        <v>0</v>
      </c>
      <c r="J15" s="65">
        <v>0</v>
      </c>
      <c r="K15" s="65">
        <v>0</v>
      </c>
      <c r="L15" s="65">
        <v>58701210</v>
      </c>
      <c r="M15" s="63">
        <v>21896415</v>
      </c>
      <c r="N15" s="1"/>
      <c r="O15" s="65">
        <v>21706181</v>
      </c>
      <c r="P15" s="65">
        <v>0</v>
      </c>
    </row>
    <row r="16" spans="1:16" ht="16" hidden="1" customHeight="1" outlineLevel="1" x14ac:dyDescent="0.45">
      <c r="A16" s="29" t="s">
        <v>10</v>
      </c>
      <c r="B16" s="44">
        <v>4836284787</v>
      </c>
      <c r="C16" s="63">
        <v>570831325</v>
      </c>
      <c r="D16" s="63">
        <v>0</v>
      </c>
      <c r="E16" s="64">
        <v>4265453462</v>
      </c>
      <c r="F16" s="63">
        <v>2476372962.452507</v>
      </c>
      <c r="G16" s="63">
        <v>705364496.54749322</v>
      </c>
      <c r="H16" s="65">
        <f t="shared" si="0"/>
        <v>504794213</v>
      </c>
      <c r="I16" s="65">
        <v>76575500</v>
      </c>
      <c r="J16" s="65">
        <v>127038642</v>
      </c>
      <c r="K16" s="65">
        <v>251624024</v>
      </c>
      <c r="L16" s="65">
        <v>123683624</v>
      </c>
      <c r="M16" s="63">
        <v>0</v>
      </c>
      <c r="N16" s="1"/>
      <c r="O16" s="65">
        <v>309785860</v>
      </c>
      <c r="P16" s="65">
        <v>195008353</v>
      </c>
    </row>
    <row r="17" spans="1:16" ht="16" hidden="1" customHeight="1" outlineLevel="1" x14ac:dyDescent="0.45">
      <c r="A17" s="29" t="s">
        <v>11</v>
      </c>
      <c r="B17" s="44">
        <v>59906741</v>
      </c>
      <c r="C17" s="63">
        <v>219020</v>
      </c>
      <c r="D17" s="63">
        <v>0</v>
      </c>
      <c r="E17" s="64">
        <v>59687721</v>
      </c>
      <c r="F17" s="63">
        <v>57387266</v>
      </c>
      <c r="G17" s="63">
        <v>19500</v>
      </c>
      <c r="H17" s="65">
        <f t="shared" si="0"/>
        <v>1830591</v>
      </c>
      <c r="I17" s="65">
        <v>15364</v>
      </c>
      <c r="J17" s="65">
        <v>357000</v>
      </c>
      <c r="K17" s="65">
        <v>78000</v>
      </c>
      <c r="L17" s="65">
        <v>0</v>
      </c>
      <c r="M17" s="63">
        <v>0</v>
      </c>
      <c r="N17" s="1"/>
      <c r="O17" s="65">
        <v>1829091</v>
      </c>
      <c r="P17" s="65">
        <v>1500</v>
      </c>
    </row>
    <row r="18" spans="1:16" ht="16" hidden="1" customHeight="1" outlineLevel="1" x14ac:dyDescent="0.45">
      <c r="A18" s="30" t="s">
        <v>12</v>
      </c>
      <c r="B18" s="46">
        <v>2467118498</v>
      </c>
      <c r="C18" s="63">
        <v>-160461142</v>
      </c>
      <c r="D18" s="63">
        <v>0</v>
      </c>
      <c r="E18" s="64">
        <v>2627579640</v>
      </c>
      <c r="F18" s="63">
        <v>1745692118</v>
      </c>
      <c r="G18" s="63">
        <v>-4733577</v>
      </c>
      <c r="H18" s="65">
        <f t="shared" si="0"/>
        <v>23799092</v>
      </c>
      <c r="I18" s="65">
        <v>0</v>
      </c>
      <c r="J18" s="65">
        <v>0</v>
      </c>
      <c r="K18" s="65">
        <v>4780136</v>
      </c>
      <c r="L18" s="65">
        <v>858041871</v>
      </c>
      <c r="M18" s="63">
        <v>0</v>
      </c>
      <c r="N18" s="1"/>
      <c r="O18" s="65">
        <v>23799092</v>
      </c>
      <c r="P18" s="65">
        <v>0</v>
      </c>
    </row>
    <row r="19" spans="1:16" ht="16" hidden="1" customHeight="1" outlineLevel="1" x14ac:dyDescent="0.45">
      <c r="A19" s="29" t="s">
        <v>119</v>
      </c>
      <c r="B19" s="44">
        <v>-1959361771</v>
      </c>
      <c r="C19" s="63">
        <v>-1959361771</v>
      </c>
      <c r="D19" s="63">
        <v>0</v>
      </c>
      <c r="E19" s="64">
        <v>0</v>
      </c>
      <c r="F19" s="63">
        <v>0</v>
      </c>
      <c r="G19" s="63">
        <v>0</v>
      </c>
      <c r="H19" s="65">
        <f t="shared" si="0"/>
        <v>0</v>
      </c>
      <c r="I19" s="65">
        <v>0</v>
      </c>
      <c r="J19" s="65">
        <v>0</v>
      </c>
      <c r="K19" s="65">
        <v>0</v>
      </c>
      <c r="L19" s="65">
        <v>0</v>
      </c>
      <c r="M19" s="63">
        <v>0</v>
      </c>
      <c r="N19" s="1"/>
      <c r="O19" s="65">
        <v>0</v>
      </c>
      <c r="P19" s="65">
        <v>0</v>
      </c>
    </row>
    <row r="20" spans="1:16" ht="16" hidden="1" customHeight="1" outlineLevel="1" x14ac:dyDescent="0.45">
      <c r="A20" s="29" t="s">
        <v>120</v>
      </c>
      <c r="B20" s="44">
        <v>0</v>
      </c>
      <c r="C20" s="63">
        <v>0</v>
      </c>
      <c r="D20" s="63">
        <v>0</v>
      </c>
      <c r="E20" s="64">
        <v>0</v>
      </c>
      <c r="F20" s="63">
        <v>0</v>
      </c>
      <c r="G20" s="63">
        <v>0</v>
      </c>
      <c r="H20" s="65">
        <f t="shared" si="0"/>
        <v>0</v>
      </c>
      <c r="I20" s="65">
        <v>0</v>
      </c>
      <c r="J20" s="65">
        <v>0</v>
      </c>
      <c r="K20" s="65">
        <v>0</v>
      </c>
      <c r="L20" s="65">
        <v>0</v>
      </c>
      <c r="M20" s="63">
        <v>0</v>
      </c>
      <c r="N20" s="1"/>
      <c r="O20" s="65">
        <v>0</v>
      </c>
      <c r="P20" s="65">
        <v>0</v>
      </c>
    </row>
    <row r="21" spans="1:16" ht="16" hidden="1" customHeight="1" outlineLevel="1" x14ac:dyDescent="0.45">
      <c r="A21" s="24" t="s">
        <v>13</v>
      </c>
      <c r="B21" s="45">
        <v>506411944</v>
      </c>
      <c r="C21" s="63">
        <v>0</v>
      </c>
      <c r="D21" s="63">
        <v>0</v>
      </c>
      <c r="E21" s="64">
        <v>506411944</v>
      </c>
      <c r="F21" s="63">
        <v>17164727</v>
      </c>
      <c r="G21" s="63">
        <v>0</v>
      </c>
      <c r="H21" s="65">
        <f t="shared" si="0"/>
        <v>434887580</v>
      </c>
      <c r="I21" s="65">
        <v>0</v>
      </c>
      <c r="J21" s="65">
        <v>0</v>
      </c>
      <c r="K21" s="65">
        <v>54359637</v>
      </c>
      <c r="L21" s="65">
        <v>0</v>
      </c>
      <c r="M21" s="63">
        <v>0</v>
      </c>
      <c r="N21" s="1"/>
      <c r="O21" s="65">
        <v>434887580</v>
      </c>
      <c r="P21" s="65">
        <v>0</v>
      </c>
    </row>
    <row r="22" spans="1:16" s="1" customFormat="1" ht="16" hidden="1" customHeight="1" outlineLevel="1" x14ac:dyDescent="0.45">
      <c r="A22" s="29" t="s">
        <v>121</v>
      </c>
      <c r="B22" s="44">
        <v>3913284763</v>
      </c>
      <c r="C22" s="63">
        <v>-127803000</v>
      </c>
      <c r="D22" s="63">
        <v>127803000</v>
      </c>
      <c r="E22" s="64">
        <v>3913284763</v>
      </c>
      <c r="F22" s="63">
        <v>127803000</v>
      </c>
      <c r="G22" s="63">
        <v>2500000000</v>
      </c>
      <c r="H22" s="65">
        <f t="shared" si="0"/>
        <v>898755930</v>
      </c>
      <c r="I22" s="65">
        <v>0</v>
      </c>
      <c r="J22" s="65">
        <v>38150000</v>
      </c>
      <c r="K22" s="65">
        <v>42475833</v>
      </c>
      <c r="L22" s="65">
        <v>0</v>
      </c>
      <c r="M22" s="63">
        <v>306100000</v>
      </c>
      <c r="O22" s="65">
        <v>898755930</v>
      </c>
      <c r="P22" s="65">
        <v>0</v>
      </c>
    </row>
    <row r="23" spans="1:16" ht="16" hidden="1" customHeight="1" outlineLevel="1" x14ac:dyDescent="0.45">
      <c r="A23" s="29" t="s">
        <v>249</v>
      </c>
      <c r="B23" s="44">
        <v>764142467</v>
      </c>
      <c r="C23" s="63">
        <v>2751188</v>
      </c>
      <c r="D23" s="63">
        <v>0</v>
      </c>
      <c r="E23" s="64">
        <v>761391279</v>
      </c>
      <c r="F23" s="63">
        <v>761391279</v>
      </c>
      <c r="G23" s="63">
        <v>0</v>
      </c>
      <c r="H23" s="65">
        <f t="shared" si="0"/>
        <v>0</v>
      </c>
      <c r="I23" s="65">
        <v>0</v>
      </c>
      <c r="J23" s="65">
        <v>0</v>
      </c>
      <c r="K23" s="65">
        <v>0</v>
      </c>
      <c r="L23" s="65">
        <v>0</v>
      </c>
      <c r="M23" s="63">
        <v>0</v>
      </c>
      <c r="N23" s="1"/>
      <c r="O23" s="65">
        <v>0</v>
      </c>
      <c r="P23" s="65">
        <v>0</v>
      </c>
    </row>
    <row r="24" spans="1:16" ht="16" hidden="1" customHeight="1" outlineLevel="1" x14ac:dyDescent="0.45">
      <c r="A24" s="24" t="s">
        <v>287</v>
      </c>
      <c r="B24" s="45">
        <v>0</v>
      </c>
      <c r="C24" s="63">
        <v>0</v>
      </c>
      <c r="D24" s="63">
        <v>0</v>
      </c>
      <c r="E24" s="64">
        <v>0</v>
      </c>
      <c r="F24" s="63">
        <v>0</v>
      </c>
      <c r="G24" s="63">
        <v>0</v>
      </c>
      <c r="H24" s="65">
        <f t="shared" si="0"/>
        <v>0</v>
      </c>
      <c r="I24" s="65">
        <v>0</v>
      </c>
      <c r="J24" s="65">
        <v>0</v>
      </c>
      <c r="K24" s="65">
        <v>0</v>
      </c>
      <c r="L24" s="65">
        <v>0</v>
      </c>
      <c r="M24" s="63">
        <v>0</v>
      </c>
      <c r="N24" s="1"/>
      <c r="O24" s="65">
        <v>0</v>
      </c>
      <c r="P24" s="65">
        <v>0</v>
      </c>
    </row>
    <row r="25" spans="1:16" ht="16" customHeight="1" collapsed="1" x14ac:dyDescent="0.45">
      <c r="A25" s="27" t="s">
        <v>14</v>
      </c>
      <c r="B25" s="42">
        <v>25663170776</v>
      </c>
      <c r="C25" s="57">
        <v>173800118</v>
      </c>
      <c r="D25" s="57">
        <v>0</v>
      </c>
      <c r="E25" s="58">
        <v>25489370658</v>
      </c>
      <c r="F25" s="58">
        <v>13043840955</v>
      </c>
      <c r="G25" s="58">
        <v>75181000</v>
      </c>
      <c r="H25" s="58">
        <f t="shared" si="0"/>
        <v>8306614938</v>
      </c>
      <c r="I25" s="58">
        <v>286642932</v>
      </c>
      <c r="J25" s="58">
        <v>-138949783</v>
      </c>
      <c r="K25" s="58">
        <v>1370673626</v>
      </c>
      <c r="L25" s="58">
        <v>90711725</v>
      </c>
      <c r="M25" s="58">
        <v>2454655265</v>
      </c>
      <c r="N25" s="1"/>
      <c r="O25" s="58">
        <v>8001323367</v>
      </c>
      <c r="P25" s="58">
        <v>305291571</v>
      </c>
    </row>
    <row r="26" spans="1:16" s="1" customFormat="1" ht="16" hidden="1" customHeight="1" outlineLevel="1" collapsed="1" x14ac:dyDescent="0.45">
      <c r="A26" s="28" t="s">
        <v>15</v>
      </c>
      <c r="B26" s="43">
        <v>25663170776</v>
      </c>
      <c r="C26" s="60">
        <v>173800118</v>
      </c>
      <c r="D26" s="60">
        <v>0</v>
      </c>
      <c r="E26" s="61">
        <v>25489370658</v>
      </c>
      <c r="F26" s="60">
        <v>13043840955</v>
      </c>
      <c r="G26" s="60">
        <v>75181000</v>
      </c>
      <c r="H26" s="62">
        <f t="shared" si="0"/>
        <v>8306614938</v>
      </c>
      <c r="I26" s="62">
        <v>286642932</v>
      </c>
      <c r="J26" s="62">
        <v>-138949783</v>
      </c>
      <c r="K26" s="62">
        <v>1370673626</v>
      </c>
      <c r="L26" s="62">
        <v>90711725</v>
      </c>
      <c r="M26" s="60">
        <v>2454655265</v>
      </c>
      <c r="O26" s="62">
        <v>8001323367</v>
      </c>
      <c r="P26" s="62">
        <v>305291571</v>
      </c>
    </row>
    <row r="27" spans="1:16" s="1" customFormat="1" ht="16" customHeight="1" collapsed="1" x14ac:dyDescent="0.45">
      <c r="A27" s="27" t="s">
        <v>16</v>
      </c>
      <c r="B27" s="42">
        <v>19288643316</v>
      </c>
      <c r="C27" s="57">
        <v>-2459540951</v>
      </c>
      <c r="D27" s="57">
        <v>495578456</v>
      </c>
      <c r="E27" s="58">
        <v>21252605811</v>
      </c>
      <c r="F27" s="57">
        <v>11891936852.452507</v>
      </c>
      <c r="G27" s="57">
        <v>3721925411.547493</v>
      </c>
      <c r="H27" s="59">
        <f t="shared" si="0"/>
        <v>1987701979</v>
      </c>
      <c r="I27" s="59">
        <v>136878690</v>
      </c>
      <c r="J27" s="59">
        <v>781440361</v>
      </c>
      <c r="K27" s="59">
        <v>510263996</v>
      </c>
      <c r="L27" s="59">
        <v>1076022786</v>
      </c>
      <c r="M27" s="57">
        <v>1146435735</v>
      </c>
      <c r="O27" s="59">
        <v>1660692146</v>
      </c>
      <c r="P27" s="59">
        <v>327009833</v>
      </c>
    </row>
    <row r="28" spans="1:16" s="1" customFormat="1" collapsed="1" x14ac:dyDescent="0.45">
      <c r="A28" s="27" t="s">
        <v>17</v>
      </c>
      <c r="B28" s="42">
        <v>16819889910</v>
      </c>
      <c r="C28" s="57">
        <v>-1317419185.9999962</v>
      </c>
      <c r="D28" s="57">
        <v>669123163</v>
      </c>
      <c r="E28" s="58">
        <v>17468185932.999996</v>
      </c>
      <c r="F28" s="57">
        <v>9525168881.7922478</v>
      </c>
      <c r="G28" s="57">
        <v>2733197265.1917853</v>
      </c>
      <c r="H28" s="59">
        <f t="shared" si="0"/>
        <v>1733030643.0159657</v>
      </c>
      <c r="I28" s="59">
        <v>74033261.298998609</v>
      </c>
      <c r="J28" s="59">
        <v>682558646.88036346</v>
      </c>
      <c r="K28" s="59">
        <v>429404160.78162855</v>
      </c>
      <c r="L28" s="59">
        <v>1628451887.0390093</v>
      </c>
      <c r="M28" s="57">
        <v>662341187</v>
      </c>
      <c r="O28" s="59">
        <v>1569487732.0514953</v>
      </c>
      <c r="P28" s="59">
        <v>163542910.96447045</v>
      </c>
    </row>
    <row r="29" spans="1:16" s="1" customFormat="1" x14ac:dyDescent="0.45">
      <c r="A29" s="28" t="s">
        <v>18</v>
      </c>
      <c r="B29" s="43">
        <v>107370460</v>
      </c>
      <c r="C29" s="60">
        <v>33674330</v>
      </c>
      <c r="D29" s="60">
        <v>16000000</v>
      </c>
      <c r="E29" s="61">
        <v>57696130</v>
      </c>
      <c r="F29" s="60">
        <v>51159780.646664664</v>
      </c>
      <c r="G29" s="60">
        <v>6536349.3533353386</v>
      </c>
      <c r="H29" s="62">
        <f t="shared" si="0"/>
        <v>0</v>
      </c>
      <c r="I29" s="62">
        <v>0</v>
      </c>
      <c r="J29" s="62">
        <v>0</v>
      </c>
      <c r="K29" s="62">
        <v>0</v>
      </c>
      <c r="L29" s="62">
        <v>0</v>
      </c>
      <c r="M29" s="60">
        <v>0</v>
      </c>
      <c r="O29" s="62">
        <v>0</v>
      </c>
      <c r="P29" s="62">
        <v>0</v>
      </c>
    </row>
    <row r="30" spans="1:16" s="1" customFormat="1" x14ac:dyDescent="0.45">
      <c r="A30" s="28" t="s">
        <v>19</v>
      </c>
      <c r="B30" s="43">
        <v>6499846870</v>
      </c>
      <c r="C30" s="66">
        <v>342686700</v>
      </c>
      <c r="D30" s="60">
        <v>176858680</v>
      </c>
      <c r="E30" s="61">
        <v>5980301490</v>
      </c>
      <c r="F30" s="60">
        <v>3562018199.8956909</v>
      </c>
      <c r="G30" s="60">
        <v>1217068770.0513158</v>
      </c>
      <c r="H30" s="62">
        <f t="shared" si="0"/>
        <v>373951500.05299354</v>
      </c>
      <c r="I30" s="62">
        <v>41733412.07770849</v>
      </c>
      <c r="J30" s="62">
        <v>39561253.802119993</v>
      </c>
      <c r="K30" s="62">
        <v>165705257.41896874</v>
      </c>
      <c r="L30" s="62">
        <v>499708836.70120275</v>
      </c>
      <c r="M30" s="60">
        <v>80554260</v>
      </c>
      <c r="O30" s="62">
        <v>362525237.43815535</v>
      </c>
      <c r="P30" s="62">
        <v>11426262.614838196</v>
      </c>
    </row>
    <row r="31" spans="1:16" s="1" customFormat="1" ht="16" hidden="1" customHeight="1" outlineLevel="1" x14ac:dyDescent="0.45">
      <c r="A31" s="29" t="s">
        <v>20</v>
      </c>
      <c r="B31" s="44">
        <v>697831830</v>
      </c>
      <c r="C31" s="63">
        <v>156612560</v>
      </c>
      <c r="D31" s="63">
        <v>71404190</v>
      </c>
      <c r="E31" s="64">
        <v>469815080</v>
      </c>
      <c r="F31" s="63">
        <v>218444875.59223783</v>
      </c>
      <c r="G31" s="63">
        <v>95424791.616278782</v>
      </c>
      <c r="H31" s="65">
        <f t="shared" si="0"/>
        <v>23706102.791483369</v>
      </c>
      <c r="I31" s="65">
        <v>8062700.9306025244</v>
      </c>
      <c r="J31" s="65">
        <v>8026907.962551346</v>
      </c>
      <c r="K31" s="65">
        <v>17491462.215867493</v>
      </c>
      <c r="L31" s="65">
        <v>56296608.890978634</v>
      </c>
      <c r="M31" s="63">
        <v>42361630</v>
      </c>
      <c r="O31" s="65">
        <v>22857056.009868026</v>
      </c>
      <c r="P31" s="65">
        <v>849046.78161534388</v>
      </c>
    </row>
    <row r="32" spans="1:16" ht="16" hidden="1" customHeight="1" outlineLevel="1" x14ac:dyDescent="0.45">
      <c r="A32" s="29" t="s">
        <v>21</v>
      </c>
      <c r="B32" s="44">
        <v>127871940</v>
      </c>
      <c r="C32" s="63">
        <v>28574650</v>
      </c>
      <c r="D32" s="63">
        <v>13096600</v>
      </c>
      <c r="E32" s="64">
        <v>86200690</v>
      </c>
      <c r="F32" s="63">
        <v>40170535.719860896</v>
      </c>
      <c r="G32" s="63">
        <v>16912008.854971744</v>
      </c>
      <c r="H32" s="65">
        <f t="shared" si="0"/>
        <v>4402065.4251673566</v>
      </c>
      <c r="I32" s="65">
        <v>1504814.2817848655</v>
      </c>
      <c r="J32" s="65">
        <v>1496938.6120749046</v>
      </c>
      <c r="K32" s="65">
        <v>3309673.3076145318</v>
      </c>
      <c r="L32" s="65">
        <v>10645383.798525698</v>
      </c>
      <c r="M32" s="63">
        <v>7759270</v>
      </c>
      <c r="N32" s="1"/>
      <c r="O32" s="65">
        <v>4241966.7061204966</v>
      </c>
      <c r="P32" s="65">
        <v>160098.71904685983</v>
      </c>
    </row>
    <row r="33" spans="1:16" ht="16" hidden="1" customHeight="1" outlineLevel="1" x14ac:dyDescent="0.45">
      <c r="A33" s="29" t="s">
        <v>22</v>
      </c>
      <c r="B33" s="44">
        <v>33400000</v>
      </c>
      <c r="C33" s="63">
        <v>7600000</v>
      </c>
      <c r="D33" s="63">
        <v>2800000</v>
      </c>
      <c r="E33" s="64">
        <v>23000000</v>
      </c>
      <c r="F33" s="63">
        <v>9670510.4512981791</v>
      </c>
      <c r="G33" s="63">
        <v>3527892.7717473907</v>
      </c>
      <c r="H33" s="65">
        <f t="shared" si="0"/>
        <v>1101596.7769544306</v>
      </c>
      <c r="I33" s="65">
        <v>542064.98376986629</v>
      </c>
      <c r="J33" s="65">
        <v>532068.3042946856</v>
      </c>
      <c r="K33" s="65">
        <v>1462606.6499785529</v>
      </c>
      <c r="L33" s="65">
        <v>4463260.0619568955</v>
      </c>
      <c r="M33" s="63">
        <v>1700000</v>
      </c>
      <c r="N33" s="1"/>
      <c r="O33" s="65">
        <v>1043149.6794071901</v>
      </c>
      <c r="P33" s="65">
        <v>58447.097547240606</v>
      </c>
    </row>
    <row r="34" spans="1:16" ht="16" hidden="1" customHeight="1" outlineLevel="1" x14ac:dyDescent="0.45">
      <c r="A34" s="29" t="s">
        <v>171</v>
      </c>
      <c r="B34" s="44">
        <v>668660</v>
      </c>
      <c r="C34" s="63">
        <v>0</v>
      </c>
      <c r="D34" s="63">
        <v>0</v>
      </c>
      <c r="E34" s="64">
        <v>668660</v>
      </c>
      <c r="F34" s="63">
        <v>619437.22650248138</v>
      </c>
      <c r="G34" s="63">
        <v>49222.773497518603</v>
      </c>
      <c r="H34" s="65">
        <f t="shared" si="0"/>
        <v>0</v>
      </c>
      <c r="I34" s="65">
        <v>0</v>
      </c>
      <c r="J34" s="65">
        <v>0</v>
      </c>
      <c r="K34" s="65">
        <v>0</v>
      </c>
      <c r="L34" s="65">
        <v>0</v>
      </c>
      <c r="M34" s="63">
        <v>0</v>
      </c>
      <c r="N34" s="1"/>
      <c r="O34" s="65">
        <v>0</v>
      </c>
      <c r="P34" s="65">
        <v>0</v>
      </c>
    </row>
    <row r="35" spans="1:16" ht="16" hidden="1" customHeight="1" outlineLevel="1" x14ac:dyDescent="0.45">
      <c r="A35" s="29" t="s">
        <v>23</v>
      </c>
      <c r="B35" s="44">
        <v>14783180</v>
      </c>
      <c r="C35" s="63">
        <v>1702260</v>
      </c>
      <c r="D35" s="63">
        <v>622710</v>
      </c>
      <c r="E35" s="64">
        <v>12458210</v>
      </c>
      <c r="F35" s="63">
        <v>7126137.1177252345</v>
      </c>
      <c r="G35" s="63">
        <v>4033672.882274766</v>
      </c>
      <c r="H35" s="65">
        <f t="shared" si="0"/>
        <v>151460</v>
      </c>
      <c r="I35" s="65">
        <v>0</v>
      </c>
      <c r="J35" s="65">
        <v>0</v>
      </c>
      <c r="K35" s="65">
        <v>0</v>
      </c>
      <c r="L35" s="65">
        <v>527610</v>
      </c>
      <c r="M35" s="63">
        <v>619330</v>
      </c>
      <c r="N35" s="1"/>
      <c r="O35" s="65">
        <v>146916</v>
      </c>
      <c r="P35" s="65">
        <v>4544</v>
      </c>
    </row>
    <row r="36" spans="1:16" ht="16" hidden="1" customHeight="1" outlineLevel="1" x14ac:dyDescent="0.45">
      <c r="A36" s="29" t="s">
        <v>24</v>
      </c>
      <c r="B36" s="44">
        <v>17842300</v>
      </c>
      <c r="C36" s="63">
        <v>3531859.9999999981</v>
      </c>
      <c r="D36" s="63">
        <v>1691790</v>
      </c>
      <c r="E36" s="64">
        <v>12618650.000000002</v>
      </c>
      <c r="F36" s="63">
        <v>5723646.1637287689</v>
      </c>
      <c r="G36" s="63">
        <v>2216086.9914742149</v>
      </c>
      <c r="H36" s="65">
        <f t="shared" si="0"/>
        <v>554426.84479701647</v>
      </c>
      <c r="I36" s="65">
        <v>242727.54406242803</v>
      </c>
      <c r="J36" s="65">
        <v>230161.36093785899</v>
      </c>
      <c r="K36" s="65">
        <v>1458623.794974826</v>
      </c>
      <c r="L36" s="65">
        <v>598907.30002488696</v>
      </c>
      <c r="M36" s="63">
        <v>1594070</v>
      </c>
      <c r="N36" s="1"/>
      <c r="O36" s="65">
        <v>524187.32825385185</v>
      </c>
      <c r="P36" s="65">
        <v>30239.516543164609</v>
      </c>
    </row>
    <row r="37" spans="1:16" ht="16" hidden="1" customHeight="1" outlineLevel="1" x14ac:dyDescent="0.45">
      <c r="A37" s="29" t="s">
        <v>122</v>
      </c>
      <c r="B37" s="44">
        <v>307886080</v>
      </c>
      <c r="C37" s="63">
        <v>22618260</v>
      </c>
      <c r="D37" s="63">
        <v>0</v>
      </c>
      <c r="E37" s="64">
        <v>285267820</v>
      </c>
      <c r="F37" s="63">
        <v>24987600</v>
      </c>
      <c r="G37" s="63">
        <v>0</v>
      </c>
      <c r="H37" s="65">
        <f t="shared" si="0"/>
        <v>251749010</v>
      </c>
      <c r="I37" s="65">
        <v>0</v>
      </c>
      <c r="J37" s="65">
        <v>0</v>
      </c>
      <c r="K37" s="65">
        <v>8531210</v>
      </c>
      <c r="L37" s="65">
        <v>0</v>
      </c>
      <c r="M37" s="63">
        <v>0</v>
      </c>
      <c r="N37" s="1"/>
      <c r="O37" s="65">
        <v>244196540</v>
      </c>
      <c r="P37" s="65">
        <v>7552470</v>
      </c>
    </row>
    <row r="38" spans="1:16" ht="16" hidden="1" customHeight="1" outlineLevel="1" x14ac:dyDescent="0.45">
      <c r="A38" s="29" t="s">
        <v>123</v>
      </c>
      <c r="B38" s="44">
        <v>51166080</v>
      </c>
      <c r="C38" s="63">
        <v>3607260</v>
      </c>
      <c r="D38" s="63">
        <v>0</v>
      </c>
      <c r="E38" s="64">
        <v>47558820</v>
      </c>
      <c r="F38" s="63">
        <v>4239120</v>
      </c>
      <c r="G38" s="63">
        <v>0</v>
      </c>
      <c r="H38" s="65">
        <f t="shared" si="0"/>
        <v>41874760</v>
      </c>
      <c r="I38" s="65">
        <v>0</v>
      </c>
      <c r="J38" s="65">
        <v>0</v>
      </c>
      <c r="K38" s="65">
        <v>1444940</v>
      </c>
      <c r="L38" s="65">
        <v>0</v>
      </c>
      <c r="M38" s="63">
        <v>0</v>
      </c>
      <c r="N38" s="1"/>
      <c r="O38" s="65">
        <v>40618517</v>
      </c>
      <c r="P38" s="65">
        <v>1256243</v>
      </c>
    </row>
    <row r="39" spans="1:16" ht="16" hidden="1" customHeight="1" outlineLevel="1" x14ac:dyDescent="0.45">
      <c r="A39" s="29" t="s">
        <v>124</v>
      </c>
      <c r="B39" s="44">
        <v>1045170</v>
      </c>
      <c r="C39" s="63">
        <v>0</v>
      </c>
      <c r="D39" s="63">
        <v>0</v>
      </c>
      <c r="E39" s="64">
        <v>1045170</v>
      </c>
      <c r="F39" s="63">
        <v>0</v>
      </c>
      <c r="G39" s="63">
        <v>0</v>
      </c>
      <c r="H39" s="65">
        <f t="shared" si="0"/>
        <v>1045170</v>
      </c>
      <c r="I39" s="65">
        <v>0</v>
      </c>
      <c r="J39" s="65">
        <v>0</v>
      </c>
      <c r="K39" s="65">
        <v>0</v>
      </c>
      <c r="L39" s="65">
        <v>0</v>
      </c>
      <c r="M39" s="63">
        <v>0</v>
      </c>
      <c r="N39" s="1"/>
      <c r="O39" s="65">
        <v>1013815</v>
      </c>
      <c r="P39" s="65">
        <v>31355</v>
      </c>
    </row>
    <row r="40" spans="1:16" ht="16" hidden="1" customHeight="1" outlineLevel="1" x14ac:dyDescent="0.45">
      <c r="A40" s="29" t="s">
        <v>125</v>
      </c>
      <c r="B40" s="44">
        <v>0</v>
      </c>
      <c r="C40" s="63">
        <v>0</v>
      </c>
      <c r="D40" s="63">
        <v>0</v>
      </c>
      <c r="E40" s="64">
        <v>0</v>
      </c>
      <c r="F40" s="63">
        <v>0</v>
      </c>
      <c r="G40" s="63">
        <v>0</v>
      </c>
      <c r="H40" s="65">
        <f t="shared" si="0"/>
        <v>0</v>
      </c>
      <c r="I40" s="65">
        <v>0</v>
      </c>
      <c r="J40" s="65">
        <v>0</v>
      </c>
      <c r="K40" s="65">
        <v>0</v>
      </c>
      <c r="L40" s="65">
        <v>0</v>
      </c>
      <c r="M40" s="63">
        <v>0</v>
      </c>
      <c r="N40" s="1"/>
      <c r="O40" s="65">
        <v>0</v>
      </c>
      <c r="P40" s="65">
        <v>0</v>
      </c>
    </row>
    <row r="41" spans="1:16" ht="16" hidden="1" customHeight="1" outlineLevel="1" x14ac:dyDescent="0.45">
      <c r="A41" s="29" t="s">
        <v>172</v>
      </c>
      <c r="B41" s="44">
        <v>0</v>
      </c>
      <c r="C41" s="63">
        <v>0</v>
      </c>
      <c r="D41" s="63">
        <v>0</v>
      </c>
      <c r="E41" s="64">
        <v>0</v>
      </c>
      <c r="F41" s="63">
        <v>0</v>
      </c>
      <c r="G41" s="63">
        <v>0</v>
      </c>
      <c r="H41" s="65">
        <f t="shared" si="0"/>
        <v>0</v>
      </c>
      <c r="I41" s="65">
        <v>0</v>
      </c>
      <c r="J41" s="65">
        <v>0</v>
      </c>
      <c r="K41" s="65">
        <v>0</v>
      </c>
      <c r="L41" s="65">
        <v>0</v>
      </c>
      <c r="M41" s="63">
        <v>0</v>
      </c>
      <c r="N41" s="1"/>
      <c r="O41" s="65">
        <v>0</v>
      </c>
      <c r="P41" s="65">
        <v>0</v>
      </c>
    </row>
    <row r="42" spans="1:16" ht="16" hidden="1" customHeight="1" outlineLevel="1" x14ac:dyDescent="0.45">
      <c r="A42" s="29" t="s">
        <v>173</v>
      </c>
      <c r="B42" s="44">
        <v>0</v>
      </c>
      <c r="C42" s="63">
        <v>0</v>
      </c>
      <c r="D42" s="63">
        <v>0</v>
      </c>
      <c r="E42" s="64">
        <v>0</v>
      </c>
      <c r="F42" s="63">
        <v>0</v>
      </c>
      <c r="G42" s="63">
        <v>0</v>
      </c>
      <c r="H42" s="65">
        <f t="shared" si="0"/>
        <v>0</v>
      </c>
      <c r="I42" s="65">
        <v>0</v>
      </c>
      <c r="J42" s="65">
        <v>0</v>
      </c>
      <c r="K42" s="65">
        <v>0</v>
      </c>
      <c r="L42" s="65">
        <v>0</v>
      </c>
      <c r="M42" s="63">
        <v>0</v>
      </c>
      <c r="N42" s="1"/>
      <c r="O42" s="65">
        <v>0</v>
      </c>
      <c r="P42" s="65">
        <v>0</v>
      </c>
    </row>
    <row r="43" spans="1:16" ht="16" hidden="1" customHeight="1" outlineLevel="1" x14ac:dyDescent="0.45">
      <c r="A43" s="29" t="s">
        <v>25</v>
      </c>
      <c r="B43" s="44">
        <v>27725000</v>
      </c>
      <c r="C43" s="63">
        <v>6500000.0000000037</v>
      </c>
      <c r="D43" s="63">
        <v>2790000</v>
      </c>
      <c r="E43" s="64">
        <v>18434999.999999996</v>
      </c>
      <c r="F43" s="63">
        <v>8779508.4590424821</v>
      </c>
      <c r="G43" s="63">
        <v>3984243.3263661335</v>
      </c>
      <c r="H43" s="65">
        <f t="shared" si="0"/>
        <v>1096248.2145913835</v>
      </c>
      <c r="I43" s="65">
        <v>253764.33748880663</v>
      </c>
      <c r="J43" s="65">
        <v>252657.56226119734</v>
      </c>
      <c r="K43" s="65">
        <v>549431.45053333975</v>
      </c>
      <c r="L43" s="65">
        <v>1969146.6497166562</v>
      </c>
      <c r="M43" s="63">
        <v>1550000</v>
      </c>
      <c r="N43" s="1"/>
      <c r="O43" s="65">
        <v>1060548.7145057961</v>
      </c>
      <c r="P43" s="65">
        <v>35699.500085587351</v>
      </c>
    </row>
    <row r="44" spans="1:16" ht="16" hidden="1" customHeight="1" outlineLevel="1" x14ac:dyDescent="0.45">
      <c r="A44" s="29" t="s">
        <v>174</v>
      </c>
      <c r="B44" s="44">
        <v>0</v>
      </c>
      <c r="C44" s="63">
        <v>0</v>
      </c>
      <c r="D44" s="63">
        <v>0</v>
      </c>
      <c r="E44" s="64">
        <v>0</v>
      </c>
      <c r="F44" s="63">
        <v>0</v>
      </c>
      <c r="G44" s="63">
        <v>0</v>
      </c>
      <c r="H44" s="65">
        <f t="shared" si="0"/>
        <v>0</v>
      </c>
      <c r="I44" s="65">
        <v>0</v>
      </c>
      <c r="J44" s="65">
        <v>0</v>
      </c>
      <c r="K44" s="65">
        <v>0</v>
      </c>
      <c r="L44" s="65">
        <v>0</v>
      </c>
      <c r="M44" s="63">
        <v>0</v>
      </c>
      <c r="N44" s="1"/>
      <c r="O44" s="65">
        <v>0</v>
      </c>
      <c r="P44" s="65">
        <v>0</v>
      </c>
    </row>
    <row r="45" spans="1:16" ht="16" hidden="1" customHeight="1" outlineLevel="1" x14ac:dyDescent="0.45">
      <c r="A45" s="29" t="s">
        <v>126</v>
      </c>
      <c r="B45" s="44">
        <v>22560000</v>
      </c>
      <c r="C45" s="63">
        <v>1720000</v>
      </c>
      <c r="D45" s="63">
        <v>0</v>
      </c>
      <c r="E45" s="64">
        <v>20840000</v>
      </c>
      <c r="F45" s="63">
        <v>1860000</v>
      </c>
      <c r="G45" s="63">
        <v>0</v>
      </c>
      <c r="H45" s="65">
        <f t="shared" si="0"/>
        <v>18360000</v>
      </c>
      <c r="I45" s="65">
        <v>0</v>
      </c>
      <c r="J45" s="65">
        <v>0</v>
      </c>
      <c r="K45" s="65">
        <v>620000</v>
      </c>
      <c r="L45" s="65">
        <v>0</v>
      </c>
      <c r="M45" s="63">
        <v>0</v>
      </c>
      <c r="N45" s="1"/>
      <c r="O45" s="65">
        <v>17809200</v>
      </c>
      <c r="P45" s="65">
        <v>550800</v>
      </c>
    </row>
    <row r="46" spans="1:16" ht="16" hidden="1" customHeight="1" outlineLevel="1" x14ac:dyDescent="0.45">
      <c r="A46" s="29" t="s">
        <v>175</v>
      </c>
      <c r="B46" s="44">
        <v>0</v>
      </c>
      <c r="C46" s="63">
        <v>0</v>
      </c>
      <c r="D46" s="63">
        <v>0</v>
      </c>
      <c r="E46" s="64">
        <v>0</v>
      </c>
      <c r="F46" s="63">
        <v>0</v>
      </c>
      <c r="G46" s="63">
        <v>0</v>
      </c>
      <c r="H46" s="65">
        <f t="shared" si="0"/>
        <v>0</v>
      </c>
      <c r="I46" s="65">
        <v>0</v>
      </c>
      <c r="J46" s="65">
        <v>0</v>
      </c>
      <c r="K46" s="65">
        <v>0</v>
      </c>
      <c r="L46" s="65">
        <v>0</v>
      </c>
      <c r="M46" s="63">
        <v>0</v>
      </c>
      <c r="N46" s="1"/>
      <c r="O46" s="65">
        <v>0</v>
      </c>
      <c r="P46" s="65">
        <v>0</v>
      </c>
    </row>
    <row r="47" spans="1:16" ht="16" hidden="1" customHeight="1" outlineLevel="1" x14ac:dyDescent="0.45">
      <c r="A47" s="29" t="s">
        <v>176</v>
      </c>
      <c r="B47" s="44">
        <v>0</v>
      </c>
      <c r="C47" s="63">
        <v>0</v>
      </c>
      <c r="D47" s="63">
        <v>0</v>
      </c>
      <c r="E47" s="64">
        <v>0</v>
      </c>
      <c r="F47" s="63">
        <v>0</v>
      </c>
      <c r="G47" s="63">
        <v>0</v>
      </c>
      <c r="H47" s="65">
        <f t="shared" si="0"/>
        <v>0</v>
      </c>
      <c r="I47" s="65">
        <v>0</v>
      </c>
      <c r="J47" s="65">
        <v>0</v>
      </c>
      <c r="K47" s="65">
        <v>0</v>
      </c>
      <c r="L47" s="65">
        <v>0</v>
      </c>
      <c r="M47" s="63">
        <v>0</v>
      </c>
      <c r="N47" s="1"/>
      <c r="O47" s="65">
        <v>0</v>
      </c>
      <c r="P47" s="65">
        <v>0</v>
      </c>
    </row>
    <row r="48" spans="1:16" ht="16" hidden="1" customHeight="1" outlineLevel="1" x14ac:dyDescent="0.45">
      <c r="A48" s="29" t="s">
        <v>26</v>
      </c>
      <c r="B48" s="44">
        <v>4004873580</v>
      </c>
      <c r="C48" s="63">
        <v>76907770</v>
      </c>
      <c r="D48" s="63">
        <v>67087630</v>
      </c>
      <c r="E48" s="64">
        <v>3860878180</v>
      </c>
      <c r="F48" s="63">
        <v>2521511010.8062224</v>
      </c>
      <c r="G48" s="63">
        <v>855202719.19377744</v>
      </c>
      <c r="H48" s="65">
        <f t="shared" si="0"/>
        <v>22970400</v>
      </c>
      <c r="I48" s="65">
        <v>24923285</v>
      </c>
      <c r="J48" s="65">
        <v>23260495</v>
      </c>
      <c r="K48" s="65">
        <v>103765730</v>
      </c>
      <c r="L48" s="65">
        <v>289959530</v>
      </c>
      <c r="M48" s="63">
        <v>19285010</v>
      </c>
      <c r="N48" s="1"/>
      <c r="O48" s="65">
        <v>22281288</v>
      </c>
      <c r="P48" s="65">
        <v>689112</v>
      </c>
    </row>
    <row r="49" spans="1:16" ht="16" hidden="1" customHeight="1" outlineLevel="1" x14ac:dyDescent="0.45">
      <c r="A49" s="29" t="s">
        <v>27</v>
      </c>
      <c r="B49" s="44">
        <v>676505870</v>
      </c>
      <c r="C49" s="63">
        <v>12312040</v>
      </c>
      <c r="D49" s="63">
        <v>11285940</v>
      </c>
      <c r="E49" s="64">
        <v>652907890</v>
      </c>
      <c r="F49" s="63">
        <v>429009234.7652474</v>
      </c>
      <c r="G49" s="63">
        <v>141801075.2347526</v>
      </c>
      <c r="H49" s="65">
        <f t="shared" si="0"/>
        <v>4061170</v>
      </c>
      <c r="I49" s="65">
        <v>3978890</v>
      </c>
      <c r="J49" s="65">
        <v>3691860</v>
      </c>
      <c r="K49" s="65">
        <v>17636580</v>
      </c>
      <c r="L49" s="65">
        <v>49470100</v>
      </c>
      <c r="M49" s="63">
        <v>3258980</v>
      </c>
      <c r="N49" s="1"/>
      <c r="O49" s="65">
        <v>3939335</v>
      </c>
      <c r="P49" s="65">
        <v>121835</v>
      </c>
    </row>
    <row r="50" spans="1:16" ht="16" hidden="1" customHeight="1" outlineLevel="1" x14ac:dyDescent="0.45">
      <c r="A50" s="29" t="s">
        <v>28</v>
      </c>
      <c r="B50" s="44">
        <v>129529110</v>
      </c>
      <c r="C50" s="63">
        <v>5541940</v>
      </c>
      <c r="D50" s="63">
        <v>600000</v>
      </c>
      <c r="E50" s="64">
        <v>123387170</v>
      </c>
      <c r="F50" s="63">
        <v>89687150</v>
      </c>
      <c r="G50" s="63">
        <v>24809690</v>
      </c>
      <c r="H50" s="65">
        <f t="shared" si="0"/>
        <v>1200000</v>
      </c>
      <c r="I50" s="65">
        <v>445165</v>
      </c>
      <c r="J50" s="65">
        <v>445165</v>
      </c>
      <c r="K50" s="65">
        <v>2400000</v>
      </c>
      <c r="L50" s="65">
        <v>4400000</v>
      </c>
      <c r="M50" s="63">
        <v>0</v>
      </c>
      <c r="N50" s="1"/>
      <c r="O50" s="65">
        <v>1164000</v>
      </c>
      <c r="P50" s="65">
        <v>36000</v>
      </c>
    </row>
    <row r="51" spans="1:16" ht="16" hidden="1" customHeight="1" outlineLevel="1" x14ac:dyDescent="0.45">
      <c r="A51" s="29" t="s">
        <v>29</v>
      </c>
      <c r="B51" s="44">
        <v>281490000</v>
      </c>
      <c r="C51" s="63">
        <v>4975000</v>
      </c>
      <c r="D51" s="63">
        <v>4520000</v>
      </c>
      <c r="E51" s="64">
        <v>271995000</v>
      </c>
      <c r="F51" s="63">
        <v>179076688.21801475</v>
      </c>
      <c r="G51" s="63">
        <v>59648311.781985253</v>
      </c>
      <c r="H51" s="65">
        <f t="shared" si="0"/>
        <v>1550000</v>
      </c>
      <c r="I51" s="65">
        <v>1780000</v>
      </c>
      <c r="J51" s="65">
        <v>1625000</v>
      </c>
      <c r="K51" s="65">
        <v>7035000</v>
      </c>
      <c r="L51" s="65">
        <v>19925000</v>
      </c>
      <c r="M51" s="63">
        <v>1355000</v>
      </c>
      <c r="N51" s="1"/>
      <c r="O51" s="65">
        <v>1503500</v>
      </c>
      <c r="P51" s="65">
        <v>46500</v>
      </c>
    </row>
    <row r="52" spans="1:16" ht="16" hidden="1" customHeight="1" outlineLevel="1" x14ac:dyDescent="0.45">
      <c r="A52" s="29" t="s">
        <v>127</v>
      </c>
      <c r="B52" s="44">
        <v>200000</v>
      </c>
      <c r="C52" s="63">
        <v>60000</v>
      </c>
      <c r="D52" s="63">
        <v>80000</v>
      </c>
      <c r="E52" s="64">
        <v>60000</v>
      </c>
      <c r="F52" s="63">
        <v>60000</v>
      </c>
      <c r="G52" s="63">
        <v>0</v>
      </c>
      <c r="H52" s="65">
        <f t="shared" si="0"/>
        <v>0</v>
      </c>
      <c r="I52" s="65">
        <v>0</v>
      </c>
      <c r="J52" s="65">
        <v>0</v>
      </c>
      <c r="K52" s="65">
        <v>0</v>
      </c>
      <c r="L52" s="65">
        <v>0</v>
      </c>
      <c r="M52" s="63">
        <v>0</v>
      </c>
      <c r="N52" s="1"/>
      <c r="O52" s="65">
        <v>0</v>
      </c>
      <c r="P52" s="65">
        <v>0</v>
      </c>
    </row>
    <row r="53" spans="1:16" ht="16" hidden="1" customHeight="1" outlineLevel="1" x14ac:dyDescent="0.45">
      <c r="A53" s="29" t="s">
        <v>177</v>
      </c>
      <c r="B53" s="44">
        <v>0</v>
      </c>
      <c r="C53" s="63">
        <v>0</v>
      </c>
      <c r="D53" s="63">
        <v>0</v>
      </c>
      <c r="E53" s="64">
        <v>0</v>
      </c>
      <c r="F53" s="63">
        <v>0</v>
      </c>
      <c r="G53" s="63">
        <v>0</v>
      </c>
      <c r="H53" s="65">
        <f t="shared" si="0"/>
        <v>0</v>
      </c>
      <c r="I53" s="65">
        <v>0</v>
      </c>
      <c r="J53" s="65">
        <v>0</v>
      </c>
      <c r="K53" s="65">
        <v>0</v>
      </c>
      <c r="L53" s="65">
        <v>0</v>
      </c>
      <c r="M53" s="63">
        <v>0</v>
      </c>
      <c r="N53" s="1"/>
      <c r="O53" s="65">
        <v>0</v>
      </c>
      <c r="P53" s="65">
        <v>0</v>
      </c>
    </row>
    <row r="54" spans="1:16" ht="16" hidden="1" customHeight="1" outlineLevel="1" x14ac:dyDescent="0.45">
      <c r="A54" s="29" t="s">
        <v>30</v>
      </c>
      <c r="B54" s="44">
        <v>18643080</v>
      </c>
      <c r="C54" s="63">
        <v>6577040</v>
      </c>
      <c r="D54" s="63">
        <v>0</v>
      </c>
      <c r="E54" s="64">
        <v>12066040</v>
      </c>
      <c r="F54" s="63">
        <v>9080470</v>
      </c>
      <c r="G54" s="63">
        <v>1769970</v>
      </c>
      <c r="H54" s="65">
        <f t="shared" si="0"/>
        <v>0</v>
      </c>
      <c r="I54" s="65">
        <v>0</v>
      </c>
      <c r="J54" s="65">
        <v>0</v>
      </c>
      <c r="K54" s="65">
        <v>0</v>
      </c>
      <c r="L54" s="65">
        <v>1215600</v>
      </c>
      <c r="M54" s="63">
        <v>0</v>
      </c>
      <c r="N54" s="1"/>
      <c r="O54" s="65">
        <v>0</v>
      </c>
      <c r="P54" s="65">
        <v>0</v>
      </c>
    </row>
    <row r="55" spans="1:16" ht="16" hidden="1" customHeight="1" outlineLevel="1" x14ac:dyDescent="0.45">
      <c r="A55" s="29" t="s">
        <v>128</v>
      </c>
      <c r="B55" s="44">
        <v>59582880</v>
      </c>
      <c r="C55" s="63">
        <v>0</v>
      </c>
      <c r="D55" s="63">
        <v>0</v>
      </c>
      <c r="E55" s="64">
        <v>59582880</v>
      </c>
      <c r="F55" s="63">
        <v>0</v>
      </c>
      <c r="G55" s="63">
        <v>0</v>
      </c>
      <c r="H55" s="65">
        <f t="shared" si="0"/>
        <v>0</v>
      </c>
      <c r="I55" s="65">
        <v>0</v>
      </c>
      <c r="J55" s="65">
        <v>0</v>
      </c>
      <c r="K55" s="65">
        <v>0</v>
      </c>
      <c r="L55" s="65">
        <v>59582880</v>
      </c>
      <c r="M55" s="63">
        <v>0</v>
      </c>
      <c r="N55" s="1"/>
      <c r="O55" s="65">
        <v>0</v>
      </c>
      <c r="P55" s="65">
        <v>0</v>
      </c>
    </row>
    <row r="56" spans="1:16" ht="16" hidden="1" customHeight="1" outlineLevel="1" x14ac:dyDescent="0.45">
      <c r="A56" s="29" t="s">
        <v>129</v>
      </c>
      <c r="B56" s="44">
        <v>0</v>
      </c>
      <c r="C56" s="63">
        <v>0</v>
      </c>
      <c r="D56" s="63">
        <v>0</v>
      </c>
      <c r="E56" s="64">
        <v>0</v>
      </c>
      <c r="F56" s="63">
        <v>0</v>
      </c>
      <c r="G56" s="63">
        <v>0</v>
      </c>
      <c r="H56" s="65">
        <f t="shared" si="0"/>
        <v>0</v>
      </c>
      <c r="I56" s="65">
        <v>0</v>
      </c>
      <c r="J56" s="65">
        <v>0</v>
      </c>
      <c r="K56" s="65">
        <v>0</v>
      </c>
      <c r="L56" s="65">
        <v>0</v>
      </c>
      <c r="M56" s="63">
        <v>0</v>
      </c>
      <c r="N56" s="1"/>
      <c r="O56" s="65">
        <v>0</v>
      </c>
      <c r="P56" s="65">
        <v>0</v>
      </c>
    </row>
    <row r="57" spans="1:16" ht="16" hidden="1" customHeight="1" outlineLevel="1" x14ac:dyDescent="0.45">
      <c r="A57" s="29" t="s">
        <v>178</v>
      </c>
      <c r="B57" s="44">
        <v>0</v>
      </c>
      <c r="C57" s="63">
        <v>0</v>
      </c>
      <c r="D57" s="63">
        <v>0</v>
      </c>
      <c r="E57" s="64">
        <v>0</v>
      </c>
      <c r="F57" s="63">
        <v>0</v>
      </c>
      <c r="G57" s="63">
        <v>0</v>
      </c>
      <c r="H57" s="65">
        <f t="shared" si="0"/>
        <v>0</v>
      </c>
      <c r="I57" s="65">
        <v>0</v>
      </c>
      <c r="J57" s="65">
        <v>0</v>
      </c>
      <c r="K57" s="65">
        <v>0</v>
      </c>
      <c r="L57" s="65">
        <v>0</v>
      </c>
      <c r="M57" s="63">
        <v>0</v>
      </c>
      <c r="N57" s="1"/>
      <c r="O57" s="65">
        <v>0</v>
      </c>
      <c r="P57" s="65">
        <v>0</v>
      </c>
    </row>
    <row r="58" spans="1:16" ht="16" hidden="1" customHeight="1" outlineLevel="1" x14ac:dyDescent="0.45">
      <c r="A58" s="29" t="s">
        <v>31</v>
      </c>
      <c r="B58" s="44">
        <v>16117370</v>
      </c>
      <c r="C58" s="63">
        <v>2246060</v>
      </c>
      <c r="D58" s="63">
        <v>379820</v>
      </c>
      <c r="E58" s="64">
        <v>13491490</v>
      </c>
      <c r="F58" s="63">
        <v>9002275.3758100346</v>
      </c>
      <c r="G58" s="63">
        <v>4222734.6241899654</v>
      </c>
      <c r="H58" s="65">
        <f t="shared" si="0"/>
        <v>129090</v>
      </c>
      <c r="I58" s="65">
        <v>0</v>
      </c>
      <c r="J58" s="65">
        <v>0</v>
      </c>
      <c r="K58" s="65">
        <v>0</v>
      </c>
      <c r="L58" s="65">
        <v>66420</v>
      </c>
      <c r="M58" s="63">
        <v>70970</v>
      </c>
      <c r="N58" s="1"/>
      <c r="O58" s="65">
        <v>125218</v>
      </c>
      <c r="P58" s="65">
        <v>3872</v>
      </c>
    </row>
    <row r="59" spans="1:16" ht="16" hidden="1" customHeight="1" outlineLevel="1" x14ac:dyDescent="0.45">
      <c r="A59" s="29" t="s">
        <v>113</v>
      </c>
      <c r="B59" s="44">
        <v>0</v>
      </c>
      <c r="C59" s="63">
        <v>0</v>
      </c>
      <c r="D59" s="63">
        <v>0</v>
      </c>
      <c r="E59" s="64">
        <v>0</v>
      </c>
      <c r="F59" s="63">
        <v>0</v>
      </c>
      <c r="G59" s="63">
        <v>0</v>
      </c>
      <c r="H59" s="65">
        <f t="shared" si="0"/>
        <v>0</v>
      </c>
      <c r="I59" s="65">
        <v>0</v>
      </c>
      <c r="J59" s="65">
        <v>0</v>
      </c>
      <c r="K59" s="65">
        <v>0</v>
      </c>
      <c r="L59" s="65">
        <v>0</v>
      </c>
      <c r="M59" s="63">
        <v>0</v>
      </c>
      <c r="N59" s="1"/>
      <c r="O59" s="65">
        <v>0</v>
      </c>
      <c r="P59" s="65">
        <v>0</v>
      </c>
    </row>
    <row r="60" spans="1:16" ht="16" hidden="1" customHeight="1" outlineLevel="1" x14ac:dyDescent="0.45">
      <c r="A60" s="29" t="s">
        <v>32</v>
      </c>
      <c r="B60" s="44">
        <v>10124740</v>
      </c>
      <c r="C60" s="63">
        <v>1600000</v>
      </c>
      <c r="D60" s="63">
        <v>500000</v>
      </c>
      <c r="E60" s="64">
        <v>8024740</v>
      </c>
      <c r="F60" s="63">
        <v>2970000</v>
      </c>
      <c r="G60" s="63">
        <v>3466350</v>
      </c>
      <c r="H60" s="65">
        <f t="shared" si="0"/>
        <v>0</v>
      </c>
      <c r="I60" s="65">
        <v>0</v>
      </c>
      <c r="J60" s="65">
        <v>0</v>
      </c>
      <c r="K60" s="65">
        <v>0</v>
      </c>
      <c r="L60" s="65">
        <v>588390</v>
      </c>
      <c r="M60" s="63">
        <v>1000000</v>
      </c>
      <c r="N60" s="1"/>
      <c r="O60" s="65">
        <v>0</v>
      </c>
      <c r="P60" s="65">
        <v>0</v>
      </c>
    </row>
    <row r="61" spans="1:16" ht="16" hidden="1" customHeight="1" outlineLevel="1" x14ac:dyDescent="0.45">
      <c r="A61" s="24" t="s">
        <v>130</v>
      </c>
      <c r="B61" s="44">
        <v>0</v>
      </c>
      <c r="C61" s="63">
        <v>0</v>
      </c>
      <c r="D61" s="63">
        <v>0</v>
      </c>
      <c r="E61" s="64">
        <v>0</v>
      </c>
      <c r="F61" s="63">
        <v>0</v>
      </c>
      <c r="G61" s="63">
        <v>0</v>
      </c>
      <c r="H61" s="65">
        <f t="shared" si="0"/>
        <v>0</v>
      </c>
      <c r="I61" s="65">
        <v>0</v>
      </c>
      <c r="J61" s="65">
        <v>0</v>
      </c>
      <c r="K61" s="65">
        <v>0</v>
      </c>
      <c r="L61" s="65">
        <v>0</v>
      </c>
      <c r="M61" s="63">
        <v>0</v>
      </c>
      <c r="N61" s="1"/>
      <c r="O61" s="65">
        <v>0</v>
      </c>
      <c r="P61" s="65">
        <v>0</v>
      </c>
    </row>
    <row r="62" spans="1:16" ht="16" hidden="1" customHeight="1" outlineLevel="1" x14ac:dyDescent="0.45">
      <c r="A62" s="29" t="s">
        <v>267</v>
      </c>
      <c r="B62" s="44">
        <v>0</v>
      </c>
      <c r="C62" s="63">
        <v>0</v>
      </c>
      <c r="D62" s="63">
        <v>0</v>
      </c>
      <c r="E62" s="64">
        <v>0</v>
      </c>
      <c r="F62" s="63">
        <v>0</v>
      </c>
      <c r="G62" s="63">
        <v>0</v>
      </c>
      <c r="H62" s="65">
        <f t="shared" si="0"/>
        <v>0</v>
      </c>
      <c r="I62" s="65">
        <v>0</v>
      </c>
      <c r="J62" s="65">
        <v>0</v>
      </c>
      <c r="K62" s="65">
        <v>0</v>
      </c>
      <c r="L62" s="65">
        <v>0</v>
      </c>
      <c r="M62" s="63">
        <v>0</v>
      </c>
      <c r="N62" s="1"/>
      <c r="O62" s="65">
        <v>0</v>
      </c>
      <c r="P62" s="65">
        <v>0</v>
      </c>
    </row>
    <row r="63" spans="1:16" ht="16" customHeight="1" collapsed="1" x14ac:dyDescent="0.45">
      <c r="A63" s="28" t="s">
        <v>33</v>
      </c>
      <c r="B63" s="43">
        <v>1026609404</v>
      </c>
      <c r="C63" s="60">
        <v>-755608766</v>
      </c>
      <c r="D63" s="60">
        <v>24199450</v>
      </c>
      <c r="E63" s="61">
        <v>1758018720</v>
      </c>
      <c r="F63" s="60">
        <v>1188226864.2429912</v>
      </c>
      <c r="G63" s="60">
        <v>350908209.69016975</v>
      </c>
      <c r="H63" s="62">
        <f t="shared" si="0"/>
        <v>32393246.066839069</v>
      </c>
      <c r="I63" s="62">
        <v>11621945</v>
      </c>
      <c r="J63" s="62">
        <v>9996945</v>
      </c>
      <c r="K63" s="62">
        <v>52537790</v>
      </c>
      <c r="L63" s="62">
        <v>106625930</v>
      </c>
      <c r="M63" s="60">
        <v>5707790</v>
      </c>
      <c r="N63" s="1"/>
      <c r="O63" s="62">
        <v>31349204.76812413</v>
      </c>
      <c r="P63" s="62">
        <v>1044041.29871494</v>
      </c>
    </row>
    <row r="64" spans="1:16" s="1" customFormat="1" ht="16" hidden="1" customHeight="1" outlineLevel="1" collapsed="1" x14ac:dyDescent="0.45">
      <c r="A64" s="29" t="s">
        <v>34</v>
      </c>
      <c r="B64" s="44">
        <v>119733880</v>
      </c>
      <c r="C64" s="63">
        <v>115751800</v>
      </c>
      <c r="D64" s="63">
        <v>0</v>
      </c>
      <c r="E64" s="64">
        <v>3982079.9999999995</v>
      </c>
      <c r="F64" s="63">
        <v>2752597.6209994471</v>
      </c>
      <c r="G64" s="63">
        <v>940506.31216148159</v>
      </c>
      <c r="H64" s="65">
        <f t="shared" si="0"/>
        <v>288976.06683907111</v>
      </c>
      <c r="I64" s="65">
        <v>0</v>
      </c>
      <c r="J64" s="65">
        <v>0</v>
      </c>
      <c r="K64" s="65">
        <v>0</v>
      </c>
      <c r="L64" s="65">
        <v>0</v>
      </c>
      <c r="M64" s="63">
        <v>0</v>
      </c>
      <c r="O64" s="65">
        <v>208062.76812413119</v>
      </c>
      <c r="P64" s="65">
        <v>80913.298714939912</v>
      </c>
    </row>
    <row r="65" spans="1:16" ht="16" hidden="1" customHeight="1" outlineLevel="1" x14ac:dyDescent="0.45">
      <c r="A65" s="29" t="s">
        <v>179</v>
      </c>
      <c r="B65" s="44">
        <v>184797144</v>
      </c>
      <c r="C65" s="63">
        <v>184797144</v>
      </c>
      <c r="D65" s="63">
        <v>0</v>
      </c>
      <c r="E65" s="64">
        <v>0</v>
      </c>
      <c r="F65" s="63">
        <v>0</v>
      </c>
      <c r="G65" s="63">
        <v>0</v>
      </c>
      <c r="H65" s="65">
        <f t="shared" si="0"/>
        <v>0</v>
      </c>
      <c r="I65" s="65">
        <v>0</v>
      </c>
      <c r="J65" s="65">
        <v>0</v>
      </c>
      <c r="K65" s="65">
        <v>0</v>
      </c>
      <c r="L65" s="65">
        <v>0</v>
      </c>
      <c r="M65" s="63">
        <v>0</v>
      </c>
      <c r="N65" s="1"/>
      <c r="O65" s="65">
        <v>0</v>
      </c>
      <c r="P65" s="65">
        <v>0</v>
      </c>
    </row>
    <row r="66" spans="1:16" ht="16" hidden="1" customHeight="1" outlineLevel="1" x14ac:dyDescent="0.45">
      <c r="A66" s="29" t="s">
        <v>180</v>
      </c>
      <c r="B66" s="44">
        <v>0</v>
      </c>
      <c r="C66" s="63">
        <v>0</v>
      </c>
      <c r="D66" s="63">
        <v>0</v>
      </c>
      <c r="E66" s="64">
        <v>0</v>
      </c>
      <c r="F66" s="63">
        <v>0</v>
      </c>
      <c r="G66" s="63">
        <v>0</v>
      </c>
      <c r="H66" s="65">
        <f t="shared" si="0"/>
        <v>0</v>
      </c>
      <c r="I66" s="65">
        <v>0</v>
      </c>
      <c r="J66" s="65">
        <v>0</v>
      </c>
      <c r="K66" s="65">
        <v>0</v>
      </c>
      <c r="L66" s="65">
        <v>0</v>
      </c>
      <c r="M66" s="63">
        <v>0</v>
      </c>
      <c r="N66" s="1"/>
      <c r="O66" s="65">
        <v>0</v>
      </c>
      <c r="P66" s="65">
        <v>0</v>
      </c>
    </row>
    <row r="67" spans="1:16" ht="16" hidden="1" customHeight="1" outlineLevel="1" x14ac:dyDescent="0.45">
      <c r="A67" s="29" t="s">
        <v>131</v>
      </c>
      <c r="B67" s="44">
        <v>29437840</v>
      </c>
      <c r="C67" s="63">
        <v>2042600</v>
      </c>
      <c r="D67" s="63">
        <v>0</v>
      </c>
      <c r="E67" s="64">
        <v>27395240</v>
      </c>
      <c r="F67" s="63">
        <v>1320970</v>
      </c>
      <c r="G67" s="63">
        <v>0</v>
      </c>
      <c r="H67" s="65">
        <f t="shared" si="0"/>
        <v>25204270</v>
      </c>
      <c r="I67" s="65">
        <v>0</v>
      </c>
      <c r="J67" s="65">
        <v>0</v>
      </c>
      <c r="K67" s="65">
        <v>870000</v>
      </c>
      <c r="L67" s="65">
        <v>0</v>
      </c>
      <c r="M67" s="63">
        <v>0</v>
      </c>
      <c r="N67" s="1"/>
      <c r="O67" s="65">
        <v>24448142</v>
      </c>
      <c r="P67" s="65">
        <v>756128</v>
      </c>
    </row>
    <row r="68" spans="1:16" ht="16" hidden="1" customHeight="1" outlineLevel="1" x14ac:dyDescent="0.45">
      <c r="A68" s="29" t="s">
        <v>35</v>
      </c>
      <c r="B68" s="44">
        <v>687640540</v>
      </c>
      <c r="C68" s="63">
        <v>-1058200310</v>
      </c>
      <c r="D68" s="63">
        <v>24199450</v>
      </c>
      <c r="E68" s="64">
        <v>1721641400</v>
      </c>
      <c r="F68" s="63">
        <v>1184153296.6219916</v>
      </c>
      <c r="G68" s="63">
        <v>349967703.37800825</v>
      </c>
      <c r="H68" s="65">
        <f t="shared" ref="H68:H131" si="1">O68+P68</f>
        <v>6900000</v>
      </c>
      <c r="I68" s="65">
        <v>11621945</v>
      </c>
      <c r="J68" s="65">
        <v>9996945</v>
      </c>
      <c r="K68" s="65">
        <v>51667790</v>
      </c>
      <c r="L68" s="65">
        <v>101625930</v>
      </c>
      <c r="M68" s="63">
        <v>5707790</v>
      </c>
      <c r="N68" s="1"/>
      <c r="O68" s="65">
        <v>6693000</v>
      </c>
      <c r="P68" s="65">
        <v>207000</v>
      </c>
    </row>
    <row r="69" spans="1:16" ht="16" hidden="1" customHeight="1" outlineLevel="1" x14ac:dyDescent="0.45">
      <c r="A69" s="29" t="s">
        <v>132</v>
      </c>
      <c r="B69" s="44">
        <v>5000000</v>
      </c>
      <c r="C69" s="63">
        <v>0</v>
      </c>
      <c r="D69" s="63">
        <v>0</v>
      </c>
      <c r="E69" s="64">
        <v>5000000</v>
      </c>
      <c r="F69" s="63">
        <v>0</v>
      </c>
      <c r="G69" s="63">
        <v>0</v>
      </c>
      <c r="H69" s="65">
        <f t="shared" si="1"/>
        <v>0</v>
      </c>
      <c r="I69" s="65">
        <v>0</v>
      </c>
      <c r="J69" s="65">
        <v>0</v>
      </c>
      <c r="K69" s="65">
        <v>0</v>
      </c>
      <c r="L69" s="65">
        <v>5000000</v>
      </c>
      <c r="M69" s="63">
        <v>0</v>
      </c>
      <c r="N69" s="1"/>
      <c r="O69" s="65">
        <v>0</v>
      </c>
      <c r="P69" s="65">
        <v>0</v>
      </c>
    </row>
    <row r="70" spans="1:16" ht="16" customHeight="1" collapsed="1" x14ac:dyDescent="0.45">
      <c r="A70" s="28" t="s">
        <v>133</v>
      </c>
      <c r="B70" s="43">
        <v>85240</v>
      </c>
      <c r="C70" s="60">
        <v>0</v>
      </c>
      <c r="D70" s="60">
        <v>0</v>
      </c>
      <c r="E70" s="61">
        <v>85240</v>
      </c>
      <c r="F70" s="60">
        <v>0</v>
      </c>
      <c r="G70" s="60">
        <v>0</v>
      </c>
      <c r="H70" s="62">
        <f t="shared" si="1"/>
        <v>0</v>
      </c>
      <c r="I70" s="62">
        <v>0</v>
      </c>
      <c r="J70" s="62">
        <v>0</v>
      </c>
      <c r="K70" s="62">
        <v>85240</v>
      </c>
      <c r="L70" s="62">
        <v>0</v>
      </c>
      <c r="M70" s="60">
        <v>0</v>
      </c>
      <c r="N70" s="1"/>
      <c r="O70" s="62">
        <v>0</v>
      </c>
      <c r="P70" s="62">
        <v>0</v>
      </c>
    </row>
    <row r="71" spans="1:16" s="1" customFormat="1" collapsed="1" x14ac:dyDescent="0.45">
      <c r="A71" s="28" t="s">
        <v>36</v>
      </c>
      <c r="B71" s="43">
        <v>743627707</v>
      </c>
      <c r="C71" s="60">
        <v>26919788.999999881</v>
      </c>
      <c r="D71" s="60">
        <v>22951277</v>
      </c>
      <c r="E71" s="61">
        <v>693756641.00000012</v>
      </c>
      <c r="F71" s="60">
        <v>405457852.77335215</v>
      </c>
      <c r="G71" s="60">
        <v>156224534.36598939</v>
      </c>
      <c r="H71" s="62">
        <f t="shared" si="1"/>
        <v>41735017.860658422</v>
      </c>
      <c r="I71" s="62">
        <v>4806501.2978223087</v>
      </c>
      <c r="J71" s="62">
        <v>4709731.6181108775</v>
      </c>
      <c r="K71" s="62">
        <v>17939239.418749392</v>
      </c>
      <c r="L71" s="62">
        <v>52642580.665317424</v>
      </c>
      <c r="M71" s="60">
        <v>10241183</v>
      </c>
      <c r="O71" s="62">
        <v>40460164.259674065</v>
      </c>
      <c r="P71" s="62">
        <v>1274853.6009843587</v>
      </c>
    </row>
    <row r="72" spans="1:16" s="1" customFormat="1" ht="16" hidden="1" customHeight="1" outlineLevel="1" x14ac:dyDescent="0.45">
      <c r="A72" s="29" t="s">
        <v>37</v>
      </c>
      <c r="B72" s="44">
        <v>743627707</v>
      </c>
      <c r="C72" s="63">
        <v>26919788.999999881</v>
      </c>
      <c r="D72" s="63">
        <v>22951277</v>
      </c>
      <c r="E72" s="64">
        <v>693756641.00000012</v>
      </c>
      <c r="F72" s="63">
        <v>405457852.77335215</v>
      </c>
      <c r="G72" s="63">
        <v>156224534.36598939</v>
      </c>
      <c r="H72" s="65">
        <f t="shared" si="1"/>
        <v>41735017.860658422</v>
      </c>
      <c r="I72" s="65">
        <v>4806501.2978223087</v>
      </c>
      <c r="J72" s="65">
        <v>4709731.6181108775</v>
      </c>
      <c r="K72" s="65">
        <v>17939239.418749392</v>
      </c>
      <c r="L72" s="65">
        <v>52642580.665317424</v>
      </c>
      <c r="M72" s="63">
        <v>10241183</v>
      </c>
      <c r="O72" s="65">
        <v>40460164.259674065</v>
      </c>
      <c r="P72" s="65">
        <v>1274853.6009843587</v>
      </c>
    </row>
    <row r="73" spans="1:16" ht="16" customHeight="1" collapsed="1" x14ac:dyDescent="0.45">
      <c r="A73" s="28" t="s">
        <v>181</v>
      </c>
      <c r="B73" s="43">
        <v>30543053</v>
      </c>
      <c r="C73" s="60">
        <v>-1456947</v>
      </c>
      <c r="D73" s="60">
        <v>1000000</v>
      </c>
      <c r="E73" s="61">
        <v>31000000</v>
      </c>
      <c r="F73" s="60">
        <v>29845781.724507332</v>
      </c>
      <c r="G73" s="60">
        <v>1154218.2754926695</v>
      </c>
      <c r="H73" s="62">
        <f t="shared" si="1"/>
        <v>0</v>
      </c>
      <c r="I73" s="62">
        <v>0</v>
      </c>
      <c r="J73" s="62">
        <v>0</v>
      </c>
      <c r="K73" s="62">
        <v>0</v>
      </c>
      <c r="L73" s="62">
        <v>0</v>
      </c>
      <c r="M73" s="60">
        <v>0</v>
      </c>
      <c r="N73" s="1"/>
      <c r="O73" s="62">
        <v>0</v>
      </c>
      <c r="P73" s="62">
        <v>0</v>
      </c>
    </row>
    <row r="74" spans="1:16" s="1" customFormat="1" collapsed="1" x14ac:dyDescent="0.45">
      <c r="A74" s="28" t="s">
        <v>38</v>
      </c>
      <c r="B74" s="43">
        <v>2584702358</v>
      </c>
      <c r="C74" s="60">
        <v>114766787</v>
      </c>
      <c r="D74" s="60">
        <v>46005146</v>
      </c>
      <c r="E74" s="61">
        <v>2423930425</v>
      </c>
      <c r="F74" s="60">
        <v>1591552888.1634617</v>
      </c>
      <c r="G74" s="60">
        <v>427957948.52057177</v>
      </c>
      <c r="H74" s="62">
        <f t="shared" si="1"/>
        <v>117368195.31596658</v>
      </c>
      <c r="I74" s="62">
        <v>8872172.6487266049</v>
      </c>
      <c r="J74" s="62">
        <v>9237880.9372594506</v>
      </c>
      <c r="K74" s="62">
        <v>41711304.522835426</v>
      </c>
      <c r="L74" s="62">
        <v>212350155.89117852</v>
      </c>
      <c r="M74" s="60">
        <v>14879879</v>
      </c>
      <c r="O74" s="62">
        <v>113818013.46749593</v>
      </c>
      <c r="P74" s="62">
        <v>3550181.848470638</v>
      </c>
    </row>
    <row r="75" spans="1:16" s="1" customFormat="1" ht="16" hidden="1" customHeight="1" outlineLevel="1" x14ac:dyDescent="0.45">
      <c r="A75" s="29" t="s">
        <v>39</v>
      </c>
      <c r="B75" s="44">
        <v>4000000</v>
      </c>
      <c r="C75" s="63">
        <v>0</v>
      </c>
      <c r="D75" s="63">
        <v>0</v>
      </c>
      <c r="E75" s="64">
        <v>4000000</v>
      </c>
      <c r="F75" s="63">
        <v>3517110.3414939293</v>
      </c>
      <c r="G75" s="63">
        <v>482889.65850607073</v>
      </c>
      <c r="H75" s="65">
        <f t="shared" si="1"/>
        <v>0</v>
      </c>
      <c r="I75" s="65">
        <v>0</v>
      </c>
      <c r="J75" s="65">
        <v>0</v>
      </c>
      <c r="K75" s="65">
        <v>0</v>
      </c>
      <c r="L75" s="65">
        <v>0</v>
      </c>
      <c r="M75" s="63">
        <v>0</v>
      </c>
      <c r="O75" s="65">
        <v>0</v>
      </c>
      <c r="P75" s="65">
        <v>0</v>
      </c>
    </row>
    <row r="76" spans="1:16" ht="16" hidden="1" customHeight="1" outlineLevel="1" x14ac:dyDescent="0.45">
      <c r="A76" s="29" t="s">
        <v>40</v>
      </c>
      <c r="B76" s="44">
        <v>119484880</v>
      </c>
      <c r="C76" s="63">
        <v>5676318.9999999851</v>
      </c>
      <c r="D76" s="63">
        <v>2792499</v>
      </c>
      <c r="E76" s="64">
        <v>111016062.00000001</v>
      </c>
      <c r="F76" s="63">
        <v>69631470.634142324</v>
      </c>
      <c r="G76" s="63">
        <v>21826242.021789037</v>
      </c>
      <c r="H76" s="65">
        <f t="shared" si="1"/>
        <v>5543475.3440686418</v>
      </c>
      <c r="I76" s="65">
        <v>670920.54327120818</v>
      </c>
      <c r="J76" s="65">
        <v>624747.09735369636</v>
      </c>
      <c r="K76" s="65">
        <v>2788974.1079058275</v>
      </c>
      <c r="L76" s="65">
        <v>8864257.2514692675</v>
      </c>
      <c r="M76" s="63">
        <v>1065975</v>
      </c>
      <c r="N76" s="1"/>
      <c r="O76" s="65">
        <v>5373763.0077294223</v>
      </c>
      <c r="P76" s="65">
        <v>169712.33633921962</v>
      </c>
    </row>
    <row r="77" spans="1:16" ht="16" hidden="1" customHeight="1" outlineLevel="1" x14ac:dyDescent="0.45">
      <c r="A77" s="29" t="s">
        <v>41</v>
      </c>
      <c r="B77" s="44">
        <v>343607820</v>
      </c>
      <c r="C77" s="63">
        <v>12438819.99999994</v>
      </c>
      <c r="D77" s="63">
        <v>10605090</v>
      </c>
      <c r="E77" s="64">
        <v>320563910.00000006</v>
      </c>
      <c r="F77" s="63">
        <v>187349781.76086435</v>
      </c>
      <c r="G77" s="63">
        <v>72186621.54190737</v>
      </c>
      <c r="H77" s="65">
        <f t="shared" si="1"/>
        <v>19284486.697228283</v>
      </c>
      <c r="I77" s="65">
        <v>2220938.3963208529</v>
      </c>
      <c r="J77" s="65">
        <v>2176223.9393894984</v>
      </c>
      <c r="K77" s="65">
        <v>8289178.3052927433</v>
      </c>
      <c r="L77" s="65">
        <v>24324539.358996905</v>
      </c>
      <c r="M77" s="63">
        <v>4732140</v>
      </c>
      <c r="N77" s="1"/>
      <c r="O77" s="65">
        <v>18695415.622004364</v>
      </c>
      <c r="P77" s="65">
        <v>589071.07522391889</v>
      </c>
    </row>
    <row r="78" spans="1:16" ht="16" hidden="1" customHeight="1" outlineLevel="1" x14ac:dyDescent="0.45">
      <c r="A78" s="29" t="s">
        <v>42</v>
      </c>
      <c r="B78" s="44">
        <v>337268140</v>
      </c>
      <c r="C78" s="63">
        <v>14209310.00000006</v>
      </c>
      <c r="D78" s="63">
        <v>8146300</v>
      </c>
      <c r="E78" s="64">
        <v>314912529.99999994</v>
      </c>
      <c r="F78" s="63">
        <v>195294877.28067112</v>
      </c>
      <c r="G78" s="63">
        <v>62411803.901385009</v>
      </c>
      <c r="H78" s="65">
        <f t="shared" si="1"/>
        <v>17817158.817943856</v>
      </c>
      <c r="I78" s="65">
        <v>1957340.6019597882</v>
      </c>
      <c r="J78" s="65">
        <v>1904378.0462052997</v>
      </c>
      <c r="K78" s="65">
        <v>7811071.2402618183</v>
      </c>
      <c r="L78" s="65">
        <v>24379090.111573093</v>
      </c>
      <c r="M78" s="63">
        <v>3336810</v>
      </c>
      <c r="N78" s="1"/>
      <c r="O78" s="65">
        <v>17277607.148919575</v>
      </c>
      <c r="P78" s="65">
        <v>539551.66902427957</v>
      </c>
    </row>
    <row r="79" spans="1:16" ht="16" hidden="1" customHeight="1" outlineLevel="1" x14ac:dyDescent="0.45">
      <c r="A79" s="29" t="s">
        <v>43</v>
      </c>
      <c r="B79" s="44">
        <v>327790930</v>
      </c>
      <c r="C79" s="63">
        <v>14987483</v>
      </c>
      <c r="D79" s="63">
        <v>7675197</v>
      </c>
      <c r="E79" s="64">
        <v>305128250</v>
      </c>
      <c r="F79" s="63">
        <v>191382467.93870425</v>
      </c>
      <c r="G79" s="63">
        <v>59989547.84774293</v>
      </c>
      <c r="H79" s="65">
        <f t="shared" si="1"/>
        <v>15236272.21355284</v>
      </c>
      <c r="I79" s="65">
        <v>1844028.7823594438</v>
      </c>
      <c r="J79" s="65">
        <v>1717121.0467456144</v>
      </c>
      <c r="K79" s="65">
        <v>7665510.9018085729</v>
      </c>
      <c r="L79" s="65">
        <v>24363460.269086368</v>
      </c>
      <c r="M79" s="63">
        <v>2929841</v>
      </c>
      <c r="N79" s="1"/>
      <c r="O79" s="65">
        <v>14769816.273758044</v>
      </c>
      <c r="P79" s="65">
        <v>466455.93979479483</v>
      </c>
    </row>
    <row r="80" spans="1:16" ht="16" hidden="1" customHeight="1" outlineLevel="1" x14ac:dyDescent="0.45">
      <c r="A80" s="29" t="s">
        <v>134</v>
      </c>
      <c r="B80" s="44">
        <v>2100000</v>
      </c>
      <c r="C80" s="63">
        <v>2100000</v>
      </c>
      <c r="D80" s="63">
        <v>0</v>
      </c>
      <c r="E80" s="64">
        <v>0</v>
      </c>
      <c r="F80" s="63">
        <v>0</v>
      </c>
      <c r="G80" s="63">
        <v>0</v>
      </c>
      <c r="H80" s="65">
        <f t="shared" si="1"/>
        <v>0</v>
      </c>
      <c r="I80" s="65">
        <v>0</v>
      </c>
      <c r="J80" s="65">
        <v>0</v>
      </c>
      <c r="K80" s="65">
        <v>0</v>
      </c>
      <c r="L80" s="65">
        <v>0</v>
      </c>
      <c r="M80" s="63">
        <v>0</v>
      </c>
      <c r="N80" s="1"/>
      <c r="O80" s="65">
        <v>0</v>
      </c>
      <c r="P80" s="65">
        <v>0</v>
      </c>
    </row>
    <row r="81" spans="1:16" ht="16" hidden="1" customHeight="1" outlineLevel="1" x14ac:dyDescent="0.45">
      <c r="A81" s="24" t="s">
        <v>44</v>
      </c>
      <c r="B81" s="45">
        <v>670393887</v>
      </c>
      <c r="C81" s="63">
        <v>4090290</v>
      </c>
      <c r="D81" s="63">
        <v>300000</v>
      </c>
      <c r="E81" s="64">
        <v>666003597</v>
      </c>
      <c r="F81" s="63">
        <v>544396171.73511982</v>
      </c>
      <c r="G81" s="63">
        <v>60736125.264880173</v>
      </c>
      <c r="H81" s="65">
        <f t="shared" si="1"/>
        <v>49875300</v>
      </c>
      <c r="I81" s="65">
        <v>1151462.7128945601</v>
      </c>
      <c r="J81" s="65">
        <v>1030605.8546538302</v>
      </c>
      <c r="K81" s="65">
        <v>4875366.2842838764</v>
      </c>
      <c r="L81" s="65">
        <v>2938565.148167734</v>
      </c>
      <c r="M81" s="63">
        <v>1000000</v>
      </c>
      <c r="N81" s="1"/>
      <c r="O81" s="65">
        <v>48379041</v>
      </c>
      <c r="P81" s="65">
        <v>1496259</v>
      </c>
    </row>
    <row r="82" spans="1:16" ht="16" hidden="1" customHeight="1" outlineLevel="1" x14ac:dyDescent="0.45">
      <c r="A82" s="29" t="s">
        <v>45</v>
      </c>
      <c r="B82" s="44">
        <v>46800000</v>
      </c>
      <c r="C82" s="63">
        <v>3150000</v>
      </c>
      <c r="D82" s="63">
        <v>5050000</v>
      </c>
      <c r="E82" s="64">
        <v>38600000</v>
      </c>
      <c r="F82" s="63">
        <v>21898952.539373871</v>
      </c>
      <c r="G82" s="63">
        <v>9201047.4606261291</v>
      </c>
      <c r="H82" s="65">
        <f t="shared" si="1"/>
        <v>2400000</v>
      </c>
      <c r="I82" s="65">
        <v>100000</v>
      </c>
      <c r="J82" s="65">
        <v>100000</v>
      </c>
      <c r="K82" s="65">
        <v>600000</v>
      </c>
      <c r="L82" s="65">
        <v>3300000</v>
      </c>
      <c r="M82" s="63">
        <v>1000000</v>
      </c>
      <c r="N82" s="1"/>
      <c r="O82" s="65">
        <v>2328000</v>
      </c>
      <c r="P82" s="65">
        <v>72000</v>
      </c>
    </row>
    <row r="83" spans="1:16" ht="16" hidden="1" customHeight="1" outlineLevel="1" x14ac:dyDescent="0.45">
      <c r="A83" s="29" t="s">
        <v>46</v>
      </c>
      <c r="B83" s="44">
        <v>13540500</v>
      </c>
      <c r="C83" s="63">
        <v>12957500</v>
      </c>
      <c r="D83" s="63">
        <v>88000</v>
      </c>
      <c r="E83" s="64">
        <v>495000</v>
      </c>
      <c r="F83" s="63">
        <v>309568.6221372658</v>
      </c>
      <c r="G83" s="63">
        <v>31431.377862734207</v>
      </c>
      <c r="H83" s="65">
        <f t="shared" si="1"/>
        <v>0</v>
      </c>
      <c r="I83" s="65">
        <v>21127.148214685294</v>
      </c>
      <c r="J83" s="65">
        <v>20027.513472415423</v>
      </c>
      <c r="K83" s="65">
        <v>83886.731497640823</v>
      </c>
      <c r="L83" s="65">
        <v>28958.606815258456</v>
      </c>
      <c r="M83" s="63">
        <v>0</v>
      </c>
      <c r="N83" s="1"/>
      <c r="O83" s="65">
        <v>0</v>
      </c>
      <c r="P83" s="65">
        <v>0</v>
      </c>
    </row>
    <row r="84" spans="1:16" ht="16" hidden="1" customHeight="1" outlineLevel="1" x14ac:dyDescent="0.45">
      <c r="A84" s="29" t="s">
        <v>47</v>
      </c>
      <c r="B84" s="44">
        <v>9938324</v>
      </c>
      <c r="C84" s="63">
        <v>839012</v>
      </c>
      <c r="D84" s="63">
        <v>0</v>
      </c>
      <c r="E84" s="64">
        <v>9099312</v>
      </c>
      <c r="F84" s="63">
        <v>7399383.8129070736</v>
      </c>
      <c r="G84" s="63">
        <v>1414927.1870929264</v>
      </c>
      <c r="H84" s="65">
        <f t="shared" si="1"/>
        <v>0</v>
      </c>
      <c r="I84" s="65">
        <v>0</v>
      </c>
      <c r="J84" s="65">
        <v>0</v>
      </c>
      <c r="K84" s="65">
        <v>145091</v>
      </c>
      <c r="L84" s="65">
        <v>20727</v>
      </c>
      <c r="M84" s="63">
        <v>119183</v>
      </c>
      <c r="N84" s="1"/>
      <c r="O84" s="65">
        <v>0</v>
      </c>
      <c r="P84" s="65">
        <v>0</v>
      </c>
    </row>
    <row r="85" spans="1:16" ht="16" hidden="1" customHeight="1" outlineLevel="1" x14ac:dyDescent="0.45">
      <c r="A85" s="29" t="s">
        <v>246</v>
      </c>
      <c r="B85" s="44">
        <v>0</v>
      </c>
      <c r="C85" s="63">
        <v>0</v>
      </c>
      <c r="D85" s="63">
        <v>0</v>
      </c>
      <c r="E85" s="64">
        <v>0</v>
      </c>
      <c r="F85" s="63">
        <v>0</v>
      </c>
      <c r="G85" s="63">
        <v>0</v>
      </c>
      <c r="H85" s="65">
        <f t="shared" si="1"/>
        <v>0</v>
      </c>
      <c r="I85" s="65">
        <v>0</v>
      </c>
      <c r="J85" s="65">
        <v>0</v>
      </c>
      <c r="K85" s="65">
        <v>0</v>
      </c>
      <c r="L85" s="65">
        <v>0</v>
      </c>
      <c r="M85" s="63">
        <v>0</v>
      </c>
      <c r="N85" s="1"/>
      <c r="O85" s="65">
        <v>0</v>
      </c>
      <c r="P85" s="65">
        <v>0</v>
      </c>
    </row>
    <row r="86" spans="1:16" ht="16" hidden="1" customHeight="1" outlineLevel="1" x14ac:dyDescent="0.45">
      <c r="A86" s="29" t="s">
        <v>48</v>
      </c>
      <c r="B86" s="44">
        <v>67746730</v>
      </c>
      <c r="C86" s="63">
        <v>2414109.9999999925</v>
      </c>
      <c r="D86" s="63">
        <v>6148060</v>
      </c>
      <c r="E86" s="64">
        <v>59184560.000000007</v>
      </c>
      <c r="F86" s="63">
        <v>29529880.503434401</v>
      </c>
      <c r="G86" s="63">
        <v>16554377.253392652</v>
      </c>
      <c r="H86" s="65">
        <f t="shared" si="1"/>
        <v>4549802.2431729473</v>
      </c>
      <c r="I86" s="65">
        <v>724495</v>
      </c>
      <c r="J86" s="65">
        <v>1533275</v>
      </c>
      <c r="K86" s="65">
        <v>2157490</v>
      </c>
      <c r="L86" s="65">
        <v>3539310</v>
      </c>
      <c r="M86" s="63">
        <v>595930</v>
      </c>
      <c r="N86" s="1"/>
      <c r="O86" s="65">
        <v>4412522.4150845222</v>
      </c>
      <c r="P86" s="65">
        <v>137279.82808842536</v>
      </c>
    </row>
    <row r="87" spans="1:16" ht="16" hidden="1" customHeight="1" outlineLevel="1" x14ac:dyDescent="0.45">
      <c r="A87" s="29" t="s">
        <v>49</v>
      </c>
      <c r="B87" s="44">
        <v>8338400</v>
      </c>
      <c r="C87" s="63">
        <v>0</v>
      </c>
      <c r="D87" s="63">
        <v>0</v>
      </c>
      <c r="E87" s="64">
        <v>8338400</v>
      </c>
      <c r="F87" s="63">
        <v>5311900</v>
      </c>
      <c r="G87" s="63">
        <v>1286500</v>
      </c>
      <c r="H87" s="65">
        <f t="shared" si="1"/>
        <v>740000</v>
      </c>
      <c r="I87" s="65">
        <v>0</v>
      </c>
      <c r="J87" s="65">
        <v>0</v>
      </c>
      <c r="K87" s="65">
        <v>500000</v>
      </c>
      <c r="L87" s="65">
        <v>500000</v>
      </c>
      <c r="M87" s="63">
        <v>0</v>
      </c>
      <c r="N87" s="1"/>
      <c r="O87" s="65">
        <v>717800</v>
      </c>
      <c r="P87" s="65">
        <v>22200</v>
      </c>
    </row>
    <row r="88" spans="1:16" ht="16" hidden="1" customHeight="1" outlineLevel="1" x14ac:dyDescent="0.45">
      <c r="A88" s="29" t="s">
        <v>182</v>
      </c>
      <c r="B88" s="44">
        <v>0</v>
      </c>
      <c r="C88" s="63">
        <v>0</v>
      </c>
      <c r="D88" s="63">
        <v>0</v>
      </c>
      <c r="E88" s="64">
        <v>0</v>
      </c>
      <c r="F88" s="63">
        <v>0</v>
      </c>
      <c r="G88" s="63">
        <v>0</v>
      </c>
      <c r="H88" s="65">
        <f t="shared" si="1"/>
        <v>0</v>
      </c>
      <c r="I88" s="65">
        <v>0</v>
      </c>
      <c r="J88" s="65">
        <v>0</v>
      </c>
      <c r="K88" s="65">
        <v>0</v>
      </c>
      <c r="L88" s="65">
        <v>0</v>
      </c>
      <c r="M88" s="63">
        <v>0</v>
      </c>
      <c r="N88" s="1"/>
      <c r="O88" s="65">
        <v>0</v>
      </c>
      <c r="P88" s="65">
        <v>0</v>
      </c>
    </row>
    <row r="89" spans="1:16" ht="16" hidden="1" customHeight="1" outlineLevel="1" x14ac:dyDescent="0.45">
      <c r="A89" s="29" t="s">
        <v>50</v>
      </c>
      <c r="B89" s="44">
        <v>1400000</v>
      </c>
      <c r="C89" s="63">
        <v>100000</v>
      </c>
      <c r="D89" s="63">
        <v>0</v>
      </c>
      <c r="E89" s="64">
        <v>1300000</v>
      </c>
      <c r="F89" s="63">
        <v>1300000</v>
      </c>
      <c r="G89" s="63">
        <v>0</v>
      </c>
      <c r="H89" s="65">
        <f t="shared" si="1"/>
        <v>0</v>
      </c>
      <c r="I89" s="65">
        <v>0</v>
      </c>
      <c r="J89" s="65">
        <v>0</v>
      </c>
      <c r="K89" s="65">
        <v>0</v>
      </c>
      <c r="L89" s="65">
        <v>0</v>
      </c>
      <c r="M89" s="63">
        <v>0</v>
      </c>
      <c r="N89" s="1"/>
      <c r="O89" s="65">
        <v>0</v>
      </c>
      <c r="P89" s="65">
        <v>0</v>
      </c>
    </row>
    <row r="90" spans="1:16" ht="16" hidden="1" customHeight="1" outlineLevel="1" x14ac:dyDescent="0.45">
      <c r="A90" s="29" t="s">
        <v>183</v>
      </c>
      <c r="B90" s="44">
        <v>1400000</v>
      </c>
      <c r="C90" s="63">
        <v>0</v>
      </c>
      <c r="D90" s="63">
        <v>0</v>
      </c>
      <c r="E90" s="64">
        <v>1400000</v>
      </c>
      <c r="F90" s="63">
        <v>0</v>
      </c>
      <c r="G90" s="63">
        <v>0</v>
      </c>
      <c r="H90" s="65">
        <f t="shared" si="1"/>
        <v>1400000</v>
      </c>
      <c r="I90" s="65">
        <v>0</v>
      </c>
      <c r="J90" s="65">
        <v>0</v>
      </c>
      <c r="K90" s="65">
        <v>0</v>
      </c>
      <c r="L90" s="65">
        <v>0</v>
      </c>
      <c r="M90" s="63">
        <v>0</v>
      </c>
      <c r="N90" s="1"/>
      <c r="O90" s="65">
        <v>1358000</v>
      </c>
      <c r="P90" s="65">
        <v>42000</v>
      </c>
    </row>
    <row r="91" spans="1:16" ht="16" hidden="1" customHeight="1" outlineLevel="1" x14ac:dyDescent="0.45">
      <c r="A91" s="29" t="s">
        <v>51</v>
      </c>
      <c r="B91" s="44">
        <v>25700000</v>
      </c>
      <c r="C91" s="63">
        <v>500000</v>
      </c>
      <c r="D91" s="63">
        <v>0</v>
      </c>
      <c r="E91" s="64">
        <v>25200000</v>
      </c>
      <c r="F91" s="63">
        <v>15200000</v>
      </c>
      <c r="G91" s="63">
        <v>9500000</v>
      </c>
      <c r="H91" s="65">
        <f t="shared" si="1"/>
        <v>0</v>
      </c>
      <c r="I91" s="65">
        <v>50000</v>
      </c>
      <c r="J91" s="65">
        <v>50000</v>
      </c>
      <c r="K91" s="65">
        <v>0</v>
      </c>
      <c r="L91" s="65">
        <v>300000</v>
      </c>
      <c r="M91" s="63">
        <v>100000</v>
      </c>
      <c r="N91" s="1"/>
      <c r="O91" s="65">
        <v>0</v>
      </c>
      <c r="P91" s="65">
        <v>0</v>
      </c>
    </row>
    <row r="92" spans="1:16" ht="16" hidden="1" customHeight="1" outlineLevel="1" x14ac:dyDescent="0.45">
      <c r="A92" s="31" t="s">
        <v>227</v>
      </c>
      <c r="B92" s="47">
        <v>0</v>
      </c>
      <c r="C92" s="63">
        <v>0</v>
      </c>
      <c r="D92" s="63">
        <v>0</v>
      </c>
      <c r="E92" s="64">
        <v>0</v>
      </c>
      <c r="F92" s="63">
        <v>0</v>
      </c>
      <c r="G92" s="63">
        <v>0</v>
      </c>
      <c r="H92" s="65">
        <f t="shared" si="1"/>
        <v>0</v>
      </c>
      <c r="I92" s="65">
        <v>0</v>
      </c>
      <c r="J92" s="65">
        <v>0</v>
      </c>
      <c r="K92" s="65">
        <v>0</v>
      </c>
      <c r="L92" s="65">
        <v>0</v>
      </c>
      <c r="M92" s="63">
        <v>0</v>
      </c>
      <c r="N92" s="1"/>
      <c r="O92" s="65">
        <v>0</v>
      </c>
      <c r="P92" s="65">
        <v>0</v>
      </c>
    </row>
    <row r="93" spans="1:16" ht="16" hidden="1" customHeight="1" outlineLevel="1" x14ac:dyDescent="0.45">
      <c r="A93" s="29" t="s">
        <v>184</v>
      </c>
      <c r="B93" s="44">
        <v>0</v>
      </c>
      <c r="C93" s="63">
        <v>0</v>
      </c>
      <c r="D93" s="63">
        <v>0</v>
      </c>
      <c r="E93" s="64">
        <v>0</v>
      </c>
      <c r="F93" s="63">
        <v>0</v>
      </c>
      <c r="G93" s="63">
        <v>0</v>
      </c>
      <c r="H93" s="65">
        <f t="shared" si="1"/>
        <v>0</v>
      </c>
      <c r="I93" s="65">
        <v>0</v>
      </c>
      <c r="J93" s="65">
        <v>0</v>
      </c>
      <c r="K93" s="65">
        <v>0</v>
      </c>
      <c r="L93" s="65">
        <v>0</v>
      </c>
      <c r="M93" s="63">
        <v>0</v>
      </c>
      <c r="N93" s="1"/>
      <c r="O93" s="65">
        <v>0</v>
      </c>
      <c r="P93" s="65">
        <v>0</v>
      </c>
    </row>
    <row r="94" spans="1:16" ht="16" hidden="1" customHeight="1" outlineLevel="1" x14ac:dyDescent="0.45">
      <c r="A94" s="31" t="s">
        <v>185</v>
      </c>
      <c r="B94" s="47">
        <v>0</v>
      </c>
      <c r="C94" s="63">
        <v>0</v>
      </c>
      <c r="D94" s="63">
        <v>0</v>
      </c>
      <c r="E94" s="64">
        <v>0</v>
      </c>
      <c r="F94" s="63">
        <v>0</v>
      </c>
      <c r="G94" s="63">
        <v>0</v>
      </c>
      <c r="H94" s="65">
        <f t="shared" si="1"/>
        <v>0</v>
      </c>
      <c r="I94" s="65">
        <v>0</v>
      </c>
      <c r="J94" s="65">
        <v>0</v>
      </c>
      <c r="K94" s="65">
        <v>0</v>
      </c>
      <c r="L94" s="65">
        <v>0</v>
      </c>
      <c r="M94" s="63">
        <v>0</v>
      </c>
      <c r="N94" s="1"/>
      <c r="O94" s="65">
        <v>0</v>
      </c>
      <c r="P94" s="65">
        <v>0</v>
      </c>
    </row>
    <row r="95" spans="1:16" ht="16" hidden="1" customHeight="1" outlineLevel="1" x14ac:dyDescent="0.45">
      <c r="A95" s="29" t="s">
        <v>186</v>
      </c>
      <c r="B95" s="44">
        <v>0</v>
      </c>
      <c r="C95" s="63">
        <v>0</v>
      </c>
      <c r="D95" s="63">
        <v>0</v>
      </c>
      <c r="E95" s="64">
        <v>0</v>
      </c>
      <c r="F95" s="63">
        <v>0</v>
      </c>
      <c r="G95" s="63">
        <v>0</v>
      </c>
      <c r="H95" s="65">
        <f t="shared" si="1"/>
        <v>0</v>
      </c>
      <c r="I95" s="65">
        <v>0</v>
      </c>
      <c r="J95" s="65">
        <v>0</v>
      </c>
      <c r="K95" s="65">
        <v>0</v>
      </c>
      <c r="L95" s="65">
        <v>0</v>
      </c>
      <c r="M95" s="63">
        <v>0</v>
      </c>
      <c r="N95" s="1"/>
      <c r="O95" s="65">
        <v>0</v>
      </c>
      <c r="P95" s="65">
        <v>0</v>
      </c>
    </row>
    <row r="96" spans="1:16" ht="16" hidden="1" customHeight="1" outlineLevel="1" x14ac:dyDescent="0.45">
      <c r="A96" s="31" t="s">
        <v>228</v>
      </c>
      <c r="B96" s="47">
        <v>0</v>
      </c>
      <c r="C96" s="63">
        <v>0</v>
      </c>
      <c r="D96" s="63">
        <v>0</v>
      </c>
      <c r="E96" s="64">
        <v>0</v>
      </c>
      <c r="F96" s="63">
        <v>0</v>
      </c>
      <c r="G96" s="63">
        <v>0</v>
      </c>
      <c r="H96" s="65">
        <f t="shared" si="1"/>
        <v>0</v>
      </c>
      <c r="I96" s="65">
        <v>0</v>
      </c>
      <c r="J96" s="65">
        <v>0</v>
      </c>
      <c r="K96" s="65">
        <v>0</v>
      </c>
      <c r="L96" s="65">
        <v>0</v>
      </c>
      <c r="M96" s="63">
        <v>0</v>
      </c>
      <c r="N96" s="1"/>
      <c r="O96" s="65">
        <v>0</v>
      </c>
      <c r="P96" s="65">
        <v>0</v>
      </c>
    </row>
    <row r="97" spans="1:16" ht="16" hidden="1" customHeight="1" outlineLevel="1" x14ac:dyDescent="0.45">
      <c r="A97" s="29" t="s">
        <v>135</v>
      </c>
      <c r="B97" s="44">
        <v>0</v>
      </c>
      <c r="C97" s="63">
        <v>0</v>
      </c>
      <c r="D97" s="63">
        <v>0</v>
      </c>
      <c r="E97" s="64">
        <v>0</v>
      </c>
      <c r="F97" s="63">
        <v>0</v>
      </c>
      <c r="G97" s="63">
        <v>0</v>
      </c>
      <c r="H97" s="65">
        <f t="shared" si="1"/>
        <v>0</v>
      </c>
      <c r="I97" s="65">
        <v>0</v>
      </c>
      <c r="J97" s="65">
        <v>0</v>
      </c>
      <c r="K97" s="65">
        <v>0</v>
      </c>
      <c r="L97" s="65">
        <v>0</v>
      </c>
      <c r="M97" s="63">
        <v>0</v>
      </c>
      <c r="N97" s="1"/>
      <c r="O97" s="65">
        <v>0</v>
      </c>
      <c r="P97" s="65">
        <v>0</v>
      </c>
    </row>
    <row r="98" spans="1:16" ht="16" hidden="1" customHeight="1" outlineLevel="1" x14ac:dyDescent="0.45">
      <c r="A98" s="29" t="s">
        <v>52</v>
      </c>
      <c r="B98" s="44">
        <v>0</v>
      </c>
      <c r="C98" s="63">
        <v>0</v>
      </c>
      <c r="D98" s="63">
        <v>0</v>
      </c>
      <c r="E98" s="64">
        <v>0</v>
      </c>
      <c r="F98" s="63">
        <v>0</v>
      </c>
      <c r="G98" s="63">
        <v>0</v>
      </c>
      <c r="H98" s="65">
        <f t="shared" si="1"/>
        <v>0</v>
      </c>
      <c r="I98" s="65">
        <v>0</v>
      </c>
      <c r="J98" s="65">
        <v>0</v>
      </c>
      <c r="K98" s="65">
        <v>0</v>
      </c>
      <c r="L98" s="65">
        <v>0</v>
      </c>
      <c r="M98" s="63">
        <v>0</v>
      </c>
      <c r="N98" s="1"/>
      <c r="O98" s="65">
        <v>0</v>
      </c>
      <c r="P98" s="65">
        <v>0</v>
      </c>
    </row>
    <row r="99" spans="1:16" ht="16" hidden="1" customHeight="1" outlineLevel="1" x14ac:dyDescent="0.45">
      <c r="A99" s="31" t="s">
        <v>187</v>
      </c>
      <c r="B99" s="47">
        <v>0</v>
      </c>
      <c r="C99" s="63">
        <v>0</v>
      </c>
      <c r="D99" s="63">
        <v>0</v>
      </c>
      <c r="E99" s="64">
        <v>0</v>
      </c>
      <c r="F99" s="63">
        <v>0</v>
      </c>
      <c r="G99" s="63">
        <v>0</v>
      </c>
      <c r="H99" s="65">
        <f t="shared" si="1"/>
        <v>0</v>
      </c>
      <c r="I99" s="65">
        <v>0</v>
      </c>
      <c r="J99" s="65">
        <v>0</v>
      </c>
      <c r="K99" s="65">
        <v>0</v>
      </c>
      <c r="L99" s="65">
        <v>0</v>
      </c>
      <c r="M99" s="63">
        <v>0</v>
      </c>
      <c r="N99" s="1"/>
      <c r="O99" s="65">
        <v>0</v>
      </c>
      <c r="P99" s="65">
        <v>0</v>
      </c>
    </row>
    <row r="100" spans="1:16" ht="16" hidden="1" customHeight="1" outlineLevel="1" x14ac:dyDescent="0.45">
      <c r="A100" s="24" t="s">
        <v>114</v>
      </c>
      <c r="B100" s="44">
        <v>0</v>
      </c>
      <c r="C100" s="63">
        <v>0</v>
      </c>
      <c r="D100" s="63">
        <v>0</v>
      </c>
      <c r="E100" s="64">
        <v>0</v>
      </c>
      <c r="F100" s="63">
        <v>0</v>
      </c>
      <c r="G100" s="63">
        <v>0</v>
      </c>
      <c r="H100" s="65">
        <f t="shared" si="1"/>
        <v>0</v>
      </c>
      <c r="I100" s="65">
        <v>0</v>
      </c>
      <c r="J100" s="65">
        <v>0</v>
      </c>
      <c r="K100" s="65">
        <v>0</v>
      </c>
      <c r="L100" s="65">
        <v>0</v>
      </c>
      <c r="M100" s="63">
        <v>0</v>
      </c>
      <c r="N100" s="1"/>
      <c r="O100" s="65">
        <v>0</v>
      </c>
      <c r="P100" s="65">
        <v>0</v>
      </c>
    </row>
    <row r="101" spans="1:16" ht="16" hidden="1" customHeight="1" outlineLevel="1" x14ac:dyDescent="0.45">
      <c r="A101" s="29" t="s">
        <v>188</v>
      </c>
      <c r="B101" s="44">
        <v>0</v>
      </c>
      <c r="C101" s="63">
        <v>0</v>
      </c>
      <c r="D101" s="63">
        <v>0</v>
      </c>
      <c r="E101" s="64">
        <v>0</v>
      </c>
      <c r="F101" s="63">
        <v>0</v>
      </c>
      <c r="G101" s="63">
        <v>0</v>
      </c>
      <c r="H101" s="65">
        <f t="shared" si="1"/>
        <v>0</v>
      </c>
      <c r="I101" s="65">
        <v>0</v>
      </c>
      <c r="J101" s="65">
        <v>0</v>
      </c>
      <c r="K101" s="65">
        <v>0</v>
      </c>
      <c r="L101" s="65">
        <v>0</v>
      </c>
      <c r="M101" s="63">
        <v>0</v>
      </c>
      <c r="N101" s="1"/>
      <c r="O101" s="65">
        <v>0</v>
      </c>
      <c r="P101" s="65">
        <v>0</v>
      </c>
    </row>
    <row r="102" spans="1:16" ht="16" hidden="1" customHeight="1" outlineLevel="1" x14ac:dyDescent="0.45">
      <c r="A102" s="29" t="s">
        <v>259</v>
      </c>
      <c r="B102" s="44">
        <v>2430000</v>
      </c>
      <c r="C102" s="63">
        <v>0</v>
      </c>
      <c r="D102" s="63">
        <v>0</v>
      </c>
      <c r="E102" s="64">
        <v>2430000</v>
      </c>
      <c r="F102" s="63">
        <v>2022171.2166798029</v>
      </c>
      <c r="G102" s="63">
        <v>407828.78332019702</v>
      </c>
      <c r="H102" s="65">
        <f t="shared" si="1"/>
        <v>0</v>
      </c>
      <c r="I102" s="65">
        <v>0</v>
      </c>
      <c r="J102" s="65">
        <v>0</v>
      </c>
      <c r="K102" s="65">
        <v>0</v>
      </c>
      <c r="L102" s="65">
        <v>0</v>
      </c>
      <c r="M102" s="63">
        <v>0</v>
      </c>
      <c r="N102" s="1"/>
      <c r="O102" s="65">
        <v>0</v>
      </c>
      <c r="P102" s="65">
        <v>0</v>
      </c>
    </row>
    <row r="103" spans="1:16" ht="16" hidden="1" customHeight="1" outlineLevel="1" x14ac:dyDescent="0.45">
      <c r="A103" s="29" t="s">
        <v>189</v>
      </c>
      <c r="B103" s="44">
        <v>6295000</v>
      </c>
      <c r="C103" s="63">
        <v>3670000</v>
      </c>
      <c r="D103" s="63">
        <v>0</v>
      </c>
      <c r="E103" s="64">
        <v>2625000</v>
      </c>
      <c r="F103" s="63">
        <v>0</v>
      </c>
      <c r="G103" s="63">
        <v>0</v>
      </c>
      <c r="H103" s="65">
        <f t="shared" si="1"/>
        <v>0</v>
      </c>
      <c r="I103" s="65">
        <v>0</v>
      </c>
      <c r="J103" s="65">
        <v>0</v>
      </c>
      <c r="K103" s="65">
        <v>2625000</v>
      </c>
      <c r="L103" s="65">
        <v>0</v>
      </c>
      <c r="M103" s="63">
        <v>0</v>
      </c>
      <c r="N103" s="1"/>
      <c r="O103" s="65">
        <v>0</v>
      </c>
      <c r="P103" s="65">
        <v>0</v>
      </c>
    </row>
    <row r="104" spans="1:16" ht="16" hidden="1" customHeight="1" outlineLevel="1" x14ac:dyDescent="0.45">
      <c r="A104" s="29" t="s">
        <v>115</v>
      </c>
      <c r="B104" s="44">
        <v>8429000</v>
      </c>
      <c r="C104" s="63">
        <v>0</v>
      </c>
      <c r="D104" s="63">
        <v>0</v>
      </c>
      <c r="E104" s="64">
        <v>8429000</v>
      </c>
      <c r="F104" s="63">
        <v>3182000</v>
      </c>
      <c r="G104" s="63">
        <v>0</v>
      </c>
      <c r="H104" s="65">
        <f t="shared" si="1"/>
        <v>0</v>
      </c>
      <c r="I104" s="65">
        <v>0</v>
      </c>
      <c r="J104" s="65">
        <v>0</v>
      </c>
      <c r="K104" s="65">
        <v>2578000</v>
      </c>
      <c r="L104" s="65">
        <v>2669000</v>
      </c>
      <c r="M104" s="63">
        <v>0</v>
      </c>
      <c r="N104" s="1"/>
      <c r="O104" s="65">
        <v>0</v>
      </c>
      <c r="P104" s="65">
        <v>0</v>
      </c>
    </row>
    <row r="105" spans="1:16" ht="16" hidden="1" customHeight="1" outlineLevel="1" x14ac:dyDescent="0.45">
      <c r="A105" s="29" t="s">
        <v>53</v>
      </c>
      <c r="B105" s="44">
        <v>32250000</v>
      </c>
      <c r="C105" s="63">
        <v>7800000</v>
      </c>
      <c r="D105" s="63">
        <v>5200000</v>
      </c>
      <c r="E105" s="64">
        <v>19250000</v>
      </c>
      <c r="F105" s="63">
        <v>15077625.682489334</v>
      </c>
      <c r="G105" s="63">
        <v>2922374.3175106649</v>
      </c>
      <c r="H105" s="65">
        <f t="shared" si="1"/>
        <v>450000</v>
      </c>
      <c r="I105" s="65">
        <v>131859.46370606666</v>
      </c>
      <c r="J105" s="65">
        <v>81502.439439095921</v>
      </c>
      <c r="K105" s="65">
        <v>127235.95178494832</v>
      </c>
      <c r="L105" s="65">
        <v>459402.14506988914</v>
      </c>
      <c r="M105" s="63">
        <v>0</v>
      </c>
      <c r="N105" s="1"/>
      <c r="O105" s="65">
        <v>436500</v>
      </c>
      <c r="P105" s="65">
        <v>13500</v>
      </c>
    </row>
    <row r="106" spans="1:16" ht="16" hidden="1" customHeight="1" outlineLevel="1" x14ac:dyDescent="0.45">
      <c r="A106" s="29" t="s">
        <v>54</v>
      </c>
      <c r="B106" s="44">
        <v>4311359</v>
      </c>
      <c r="C106" s="63">
        <v>199800</v>
      </c>
      <c r="D106" s="63">
        <v>0</v>
      </c>
      <c r="E106" s="64">
        <v>4111559</v>
      </c>
      <c r="F106" s="63">
        <v>2911260</v>
      </c>
      <c r="G106" s="63">
        <v>986099</v>
      </c>
      <c r="H106" s="65">
        <f t="shared" si="1"/>
        <v>71700</v>
      </c>
      <c r="I106" s="65">
        <v>0</v>
      </c>
      <c r="J106" s="65">
        <v>0</v>
      </c>
      <c r="K106" s="65">
        <v>74500</v>
      </c>
      <c r="L106" s="65">
        <v>68000</v>
      </c>
      <c r="M106" s="63">
        <v>0</v>
      </c>
      <c r="N106" s="1"/>
      <c r="O106" s="65">
        <v>69548</v>
      </c>
      <c r="P106" s="65">
        <v>2152</v>
      </c>
    </row>
    <row r="107" spans="1:16" ht="16" hidden="1" customHeight="1" outlineLevel="1" x14ac:dyDescent="0.45">
      <c r="A107" s="29" t="s">
        <v>55</v>
      </c>
      <c r="B107" s="44">
        <v>1946715</v>
      </c>
      <c r="C107" s="63">
        <v>0</v>
      </c>
      <c r="D107" s="63">
        <v>0</v>
      </c>
      <c r="E107" s="64">
        <v>1946715</v>
      </c>
      <c r="F107" s="63">
        <v>1386715</v>
      </c>
      <c r="G107" s="63">
        <v>350000</v>
      </c>
      <c r="H107" s="65">
        <f t="shared" si="1"/>
        <v>0</v>
      </c>
      <c r="I107" s="65">
        <v>0</v>
      </c>
      <c r="J107" s="65">
        <v>0</v>
      </c>
      <c r="K107" s="65">
        <v>70000</v>
      </c>
      <c r="L107" s="65">
        <v>140000</v>
      </c>
      <c r="M107" s="63">
        <v>0</v>
      </c>
      <c r="N107" s="1"/>
      <c r="O107" s="65">
        <v>0</v>
      </c>
      <c r="P107" s="65">
        <v>0</v>
      </c>
    </row>
    <row r="108" spans="1:16" ht="16" hidden="1" customHeight="1" outlineLevel="1" x14ac:dyDescent="0.45">
      <c r="A108" s="29" t="s">
        <v>190</v>
      </c>
      <c r="B108" s="44">
        <v>0</v>
      </c>
      <c r="C108" s="63">
        <v>0</v>
      </c>
      <c r="D108" s="63">
        <v>0</v>
      </c>
      <c r="E108" s="64">
        <v>0</v>
      </c>
      <c r="F108" s="63">
        <v>0</v>
      </c>
      <c r="G108" s="63">
        <v>0</v>
      </c>
      <c r="H108" s="65">
        <f t="shared" si="1"/>
        <v>0</v>
      </c>
      <c r="I108" s="65">
        <v>0</v>
      </c>
      <c r="J108" s="65">
        <v>0</v>
      </c>
      <c r="K108" s="65">
        <v>0</v>
      </c>
      <c r="L108" s="65">
        <v>0</v>
      </c>
      <c r="M108" s="63">
        <v>0</v>
      </c>
      <c r="N108" s="1"/>
      <c r="O108" s="65">
        <v>0</v>
      </c>
      <c r="P108" s="65">
        <v>0</v>
      </c>
    </row>
    <row r="109" spans="1:16" ht="16" hidden="1" customHeight="1" outlineLevel="1" x14ac:dyDescent="0.45">
      <c r="A109" s="30" t="s">
        <v>56</v>
      </c>
      <c r="B109" s="46">
        <v>522459253</v>
      </c>
      <c r="C109" s="63">
        <v>2562723</v>
      </c>
      <c r="D109" s="63">
        <v>0</v>
      </c>
      <c r="E109" s="64">
        <v>519896530</v>
      </c>
      <c r="F109" s="63">
        <v>294451551.09544414</v>
      </c>
      <c r="G109" s="63">
        <v>107670132.90455586</v>
      </c>
      <c r="H109" s="65">
        <f t="shared" si="1"/>
        <v>0</v>
      </c>
      <c r="I109" s="65">
        <v>0</v>
      </c>
      <c r="J109" s="65">
        <v>0</v>
      </c>
      <c r="K109" s="65">
        <v>1320000</v>
      </c>
      <c r="L109" s="65">
        <v>116454846</v>
      </c>
      <c r="M109" s="63">
        <v>0</v>
      </c>
      <c r="N109" s="1"/>
      <c r="O109" s="65">
        <v>0</v>
      </c>
      <c r="P109" s="65">
        <v>0</v>
      </c>
    </row>
    <row r="110" spans="1:16" ht="16" hidden="1" customHeight="1" outlineLevel="1" x14ac:dyDescent="0.45">
      <c r="A110" s="29" t="s">
        <v>229</v>
      </c>
      <c r="B110" s="44">
        <v>0</v>
      </c>
      <c r="C110" s="63">
        <v>0</v>
      </c>
      <c r="D110" s="63">
        <v>0</v>
      </c>
      <c r="E110" s="64">
        <v>0</v>
      </c>
      <c r="F110" s="63">
        <v>0</v>
      </c>
      <c r="G110" s="63">
        <v>0</v>
      </c>
      <c r="H110" s="65">
        <f t="shared" si="1"/>
        <v>0</v>
      </c>
      <c r="I110" s="65">
        <v>0</v>
      </c>
      <c r="J110" s="65">
        <v>0</v>
      </c>
      <c r="K110" s="65">
        <v>0</v>
      </c>
      <c r="L110" s="65">
        <v>0</v>
      </c>
      <c r="M110" s="63">
        <v>0</v>
      </c>
      <c r="N110" s="1"/>
      <c r="O110" s="65">
        <v>0</v>
      </c>
      <c r="P110" s="65">
        <v>0</v>
      </c>
    </row>
    <row r="111" spans="1:16" ht="16" hidden="1" customHeight="1" outlineLevel="1" x14ac:dyDescent="0.45">
      <c r="A111" s="29" t="s">
        <v>253</v>
      </c>
      <c r="B111" s="44">
        <v>0</v>
      </c>
      <c r="C111" s="63">
        <v>0</v>
      </c>
      <c r="D111" s="63">
        <v>0</v>
      </c>
      <c r="E111" s="64">
        <v>0</v>
      </c>
      <c r="F111" s="63">
        <v>0</v>
      </c>
      <c r="G111" s="63">
        <v>0</v>
      </c>
      <c r="H111" s="65">
        <f t="shared" si="1"/>
        <v>0</v>
      </c>
      <c r="I111" s="65">
        <v>0</v>
      </c>
      <c r="J111" s="65">
        <v>0</v>
      </c>
      <c r="K111" s="65">
        <v>0</v>
      </c>
      <c r="L111" s="65">
        <v>0</v>
      </c>
      <c r="M111" s="63">
        <v>0</v>
      </c>
      <c r="N111" s="1"/>
      <c r="O111" s="65">
        <v>0</v>
      </c>
      <c r="P111" s="65">
        <v>0</v>
      </c>
    </row>
    <row r="112" spans="1:16" ht="16" hidden="1" customHeight="1" outlineLevel="1" x14ac:dyDescent="0.45">
      <c r="A112" s="29" t="s">
        <v>255</v>
      </c>
      <c r="B112" s="44">
        <v>0</v>
      </c>
      <c r="C112" s="63">
        <v>0</v>
      </c>
      <c r="D112" s="63">
        <v>0</v>
      </c>
      <c r="E112" s="64">
        <v>0</v>
      </c>
      <c r="F112" s="63">
        <v>0</v>
      </c>
      <c r="G112" s="63">
        <v>0</v>
      </c>
      <c r="H112" s="65">
        <f t="shared" si="1"/>
        <v>0</v>
      </c>
      <c r="I112" s="65">
        <v>0</v>
      </c>
      <c r="J112" s="65">
        <v>0</v>
      </c>
      <c r="K112" s="65">
        <v>0</v>
      </c>
      <c r="L112" s="65">
        <v>0</v>
      </c>
      <c r="M112" s="63">
        <v>0</v>
      </c>
      <c r="N112" s="1"/>
      <c r="O112" s="65">
        <v>0</v>
      </c>
      <c r="P112" s="65">
        <v>0</v>
      </c>
    </row>
    <row r="113" spans="1:16" ht="16" hidden="1" customHeight="1" outlineLevel="1" x14ac:dyDescent="0.45">
      <c r="A113" s="29" t="s">
        <v>254</v>
      </c>
      <c r="B113" s="44">
        <v>0</v>
      </c>
      <c r="C113" s="63">
        <v>0</v>
      </c>
      <c r="D113" s="63">
        <v>0</v>
      </c>
      <c r="E113" s="64">
        <v>0</v>
      </c>
      <c r="F113" s="63">
        <v>0</v>
      </c>
      <c r="G113" s="63">
        <v>0</v>
      </c>
      <c r="H113" s="65">
        <f t="shared" si="1"/>
        <v>0</v>
      </c>
      <c r="I113" s="65">
        <v>0</v>
      </c>
      <c r="J113" s="65">
        <v>0</v>
      </c>
      <c r="K113" s="65">
        <v>0</v>
      </c>
      <c r="L113" s="65">
        <v>0</v>
      </c>
      <c r="M113" s="63">
        <v>0</v>
      </c>
      <c r="N113" s="1"/>
      <c r="O113" s="65">
        <v>0</v>
      </c>
      <c r="P113" s="65">
        <v>0</v>
      </c>
    </row>
    <row r="114" spans="1:16" ht="16" hidden="1" customHeight="1" outlineLevel="1" x14ac:dyDescent="0.45">
      <c r="A114" s="29" t="s">
        <v>269</v>
      </c>
      <c r="B114" s="44">
        <v>27071420</v>
      </c>
      <c r="C114" s="63">
        <v>27071420</v>
      </c>
      <c r="D114" s="63">
        <v>0</v>
      </c>
      <c r="E114" s="64">
        <v>0</v>
      </c>
      <c r="F114" s="63">
        <v>0</v>
      </c>
      <c r="G114" s="63">
        <v>0</v>
      </c>
      <c r="H114" s="65">
        <f t="shared" si="1"/>
        <v>0</v>
      </c>
      <c r="I114" s="65">
        <v>0</v>
      </c>
      <c r="J114" s="65">
        <v>0</v>
      </c>
      <c r="K114" s="65">
        <v>0</v>
      </c>
      <c r="L114" s="65">
        <v>0</v>
      </c>
      <c r="M114" s="63">
        <v>0</v>
      </c>
      <c r="N114" s="1"/>
      <c r="O114" s="65">
        <v>0</v>
      </c>
      <c r="P114" s="65">
        <v>0</v>
      </c>
    </row>
    <row r="115" spans="1:16" ht="16" customHeight="1" collapsed="1" x14ac:dyDescent="0.45">
      <c r="A115" s="28" t="s">
        <v>57</v>
      </c>
      <c r="B115" s="43">
        <v>53227118</v>
      </c>
      <c r="C115" s="60">
        <v>9679412</v>
      </c>
      <c r="D115" s="60">
        <v>4313600</v>
      </c>
      <c r="E115" s="61">
        <v>39234106</v>
      </c>
      <c r="F115" s="60">
        <v>18961227.36786215</v>
      </c>
      <c r="G115" s="60">
        <v>8800705.6321378499</v>
      </c>
      <c r="H115" s="62">
        <f t="shared" si="1"/>
        <v>928200</v>
      </c>
      <c r="I115" s="62">
        <v>173000</v>
      </c>
      <c r="J115" s="62">
        <v>173000</v>
      </c>
      <c r="K115" s="62">
        <v>1911878</v>
      </c>
      <c r="L115" s="62">
        <v>6760395</v>
      </c>
      <c r="M115" s="60">
        <v>1525700</v>
      </c>
      <c r="N115" s="1"/>
      <c r="O115" s="62">
        <v>928200</v>
      </c>
      <c r="P115" s="62">
        <v>0</v>
      </c>
    </row>
    <row r="116" spans="1:16" s="1" customFormat="1" ht="16" hidden="1" customHeight="1" outlineLevel="1" collapsed="1" x14ac:dyDescent="0.45">
      <c r="A116" s="29" t="s">
        <v>58</v>
      </c>
      <c r="B116" s="44">
        <v>30446408</v>
      </c>
      <c r="C116" s="63">
        <v>3456512</v>
      </c>
      <c r="D116" s="63">
        <v>1476600</v>
      </c>
      <c r="E116" s="64">
        <v>25513296</v>
      </c>
      <c r="F116" s="63">
        <v>12724045.476441571</v>
      </c>
      <c r="G116" s="63">
        <v>5816027.5235584294</v>
      </c>
      <c r="H116" s="65">
        <f t="shared" si="1"/>
        <v>54400</v>
      </c>
      <c r="I116" s="65">
        <v>0</v>
      </c>
      <c r="J116" s="65">
        <v>0</v>
      </c>
      <c r="K116" s="65">
        <v>1439878</v>
      </c>
      <c r="L116" s="65">
        <v>5042245</v>
      </c>
      <c r="M116" s="63">
        <v>436700</v>
      </c>
      <c r="O116" s="65">
        <v>54400</v>
      </c>
      <c r="P116" s="65">
        <v>0</v>
      </c>
    </row>
    <row r="117" spans="1:16" ht="16" hidden="1" customHeight="1" outlineLevel="1" x14ac:dyDescent="0.45">
      <c r="A117" s="29" t="s">
        <v>266</v>
      </c>
      <c r="B117" s="44">
        <v>256200</v>
      </c>
      <c r="C117" s="63">
        <v>0</v>
      </c>
      <c r="D117" s="63">
        <v>0</v>
      </c>
      <c r="E117" s="64">
        <v>256200</v>
      </c>
      <c r="F117" s="63">
        <v>127321.89142058018</v>
      </c>
      <c r="G117" s="63">
        <v>25678.108579419815</v>
      </c>
      <c r="H117" s="65">
        <f t="shared" si="1"/>
        <v>0</v>
      </c>
      <c r="I117" s="65">
        <v>0</v>
      </c>
      <c r="J117" s="65">
        <v>0</v>
      </c>
      <c r="K117" s="65">
        <v>0</v>
      </c>
      <c r="L117" s="65">
        <v>103200</v>
      </c>
      <c r="M117" s="63">
        <v>0</v>
      </c>
      <c r="N117" s="1"/>
      <c r="O117" s="65">
        <v>0</v>
      </c>
      <c r="P117" s="65">
        <v>0</v>
      </c>
    </row>
    <row r="118" spans="1:16" ht="16" hidden="1" customHeight="1" outlineLevel="1" x14ac:dyDescent="0.45">
      <c r="A118" s="29" t="s">
        <v>296</v>
      </c>
      <c r="B118" s="44">
        <v>0</v>
      </c>
      <c r="C118" s="63">
        <v>0</v>
      </c>
      <c r="D118" s="63">
        <v>0</v>
      </c>
      <c r="E118" s="64">
        <v>0</v>
      </c>
      <c r="F118" s="63">
        <v>0</v>
      </c>
      <c r="G118" s="63">
        <v>0</v>
      </c>
      <c r="H118" s="65">
        <f t="shared" si="1"/>
        <v>0</v>
      </c>
      <c r="I118" s="65">
        <v>0</v>
      </c>
      <c r="J118" s="65">
        <v>0</v>
      </c>
      <c r="K118" s="65">
        <v>0</v>
      </c>
      <c r="L118" s="65">
        <v>0</v>
      </c>
      <c r="M118" s="63">
        <v>0</v>
      </c>
      <c r="N118" s="1"/>
      <c r="O118" s="65">
        <v>0</v>
      </c>
      <c r="P118" s="65">
        <v>0</v>
      </c>
    </row>
    <row r="119" spans="1:16" ht="16" hidden="1" customHeight="1" outlineLevel="1" x14ac:dyDescent="0.45">
      <c r="A119" s="29" t="s">
        <v>270</v>
      </c>
      <c r="B119" s="44">
        <v>9946760</v>
      </c>
      <c r="C119" s="63">
        <v>1439900</v>
      </c>
      <c r="D119" s="63">
        <v>237000</v>
      </c>
      <c r="E119" s="64">
        <v>8269860</v>
      </c>
      <c r="F119" s="63">
        <v>5009860</v>
      </c>
      <c r="G119" s="63">
        <v>2559000</v>
      </c>
      <c r="H119" s="65">
        <f t="shared" si="1"/>
        <v>137000</v>
      </c>
      <c r="I119" s="65">
        <v>23000</v>
      </c>
      <c r="J119" s="65">
        <v>23000</v>
      </c>
      <c r="K119" s="65">
        <v>72000</v>
      </c>
      <c r="L119" s="65">
        <v>351000</v>
      </c>
      <c r="M119" s="63">
        <v>95000</v>
      </c>
      <c r="N119" s="1"/>
      <c r="O119" s="65">
        <v>137000</v>
      </c>
      <c r="P119" s="65">
        <v>0</v>
      </c>
    </row>
    <row r="120" spans="1:16" ht="16" hidden="1" customHeight="1" outlineLevel="1" x14ac:dyDescent="0.45">
      <c r="A120" s="29" t="s">
        <v>271</v>
      </c>
      <c r="B120" s="44">
        <v>1588000</v>
      </c>
      <c r="C120" s="63">
        <v>1588000</v>
      </c>
      <c r="D120" s="63">
        <v>0</v>
      </c>
      <c r="E120" s="64">
        <v>0</v>
      </c>
      <c r="F120" s="63">
        <v>0</v>
      </c>
      <c r="G120" s="63">
        <v>0</v>
      </c>
      <c r="H120" s="65">
        <f t="shared" si="1"/>
        <v>0</v>
      </c>
      <c r="I120" s="65">
        <v>0</v>
      </c>
      <c r="J120" s="65">
        <v>0</v>
      </c>
      <c r="K120" s="65">
        <v>0</v>
      </c>
      <c r="L120" s="65">
        <v>0</v>
      </c>
      <c r="M120" s="63">
        <v>0</v>
      </c>
      <c r="N120" s="1"/>
      <c r="O120" s="65">
        <v>0</v>
      </c>
      <c r="P120" s="65">
        <v>0</v>
      </c>
    </row>
    <row r="121" spans="1:16" ht="16" hidden="1" customHeight="1" outlineLevel="1" x14ac:dyDescent="0.45">
      <c r="A121" s="29" t="s">
        <v>297</v>
      </c>
      <c r="B121" s="44">
        <v>10989750</v>
      </c>
      <c r="C121" s="63">
        <v>3195000</v>
      </c>
      <c r="D121" s="63">
        <v>2600000</v>
      </c>
      <c r="E121" s="64">
        <v>5194750</v>
      </c>
      <c r="F121" s="63">
        <v>1100000</v>
      </c>
      <c r="G121" s="63">
        <v>400000</v>
      </c>
      <c r="H121" s="65">
        <f t="shared" si="1"/>
        <v>736800</v>
      </c>
      <c r="I121" s="65">
        <v>150000</v>
      </c>
      <c r="J121" s="65">
        <v>150000</v>
      </c>
      <c r="K121" s="65">
        <v>400000</v>
      </c>
      <c r="L121" s="65">
        <v>1263950</v>
      </c>
      <c r="M121" s="63">
        <v>994000</v>
      </c>
      <c r="N121" s="1"/>
      <c r="O121" s="65">
        <v>736800</v>
      </c>
      <c r="P121" s="65">
        <v>0</v>
      </c>
    </row>
    <row r="122" spans="1:16" s="1" customFormat="1" collapsed="1" x14ac:dyDescent="0.45">
      <c r="A122" s="28" t="s">
        <v>136</v>
      </c>
      <c r="B122" s="43">
        <v>13671000</v>
      </c>
      <c r="C122" s="60">
        <v>13071000</v>
      </c>
      <c r="D122" s="60">
        <v>0</v>
      </c>
      <c r="E122" s="61">
        <v>600000</v>
      </c>
      <c r="F122" s="60">
        <v>445212.90080752887</v>
      </c>
      <c r="G122" s="60">
        <v>54787.099192471127</v>
      </c>
      <c r="H122" s="62">
        <f t="shared" si="1"/>
        <v>0</v>
      </c>
      <c r="I122" s="62">
        <v>0</v>
      </c>
      <c r="J122" s="62">
        <v>0</v>
      </c>
      <c r="K122" s="62">
        <v>0</v>
      </c>
      <c r="L122" s="62">
        <v>100000</v>
      </c>
      <c r="M122" s="60">
        <v>0</v>
      </c>
      <c r="O122" s="62">
        <v>0</v>
      </c>
      <c r="P122" s="62">
        <v>0</v>
      </c>
    </row>
    <row r="123" spans="1:16" ht="16" hidden="1" customHeight="1" outlineLevel="1" x14ac:dyDescent="0.45">
      <c r="A123" s="29" t="s">
        <v>137</v>
      </c>
      <c r="B123" s="44">
        <v>0</v>
      </c>
      <c r="C123" s="63">
        <v>0</v>
      </c>
      <c r="D123" s="63">
        <v>0</v>
      </c>
      <c r="E123" s="64">
        <v>0</v>
      </c>
      <c r="F123" s="63">
        <v>0</v>
      </c>
      <c r="G123" s="63">
        <v>0</v>
      </c>
      <c r="H123" s="65">
        <f t="shared" si="1"/>
        <v>0</v>
      </c>
      <c r="I123" s="65">
        <v>0</v>
      </c>
      <c r="J123" s="65">
        <v>0</v>
      </c>
      <c r="K123" s="65">
        <v>0</v>
      </c>
      <c r="L123" s="65">
        <v>0</v>
      </c>
      <c r="M123" s="63">
        <v>0</v>
      </c>
      <c r="N123" s="1"/>
      <c r="O123" s="65">
        <v>0</v>
      </c>
      <c r="P123" s="65">
        <v>0</v>
      </c>
    </row>
    <row r="124" spans="1:16" ht="16" hidden="1" customHeight="1" outlineLevel="1" x14ac:dyDescent="0.45">
      <c r="A124" s="29" t="s">
        <v>191</v>
      </c>
      <c r="B124" s="44">
        <v>0</v>
      </c>
      <c r="C124" s="63">
        <v>0</v>
      </c>
      <c r="D124" s="63">
        <v>0</v>
      </c>
      <c r="E124" s="64">
        <v>0</v>
      </c>
      <c r="F124" s="63">
        <v>0</v>
      </c>
      <c r="G124" s="63">
        <v>0</v>
      </c>
      <c r="H124" s="65">
        <f t="shared" si="1"/>
        <v>0</v>
      </c>
      <c r="I124" s="65">
        <v>0</v>
      </c>
      <c r="J124" s="65">
        <v>0</v>
      </c>
      <c r="K124" s="65">
        <v>0</v>
      </c>
      <c r="L124" s="65">
        <v>0</v>
      </c>
      <c r="M124" s="63">
        <v>0</v>
      </c>
      <c r="N124" s="1"/>
      <c r="O124" s="65">
        <v>0</v>
      </c>
      <c r="P124" s="65">
        <v>0</v>
      </c>
    </row>
    <row r="125" spans="1:16" ht="16" hidden="1" customHeight="1" outlineLevel="1" x14ac:dyDescent="0.45">
      <c r="A125" s="29" t="s">
        <v>138</v>
      </c>
      <c r="B125" s="44">
        <v>13671000</v>
      </c>
      <c r="C125" s="63">
        <v>13071000</v>
      </c>
      <c r="D125" s="63">
        <v>0</v>
      </c>
      <c r="E125" s="64">
        <v>600000</v>
      </c>
      <c r="F125" s="63">
        <v>445212.90080752887</v>
      </c>
      <c r="G125" s="63">
        <v>54787.099192471127</v>
      </c>
      <c r="H125" s="65">
        <f t="shared" si="1"/>
        <v>0</v>
      </c>
      <c r="I125" s="65">
        <v>0</v>
      </c>
      <c r="J125" s="65">
        <v>0</v>
      </c>
      <c r="K125" s="65">
        <v>0</v>
      </c>
      <c r="L125" s="65">
        <v>100000</v>
      </c>
      <c r="M125" s="63">
        <v>0</v>
      </c>
      <c r="N125" s="1"/>
      <c r="O125" s="65">
        <v>0</v>
      </c>
      <c r="P125" s="65">
        <v>0</v>
      </c>
    </row>
    <row r="126" spans="1:16" s="1" customFormat="1" collapsed="1" x14ac:dyDescent="0.45">
      <c r="A126" s="28" t="s">
        <v>59</v>
      </c>
      <c r="B126" s="43">
        <v>73597349</v>
      </c>
      <c r="C126" s="60">
        <v>29169389</v>
      </c>
      <c r="D126" s="60">
        <v>1175821</v>
      </c>
      <c r="E126" s="61">
        <v>43252139</v>
      </c>
      <c r="F126" s="60">
        <v>14064015.040989053</v>
      </c>
      <c r="G126" s="60">
        <v>6936663.9590109475</v>
      </c>
      <c r="H126" s="62">
        <f t="shared" si="1"/>
        <v>7021244</v>
      </c>
      <c r="I126" s="62">
        <v>297473</v>
      </c>
      <c r="J126" s="62">
        <v>12411337</v>
      </c>
      <c r="K126" s="62">
        <v>1236630</v>
      </c>
      <c r="L126" s="62">
        <v>501234</v>
      </c>
      <c r="M126" s="60">
        <v>783542</v>
      </c>
      <c r="O126" s="62">
        <v>6810607</v>
      </c>
      <c r="P126" s="62">
        <v>210637</v>
      </c>
    </row>
    <row r="127" spans="1:16" ht="16" hidden="1" customHeight="1" outlineLevel="1" x14ac:dyDescent="0.45">
      <c r="A127" s="29" t="s">
        <v>60</v>
      </c>
      <c r="B127" s="44">
        <v>30168437</v>
      </c>
      <c r="C127" s="63">
        <v>12094700</v>
      </c>
      <c r="D127" s="63">
        <v>741791</v>
      </c>
      <c r="E127" s="64">
        <v>17331946</v>
      </c>
      <c r="F127" s="63">
        <v>9886705.3598002158</v>
      </c>
      <c r="G127" s="63">
        <v>6217383.6401997833</v>
      </c>
      <c r="H127" s="65">
        <f t="shared" si="1"/>
        <v>713475</v>
      </c>
      <c r="I127" s="65">
        <v>0</v>
      </c>
      <c r="J127" s="65">
        <v>0</v>
      </c>
      <c r="K127" s="65">
        <v>392308</v>
      </c>
      <c r="L127" s="65">
        <v>70744</v>
      </c>
      <c r="M127" s="63">
        <v>51330</v>
      </c>
      <c r="N127" s="1"/>
      <c r="O127" s="65">
        <v>692071</v>
      </c>
      <c r="P127" s="65">
        <v>21404</v>
      </c>
    </row>
    <row r="128" spans="1:16" ht="16" hidden="1" customHeight="1" outlineLevel="1" x14ac:dyDescent="0.45">
      <c r="A128" s="29" t="s">
        <v>61</v>
      </c>
      <c r="B128" s="44">
        <v>26715872</v>
      </c>
      <c r="C128" s="63">
        <v>11440281</v>
      </c>
      <c r="D128" s="63">
        <v>0</v>
      </c>
      <c r="E128" s="64">
        <v>15275591</v>
      </c>
      <c r="F128" s="63">
        <v>0</v>
      </c>
      <c r="G128" s="63">
        <v>0</v>
      </c>
      <c r="H128" s="65">
        <f t="shared" si="1"/>
        <v>2621573</v>
      </c>
      <c r="I128" s="65">
        <v>0</v>
      </c>
      <c r="J128" s="65">
        <v>11932744</v>
      </c>
      <c r="K128" s="65">
        <v>173297</v>
      </c>
      <c r="L128" s="65">
        <v>0</v>
      </c>
      <c r="M128" s="63">
        <v>547977</v>
      </c>
      <c r="N128" s="1"/>
      <c r="O128" s="65">
        <v>2542926</v>
      </c>
      <c r="P128" s="65">
        <v>78647</v>
      </c>
    </row>
    <row r="129" spans="1:16" ht="16" hidden="1" customHeight="1" outlineLevel="1" x14ac:dyDescent="0.45">
      <c r="A129" s="29" t="s">
        <v>62</v>
      </c>
      <c r="B129" s="44">
        <v>10606310</v>
      </c>
      <c r="C129" s="63">
        <v>5237168</v>
      </c>
      <c r="D129" s="63">
        <v>394790</v>
      </c>
      <c r="E129" s="64">
        <v>4974352</v>
      </c>
      <c r="F129" s="63">
        <v>0</v>
      </c>
      <c r="G129" s="63">
        <v>0</v>
      </c>
      <c r="H129" s="65">
        <f t="shared" si="1"/>
        <v>3658386</v>
      </c>
      <c r="I129" s="65">
        <v>276353</v>
      </c>
      <c r="J129" s="65">
        <v>276353</v>
      </c>
      <c r="K129" s="65">
        <v>579025</v>
      </c>
      <c r="L129" s="65">
        <v>0</v>
      </c>
      <c r="M129" s="63">
        <v>184235</v>
      </c>
      <c r="N129" s="1"/>
      <c r="O129" s="65">
        <v>3548635</v>
      </c>
      <c r="P129" s="65">
        <v>109751</v>
      </c>
    </row>
    <row r="130" spans="1:16" ht="16" hidden="1" customHeight="1" outlineLevel="1" x14ac:dyDescent="0.45">
      <c r="A130" s="29" t="s">
        <v>63</v>
      </c>
      <c r="B130" s="44">
        <v>6106730</v>
      </c>
      <c r="C130" s="63">
        <v>397240</v>
      </c>
      <c r="D130" s="63">
        <v>39240</v>
      </c>
      <c r="E130" s="64">
        <v>5670250</v>
      </c>
      <c r="F130" s="63">
        <v>4177309.6811888358</v>
      </c>
      <c r="G130" s="63">
        <v>719280.31881116412</v>
      </c>
      <c r="H130" s="65">
        <f t="shared" si="1"/>
        <v>27810</v>
      </c>
      <c r="I130" s="65">
        <v>21120</v>
      </c>
      <c r="J130" s="65">
        <v>202240</v>
      </c>
      <c r="K130" s="65">
        <v>92000</v>
      </c>
      <c r="L130" s="65">
        <v>430490</v>
      </c>
      <c r="M130" s="63">
        <v>0</v>
      </c>
      <c r="N130" s="1"/>
      <c r="O130" s="65">
        <v>26975</v>
      </c>
      <c r="P130" s="65">
        <v>835</v>
      </c>
    </row>
    <row r="131" spans="1:16" ht="16" hidden="1" customHeight="1" outlineLevel="1" x14ac:dyDescent="0.45">
      <c r="A131" s="24" t="s">
        <v>192</v>
      </c>
      <c r="B131" s="45">
        <v>0</v>
      </c>
      <c r="C131" s="63">
        <v>0</v>
      </c>
      <c r="D131" s="63">
        <v>0</v>
      </c>
      <c r="E131" s="64">
        <v>0</v>
      </c>
      <c r="F131" s="63">
        <v>0</v>
      </c>
      <c r="G131" s="63">
        <v>0</v>
      </c>
      <c r="H131" s="65">
        <f t="shared" si="1"/>
        <v>0</v>
      </c>
      <c r="I131" s="65">
        <v>0</v>
      </c>
      <c r="J131" s="65">
        <v>0</v>
      </c>
      <c r="K131" s="65">
        <v>0</v>
      </c>
      <c r="L131" s="65">
        <v>0</v>
      </c>
      <c r="M131" s="63">
        <v>0</v>
      </c>
      <c r="N131" s="1"/>
      <c r="O131" s="65">
        <v>0</v>
      </c>
      <c r="P131" s="65">
        <v>0</v>
      </c>
    </row>
    <row r="132" spans="1:16" ht="16" hidden="1" customHeight="1" outlineLevel="1" x14ac:dyDescent="0.45">
      <c r="A132" s="29" t="s">
        <v>193</v>
      </c>
      <c r="B132" s="44">
        <v>0</v>
      </c>
      <c r="C132" s="63">
        <v>0</v>
      </c>
      <c r="D132" s="63">
        <v>0</v>
      </c>
      <c r="E132" s="64">
        <v>0</v>
      </c>
      <c r="F132" s="63">
        <v>0</v>
      </c>
      <c r="G132" s="63">
        <v>0</v>
      </c>
      <c r="H132" s="65">
        <f t="shared" ref="H132:H195" si="2">O132+P132</f>
        <v>0</v>
      </c>
      <c r="I132" s="65">
        <v>0</v>
      </c>
      <c r="J132" s="65">
        <v>0</v>
      </c>
      <c r="K132" s="65">
        <v>0</v>
      </c>
      <c r="L132" s="65">
        <v>0</v>
      </c>
      <c r="M132" s="63">
        <v>0</v>
      </c>
      <c r="N132" s="1"/>
      <c r="O132" s="65">
        <v>0</v>
      </c>
      <c r="P132" s="65">
        <v>0</v>
      </c>
    </row>
    <row r="133" spans="1:16" s="1" customFormat="1" collapsed="1" x14ac:dyDescent="0.45">
      <c r="A133" s="28" t="s">
        <v>64</v>
      </c>
      <c r="B133" s="43">
        <v>58118793</v>
      </c>
      <c r="C133" s="60">
        <v>344206</v>
      </c>
      <c r="D133" s="60">
        <v>0</v>
      </c>
      <c r="E133" s="61">
        <v>57774587</v>
      </c>
      <c r="F133" s="60">
        <v>53000815.392673224</v>
      </c>
      <c r="G133" s="60">
        <v>4483399.6073267777</v>
      </c>
      <c r="H133" s="62">
        <f t="shared" si="2"/>
        <v>0</v>
      </c>
      <c r="I133" s="62">
        <v>0</v>
      </c>
      <c r="J133" s="62">
        <v>0</v>
      </c>
      <c r="K133" s="62">
        <v>0</v>
      </c>
      <c r="L133" s="62">
        <v>0</v>
      </c>
      <c r="M133" s="60">
        <v>290372</v>
      </c>
      <c r="O133" s="62">
        <v>0</v>
      </c>
      <c r="P133" s="62">
        <v>0</v>
      </c>
    </row>
    <row r="134" spans="1:16" ht="16" hidden="1" customHeight="1" outlineLevel="1" x14ac:dyDescent="0.45">
      <c r="A134" s="29" t="s">
        <v>65</v>
      </c>
      <c r="B134" s="44">
        <v>58118793</v>
      </c>
      <c r="C134" s="63">
        <v>344206</v>
      </c>
      <c r="D134" s="63">
        <v>0</v>
      </c>
      <c r="E134" s="64">
        <v>57774587</v>
      </c>
      <c r="F134" s="63">
        <v>53000815.392673224</v>
      </c>
      <c r="G134" s="63">
        <v>4483399.6073267777</v>
      </c>
      <c r="H134" s="65">
        <f t="shared" si="2"/>
        <v>0</v>
      </c>
      <c r="I134" s="65">
        <v>0</v>
      </c>
      <c r="J134" s="65">
        <v>0</v>
      </c>
      <c r="K134" s="65">
        <v>0</v>
      </c>
      <c r="L134" s="65">
        <v>0</v>
      </c>
      <c r="M134" s="63">
        <v>290372</v>
      </c>
      <c r="N134" s="1"/>
      <c r="O134" s="65">
        <v>0</v>
      </c>
      <c r="P134" s="65">
        <v>0</v>
      </c>
    </row>
    <row r="135" spans="1:16" ht="16" hidden="1" customHeight="1" outlineLevel="1" x14ac:dyDescent="0.45">
      <c r="A135" s="29" t="s">
        <v>261</v>
      </c>
      <c r="B135" s="44">
        <v>0</v>
      </c>
      <c r="C135" s="63">
        <v>0</v>
      </c>
      <c r="D135" s="63">
        <v>0</v>
      </c>
      <c r="E135" s="64">
        <v>0</v>
      </c>
      <c r="F135" s="63">
        <v>0</v>
      </c>
      <c r="G135" s="63">
        <v>0</v>
      </c>
      <c r="H135" s="65">
        <f t="shared" si="2"/>
        <v>0</v>
      </c>
      <c r="I135" s="65">
        <v>0</v>
      </c>
      <c r="J135" s="65">
        <v>0</v>
      </c>
      <c r="K135" s="65">
        <v>0</v>
      </c>
      <c r="L135" s="65">
        <v>0</v>
      </c>
      <c r="M135" s="63">
        <v>0</v>
      </c>
      <c r="N135" s="1"/>
      <c r="O135" s="65">
        <v>0</v>
      </c>
      <c r="P135" s="65">
        <v>0</v>
      </c>
    </row>
    <row r="136" spans="1:16" s="1" customFormat="1" collapsed="1" x14ac:dyDescent="0.45">
      <c r="A136" s="28" t="s">
        <v>139</v>
      </c>
      <c r="B136" s="43">
        <v>10674940</v>
      </c>
      <c r="C136" s="60">
        <v>10589360</v>
      </c>
      <c r="D136" s="60">
        <v>0</v>
      </c>
      <c r="E136" s="61">
        <v>85580</v>
      </c>
      <c r="F136" s="60">
        <v>85580</v>
      </c>
      <c r="G136" s="60">
        <v>0</v>
      </c>
      <c r="H136" s="62">
        <f t="shared" si="2"/>
        <v>0</v>
      </c>
      <c r="I136" s="62">
        <v>0</v>
      </c>
      <c r="J136" s="62">
        <v>0</v>
      </c>
      <c r="K136" s="62">
        <v>0</v>
      </c>
      <c r="L136" s="62">
        <v>0</v>
      </c>
      <c r="M136" s="60">
        <v>0</v>
      </c>
      <c r="O136" s="62">
        <v>0</v>
      </c>
      <c r="P136" s="62">
        <v>0</v>
      </c>
    </row>
    <row r="137" spans="1:16" ht="16" hidden="1" customHeight="1" outlineLevel="1" x14ac:dyDescent="0.45">
      <c r="A137" s="29" t="s">
        <v>140</v>
      </c>
      <c r="B137" s="43">
        <v>0</v>
      </c>
      <c r="C137" s="60">
        <v>0</v>
      </c>
      <c r="D137" s="60">
        <v>0</v>
      </c>
      <c r="E137" s="64">
        <v>0</v>
      </c>
      <c r="F137" s="63">
        <v>0</v>
      </c>
      <c r="G137" s="63">
        <v>0</v>
      </c>
      <c r="H137" s="65">
        <f t="shared" si="2"/>
        <v>0</v>
      </c>
      <c r="I137" s="65">
        <v>0</v>
      </c>
      <c r="J137" s="65">
        <v>0</v>
      </c>
      <c r="K137" s="65">
        <v>0</v>
      </c>
      <c r="L137" s="65">
        <v>0</v>
      </c>
      <c r="M137" s="63">
        <v>0</v>
      </c>
      <c r="N137" s="1"/>
      <c r="O137" s="65">
        <v>0</v>
      </c>
      <c r="P137" s="65">
        <v>0</v>
      </c>
    </row>
    <row r="138" spans="1:16" ht="16" hidden="1" customHeight="1" outlineLevel="1" x14ac:dyDescent="0.45">
      <c r="A138" s="29" t="s">
        <v>194</v>
      </c>
      <c r="B138" s="43">
        <v>0</v>
      </c>
      <c r="C138" s="60">
        <v>0</v>
      </c>
      <c r="D138" s="60">
        <v>0</v>
      </c>
      <c r="E138" s="64">
        <v>0</v>
      </c>
      <c r="F138" s="63">
        <v>0</v>
      </c>
      <c r="G138" s="63">
        <v>0</v>
      </c>
      <c r="H138" s="65">
        <f t="shared" si="2"/>
        <v>0</v>
      </c>
      <c r="I138" s="65">
        <v>0</v>
      </c>
      <c r="J138" s="65">
        <v>0</v>
      </c>
      <c r="K138" s="65">
        <v>0</v>
      </c>
      <c r="L138" s="65">
        <v>0</v>
      </c>
      <c r="M138" s="63">
        <v>0</v>
      </c>
      <c r="N138" s="1"/>
      <c r="O138" s="65">
        <v>0</v>
      </c>
      <c r="P138" s="65">
        <v>0</v>
      </c>
    </row>
    <row r="139" spans="1:16" ht="16" hidden="1" customHeight="1" outlineLevel="1" x14ac:dyDescent="0.45">
      <c r="A139" s="29" t="s">
        <v>195</v>
      </c>
      <c r="B139" s="44">
        <v>85580</v>
      </c>
      <c r="C139" s="63">
        <v>0</v>
      </c>
      <c r="D139" s="63">
        <v>0</v>
      </c>
      <c r="E139" s="64">
        <v>85580</v>
      </c>
      <c r="F139" s="63">
        <v>85580</v>
      </c>
      <c r="G139" s="63">
        <v>0</v>
      </c>
      <c r="H139" s="65">
        <f t="shared" si="2"/>
        <v>0</v>
      </c>
      <c r="I139" s="65">
        <v>0</v>
      </c>
      <c r="J139" s="65">
        <v>0</v>
      </c>
      <c r="K139" s="65">
        <v>0</v>
      </c>
      <c r="L139" s="65">
        <v>0</v>
      </c>
      <c r="M139" s="63">
        <v>0</v>
      </c>
      <c r="N139" s="1"/>
      <c r="O139" s="65">
        <v>0</v>
      </c>
      <c r="P139" s="65">
        <v>0</v>
      </c>
    </row>
    <row r="140" spans="1:16" ht="16" hidden="1" customHeight="1" outlineLevel="1" x14ac:dyDescent="0.45">
      <c r="A140" s="29" t="s">
        <v>141</v>
      </c>
      <c r="B140" s="44">
        <v>10589360</v>
      </c>
      <c r="C140" s="63">
        <v>10589360</v>
      </c>
      <c r="D140" s="63">
        <v>0</v>
      </c>
      <c r="E140" s="64">
        <v>0</v>
      </c>
      <c r="F140" s="63">
        <v>0</v>
      </c>
      <c r="G140" s="63">
        <v>0</v>
      </c>
      <c r="H140" s="65">
        <f t="shared" si="2"/>
        <v>0</v>
      </c>
      <c r="I140" s="65">
        <v>0</v>
      </c>
      <c r="J140" s="65">
        <v>0</v>
      </c>
      <c r="K140" s="65">
        <v>0</v>
      </c>
      <c r="L140" s="65">
        <v>0</v>
      </c>
      <c r="M140" s="63">
        <v>0</v>
      </c>
      <c r="N140" s="1"/>
      <c r="O140" s="65">
        <v>0</v>
      </c>
      <c r="P140" s="65">
        <v>0</v>
      </c>
    </row>
    <row r="141" spans="1:16" s="1" customFormat="1" collapsed="1" x14ac:dyDescent="0.45">
      <c r="A141" s="28" t="s">
        <v>66</v>
      </c>
      <c r="B141" s="43">
        <v>44014160</v>
      </c>
      <c r="C141" s="66">
        <v>329116</v>
      </c>
      <c r="D141" s="66">
        <v>0</v>
      </c>
      <c r="E141" s="61">
        <v>43685044</v>
      </c>
      <c r="F141" s="60">
        <v>11770441.201363422</v>
      </c>
      <c r="G141" s="60">
        <v>2914603.7986365771</v>
      </c>
      <c r="H141" s="62">
        <f t="shared" si="2"/>
        <v>0</v>
      </c>
      <c r="I141" s="62">
        <v>0</v>
      </c>
      <c r="J141" s="62">
        <v>0</v>
      </c>
      <c r="K141" s="62">
        <v>0</v>
      </c>
      <c r="L141" s="62">
        <v>0</v>
      </c>
      <c r="M141" s="60">
        <v>28999999</v>
      </c>
      <c r="O141" s="62">
        <v>0</v>
      </c>
      <c r="P141" s="62">
        <v>0</v>
      </c>
    </row>
    <row r="142" spans="1:16" s="1" customFormat="1" x14ac:dyDescent="0.45">
      <c r="A142" s="28" t="s">
        <v>67</v>
      </c>
      <c r="B142" s="43">
        <v>863685344</v>
      </c>
      <c r="C142" s="66">
        <v>169770960</v>
      </c>
      <c r="D142" s="66">
        <v>31638992</v>
      </c>
      <c r="E142" s="61">
        <v>662275392</v>
      </c>
      <c r="F142" s="60">
        <v>285018194.94211423</v>
      </c>
      <c r="G142" s="60">
        <v>263257137.05788577</v>
      </c>
      <c r="H142" s="62">
        <f t="shared" si="2"/>
        <v>42084356</v>
      </c>
      <c r="I142" s="62">
        <v>5079796</v>
      </c>
      <c r="J142" s="62">
        <v>5079796</v>
      </c>
      <c r="K142" s="62">
        <v>30933913</v>
      </c>
      <c r="L142" s="62">
        <v>23169349</v>
      </c>
      <c r="M142" s="60">
        <v>7652850</v>
      </c>
      <c r="O142" s="62">
        <v>40821825</v>
      </c>
      <c r="P142" s="62">
        <v>1262531</v>
      </c>
    </row>
    <row r="143" spans="1:16" ht="16" hidden="1" customHeight="1" outlineLevel="1" x14ac:dyDescent="0.45">
      <c r="A143" s="29" t="s">
        <v>68</v>
      </c>
      <c r="B143" s="44">
        <v>170796270</v>
      </c>
      <c r="C143" s="67">
        <v>10538270</v>
      </c>
      <c r="D143" s="67">
        <v>1330000</v>
      </c>
      <c r="E143" s="64">
        <v>158928000</v>
      </c>
      <c r="F143" s="63">
        <v>27379390.076436959</v>
      </c>
      <c r="G143" s="63">
        <v>118073609.92356305</v>
      </c>
      <c r="H143" s="65">
        <f t="shared" si="2"/>
        <v>0</v>
      </c>
      <c r="I143" s="65">
        <v>0</v>
      </c>
      <c r="J143" s="65">
        <v>0</v>
      </c>
      <c r="K143" s="65">
        <v>539000</v>
      </c>
      <c r="L143" s="65">
        <v>12936000</v>
      </c>
      <c r="M143" s="63">
        <v>0</v>
      </c>
      <c r="N143" s="1"/>
      <c r="O143" s="65">
        <v>0</v>
      </c>
      <c r="P143" s="65">
        <v>0</v>
      </c>
    </row>
    <row r="144" spans="1:16" ht="16" hidden="1" customHeight="1" outlineLevel="1" x14ac:dyDescent="0.45">
      <c r="A144" s="29" t="s">
        <v>196</v>
      </c>
      <c r="B144" s="44">
        <v>0</v>
      </c>
      <c r="C144" s="67">
        <v>0</v>
      </c>
      <c r="D144" s="67">
        <v>0</v>
      </c>
      <c r="E144" s="64">
        <v>0</v>
      </c>
      <c r="F144" s="63">
        <v>0</v>
      </c>
      <c r="G144" s="63">
        <v>0</v>
      </c>
      <c r="H144" s="65">
        <f t="shared" si="2"/>
        <v>0</v>
      </c>
      <c r="I144" s="65">
        <v>0</v>
      </c>
      <c r="J144" s="65">
        <v>0</v>
      </c>
      <c r="K144" s="65">
        <v>0</v>
      </c>
      <c r="L144" s="65">
        <v>0</v>
      </c>
      <c r="M144" s="63">
        <v>0</v>
      </c>
      <c r="N144" s="1"/>
      <c r="O144" s="65">
        <v>0</v>
      </c>
      <c r="P144" s="65">
        <v>0</v>
      </c>
    </row>
    <row r="145" spans="1:16" ht="16" hidden="1" customHeight="1" outlineLevel="1" x14ac:dyDescent="0.45">
      <c r="A145" s="29" t="s">
        <v>69</v>
      </c>
      <c r="B145" s="44">
        <v>347880430</v>
      </c>
      <c r="C145" s="67">
        <v>53336994</v>
      </c>
      <c r="D145" s="67">
        <v>17155067</v>
      </c>
      <c r="E145" s="64">
        <v>277388369</v>
      </c>
      <c r="F145" s="63">
        <v>95824198.944048285</v>
      </c>
      <c r="G145" s="63">
        <v>109193727.05595171</v>
      </c>
      <c r="H145" s="65">
        <f t="shared" si="2"/>
        <v>28593573</v>
      </c>
      <c r="I145" s="65">
        <v>3482165</v>
      </c>
      <c r="J145" s="65">
        <v>3482165</v>
      </c>
      <c r="K145" s="65">
        <v>25413920</v>
      </c>
      <c r="L145" s="65">
        <v>5398620</v>
      </c>
      <c r="M145" s="63">
        <v>6000000</v>
      </c>
      <c r="N145" s="1"/>
      <c r="O145" s="65">
        <v>27735766</v>
      </c>
      <c r="P145" s="65">
        <v>857807</v>
      </c>
    </row>
    <row r="146" spans="1:16" ht="16" hidden="1" customHeight="1" outlineLevel="1" x14ac:dyDescent="0.45">
      <c r="A146" s="29" t="s">
        <v>70</v>
      </c>
      <c r="B146" s="44">
        <v>264261844</v>
      </c>
      <c r="C146" s="67">
        <v>27454496</v>
      </c>
      <c r="D146" s="67">
        <v>12001125</v>
      </c>
      <c r="E146" s="64">
        <v>224806223</v>
      </c>
      <c r="F146" s="63">
        <v>160661805.92162898</v>
      </c>
      <c r="G146" s="63">
        <v>35989800.078371011</v>
      </c>
      <c r="H146" s="65">
        <f t="shared" si="2"/>
        <v>13490783</v>
      </c>
      <c r="I146" s="65">
        <v>1597631</v>
      </c>
      <c r="J146" s="65">
        <v>1597631</v>
      </c>
      <c r="K146" s="65">
        <v>4980993</v>
      </c>
      <c r="L146" s="65">
        <v>4834729</v>
      </c>
      <c r="M146" s="63">
        <v>1652850</v>
      </c>
      <c r="N146" s="1"/>
      <c r="O146" s="65">
        <v>13086059</v>
      </c>
      <c r="P146" s="65">
        <v>404724</v>
      </c>
    </row>
    <row r="147" spans="1:16" ht="16" hidden="1" customHeight="1" outlineLevel="1" x14ac:dyDescent="0.45">
      <c r="A147" s="29" t="s">
        <v>142</v>
      </c>
      <c r="B147" s="44">
        <v>80746800</v>
      </c>
      <c r="C147" s="63">
        <v>78441200</v>
      </c>
      <c r="D147" s="63">
        <v>1152800</v>
      </c>
      <c r="E147" s="64">
        <v>1152800</v>
      </c>
      <c r="F147" s="63">
        <v>1152800</v>
      </c>
      <c r="G147" s="63">
        <v>0</v>
      </c>
      <c r="H147" s="65">
        <f t="shared" si="2"/>
        <v>0</v>
      </c>
      <c r="I147" s="65">
        <v>0</v>
      </c>
      <c r="J147" s="65">
        <v>0</v>
      </c>
      <c r="K147" s="65">
        <v>0</v>
      </c>
      <c r="L147" s="65">
        <v>0</v>
      </c>
      <c r="M147" s="63">
        <v>0</v>
      </c>
      <c r="N147" s="1"/>
      <c r="O147" s="65">
        <v>0</v>
      </c>
      <c r="P147" s="65">
        <v>0</v>
      </c>
    </row>
    <row r="148" spans="1:16" ht="16" hidden="1" customHeight="1" outlineLevel="1" x14ac:dyDescent="0.45">
      <c r="A148" s="29" t="s">
        <v>197</v>
      </c>
      <c r="B148" s="44">
        <v>0</v>
      </c>
      <c r="C148" s="63">
        <v>0</v>
      </c>
      <c r="D148" s="63">
        <v>0</v>
      </c>
      <c r="E148" s="64">
        <v>0</v>
      </c>
      <c r="F148" s="63">
        <v>0</v>
      </c>
      <c r="G148" s="63">
        <v>0</v>
      </c>
      <c r="H148" s="65">
        <f t="shared" si="2"/>
        <v>0</v>
      </c>
      <c r="I148" s="65">
        <v>0</v>
      </c>
      <c r="J148" s="65">
        <v>0</v>
      </c>
      <c r="K148" s="65">
        <v>0</v>
      </c>
      <c r="L148" s="65">
        <v>0</v>
      </c>
      <c r="M148" s="63">
        <v>0</v>
      </c>
      <c r="N148" s="1"/>
      <c r="O148" s="65">
        <v>0</v>
      </c>
      <c r="P148" s="65">
        <v>0</v>
      </c>
    </row>
    <row r="149" spans="1:16" ht="16" hidden="1" customHeight="1" outlineLevel="1" x14ac:dyDescent="0.45">
      <c r="A149" s="29" t="s">
        <v>262</v>
      </c>
      <c r="B149" s="44">
        <v>0</v>
      </c>
      <c r="C149" s="63">
        <v>0</v>
      </c>
      <c r="D149" s="63">
        <v>0</v>
      </c>
      <c r="E149" s="64">
        <v>0</v>
      </c>
      <c r="F149" s="63">
        <v>0</v>
      </c>
      <c r="G149" s="63">
        <v>0</v>
      </c>
      <c r="H149" s="65">
        <f t="shared" si="2"/>
        <v>0</v>
      </c>
      <c r="I149" s="65">
        <v>0</v>
      </c>
      <c r="J149" s="65">
        <v>0</v>
      </c>
      <c r="K149" s="65">
        <v>0</v>
      </c>
      <c r="L149" s="65">
        <v>0</v>
      </c>
      <c r="M149" s="63">
        <v>0</v>
      </c>
      <c r="N149" s="1"/>
      <c r="O149" s="65">
        <v>0</v>
      </c>
      <c r="P149" s="65">
        <v>0</v>
      </c>
    </row>
    <row r="150" spans="1:16" ht="16" hidden="1" customHeight="1" outlineLevel="1" x14ac:dyDescent="0.45">
      <c r="A150" s="29" t="s">
        <v>263</v>
      </c>
      <c r="B150" s="44">
        <v>0</v>
      </c>
      <c r="C150" s="63">
        <v>0</v>
      </c>
      <c r="D150" s="63">
        <v>0</v>
      </c>
      <c r="E150" s="64">
        <v>0</v>
      </c>
      <c r="F150" s="63">
        <v>0</v>
      </c>
      <c r="G150" s="63">
        <v>0</v>
      </c>
      <c r="H150" s="65">
        <f t="shared" si="2"/>
        <v>0</v>
      </c>
      <c r="I150" s="65">
        <v>0</v>
      </c>
      <c r="J150" s="65">
        <v>0</v>
      </c>
      <c r="K150" s="65">
        <v>0</v>
      </c>
      <c r="L150" s="65">
        <v>0</v>
      </c>
      <c r="M150" s="63">
        <v>0</v>
      </c>
      <c r="N150" s="1"/>
      <c r="O150" s="65">
        <v>0</v>
      </c>
      <c r="P150" s="65">
        <v>0</v>
      </c>
    </row>
    <row r="151" spans="1:16" s="1" customFormat="1" collapsed="1" x14ac:dyDescent="0.45">
      <c r="A151" s="28" t="s">
        <v>71</v>
      </c>
      <c r="B151" s="43">
        <v>68556836</v>
      </c>
      <c r="C151" s="60">
        <v>68556836</v>
      </c>
      <c r="D151" s="60">
        <v>0</v>
      </c>
      <c r="E151" s="61">
        <v>0</v>
      </c>
      <c r="F151" s="60">
        <v>0</v>
      </c>
      <c r="G151" s="60">
        <v>0</v>
      </c>
      <c r="H151" s="62">
        <f t="shared" si="2"/>
        <v>0</v>
      </c>
      <c r="I151" s="62">
        <v>0</v>
      </c>
      <c r="J151" s="62">
        <v>0</v>
      </c>
      <c r="K151" s="62">
        <v>0</v>
      </c>
      <c r="L151" s="62">
        <v>0</v>
      </c>
      <c r="M151" s="60">
        <v>0</v>
      </c>
      <c r="O151" s="62">
        <v>0</v>
      </c>
      <c r="P151" s="62">
        <v>0</v>
      </c>
    </row>
    <row r="152" spans="1:16" ht="16" hidden="1" customHeight="1" outlineLevel="1" x14ac:dyDescent="0.45">
      <c r="A152" s="29" t="s">
        <v>143</v>
      </c>
      <c r="B152" s="44">
        <v>353900</v>
      </c>
      <c r="C152" s="63">
        <v>353900</v>
      </c>
      <c r="D152" s="63">
        <v>0</v>
      </c>
      <c r="E152" s="64">
        <v>0</v>
      </c>
      <c r="F152" s="63">
        <v>0</v>
      </c>
      <c r="G152" s="63">
        <v>0</v>
      </c>
      <c r="H152" s="65">
        <f t="shared" si="2"/>
        <v>0</v>
      </c>
      <c r="I152" s="65">
        <v>0</v>
      </c>
      <c r="J152" s="65">
        <v>0</v>
      </c>
      <c r="K152" s="65">
        <v>0</v>
      </c>
      <c r="L152" s="65">
        <v>0</v>
      </c>
      <c r="M152" s="63">
        <v>0</v>
      </c>
      <c r="N152" s="1"/>
      <c r="O152" s="65">
        <v>0</v>
      </c>
      <c r="P152" s="65">
        <v>0</v>
      </c>
    </row>
    <row r="153" spans="1:16" ht="16" hidden="1" customHeight="1" outlineLevel="1" x14ac:dyDescent="0.45">
      <c r="A153" s="29" t="s">
        <v>72</v>
      </c>
      <c r="B153" s="44">
        <v>13654961</v>
      </c>
      <c r="C153" s="63">
        <v>13654961</v>
      </c>
      <c r="D153" s="63">
        <v>0</v>
      </c>
      <c r="E153" s="64">
        <v>0</v>
      </c>
      <c r="F153" s="63">
        <v>0</v>
      </c>
      <c r="G153" s="63">
        <v>0</v>
      </c>
      <c r="H153" s="65">
        <f t="shared" si="2"/>
        <v>0</v>
      </c>
      <c r="I153" s="65">
        <v>0</v>
      </c>
      <c r="J153" s="65">
        <v>0</v>
      </c>
      <c r="K153" s="65">
        <v>0</v>
      </c>
      <c r="L153" s="65">
        <v>0</v>
      </c>
      <c r="M153" s="63">
        <v>0</v>
      </c>
      <c r="N153" s="1"/>
      <c r="O153" s="65">
        <v>0</v>
      </c>
      <c r="P153" s="65">
        <v>0</v>
      </c>
    </row>
    <row r="154" spans="1:16" ht="16" hidden="1" customHeight="1" outlineLevel="1" x14ac:dyDescent="0.45">
      <c r="A154" s="29" t="s">
        <v>144</v>
      </c>
      <c r="B154" s="44">
        <v>54547975</v>
      </c>
      <c r="C154" s="63">
        <v>54547975</v>
      </c>
      <c r="D154" s="63">
        <v>0</v>
      </c>
      <c r="E154" s="64">
        <v>0</v>
      </c>
      <c r="F154" s="63">
        <v>0</v>
      </c>
      <c r="G154" s="63">
        <v>0</v>
      </c>
      <c r="H154" s="65">
        <f t="shared" si="2"/>
        <v>0</v>
      </c>
      <c r="I154" s="65">
        <v>0</v>
      </c>
      <c r="J154" s="65">
        <v>0</v>
      </c>
      <c r="K154" s="65">
        <v>0</v>
      </c>
      <c r="L154" s="65">
        <v>0</v>
      </c>
      <c r="M154" s="63">
        <v>0</v>
      </c>
      <c r="N154" s="1"/>
      <c r="O154" s="65">
        <v>0</v>
      </c>
      <c r="P154" s="65">
        <v>0</v>
      </c>
    </row>
    <row r="155" spans="1:16" ht="16" hidden="1" customHeight="1" outlineLevel="1" x14ac:dyDescent="0.45">
      <c r="A155" s="29" t="s">
        <v>145</v>
      </c>
      <c r="B155" s="44">
        <v>0</v>
      </c>
      <c r="C155" s="63">
        <v>0</v>
      </c>
      <c r="D155" s="63">
        <v>0</v>
      </c>
      <c r="E155" s="64">
        <v>0</v>
      </c>
      <c r="F155" s="63">
        <v>0</v>
      </c>
      <c r="G155" s="63">
        <v>0</v>
      </c>
      <c r="H155" s="65">
        <f t="shared" si="2"/>
        <v>0</v>
      </c>
      <c r="I155" s="65">
        <v>0</v>
      </c>
      <c r="J155" s="65">
        <v>0</v>
      </c>
      <c r="K155" s="65">
        <v>0</v>
      </c>
      <c r="L155" s="65">
        <v>0</v>
      </c>
      <c r="M155" s="63">
        <v>0</v>
      </c>
      <c r="N155" s="1"/>
      <c r="O155" s="65">
        <v>0</v>
      </c>
      <c r="P155" s="65">
        <v>0</v>
      </c>
    </row>
    <row r="156" spans="1:16" s="1" customFormat="1" collapsed="1" x14ac:dyDescent="0.45">
      <c r="A156" s="28" t="s">
        <v>73</v>
      </c>
      <c r="B156" s="43">
        <v>101903395</v>
      </c>
      <c r="C156" s="60">
        <v>8656512</v>
      </c>
      <c r="D156" s="60">
        <v>1631690</v>
      </c>
      <c r="E156" s="61">
        <v>91615193</v>
      </c>
      <c r="F156" s="60">
        <v>16140964.980325818</v>
      </c>
      <c r="G156" s="60">
        <v>47462378.704773769</v>
      </c>
      <c r="H156" s="62">
        <f t="shared" si="2"/>
        <v>826545.31490041211</v>
      </c>
      <c r="I156" s="62">
        <v>433497.50841224496</v>
      </c>
      <c r="J156" s="62">
        <v>932024.70023002126</v>
      </c>
      <c r="K156" s="62">
        <v>3867359.5856879274</v>
      </c>
      <c r="L156" s="62">
        <v>21852922.205669805</v>
      </c>
      <c r="M156" s="60">
        <v>99500</v>
      </c>
      <c r="O156" s="62">
        <v>823060.62672829675</v>
      </c>
      <c r="P156" s="62">
        <v>3484.6881721154109</v>
      </c>
    </row>
    <row r="157" spans="1:16" ht="16" hidden="1" customHeight="1" outlineLevel="1" x14ac:dyDescent="0.45">
      <c r="A157" s="29" t="s">
        <v>74</v>
      </c>
      <c r="B157" s="44">
        <v>28792880</v>
      </c>
      <c r="C157" s="63">
        <v>4549240</v>
      </c>
      <c r="D157" s="63">
        <v>326400</v>
      </c>
      <c r="E157" s="64">
        <v>23917240</v>
      </c>
      <c r="F157" s="63">
        <v>5715099.141841827</v>
      </c>
      <c r="G157" s="63">
        <v>13696190.858158173</v>
      </c>
      <c r="H157" s="65">
        <f t="shared" si="2"/>
        <v>130100</v>
      </c>
      <c r="I157" s="65">
        <v>200379.44221289436</v>
      </c>
      <c r="J157" s="65">
        <v>451102.72343420697</v>
      </c>
      <c r="K157" s="65">
        <v>937495.76358297514</v>
      </c>
      <c r="L157" s="65">
        <v>2687372.0707699237</v>
      </c>
      <c r="M157" s="63">
        <v>99500</v>
      </c>
      <c r="N157" s="1"/>
      <c r="O157" s="65">
        <v>130100</v>
      </c>
      <c r="P157" s="65">
        <v>0</v>
      </c>
    </row>
    <row r="158" spans="1:16" ht="16" hidden="1" customHeight="1" outlineLevel="1" x14ac:dyDescent="0.45">
      <c r="A158" s="29" t="s">
        <v>75</v>
      </c>
      <c r="B158" s="44">
        <v>9224501</v>
      </c>
      <c r="C158" s="63">
        <v>2169203</v>
      </c>
      <c r="D158" s="63">
        <v>1220290</v>
      </c>
      <c r="E158" s="64">
        <v>5835008</v>
      </c>
      <c r="F158" s="63">
        <v>3693901.5361422673</v>
      </c>
      <c r="G158" s="63">
        <v>670661.14895732084</v>
      </c>
      <c r="H158" s="65">
        <f t="shared" si="2"/>
        <v>696445.31490041211</v>
      </c>
      <c r="I158" s="65">
        <v>180118.06619935064</v>
      </c>
      <c r="J158" s="65">
        <v>179096.97679581432</v>
      </c>
      <c r="K158" s="65">
        <v>387894.82210495218</v>
      </c>
      <c r="L158" s="65">
        <v>26890.134899882851</v>
      </c>
      <c r="M158" s="63">
        <v>0</v>
      </c>
      <c r="N158" s="1"/>
      <c r="O158" s="65">
        <v>692960.62672829675</v>
      </c>
      <c r="P158" s="65">
        <v>3484.6881721154109</v>
      </c>
    </row>
    <row r="159" spans="1:16" ht="16" hidden="1" customHeight="1" outlineLevel="1" x14ac:dyDescent="0.45">
      <c r="A159" s="29" t="s">
        <v>76</v>
      </c>
      <c r="B159" s="44">
        <v>22382510</v>
      </c>
      <c r="C159" s="63">
        <v>465000</v>
      </c>
      <c r="D159" s="63">
        <v>85000</v>
      </c>
      <c r="E159" s="64">
        <v>21832510</v>
      </c>
      <c r="F159" s="63">
        <v>2151312.3552056598</v>
      </c>
      <c r="G159" s="63">
        <v>1784408.6447943402</v>
      </c>
      <c r="H159" s="65">
        <f t="shared" si="2"/>
        <v>0</v>
      </c>
      <c r="I159" s="65">
        <v>53000</v>
      </c>
      <c r="J159" s="65">
        <v>301825</v>
      </c>
      <c r="K159" s="65">
        <v>2389881</v>
      </c>
      <c r="L159" s="65">
        <v>15152083</v>
      </c>
      <c r="M159" s="63">
        <v>0</v>
      </c>
      <c r="N159" s="1"/>
      <c r="O159" s="65">
        <v>0</v>
      </c>
      <c r="P159" s="65">
        <v>0</v>
      </c>
    </row>
    <row r="160" spans="1:16" ht="16" hidden="1" customHeight="1" outlineLevel="1" x14ac:dyDescent="0.45">
      <c r="A160" s="29" t="s">
        <v>77</v>
      </c>
      <c r="B160" s="44">
        <v>41503504</v>
      </c>
      <c r="C160" s="63">
        <v>1473069</v>
      </c>
      <c r="D160" s="63">
        <v>0</v>
      </c>
      <c r="E160" s="64">
        <v>40030435</v>
      </c>
      <c r="F160" s="63">
        <v>4580651.9471360631</v>
      </c>
      <c r="G160" s="63">
        <v>31311118.052863937</v>
      </c>
      <c r="H160" s="65">
        <f t="shared" si="2"/>
        <v>0</v>
      </c>
      <c r="I160" s="65">
        <v>0</v>
      </c>
      <c r="J160" s="65">
        <v>0</v>
      </c>
      <c r="K160" s="65">
        <v>152088</v>
      </c>
      <c r="L160" s="65">
        <v>3986577</v>
      </c>
      <c r="M160" s="63">
        <v>0</v>
      </c>
      <c r="N160" s="1"/>
      <c r="O160" s="65">
        <v>0</v>
      </c>
      <c r="P160" s="65">
        <v>0</v>
      </c>
    </row>
    <row r="161" spans="1:16" ht="16" hidden="1" customHeight="1" outlineLevel="1" x14ac:dyDescent="0.45">
      <c r="A161" s="29" t="s">
        <v>198</v>
      </c>
      <c r="B161" s="44">
        <v>0</v>
      </c>
      <c r="C161" s="63">
        <v>0</v>
      </c>
      <c r="D161" s="63">
        <v>0</v>
      </c>
      <c r="E161" s="64">
        <v>0</v>
      </c>
      <c r="F161" s="63">
        <v>0</v>
      </c>
      <c r="G161" s="63">
        <v>0</v>
      </c>
      <c r="H161" s="65">
        <f t="shared" si="2"/>
        <v>0</v>
      </c>
      <c r="I161" s="65">
        <v>0</v>
      </c>
      <c r="J161" s="65">
        <v>0</v>
      </c>
      <c r="K161" s="65">
        <v>0</v>
      </c>
      <c r="L161" s="65">
        <v>0</v>
      </c>
      <c r="M161" s="63">
        <v>0</v>
      </c>
      <c r="N161" s="1"/>
      <c r="O161" s="65">
        <v>0</v>
      </c>
      <c r="P161" s="65">
        <v>0</v>
      </c>
    </row>
    <row r="162" spans="1:16" ht="16" hidden="1" customHeight="1" outlineLevel="1" x14ac:dyDescent="0.45">
      <c r="A162" s="24" t="s">
        <v>199</v>
      </c>
      <c r="B162" s="45">
        <v>0</v>
      </c>
      <c r="C162" s="63">
        <v>0</v>
      </c>
      <c r="D162" s="63">
        <v>0</v>
      </c>
      <c r="E162" s="64">
        <v>0</v>
      </c>
      <c r="F162" s="63">
        <v>0</v>
      </c>
      <c r="G162" s="63">
        <v>0</v>
      </c>
      <c r="H162" s="65">
        <f t="shared" si="2"/>
        <v>0</v>
      </c>
      <c r="I162" s="65">
        <v>0</v>
      </c>
      <c r="J162" s="65">
        <v>0</v>
      </c>
      <c r="K162" s="65">
        <v>0</v>
      </c>
      <c r="L162" s="65">
        <v>0</v>
      </c>
      <c r="M162" s="63">
        <v>0</v>
      </c>
      <c r="N162" s="1"/>
      <c r="O162" s="65">
        <v>0</v>
      </c>
      <c r="P162" s="65">
        <v>0</v>
      </c>
    </row>
    <row r="163" spans="1:16" ht="16" hidden="1" customHeight="1" outlineLevel="1" x14ac:dyDescent="0.45">
      <c r="A163" s="30" t="s">
        <v>200</v>
      </c>
      <c r="B163" s="46">
        <v>0</v>
      </c>
      <c r="C163" s="63">
        <v>0</v>
      </c>
      <c r="D163" s="63">
        <v>0</v>
      </c>
      <c r="E163" s="64">
        <v>0</v>
      </c>
      <c r="F163" s="63">
        <v>0</v>
      </c>
      <c r="G163" s="63">
        <v>0</v>
      </c>
      <c r="H163" s="65">
        <f t="shared" si="2"/>
        <v>0</v>
      </c>
      <c r="I163" s="65">
        <v>0</v>
      </c>
      <c r="J163" s="65">
        <v>0</v>
      </c>
      <c r="K163" s="65">
        <v>0</v>
      </c>
      <c r="L163" s="65">
        <v>0</v>
      </c>
      <c r="M163" s="63">
        <v>0</v>
      </c>
      <c r="N163" s="1"/>
      <c r="O163" s="65">
        <v>0</v>
      </c>
      <c r="P163" s="65">
        <v>0</v>
      </c>
    </row>
    <row r="164" spans="1:16" s="1" customFormat="1" collapsed="1" x14ac:dyDescent="0.45">
      <c r="A164" s="28" t="s">
        <v>78</v>
      </c>
      <c r="B164" s="43">
        <v>324585440</v>
      </c>
      <c r="C164" s="60">
        <v>-101675374</v>
      </c>
      <c r="D164" s="60">
        <v>104016374</v>
      </c>
      <c r="E164" s="61">
        <v>322244440</v>
      </c>
      <c r="F164" s="60">
        <v>190691184</v>
      </c>
      <c r="G164" s="60">
        <v>72904834</v>
      </c>
      <c r="H164" s="62">
        <f t="shared" si="2"/>
        <v>41387809</v>
      </c>
      <c r="I164" s="62">
        <v>1076327.5</v>
      </c>
      <c r="J164" s="62">
        <v>1076327.5</v>
      </c>
      <c r="K164" s="62">
        <v>5466766</v>
      </c>
      <c r="L164" s="62">
        <v>0</v>
      </c>
      <c r="M164" s="60">
        <v>9641192</v>
      </c>
      <c r="O164" s="62">
        <v>40146175</v>
      </c>
      <c r="P164" s="62">
        <v>1241634</v>
      </c>
    </row>
    <row r="165" spans="1:16" ht="16" hidden="1" customHeight="1" outlineLevel="1" x14ac:dyDescent="0.45">
      <c r="A165" s="30" t="s">
        <v>201</v>
      </c>
      <c r="B165" s="46">
        <v>0</v>
      </c>
      <c r="C165" s="63">
        <v>0</v>
      </c>
      <c r="D165" s="63">
        <v>0</v>
      </c>
      <c r="E165" s="64">
        <v>0</v>
      </c>
      <c r="F165" s="63">
        <v>0</v>
      </c>
      <c r="G165" s="63">
        <v>0</v>
      </c>
      <c r="H165" s="65">
        <f t="shared" si="2"/>
        <v>0</v>
      </c>
      <c r="I165" s="65">
        <v>0</v>
      </c>
      <c r="J165" s="65">
        <v>0</v>
      </c>
      <c r="K165" s="65">
        <v>0</v>
      </c>
      <c r="L165" s="65">
        <v>0</v>
      </c>
      <c r="M165" s="63">
        <v>0</v>
      </c>
      <c r="N165" s="1"/>
      <c r="O165" s="65">
        <v>0</v>
      </c>
      <c r="P165" s="65">
        <v>0</v>
      </c>
    </row>
    <row r="166" spans="1:16" ht="16" hidden="1" customHeight="1" outlineLevel="1" x14ac:dyDescent="0.45">
      <c r="A166" s="29" t="s">
        <v>79</v>
      </c>
      <c r="B166" s="44">
        <v>324585440</v>
      </c>
      <c r="C166" s="63">
        <v>-101675374</v>
      </c>
      <c r="D166" s="63">
        <v>104016374</v>
      </c>
      <c r="E166" s="64">
        <v>322244440</v>
      </c>
      <c r="F166" s="63">
        <v>190691184</v>
      </c>
      <c r="G166" s="63">
        <v>72904834</v>
      </c>
      <c r="H166" s="65">
        <f t="shared" si="2"/>
        <v>41387809</v>
      </c>
      <c r="I166" s="65">
        <v>1076327.5</v>
      </c>
      <c r="J166" s="65">
        <v>1076327.5</v>
      </c>
      <c r="K166" s="65">
        <v>5466766</v>
      </c>
      <c r="L166" s="65">
        <v>0</v>
      </c>
      <c r="M166" s="63">
        <v>9641192</v>
      </c>
      <c r="N166" s="1"/>
      <c r="O166" s="65">
        <v>40146175</v>
      </c>
      <c r="P166" s="65">
        <v>1241634</v>
      </c>
    </row>
    <row r="167" spans="1:16" ht="16" hidden="1" customHeight="1" outlineLevel="1" x14ac:dyDescent="0.45">
      <c r="A167" s="29" t="s">
        <v>202</v>
      </c>
      <c r="B167" s="44">
        <v>0</v>
      </c>
      <c r="C167" s="63">
        <v>0</v>
      </c>
      <c r="D167" s="63">
        <v>0</v>
      </c>
      <c r="E167" s="64">
        <v>0</v>
      </c>
      <c r="F167" s="63">
        <v>0</v>
      </c>
      <c r="G167" s="63">
        <v>0</v>
      </c>
      <c r="H167" s="65">
        <f t="shared" si="2"/>
        <v>0</v>
      </c>
      <c r="I167" s="65">
        <v>0</v>
      </c>
      <c r="J167" s="65">
        <v>0</v>
      </c>
      <c r="K167" s="65">
        <v>0</v>
      </c>
      <c r="L167" s="65">
        <v>0</v>
      </c>
      <c r="M167" s="63">
        <v>0</v>
      </c>
      <c r="N167" s="1"/>
      <c r="O167" s="65">
        <v>0</v>
      </c>
      <c r="P167" s="65">
        <v>0</v>
      </c>
    </row>
    <row r="168" spans="1:16" ht="16" hidden="1" customHeight="1" outlineLevel="1" x14ac:dyDescent="0.45">
      <c r="A168" s="29" t="s">
        <v>203</v>
      </c>
      <c r="B168" s="44">
        <v>0</v>
      </c>
      <c r="C168" s="63">
        <v>0</v>
      </c>
      <c r="D168" s="63">
        <v>0</v>
      </c>
      <c r="E168" s="64">
        <v>0</v>
      </c>
      <c r="F168" s="63">
        <v>0</v>
      </c>
      <c r="G168" s="63">
        <v>0</v>
      </c>
      <c r="H168" s="65">
        <f t="shared" si="2"/>
        <v>0</v>
      </c>
      <c r="I168" s="65">
        <v>0</v>
      </c>
      <c r="J168" s="65">
        <v>0</v>
      </c>
      <c r="K168" s="65">
        <v>0</v>
      </c>
      <c r="L168" s="65">
        <v>0</v>
      </c>
      <c r="M168" s="63">
        <v>0</v>
      </c>
      <c r="N168" s="1"/>
      <c r="O168" s="65">
        <v>0</v>
      </c>
      <c r="P168" s="65">
        <v>0</v>
      </c>
    </row>
    <row r="169" spans="1:16" ht="16" hidden="1" customHeight="1" outlineLevel="1" x14ac:dyDescent="0.45">
      <c r="A169" s="29" t="s">
        <v>204</v>
      </c>
      <c r="B169" s="44">
        <v>0</v>
      </c>
      <c r="C169" s="63">
        <v>0</v>
      </c>
      <c r="D169" s="63">
        <v>0</v>
      </c>
      <c r="E169" s="64">
        <v>0</v>
      </c>
      <c r="F169" s="63">
        <v>0</v>
      </c>
      <c r="G169" s="63">
        <v>0</v>
      </c>
      <c r="H169" s="65">
        <f t="shared" si="2"/>
        <v>0</v>
      </c>
      <c r="I169" s="65">
        <v>0</v>
      </c>
      <c r="J169" s="65">
        <v>0</v>
      </c>
      <c r="K169" s="65">
        <v>0</v>
      </c>
      <c r="L169" s="65">
        <v>0</v>
      </c>
      <c r="M169" s="63">
        <v>0</v>
      </c>
      <c r="N169" s="1"/>
      <c r="O169" s="65">
        <v>0</v>
      </c>
      <c r="P169" s="65">
        <v>0</v>
      </c>
    </row>
    <row r="170" spans="1:16" ht="16" hidden="1" customHeight="1" outlineLevel="1" x14ac:dyDescent="0.45">
      <c r="A170" s="30" t="s">
        <v>205</v>
      </c>
      <c r="B170" s="46">
        <v>0</v>
      </c>
      <c r="C170" s="63">
        <v>0</v>
      </c>
      <c r="D170" s="63">
        <v>0</v>
      </c>
      <c r="E170" s="64">
        <v>0</v>
      </c>
      <c r="F170" s="63">
        <v>0</v>
      </c>
      <c r="G170" s="63">
        <v>0</v>
      </c>
      <c r="H170" s="65">
        <f t="shared" si="2"/>
        <v>0</v>
      </c>
      <c r="I170" s="65">
        <v>0</v>
      </c>
      <c r="J170" s="65">
        <v>0</v>
      </c>
      <c r="K170" s="65">
        <v>0</v>
      </c>
      <c r="L170" s="65">
        <v>0</v>
      </c>
      <c r="M170" s="63">
        <v>0</v>
      </c>
      <c r="N170" s="1"/>
      <c r="O170" s="65">
        <v>0</v>
      </c>
      <c r="P170" s="65">
        <v>0</v>
      </c>
    </row>
    <row r="171" spans="1:16" s="1" customFormat="1" ht="16" hidden="1" customHeight="1" outlineLevel="1" collapsed="1" x14ac:dyDescent="0.45">
      <c r="A171" s="28" t="s">
        <v>80</v>
      </c>
      <c r="B171" s="43">
        <v>27213749</v>
      </c>
      <c r="C171" s="60">
        <v>17440271</v>
      </c>
      <c r="D171" s="60">
        <v>3408881</v>
      </c>
      <c r="E171" s="61">
        <v>6364597</v>
      </c>
      <c r="F171" s="60">
        <v>2576195</v>
      </c>
      <c r="G171" s="60">
        <v>1977643</v>
      </c>
      <c r="H171" s="62">
        <f t="shared" si="2"/>
        <v>900000</v>
      </c>
      <c r="I171" s="62">
        <v>0</v>
      </c>
      <c r="J171" s="62">
        <v>0</v>
      </c>
      <c r="K171" s="62">
        <v>0</v>
      </c>
      <c r="L171" s="62">
        <v>910759</v>
      </c>
      <c r="M171" s="60">
        <v>0</v>
      </c>
      <c r="O171" s="62">
        <v>900000</v>
      </c>
      <c r="P171" s="62">
        <v>0</v>
      </c>
    </row>
    <row r="172" spans="1:16" ht="16" hidden="1" customHeight="1" outlineLevel="1" x14ac:dyDescent="0.45">
      <c r="A172" s="29" t="s">
        <v>81</v>
      </c>
      <c r="B172" s="44">
        <v>6090397</v>
      </c>
      <c r="C172" s="63">
        <v>803081</v>
      </c>
      <c r="D172" s="63">
        <v>3408881</v>
      </c>
      <c r="E172" s="64">
        <v>1878435</v>
      </c>
      <c r="F172" s="63">
        <v>850836</v>
      </c>
      <c r="G172" s="63">
        <v>845279</v>
      </c>
      <c r="H172" s="65">
        <f t="shared" si="2"/>
        <v>0</v>
      </c>
      <c r="I172" s="65">
        <v>0</v>
      </c>
      <c r="J172" s="65">
        <v>0</v>
      </c>
      <c r="K172" s="65">
        <v>0</v>
      </c>
      <c r="L172" s="65">
        <v>182320</v>
      </c>
      <c r="M172" s="63">
        <v>0</v>
      </c>
      <c r="N172" s="1"/>
      <c r="O172" s="65">
        <v>0</v>
      </c>
      <c r="P172" s="65">
        <v>0</v>
      </c>
    </row>
    <row r="173" spans="1:16" ht="16" hidden="1" customHeight="1" outlineLevel="1" x14ac:dyDescent="0.45">
      <c r="A173" s="29" t="s">
        <v>206</v>
      </c>
      <c r="B173" s="44">
        <v>14186272</v>
      </c>
      <c r="C173" s="63">
        <v>14186272</v>
      </c>
      <c r="D173" s="63">
        <v>0</v>
      </c>
      <c r="E173" s="64">
        <v>0</v>
      </c>
      <c r="F173" s="63">
        <v>0</v>
      </c>
      <c r="G173" s="63">
        <v>0</v>
      </c>
      <c r="H173" s="65">
        <f t="shared" si="2"/>
        <v>0</v>
      </c>
      <c r="I173" s="65">
        <v>0</v>
      </c>
      <c r="J173" s="65">
        <v>0</v>
      </c>
      <c r="K173" s="65">
        <v>0</v>
      </c>
      <c r="L173" s="65">
        <v>0</v>
      </c>
      <c r="M173" s="63">
        <v>0</v>
      </c>
      <c r="N173" s="1"/>
      <c r="O173" s="65">
        <v>0</v>
      </c>
      <c r="P173" s="65">
        <v>0</v>
      </c>
    </row>
    <row r="174" spans="1:16" ht="16" hidden="1" customHeight="1" outlineLevel="1" x14ac:dyDescent="0.45">
      <c r="A174" s="29" t="s">
        <v>82</v>
      </c>
      <c r="B174" s="44">
        <v>6937080</v>
      </c>
      <c r="C174" s="63">
        <v>2450918</v>
      </c>
      <c r="D174" s="63">
        <v>0</v>
      </c>
      <c r="E174" s="64">
        <v>4486162</v>
      </c>
      <c r="F174" s="63">
        <v>1725359</v>
      </c>
      <c r="G174" s="63">
        <v>1132364</v>
      </c>
      <c r="H174" s="65">
        <f t="shared" si="2"/>
        <v>900000</v>
      </c>
      <c r="I174" s="65">
        <v>0</v>
      </c>
      <c r="J174" s="65">
        <v>0</v>
      </c>
      <c r="K174" s="65">
        <v>0</v>
      </c>
      <c r="L174" s="65">
        <v>728439</v>
      </c>
      <c r="M174" s="63">
        <v>0</v>
      </c>
      <c r="N174" s="1"/>
      <c r="O174" s="65">
        <v>900000</v>
      </c>
      <c r="P174" s="65">
        <v>0</v>
      </c>
    </row>
    <row r="175" spans="1:16" ht="16" hidden="1" customHeight="1" outlineLevel="1" x14ac:dyDescent="0.45">
      <c r="A175" s="29" t="s">
        <v>207</v>
      </c>
      <c r="B175" s="44">
        <v>0</v>
      </c>
      <c r="C175" s="63">
        <v>0</v>
      </c>
      <c r="D175" s="63">
        <v>0</v>
      </c>
      <c r="E175" s="64">
        <v>0</v>
      </c>
      <c r="F175" s="63">
        <v>0</v>
      </c>
      <c r="G175" s="63">
        <v>0</v>
      </c>
      <c r="H175" s="65">
        <f t="shared" si="2"/>
        <v>0</v>
      </c>
      <c r="I175" s="65">
        <v>0</v>
      </c>
      <c r="J175" s="65">
        <v>0</v>
      </c>
      <c r="K175" s="65">
        <v>0</v>
      </c>
      <c r="L175" s="65">
        <v>0</v>
      </c>
      <c r="M175" s="63">
        <v>0</v>
      </c>
      <c r="N175" s="1"/>
      <c r="O175" s="65">
        <v>0</v>
      </c>
      <c r="P175" s="65">
        <v>0</v>
      </c>
    </row>
    <row r="176" spans="1:16" ht="16" hidden="1" customHeight="1" outlineLevel="1" x14ac:dyDescent="0.45">
      <c r="A176" s="29" t="s">
        <v>256</v>
      </c>
      <c r="B176" s="44">
        <v>0</v>
      </c>
      <c r="C176" s="63">
        <v>0</v>
      </c>
      <c r="D176" s="63">
        <v>0</v>
      </c>
      <c r="E176" s="64">
        <v>0</v>
      </c>
      <c r="F176" s="63">
        <v>0</v>
      </c>
      <c r="G176" s="63">
        <v>0</v>
      </c>
      <c r="H176" s="65">
        <f t="shared" si="2"/>
        <v>0</v>
      </c>
      <c r="I176" s="65">
        <v>0</v>
      </c>
      <c r="J176" s="65">
        <v>0</v>
      </c>
      <c r="K176" s="65">
        <v>0</v>
      </c>
      <c r="L176" s="65">
        <v>0</v>
      </c>
      <c r="M176" s="63">
        <v>0</v>
      </c>
      <c r="N176" s="1"/>
      <c r="O176" s="65">
        <v>0</v>
      </c>
      <c r="P176" s="65">
        <v>0</v>
      </c>
    </row>
    <row r="177" spans="1:16" ht="16" hidden="1" customHeight="1" outlineLevel="1" x14ac:dyDescent="0.45">
      <c r="A177" s="29" t="s">
        <v>208</v>
      </c>
      <c r="B177" s="44">
        <v>0</v>
      </c>
      <c r="C177" s="63">
        <v>0</v>
      </c>
      <c r="D177" s="63">
        <v>0</v>
      </c>
      <c r="E177" s="64">
        <v>0</v>
      </c>
      <c r="F177" s="63">
        <v>0</v>
      </c>
      <c r="G177" s="63">
        <v>0</v>
      </c>
      <c r="H177" s="65">
        <f t="shared" si="2"/>
        <v>0</v>
      </c>
      <c r="I177" s="65">
        <v>0</v>
      </c>
      <c r="J177" s="65">
        <v>0</v>
      </c>
      <c r="K177" s="65">
        <v>0</v>
      </c>
      <c r="L177" s="65">
        <v>0</v>
      </c>
      <c r="M177" s="63">
        <v>0</v>
      </c>
      <c r="N177" s="1"/>
      <c r="O177" s="65">
        <v>0</v>
      </c>
      <c r="P177" s="65">
        <v>0</v>
      </c>
    </row>
    <row r="178" spans="1:16" s="1" customFormat="1" collapsed="1" x14ac:dyDescent="0.45">
      <c r="A178" s="28" t="s">
        <v>146</v>
      </c>
      <c r="B178" s="43">
        <v>157300</v>
      </c>
      <c r="C178" s="60">
        <v>157300</v>
      </c>
      <c r="D178" s="60">
        <v>0</v>
      </c>
      <c r="E178" s="61">
        <v>0</v>
      </c>
      <c r="F178" s="60">
        <v>0</v>
      </c>
      <c r="G178" s="60">
        <v>0</v>
      </c>
      <c r="H178" s="62">
        <f t="shared" si="2"/>
        <v>0</v>
      </c>
      <c r="I178" s="62">
        <v>0</v>
      </c>
      <c r="J178" s="62">
        <v>0</v>
      </c>
      <c r="K178" s="62">
        <v>0</v>
      </c>
      <c r="L178" s="62">
        <v>0</v>
      </c>
      <c r="M178" s="60">
        <v>0</v>
      </c>
      <c r="O178" s="62">
        <v>0</v>
      </c>
      <c r="P178" s="62">
        <v>0</v>
      </c>
    </row>
    <row r="179" spans="1:16" ht="16" hidden="1" customHeight="1" outlineLevel="1" x14ac:dyDescent="0.45">
      <c r="A179" s="29" t="s">
        <v>147</v>
      </c>
      <c r="B179" s="44">
        <v>157300</v>
      </c>
      <c r="C179" s="63">
        <v>157300</v>
      </c>
      <c r="D179" s="63">
        <v>0</v>
      </c>
      <c r="E179" s="64">
        <v>0</v>
      </c>
      <c r="F179" s="63">
        <v>0</v>
      </c>
      <c r="G179" s="63">
        <v>0</v>
      </c>
      <c r="H179" s="65">
        <f t="shared" si="2"/>
        <v>0</v>
      </c>
      <c r="I179" s="65">
        <v>0</v>
      </c>
      <c r="J179" s="65">
        <v>0</v>
      </c>
      <c r="K179" s="65">
        <v>0</v>
      </c>
      <c r="L179" s="65">
        <v>0</v>
      </c>
      <c r="M179" s="63">
        <v>0</v>
      </c>
      <c r="N179" s="1"/>
      <c r="O179" s="65">
        <v>0</v>
      </c>
      <c r="P179" s="65">
        <v>0</v>
      </c>
    </row>
    <row r="180" spans="1:16" ht="16" hidden="1" customHeight="1" outlineLevel="1" x14ac:dyDescent="0.45">
      <c r="A180" s="29" t="s">
        <v>148</v>
      </c>
      <c r="B180" s="43">
        <v>0</v>
      </c>
      <c r="C180" s="63">
        <v>0</v>
      </c>
      <c r="D180" s="63">
        <v>0</v>
      </c>
      <c r="E180" s="64">
        <v>0</v>
      </c>
      <c r="F180" s="63">
        <v>0</v>
      </c>
      <c r="G180" s="63">
        <v>0</v>
      </c>
      <c r="H180" s="65">
        <f t="shared" si="2"/>
        <v>0</v>
      </c>
      <c r="I180" s="65">
        <v>0</v>
      </c>
      <c r="J180" s="65">
        <v>0</v>
      </c>
      <c r="K180" s="65">
        <v>0</v>
      </c>
      <c r="L180" s="65">
        <v>0</v>
      </c>
      <c r="M180" s="63">
        <v>0</v>
      </c>
      <c r="N180" s="1"/>
      <c r="O180" s="65">
        <v>0</v>
      </c>
      <c r="P180" s="65">
        <v>0</v>
      </c>
    </row>
    <row r="181" spans="1:16" s="1" customFormat="1" collapsed="1" x14ac:dyDescent="0.45">
      <c r="A181" s="28" t="s">
        <v>83</v>
      </c>
      <c r="B181" s="43">
        <v>492149130</v>
      </c>
      <c r="C181" s="60">
        <v>59865241.00000006</v>
      </c>
      <c r="D181" s="60">
        <v>25594854</v>
      </c>
      <c r="E181" s="61">
        <v>406689034.99999994</v>
      </c>
      <c r="F181" s="60">
        <v>221365825.769811</v>
      </c>
      <c r="G181" s="60">
        <v>92291649.825581163</v>
      </c>
      <c r="H181" s="60">
        <f t="shared" si="2"/>
        <v>19475216.404607829</v>
      </c>
      <c r="I181" s="60">
        <v>2860334.7663289555</v>
      </c>
      <c r="J181" s="60">
        <v>2098046.8226431296</v>
      </c>
      <c r="K181" s="60">
        <v>10941103.835387051</v>
      </c>
      <c r="L181" s="60">
        <v>49411007.575640865</v>
      </c>
      <c r="M181" s="60">
        <v>8245850</v>
      </c>
      <c r="O181" s="60">
        <v>18863513.491317637</v>
      </c>
      <c r="P181" s="60">
        <v>611702.91329019284</v>
      </c>
    </row>
    <row r="182" spans="1:16" s="1" customFormat="1" ht="16" hidden="1" customHeight="1" outlineLevel="1" x14ac:dyDescent="0.45">
      <c r="A182" s="29" t="s">
        <v>84</v>
      </c>
      <c r="B182" s="44">
        <v>49247523</v>
      </c>
      <c r="C182" s="63">
        <v>645917</v>
      </c>
      <c r="D182" s="63">
        <v>379101</v>
      </c>
      <c r="E182" s="64">
        <v>48222505</v>
      </c>
      <c r="F182" s="63">
        <v>32738504</v>
      </c>
      <c r="G182" s="63">
        <v>7630717</v>
      </c>
      <c r="H182" s="63">
        <f t="shared" si="2"/>
        <v>3249646</v>
      </c>
      <c r="I182" s="63">
        <v>156638</v>
      </c>
      <c r="J182" s="63">
        <v>54732</v>
      </c>
      <c r="K182" s="63">
        <v>1414076</v>
      </c>
      <c r="L182" s="63">
        <v>2860918</v>
      </c>
      <c r="M182" s="63">
        <v>117274</v>
      </c>
      <c r="O182" s="63">
        <v>3152157</v>
      </c>
      <c r="P182" s="63">
        <v>97489</v>
      </c>
    </row>
    <row r="183" spans="1:16" ht="16" hidden="1" customHeight="1" outlineLevel="1" x14ac:dyDescent="0.45">
      <c r="A183" s="29" t="s">
        <v>149</v>
      </c>
      <c r="B183" s="44">
        <v>1997338</v>
      </c>
      <c r="C183" s="63">
        <v>1997338</v>
      </c>
      <c r="D183" s="63">
        <v>0</v>
      </c>
      <c r="E183" s="64">
        <v>0</v>
      </c>
      <c r="F183" s="63">
        <v>0</v>
      </c>
      <c r="G183" s="63">
        <v>0</v>
      </c>
      <c r="H183" s="63">
        <f t="shared" si="2"/>
        <v>0</v>
      </c>
      <c r="I183" s="63">
        <v>0</v>
      </c>
      <c r="J183" s="63">
        <v>0</v>
      </c>
      <c r="K183" s="63">
        <v>0</v>
      </c>
      <c r="L183" s="63">
        <v>0</v>
      </c>
      <c r="M183" s="63">
        <v>0</v>
      </c>
      <c r="N183" s="1"/>
      <c r="O183" s="63">
        <v>0</v>
      </c>
      <c r="P183" s="63">
        <v>0</v>
      </c>
    </row>
    <row r="184" spans="1:16" ht="16" hidden="1" customHeight="1" outlineLevel="1" x14ac:dyDescent="0.45">
      <c r="A184" s="29" t="s">
        <v>85</v>
      </c>
      <c r="B184" s="44">
        <v>28079148</v>
      </c>
      <c r="C184" s="63">
        <v>7859287</v>
      </c>
      <c r="D184" s="63">
        <v>4080621</v>
      </c>
      <c r="E184" s="64">
        <v>16139240</v>
      </c>
      <c r="F184" s="63">
        <v>8410925.8456471302</v>
      </c>
      <c r="G184" s="63">
        <v>3514630.7497450393</v>
      </c>
      <c r="H184" s="63">
        <f t="shared" si="2"/>
        <v>627331.4046078315</v>
      </c>
      <c r="I184" s="63">
        <v>253474.26632895559</v>
      </c>
      <c r="J184" s="63">
        <v>245907.32264312962</v>
      </c>
      <c r="K184" s="63">
        <v>891583.83538705145</v>
      </c>
      <c r="L184" s="63">
        <v>1743973.5756408633</v>
      </c>
      <c r="M184" s="63">
        <v>451413</v>
      </c>
      <c r="N184" s="1"/>
      <c r="O184" s="63">
        <v>581065.49131763866</v>
      </c>
      <c r="P184" s="63">
        <v>46265.91329019281</v>
      </c>
    </row>
    <row r="185" spans="1:16" ht="16" hidden="1" customHeight="1" outlineLevel="1" x14ac:dyDescent="0.45">
      <c r="A185" s="29" t="s">
        <v>86</v>
      </c>
      <c r="B185" s="44">
        <v>6267940</v>
      </c>
      <c r="C185" s="63">
        <v>1197056</v>
      </c>
      <c r="D185" s="63">
        <v>0</v>
      </c>
      <c r="E185" s="64">
        <v>5070884</v>
      </c>
      <c r="F185" s="63">
        <v>3538142</v>
      </c>
      <c r="G185" s="63">
        <v>1532742</v>
      </c>
      <c r="H185" s="63">
        <f t="shared" si="2"/>
        <v>0</v>
      </c>
      <c r="I185" s="63">
        <v>0</v>
      </c>
      <c r="J185" s="63">
        <v>0</v>
      </c>
      <c r="K185" s="63">
        <v>0</v>
      </c>
      <c r="L185" s="63">
        <v>0</v>
      </c>
      <c r="M185" s="63">
        <v>0</v>
      </c>
      <c r="N185" s="1"/>
      <c r="O185" s="63">
        <v>0</v>
      </c>
      <c r="P185" s="63">
        <v>0</v>
      </c>
    </row>
    <row r="186" spans="1:16" ht="16" hidden="1" customHeight="1" outlineLevel="1" x14ac:dyDescent="0.45">
      <c r="A186" s="29" t="s">
        <v>150</v>
      </c>
      <c r="B186" s="44">
        <v>97466405</v>
      </c>
      <c r="C186" s="63">
        <v>6509011</v>
      </c>
      <c r="D186" s="63">
        <v>5276337</v>
      </c>
      <c r="E186" s="64">
        <v>85681057</v>
      </c>
      <c r="F186" s="63">
        <v>45271111.173104629</v>
      </c>
      <c r="G186" s="63">
        <v>19607530.826895371</v>
      </c>
      <c r="H186" s="63">
        <f t="shared" si="2"/>
        <v>7647679</v>
      </c>
      <c r="I186" s="63">
        <v>727274</v>
      </c>
      <c r="J186" s="63">
        <v>180273</v>
      </c>
      <c r="K186" s="63">
        <v>2879593</v>
      </c>
      <c r="L186" s="63">
        <v>7671707</v>
      </c>
      <c r="M186" s="63">
        <v>1695889</v>
      </c>
      <c r="N186" s="1"/>
      <c r="O186" s="63">
        <v>7418249</v>
      </c>
      <c r="P186" s="63">
        <v>229430</v>
      </c>
    </row>
    <row r="187" spans="1:16" s="1" customFormat="1" ht="16" hidden="1" customHeight="1" outlineLevel="1" x14ac:dyDescent="0.45">
      <c r="A187" s="29" t="s">
        <v>87</v>
      </c>
      <c r="B187" s="44">
        <v>0</v>
      </c>
      <c r="C187" s="63">
        <v>0</v>
      </c>
      <c r="D187" s="63">
        <v>0</v>
      </c>
      <c r="E187" s="64">
        <v>0</v>
      </c>
      <c r="F187" s="63">
        <v>0</v>
      </c>
      <c r="G187" s="63">
        <v>0</v>
      </c>
      <c r="H187" s="63">
        <f t="shared" si="2"/>
        <v>0</v>
      </c>
      <c r="I187" s="63">
        <v>0</v>
      </c>
      <c r="J187" s="63">
        <v>0</v>
      </c>
      <c r="K187" s="63">
        <v>0</v>
      </c>
      <c r="L187" s="63">
        <v>0</v>
      </c>
      <c r="M187" s="63">
        <v>0</v>
      </c>
      <c r="O187" s="63">
        <v>0</v>
      </c>
      <c r="P187" s="63">
        <v>0</v>
      </c>
    </row>
    <row r="188" spans="1:16" ht="16" hidden="1" customHeight="1" outlineLevel="1" x14ac:dyDescent="0.45">
      <c r="A188" s="29" t="s">
        <v>88</v>
      </c>
      <c r="B188" s="44">
        <v>124059162</v>
      </c>
      <c r="C188" s="63">
        <v>27257817</v>
      </c>
      <c r="D188" s="63">
        <v>15658811</v>
      </c>
      <c r="E188" s="64">
        <v>81142534</v>
      </c>
      <c r="F188" s="63">
        <v>14548000.248920318</v>
      </c>
      <c r="G188" s="63">
        <v>45076034.751079679</v>
      </c>
      <c r="H188" s="63">
        <f t="shared" si="2"/>
        <v>7651078</v>
      </c>
      <c r="I188" s="63">
        <v>498324</v>
      </c>
      <c r="J188" s="63">
        <v>498324</v>
      </c>
      <c r="K188" s="63">
        <v>2435533</v>
      </c>
      <c r="L188" s="63">
        <v>4637692</v>
      </c>
      <c r="M188" s="63">
        <v>5797548</v>
      </c>
      <c r="N188" s="1"/>
      <c r="O188" s="63">
        <v>7421546</v>
      </c>
      <c r="P188" s="63">
        <v>229532</v>
      </c>
    </row>
    <row r="189" spans="1:16" ht="16" hidden="1" customHeight="1" outlineLevel="1" x14ac:dyDescent="0.45">
      <c r="A189" s="24" t="s">
        <v>89</v>
      </c>
      <c r="B189" s="45">
        <v>182861704</v>
      </c>
      <c r="C189" s="63">
        <v>14200629</v>
      </c>
      <c r="D189" s="63">
        <v>0</v>
      </c>
      <c r="E189" s="64">
        <v>168661075</v>
      </c>
      <c r="F189" s="63">
        <v>116235319.50213894</v>
      </c>
      <c r="G189" s="63">
        <v>14180523.497861063</v>
      </c>
      <c r="H189" s="63">
        <f t="shared" si="2"/>
        <v>0</v>
      </c>
      <c r="I189" s="63">
        <v>1224624.5</v>
      </c>
      <c r="J189" s="63">
        <v>1118810.5</v>
      </c>
      <c r="K189" s="63">
        <v>3320318</v>
      </c>
      <c r="L189" s="63">
        <v>32397753</v>
      </c>
      <c r="M189" s="63">
        <v>183726</v>
      </c>
      <c r="N189" s="1"/>
      <c r="O189" s="63">
        <v>0</v>
      </c>
      <c r="P189" s="63">
        <v>0</v>
      </c>
    </row>
    <row r="190" spans="1:16" ht="16" hidden="1" customHeight="1" outlineLevel="1" x14ac:dyDescent="0.45">
      <c r="A190" s="29" t="s">
        <v>209</v>
      </c>
      <c r="B190" s="44">
        <v>0</v>
      </c>
      <c r="C190" s="63">
        <v>0</v>
      </c>
      <c r="D190" s="63">
        <v>0</v>
      </c>
      <c r="E190" s="64">
        <v>0</v>
      </c>
      <c r="F190" s="63">
        <v>0</v>
      </c>
      <c r="G190" s="63">
        <v>0</v>
      </c>
      <c r="H190" s="63">
        <f t="shared" si="2"/>
        <v>0</v>
      </c>
      <c r="I190" s="63">
        <v>0</v>
      </c>
      <c r="J190" s="63">
        <v>0</v>
      </c>
      <c r="K190" s="63">
        <v>0</v>
      </c>
      <c r="L190" s="63">
        <v>0</v>
      </c>
      <c r="M190" s="63">
        <v>0</v>
      </c>
      <c r="N190" s="1"/>
      <c r="O190" s="63">
        <v>0</v>
      </c>
      <c r="P190" s="63">
        <v>0</v>
      </c>
    </row>
    <row r="191" spans="1:16" ht="16" hidden="1" customHeight="1" outlineLevel="1" x14ac:dyDescent="0.45">
      <c r="A191" s="29" t="s">
        <v>90</v>
      </c>
      <c r="B191" s="44">
        <v>2169910</v>
      </c>
      <c r="C191" s="63">
        <v>198186</v>
      </c>
      <c r="D191" s="63">
        <v>199984</v>
      </c>
      <c r="E191" s="64">
        <v>1771740</v>
      </c>
      <c r="F191" s="63">
        <v>623823</v>
      </c>
      <c r="G191" s="63">
        <v>749471</v>
      </c>
      <c r="H191" s="63">
        <f t="shared" si="2"/>
        <v>299482</v>
      </c>
      <c r="I191" s="63">
        <v>0</v>
      </c>
      <c r="J191" s="63">
        <v>0</v>
      </c>
      <c r="K191" s="63">
        <v>0</v>
      </c>
      <c r="L191" s="63">
        <v>98964</v>
      </c>
      <c r="M191" s="63">
        <v>0</v>
      </c>
      <c r="N191" s="1"/>
      <c r="O191" s="63">
        <v>290496</v>
      </c>
      <c r="P191" s="63">
        <v>8986</v>
      </c>
    </row>
    <row r="192" spans="1:16" ht="16" hidden="1" customHeight="1" outlineLevel="1" x14ac:dyDescent="0.45">
      <c r="A192" s="30" t="s">
        <v>151</v>
      </c>
      <c r="B192" s="46">
        <v>0</v>
      </c>
      <c r="C192" s="63">
        <v>0</v>
      </c>
      <c r="D192" s="63">
        <v>0</v>
      </c>
      <c r="E192" s="64">
        <v>0</v>
      </c>
      <c r="F192" s="63">
        <v>0</v>
      </c>
      <c r="G192" s="63">
        <v>0</v>
      </c>
      <c r="H192" s="63">
        <f t="shared" si="2"/>
        <v>0</v>
      </c>
      <c r="I192" s="63">
        <v>0</v>
      </c>
      <c r="J192" s="63">
        <v>0</v>
      </c>
      <c r="K192" s="63">
        <v>0</v>
      </c>
      <c r="L192" s="63">
        <v>0</v>
      </c>
      <c r="M192" s="63">
        <v>0</v>
      </c>
      <c r="N192" s="1"/>
      <c r="O192" s="63">
        <v>0</v>
      </c>
      <c r="P192" s="63">
        <v>0</v>
      </c>
    </row>
    <row r="193" spans="1:16" s="1" customFormat="1" collapsed="1" x14ac:dyDescent="0.45">
      <c r="A193" s="28" t="s">
        <v>91</v>
      </c>
      <c r="B193" s="43">
        <v>97362500</v>
      </c>
      <c r="C193" s="60">
        <v>3061350</v>
      </c>
      <c r="D193" s="60">
        <v>6616476</v>
      </c>
      <c r="E193" s="61">
        <v>87684674</v>
      </c>
      <c r="F193" s="60">
        <v>71658043.54909867</v>
      </c>
      <c r="G193" s="60">
        <v>5992726.4509013249</v>
      </c>
      <c r="H193" s="60">
        <f t="shared" si="2"/>
        <v>6058479</v>
      </c>
      <c r="I193" s="60">
        <v>211381</v>
      </c>
      <c r="J193" s="60">
        <v>97563</v>
      </c>
      <c r="K193" s="60">
        <v>725762</v>
      </c>
      <c r="L193" s="60">
        <v>2564131</v>
      </c>
      <c r="M193" s="60">
        <v>376588</v>
      </c>
      <c r="O193" s="60">
        <v>5876725</v>
      </c>
      <c r="P193" s="60">
        <v>181754</v>
      </c>
    </row>
    <row r="194" spans="1:16" ht="16" hidden="1" customHeight="1" outlineLevel="1" x14ac:dyDescent="0.45">
      <c r="A194" s="29" t="s">
        <v>92</v>
      </c>
      <c r="B194" s="44">
        <v>45697457</v>
      </c>
      <c r="C194" s="63">
        <v>5917202</v>
      </c>
      <c r="D194" s="63">
        <v>158170</v>
      </c>
      <c r="E194" s="64">
        <v>39622085</v>
      </c>
      <c r="F194" s="63">
        <v>32940144.136821888</v>
      </c>
      <c r="G194" s="63">
        <v>4577147.8631781098</v>
      </c>
      <c r="H194" s="63">
        <f t="shared" si="2"/>
        <v>417870</v>
      </c>
      <c r="I194" s="63">
        <v>48980</v>
      </c>
      <c r="J194" s="63">
        <v>48980</v>
      </c>
      <c r="K194" s="63">
        <v>482505</v>
      </c>
      <c r="L194" s="63">
        <v>1096078</v>
      </c>
      <c r="M194" s="63">
        <v>10380</v>
      </c>
      <c r="N194" s="1"/>
      <c r="O194" s="63">
        <v>405334</v>
      </c>
      <c r="P194" s="63">
        <v>12536</v>
      </c>
    </row>
    <row r="195" spans="1:16" ht="16" hidden="1" customHeight="1" outlineLevel="1" x14ac:dyDescent="0.45">
      <c r="A195" s="29" t="s">
        <v>93</v>
      </c>
      <c r="B195" s="44">
        <v>30080751</v>
      </c>
      <c r="C195" s="63">
        <v>1107403</v>
      </c>
      <c r="D195" s="63">
        <v>5597</v>
      </c>
      <c r="E195" s="64">
        <v>28967751</v>
      </c>
      <c r="F195" s="63">
        <v>22429828</v>
      </c>
      <c r="G195" s="63">
        <v>0</v>
      </c>
      <c r="H195" s="63">
        <f t="shared" si="2"/>
        <v>5256564</v>
      </c>
      <c r="I195" s="63">
        <v>48583</v>
      </c>
      <c r="J195" s="63">
        <v>48583</v>
      </c>
      <c r="K195" s="63">
        <v>215893</v>
      </c>
      <c r="L195" s="63">
        <v>968300</v>
      </c>
      <c r="M195" s="63">
        <v>0</v>
      </c>
      <c r="N195" s="1"/>
      <c r="O195" s="63">
        <v>5098867</v>
      </c>
      <c r="P195" s="63">
        <v>157697</v>
      </c>
    </row>
    <row r="196" spans="1:16" ht="16" hidden="1" customHeight="1" outlineLevel="1" x14ac:dyDescent="0.45">
      <c r="A196" s="29" t="s">
        <v>94</v>
      </c>
      <c r="B196" s="44">
        <v>16591565</v>
      </c>
      <c r="C196" s="63">
        <v>1029472</v>
      </c>
      <c r="D196" s="63">
        <v>1459982</v>
      </c>
      <c r="E196" s="64">
        <v>14102111</v>
      </c>
      <c r="F196" s="63">
        <v>11295344.412276786</v>
      </c>
      <c r="G196" s="63">
        <v>1415578.5877232149</v>
      </c>
      <c r="H196" s="63">
        <f t="shared" ref="H196:H259" si="3">O196+P196</f>
        <v>384045</v>
      </c>
      <c r="I196" s="63">
        <v>113818</v>
      </c>
      <c r="J196" s="63">
        <v>0</v>
      </c>
      <c r="K196" s="63">
        <v>27364</v>
      </c>
      <c r="L196" s="63">
        <v>499753</v>
      </c>
      <c r="M196" s="63">
        <v>366208</v>
      </c>
      <c r="N196" s="1"/>
      <c r="O196" s="63">
        <v>372524</v>
      </c>
      <c r="P196" s="63">
        <v>11521</v>
      </c>
    </row>
    <row r="197" spans="1:16" ht="16" hidden="1" customHeight="1" outlineLevel="1" x14ac:dyDescent="0.45">
      <c r="A197" s="29" t="s">
        <v>210</v>
      </c>
      <c r="B197" s="44">
        <v>4992727</v>
      </c>
      <c r="C197" s="63">
        <v>-4992727</v>
      </c>
      <c r="D197" s="63">
        <v>4992727</v>
      </c>
      <c r="E197" s="64">
        <v>4992727</v>
      </c>
      <c r="F197" s="63">
        <v>4992727</v>
      </c>
      <c r="G197" s="63">
        <v>0</v>
      </c>
      <c r="H197" s="63">
        <f t="shared" si="3"/>
        <v>0</v>
      </c>
      <c r="I197" s="63">
        <v>0</v>
      </c>
      <c r="J197" s="63">
        <v>0</v>
      </c>
      <c r="K197" s="63">
        <v>0</v>
      </c>
      <c r="L197" s="63">
        <v>0</v>
      </c>
      <c r="M197" s="63">
        <v>0</v>
      </c>
      <c r="N197" s="1"/>
      <c r="O197" s="63">
        <v>0</v>
      </c>
      <c r="P197" s="63">
        <v>0</v>
      </c>
    </row>
    <row r="198" spans="1:16" s="1" customFormat="1" ht="16" hidden="1" customHeight="1" outlineLevel="1" x14ac:dyDescent="0.45">
      <c r="A198" s="24" t="s">
        <v>211</v>
      </c>
      <c r="B198" s="45">
        <v>0</v>
      </c>
      <c r="C198" s="63">
        <v>0</v>
      </c>
      <c r="D198" s="63">
        <v>0</v>
      </c>
      <c r="E198" s="64">
        <v>0</v>
      </c>
      <c r="F198" s="63">
        <v>0</v>
      </c>
      <c r="G198" s="63">
        <v>0</v>
      </c>
      <c r="H198" s="63">
        <f t="shared" si="3"/>
        <v>0</v>
      </c>
      <c r="I198" s="63">
        <v>0</v>
      </c>
      <c r="J198" s="63">
        <v>0</v>
      </c>
      <c r="K198" s="63">
        <v>0</v>
      </c>
      <c r="L198" s="63">
        <v>0</v>
      </c>
      <c r="M198" s="63">
        <v>0</v>
      </c>
      <c r="O198" s="63">
        <v>0</v>
      </c>
      <c r="P198" s="63">
        <v>0</v>
      </c>
    </row>
    <row r="199" spans="1:16" s="1" customFormat="1" collapsed="1" x14ac:dyDescent="0.45">
      <c r="A199" s="28" t="s">
        <v>95</v>
      </c>
      <c r="B199" s="43">
        <v>1623148906</v>
      </c>
      <c r="C199" s="69">
        <v>485842851</v>
      </c>
      <c r="D199" s="69">
        <v>133403808</v>
      </c>
      <c r="E199" s="61">
        <v>1003902247</v>
      </c>
      <c r="F199" s="60">
        <v>207493660.36815029</v>
      </c>
      <c r="G199" s="60">
        <v>12825372.631849715</v>
      </c>
      <c r="H199" s="70">
        <f t="shared" si="3"/>
        <v>273749799</v>
      </c>
      <c r="I199" s="70">
        <v>6472157</v>
      </c>
      <c r="J199" s="70">
        <v>1472157</v>
      </c>
      <c r="K199" s="70">
        <v>18757229</v>
      </c>
      <c r="L199" s="70">
        <v>589866</v>
      </c>
      <c r="M199" s="60">
        <v>482542006</v>
      </c>
      <c r="O199" s="70">
        <v>161879971</v>
      </c>
      <c r="P199" s="70">
        <v>111869828</v>
      </c>
    </row>
    <row r="200" spans="1:16" ht="16" hidden="1" customHeight="1" outlineLevel="1" x14ac:dyDescent="0.45">
      <c r="A200" s="29" t="s">
        <v>152</v>
      </c>
      <c r="B200" s="44">
        <v>270093109</v>
      </c>
      <c r="C200" s="71">
        <v>269295109</v>
      </c>
      <c r="D200" s="71">
        <v>0</v>
      </c>
      <c r="E200" s="64">
        <v>798000</v>
      </c>
      <c r="F200" s="63">
        <v>0</v>
      </c>
      <c r="G200" s="63">
        <v>0</v>
      </c>
      <c r="H200" s="32">
        <f t="shared" si="3"/>
        <v>0</v>
      </c>
      <c r="I200" s="32">
        <v>0</v>
      </c>
      <c r="J200" s="32">
        <v>0</v>
      </c>
      <c r="K200" s="32">
        <v>0</v>
      </c>
      <c r="L200" s="32">
        <v>0</v>
      </c>
      <c r="M200" s="63">
        <v>798000</v>
      </c>
      <c r="N200" s="1"/>
      <c r="O200" s="32">
        <v>0</v>
      </c>
      <c r="P200" s="32">
        <v>0</v>
      </c>
    </row>
    <row r="201" spans="1:16" ht="16" hidden="1" customHeight="1" outlineLevel="1" x14ac:dyDescent="0.45">
      <c r="A201" s="29" t="s">
        <v>153</v>
      </c>
      <c r="B201" s="44">
        <v>707647814</v>
      </c>
      <c r="C201" s="71">
        <v>151766849</v>
      </c>
      <c r="D201" s="71">
        <v>4923836</v>
      </c>
      <c r="E201" s="64">
        <v>550957129</v>
      </c>
      <c r="F201" s="63">
        <v>6771787.3228036957</v>
      </c>
      <c r="G201" s="63">
        <v>3924469.6771963043</v>
      </c>
      <c r="H201" s="32">
        <f t="shared" si="3"/>
        <v>81686554</v>
      </c>
      <c r="I201" s="32">
        <v>5058000</v>
      </c>
      <c r="J201" s="32">
        <v>58000</v>
      </c>
      <c r="K201" s="32">
        <v>3400000</v>
      </c>
      <c r="L201" s="32">
        <v>271866</v>
      </c>
      <c r="M201" s="63">
        <v>449786452</v>
      </c>
      <c r="N201" s="1"/>
      <c r="O201" s="32">
        <v>81646554</v>
      </c>
      <c r="P201" s="32">
        <v>40000</v>
      </c>
    </row>
    <row r="202" spans="1:16" ht="16" hidden="1" customHeight="1" outlineLevel="1" x14ac:dyDescent="0.45">
      <c r="A202" s="29" t="s">
        <v>117</v>
      </c>
      <c r="B202" s="44">
        <v>64017940</v>
      </c>
      <c r="C202" s="71">
        <v>64017940</v>
      </c>
      <c r="D202" s="71">
        <v>0</v>
      </c>
      <c r="E202" s="64">
        <v>0</v>
      </c>
      <c r="F202" s="63">
        <v>0</v>
      </c>
      <c r="G202" s="63">
        <v>0</v>
      </c>
      <c r="H202" s="32">
        <f t="shared" si="3"/>
        <v>0</v>
      </c>
      <c r="I202" s="32">
        <v>0</v>
      </c>
      <c r="J202" s="32">
        <v>0</v>
      </c>
      <c r="K202" s="32">
        <v>0</v>
      </c>
      <c r="L202" s="32">
        <v>0</v>
      </c>
      <c r="M202" s="63">
        <v>0</v>
      </c>
      <c r="N202" s="1"/>
      <c r="O202" s="32">
        <v>0</v>
      </c>
      <c r="P202" s="32">
        <v>0</v>
      </c>
    </row>
    <row r="203" spans="1:16" ht="16" hidden="1" customHeight="1" outlineLevel="1" x14ac:dyDescent="0.45">
      <c r="A203" s="29" t="s">
        <v>154</v>
      </c>
      <c r="B203" s="44">
        <v>-264142</v>
      </c>
      <c r="C203" s="71">
        <v>-271322</v>
      </c>
      <c r="D203" s="71">
        <v>7180</v>
      </c>
      <c r="E203" s="64">
        <v>0</v>
      </c>
      <c r="F203" s="63">
        <v>0</v>
      </c>
      <c r="G203" s="63">
        <v>0</v>
      </c>
      <c r="H203" s="32">
        <f t="shared" si="3"/>
        <v>0</v>
      </c>
      <c r="I203" s="32">
        <v>0</v>
      </c>
      <c r="J203" s="32">
        <v>0</v>
      </c>
      <c r="K203" s="32">
        <v>0</v>
      </c>
      <c r="L203" s="32">
        <v>0</v>
      </c>
      <c r="M203" s="63">
        <v>0</v>
      </c>
      <c r="N203" s="1"/>
      <c r="O203" s="32">
        <v>0</v>
      </c>
      <c r="P203" s="32">
        <v>0</v>
      </c>
    </row>
    <row r="204" spans="1:16" ht="16" hidden="1" customHeight="1" outlineLevel="1" x14ac:dyDescent="0.45">
      <c r="A204" s="29" t="s">
        <v>96</v>
      </c>
      <c r="B204" s="44">
        <v>25083731</v>
      </c>
      <c r="C204" s="71">
        <v>-112000</v>
      </c>
      <c r="D204" s="71">
        <v>1149000</v>
      </c>
      <c r="E204" s="64">
        <v>24046731</v>
      </c>
      <c r="F204" s="63">
        <v>20678573.993770137</v>
      </c>
      <c r="G204" s="63">
        <v>2992157.0062298607</v>
      </c>
      <c r="H204" s="32">
        <f t="shared" si="3"/>
        <v>0</v>
      </c>
      <c r="I204" s="32">
        <v>0</v>
      </c>
      <c r="J204" s="32">
        <v>0</v>
      </c>
      <c r="K204" s="32">
        <v>178000</v>
      </c>
      <c r="L204" s="32">
        <v>128000</v>
      </c>
      <c r="M204" s="63">
        <v>70000</v>
      </c>
      <c r="N204" s="1"/>
      <c r="O204" s="32">
        <v>0</v>
      </c>
      <c r="P204" s="32">
        <v>0</v>
      </c>
    </row>
    <row r="205" spans="1:16" ht="16" hidden="1" customHeight="1" outlineLevel="1" x14ac:dyDescent="0.45">
      <c r="A205" s="29" t="s">
        <v>97</v>
      </c>
      <c r="B205" s="44">
        <v>41200</v>
      </c>
      <c r="C205" s="71">
        <v>16500</v>
      </c>
      <c r="D205" s="71">
        <v>0</v>
      </c>
      <c r="E205" s="64">
        <v>24700</v>
      </c>
      <c r="F205" s="63">
        <v>24700</v>
      </c>
      <c r="G205" s="63">
        <v>0</v>
      </c>
      <c r="H205" s="32">
        <f t="shared" si="3"/>
        <v>0</v>
      </c>
      <c r="I205" s="32">
        <v>0</v>
      </c>
      <c r="J205" s="32">
        <v>0</v>
      </c>
      <c r="K205" s="32">
        <v>0</v>
      </c>
      <c r="L205" s="32">
        <v>0</v>
      </c>
      <c r="M205" s="63">
        <v>0</v>
      </c>
      <c r="N205" s="1"/>
      <c r="O205" s="32">
        <v>0</v>
      </c>
      <c r="P205" s="32">
        <v>0</v>
      </c>
    </row>
    <row r="206" spans="1:16" ht="16" hidden="1" customHeight="1" outlineLevel="1" x14ac:dyDescent="0.45">
      <c r="A206" s="29" t="s">
        <v>98</v>
      </c>
      <c r="B206" s="44">
        <v>24614800</v>
      </c>
      <c r="C206" s="71">
        <v>7800000</v>
      </c>
      <c r="D206" s="71">
        <v>0</v>
      </c>
      <c r="E206" s="64">
        <v>16814800</v>
      </c>
      <c r="F206" s="63">
        <v>9334800</v>
      </c>
      <c r="G206" s="63">
        <v>0</v>
      </c>
      <c r="H206" s="32">
        <f t="shared" si="3"/>
        <v>0</v>
      </c>
      <c r="I206" s="32">
        <v>0</v>
      </c>
      <c r="J206" s="32">
        <v>0</v>
      </c>
      <c r="K206" s="32">
        <v>7480000</v>
      </c>
      <c r="L206" s="32">
        <v>0</v>
      </c>
      <c r="M206" s="63">
        <v>0</v>
      </c>
      <c r="N206" s="1"/>
      <c r="O206" s="32">
        <v>0</v>
      </c>
      <c r="P206" s="32">
        <v>0</v>
      </c>
    </row>
    <row r="207" spans="1:16" ht="16" hidden="1" customHeight="1" outlineLevel="1" x14ac:dyDescent="0.45">
      <c r="A207" s="29" t="s">
        <v>99</v>
      </c>
      <c r="B207" s="44">
        <v>275284885</v>
      </c>
      <c r="C207" s="71">
        <v>81566658</v>
      </c>
      <c r="D207" s="71">
        <v>0</v>
      </c>
      <c r="E207" s="64">
        <v>193718227</v>
      </c>
      <c r="F207" s="63">
        <v>33653413.8950596</v>
      </c>
      <c r="G207" s="63">
        <v>2975809.1049404042</v>
      </c>
      <c r="H207" s="32">
        <f t="shared" si="3"/>
        <v>122323550</v>
      </c>
      <c r="I207" s="32">
        <v>0</v>
      </c>
      <c r="J207" s="32">
        <v>0</v>
      </c>
      <c r="K207" s="32">
        <v>2687900</v>
      </c>
      <c r="L207" s="32">
        <v>190000</v>
      </c>
      <c r="M207" s="63">
        <v>31887554</v>
      </c>
      <c r="N207" s="1"/>
      <c r="O207" s="32">
        <v>12585913</v>
      </c>
      <c r="P207" s="32">
        <v>109737637</v>
      </c>
    </row>
    <row r="208" spans="1:16" ht="16" hidden="1" customHeight="1" outlineLevel="1" x14ac:dyDescent="0.45">
      <c r="A208" s="29" t="s">
        <v>155</v>
      </c>
      <c r="B208" s="44">
        <v>6897129</v>
      </c>
      <c r="C208" s="71">
        <v>6897129</v>
      </c>
      <c r="D208" s="71">
        <v>0</v>
      </c>
      <c r="E208" s="64">
        <v>0</v>
      </c>
      <c r="F208" s="63">
        <v>0</v>
      </c>
      <c r="G208" s="63">
        <v>0</v>
      </c>
      <c r="H208" s="32">
        <f t="shared" si="3"/>
        <v>0</v>
      </c>
      <c r="I208" s="32">
        <v>0</v>
      </c>
      <c r="J208" s="32">
        <v>0</v>
      </c>
      <c r="K208" s="32">
        <v>0</v>
      </c>
      <c r="L208" s="32">
        <v>0</v>
      </c>
      <c r="M208" s="63">
        <v>0</v>
      </c>
      <c r="N208" s="1"/>
      <c r="O208" s="32">
        <v>0</v>
      </c>
      <c r="P208" s="32">
        <v>0</v>
      </c>
    </row>
    <row r="209" spans="1:16" ht="16" hidden="1" customHeight="1" outlineLevel="1" x14ac:dyDescent="0.45">
      <c r="A209" s="29" t="s">
        <v>100</v>
      </c>
      <c r="B209" s="44">
        <v>249732440</v>
      </c>
      <c r="C209" s="71">
        <v>-95134012</v>
      </c>
      <c r="D209" s="71">
        <v>127323792</v>
      </c>
      <c r="E209" s="64">
        <v>217542660</v>
      </c>
      <c r="F209" s="63">
        <v>137030385.15651685</v>
      </c>
      <c r="G209" s="63">
        <v>2932936.8434831453</v>
      </c>
      <c r="H209" s="32">
        <f t="shared" si="3"/>
        <v>69739695</v>
      </c>
      <c r="I209" s="32">
        <v>1414157</v>
      </c>
      <c r="J209" s="32">
        <v>1414157</v>
      </c>
      <c r="K209" s="32">
        <v>5011329</v>
      </c>
      <c r="L209" s="32">
        <v>0</v>
      </c>
      <c r="M209" s="63">
        <v>0</v>
      </c>
      <c r="N209" s="1"/>
      <c r="O209" s="32">
        <v>67647504</v>
      </c>
      <c r="P209" s="32">
        <v>2092191</v>
      </c>
    </row>
    <row r="210" spans="1:16" ht="16" hidden="1" customHeight="1" outlineLevel="1" x14ac:dyDescent="0.45">
      <c r="A210" s="24" t="s">
        <v>212</v>
      </c>
      <c r="B210" s="45">
        <v>0</v>
      </c>
      <c r="C210" s="71">
        <v>0</v>
      </c>
      <c r="D210" s="71">
        <v>0</v>
      </c>
      <c r="E210" s="64">
        <v>0</v>
      </c>
      <c r="F210" s="63">
        <v>0</v>
      </c>
      <c r="G210" s="63">
        <v>0</v>
      </c>
      <c r="H210" s="32">
        <f t="shared" si="3"/>
        <v>0</v>
      </c>
      <c r="I210" s="32">
        <v>0</v>
      </c>
      <c r="J210" s="32">
        <v>0</v>
      </c>
      <c r="K210" s="32">
        <v>0</v>
      </c>
      <c r="L210" s="32">
        <v>0</v>
      </c>
      <c r="M210" s="63">
        <v>0</v>
      </c>
      <c r="N210" s="1"/>
      <c r="O210" s="32">
        <v>0</v>
      </c>
      <c r="P210" s="32">
        <v>0</v>
      </c>
    </row>
    <row r="211" spans="1:16" ht="16" hidden="1" customHeight="1" outlineLevel="1" x14ac:dyDescent="0.45">
      <c r="A211" s="29" t="s">
        <v>213</v>
      </c>
      <c r="B211" s="44">
        <v>0</v>
      </c>
      <c r="C211" s="71">
        <v>0</v>
      </c>
      <c r="D211" s="71">
        <v>0</v>
      </c>
      <c r="E211" s="64">
        <v>0</v>
      </c>
      <c r="F211" s="63">
        <v>0</v>
      </c>
      <c r="G211" s="63">
        <v>0</v>
      </c>
      <c r="H211" s="32">
        <f t="shared" si="3"/>
        <v>0</v>
      </c>
      <c r="I211" s="32">
        <v>0</v>
      </c>
      <c r="J211" s="32">
        <v>0</v>
      </c>
      <c r="K211" s="32">
        <v>0</v>
      </c>
      <c r="L211" s="32">
        <v>0</v>
      </c>
      <c r="M211" s="63">
        <v>0</v>
      </c>
      <c r="N211" s="1"/>
      <c r="O211" s="32">
        <v>0</v>
      </c>
      <c r="P211" s="32">
        <v>0</v>
      </c>
    </row>
    <row r="212" spans="1:16" ht="16" hidden="1" customHeight="1" outlineLevel="1" x14ac:dyDescent="0.45">
      <c r="A212" s="24" t="s">
        <v>214</v>
      </c>
      <c r="B212" s="45">
        <v>0</v>
      </c>
      <c r="C212" s="71">
        <v>0</v>
      </c>
      <c r="D212" s="71">
        <v>0</v>
      </c>
      <c r="E212" s="64">
        <v>0</v>
      </c>
      <c r="F212" s="63">
        <v>0</v>
      </c>
      <c r="G212" s="63">
        <v>0</v>
      </c>
      <c r="H212" s="32">
        <f t="shared" si="3"/>
        <v>0</v>
      </c>
      <c r="I212" s="32">
        <v>0</v>
      </c>
      <c r="J212" s="32">
        <v>0</v>
      </c>
      <c r="K212" s="32">
        <v>0</v>
      </c>
      <c r="L212" s="32">
        <v>0</v>
      </c>
      <c r="M212" s="63">
        <v>0</v>
      </c>
      <c r="N212" s="1"/>
      <c r="O212" s="32">
        <v>0</v>
      </c>
      <c r="P212" s="32">
        <v>0</v>
      </c>
    </row>
    <row r="213" spans="1:16" ht="16" hidden="1" customHeight="1" outlineLevel="1" x14ac:dyDescent="0.45">
      <c r="A213" s="29" t="s">
        <v>215</v>
      </c>
      <c r="B213" s="44">
        <v>0</v>
      </c>
      <c r="C213" s="71">
        <v>0</v>
      </c>
      <c r="D213" s="71">
        <v>0</v>
      </c>
      <c r="E213" s="64">
        <v>0</v>
      </c>
      <c r="F213" s="63">
        <v>0</v>
      </c>
      <c r="G213" s="63">
        <v>0</v>
      </c>
      <c r="H213" s="32">
        <f t="shared" si="3"/>
        <v>0</v>
      </c>
      <c r="I213" s="32">
        <v>0</v>
      </c>
      <c r="J213" s="32">
        <v>0</v>
      </c>
      <c r="K213" s="32">
        <v>0</v>
      </c>
      <c r="L213" s="32">
        <v>0</v>
      </c>
      <c r="M213" s="63">
        <v>0</v>
      </c>
      <c r="N213" s="1"/>
      <c r="O213" s="32">
        <v>0</v>
      </c>
      <c r="P213" s="32">
        <v>0</v>
      </c>
    </row>
    <row r="214" spans="1:16" ht="16" hidden="1" customHeight="1" outlineLevel="1" x14ac:dyDescent="0.45">
      <c r="A214" s="29" t="s">
        <v>257</v>
      </c>
      <c r="B214" s="44">
        <v>0</v>
      </c>
      <c r="C214" s="71">
        <v>0</v>
      </c>
      <c r="D214" s="71">
        <v>0</v>
      </c>
      <c r="E214" s="64">
        <v>0</v>
      </c>
      <c r="F214" s="63">
        <v>0</v>
      </c>
      <c r="G214" s="63">
        <v>0</v>
      </c>
      <c r="H214" s="32">
        <f t="shared" si="3"/>
        <v>0</v>
      </c>
      <c r="I214" s="32">
        <v>0</v>
      </c>
      <c r="J214" s="32">
        <v>0</v>
      </c>
      <c r="K214" s="32">
        <v>0</v>
      </c>
      <c r="L214" s="32">
        <v>0</v>
      </c>
      <c r="M214" s="63">
        <v>0</v>
      </c>
      <c r="N214" s="1"/>
      <c r="O214" s="32">
        <v>0</v>
      </c>
      <c r="P214" s="32">
        <v>0</v>
      </c>
    </row>
    <row r="215" spans="1:16" s="1" customFormat="1" collapsed="1" x14ac:dyDescent="0.45">
      <c r="A215" s="28" t="s">
        <v>156</v>
      </c>
      <c r="B215" s="43">
        <v>38266000</v>
      </c>
      <c r="C215" s="69">
        <v>7000000</v>
      </c>
      <c r="D215" s="69">
        <v>0</v>
      </c>
      <c r="E215" s="61">
        <v>31266000</v>
      </c>
      <c r="F215" s="60">
        <v>0</v>
      </c>
      <c r="G215" s="60">
        <v>0</v>
      </c>
      <c r="H215" s="70">
        <f t="shared" si="3"/>
        <v>31266000</v>
      </c>
      <c r="I215" s="70">
        <v>0</v>
      </c>
      <c r="J215" s="70">
        <v>0</v>
      </c>
      <c r="K215" s="70">
        <v>0</v>
      </c>
      <c r="L215" s="70">
        <v>0</v>
      </c>
      <c r="M215" s="60">
        <v>0</v>
      </c>
      <c r="O215" s="70">
        <v>400000</v>
      </c>
      <c r="P215" s="70">
        <v>30866000</v>
      </c>
    </row>
    <row r="216" spans="1:16" ht="16" hidden="1" customHeight="1" outlineLevel="1" x14ac:dyDescent="0.45">
      <c r="A216" s="29" t="s">
        <v>157</v>
      </c>
      <c r="B216" s="44">
        <v>38266000</v>
      </c>
      <c r="C216" s="71">
        <v>7000000</v>
      </c>
      <c r="D216" s="71">
        <v>0</v>
      </c>
      <c r="E216" s="64">
        <v>31266000</v>
      </c>
      <c r="F216" s="63">
        <v>0</v>
      </c>
      <c r="G216" s="63">
        <v>0</v>
      </c>
      <c r="H216" s="32">
        <f t="shared" si="3"/>
        <v>31266000</v>
      </c>
      <c r="I216" s="32">
        <v>0</v>
      </c>
      <c r="J216" s="32">
        <v>0</v>
      </c>
      <c r="K216" s="32">
        <v>0</v>
      </c>
      <c r="L216" s="32">
        <v>0</v>
      </c>
      <c r="M216" s="63">
        <v>0</v>
      </c>
      <c r="N216" s="1"/>
      <c r="O216" s="32">
        <v>400000</v>
      </c>
      <c r="P216" s="32">
        <v>30866000</v>
      </c>
    </row>
    <row r="217" spans="1:16" s="1" customFormat="1" collapsed="1" x14ac:dyDescent="0.45">
      <c r="A217" s="28" t="s">
        <v>101</v>
      </c>
      <c r="B217" s="43">
        <v>1150281018</v>
      </c>
      <c r="C217" s="69">
        <v>-1873292495</v>
      </c>
      <c r="D217" s="69">
        <v>9471818</v>
      </c>
      <c r="E217" s="61">
        <v>3014101695</v>
      </c>
      <c r="F217" s="60">
        <v>1603636153.8323858</v>
      </c>
      <c r="G217" s="60">
        <v>51481698.167614169</v>
      </c>
      <c r="H217" s="70">
        <f t="shared" si="3"/>
        <v>683199126</v>
      </c>
      <c r="I217" s="70">
        <v>1169172.5</v>
      </c>
      <c r="J217" s="70">
        <v>633685.5</v>
      </c>
      <c r="K217" s="70">
        <v>17730300</v>
      </c>
      <c r="L217" s="70">
        <v>647951083</v>
      </c>
      <c r="M217" s="60">
        <v>8300476</v>
      </c>
      <c r="O217" s="70">
        <v>683199126</v>
      </c>
      <c r="P217" s="70">
        <v>0</v>
      </c>
    </row>
    <row r="218" spans="1:16" s="1" customFormat="1" ht="16" hidden="1" customHeight="1" outlineLevel="1" x14ac:dyDescent="0.45">
      <c r="A218" s="28" t="s">
        <v>166</v>
      </c>
      <c r="B218" s="43">
        <v>0</v>
      </c>
      <c r="C218" s="69">
        <v>-428983999</v>
      </c>
      <c r="D218" s="69">
        <v>0</v>
      </c>
      <c r="E218" s="61">
        <v>428983999</v>
      </c>
      <c r="F218" s="60">
        <v>397249426</v>
      </c>
      <c r="G218" s="60">
        <v>0</v>
      </c>
      <c r="H218" s="70">
        <f t="shared" si="3"/>
        <v>6905200</v>
      </c>
      <c r="I218" s="70">
        <v>1010400</v>
      </c>
      <c r="J218" s="70">
        <v>379773</v>
      </c>
      <c r="K218" s="70">
        <v>17730300</v>
      </c>
      <c r="L218" s="70">
        <v>5708900</v>
      </c>
      <c r="M218" s="60">
        <v>0</v>
      </c>
      <c r="O218" s="70">
        <v>6905200</v>
      </c>
      <c r="P218" s="70">
        <v>0</v>
      </c>
    </row>
    <row r="219" spans="1:16" ht="16" hidden="1" customHeight="1" outlineLevel="1" x14ac:dyDescent="0.45">
      <c r="A219" s="29" t="s">
        <v>216</v>
      </c>
      <c r="B219" s="44">
        <v>0</v>
      </c>
      <c r="C219" s="71">
        <v>0</v>
      </c>
      <c r="D219" s="71">
        <v>0</v>
      </c>
      <c r="E219" s="64">
        <v>0</v>
      </c>
      <c r="F219" s="63">
        <v>0</v>
      </c>
      <c r="G219" s="63">
        <v>0</v>
      </c>
      <c r="H219" s="32">
        <f t="shared" si="3"/>
        <v>0</v>
      </c>
      <c r="I219" s="32">
        <v>0</v>
      </c>
      <c r="J219" s="32">
        <v>0</v>
      </c>
      <c r="K219" s="32">
        <v>0</v>
      </c>
      <c r="L219" s="32">
        <v>0</v>
      </c>
      <c r="M219" s="63">
        <v>0</v>
      </c>
      <c r="N219" s="1"/>
      <c r="O219" s="32">
        <v>0</v>
      </c>
      <c r="P219" s="32">
        <v>0</v>
      </c>
    </row>
    <row r="220" spans="1:16" ht="16" hidden="1" customHeight="1" outlineLevel="1" x14ac:dyDescent="0.45">
      <c r="A220" s="29" t="s">
        <v>102</v>
      </c>
      <c r="B220" s="44">
        <v>0</v>
      </c>
      <c r="C220" s="71">
        <v>0</v>
      </c>
      <c r="D220" s="71">
        <v>0</v>
      </c>
      <c r="E220" s="64">
        <v>0</v>
      </c>
      <c r="F220" s="63">
        <v>0</v>
      </c>
      <c r="G220" s="63">
        <v>0</v>
      </c>
      <c r="H220" s="32">
        <f t="shared" si="3"/>
        <v>0</v>
      </c>
      <c r="I220" s="32">
        <v>0</v>
      </c>
      <c r="J220" s="32">
        <v>0</v>
      </c>
      <c r="K220" s="32">
        <v>0</v>
      </c>
      <c r="L220" s="32">
        <v>0</v>
      </c>
      <c r="M220" s="63">
        <v>0</v>
      </c>
      <c r="N220" s="1"/>
      <c r="O220" s="32">
        <v>0</v>
      </c>
      <c r="P220" s="32">
        <v>0</v>
      </c>
    </row>
    <row r="221" spans="1:16" ht="16" hidden="1" customHeight="1" outlineLevel="1" x14ac:dyDescent="0.45">
      <c r="A221" s="29" t="s">
        <v>103</v>
      </c>
      <c r="B221" s="44">
        <v>25871326</v>
      </c>
      <c r="C221" s="71">
        <v>1686601</v>
      </c>
      <c r="D221" s="71">
        <v>0</v>
      </c>
      <c r="E221" s="64">
        <v>24184725</v>
      </c>
      <c r="F221" s="63">
        <v>24017055</v>
      </c>
      <c r="G221" s="63">
        <v>0</v>
      </c>
      <c r="H221" s="32">
        <f t="shared" si="3"/>
        <v>0</v>
      </c>
      <c r="I221" s="32">
        <v>0</v>
      </c>
      <c r="J221" s="32">
        <v>95140</v>
      </c>
      <c r="K221" s="32">
        <v>0</v>
      </c>
      <c r="L221" s="32">
        <v>72530</v>
      </c>
      <c r="M221" s="63">
        <v>0</v>
      </c>
      <c r="N221" s="1"/>
      <c r="O221" s="32">
        <v>0</v>
      </c>
      <c r="P221" s="32">
        <v>0</v>
      </c>
    </row>
    <row r="222" spans="1:16" s="1" customFormat="1" ht="16" hidden="1" customHeight="1" outlineLevel="1" collapsed="1" x14ac:dyDescent="0.45">
      <c r="A222" s="28" t="s">
        <v>104</v>
      </c>
      <c r="B222" s="43">
        <v>0</v>
      </c>
      <c r="C222" s="69">
        <v>-1518166500</v>
      </c>
      <c r="D222" s="69">
        <v>0</v>
      </c>
      <c r="E222" s="61">
        <v>1518166500</v>
      </c>
      <c r="F222" s="60">
        <v>1006306500</v>
      </c>
      <c r="G222" s="60">
        <v>0</v>
      </c>
      <c r="H222" s="70">
        <f t="shared" si="3"/>
        <v>0</v>
      </c>
      <c r="I222" s="70">
        <v>0</v>
      </c>
      <c r="J222" s="70">
        <v>0</v>
      </c>
      <c r="K222" s="70">
        <v>0</v>
      </c>
      <c r="L222" s="70">
        <v>511860000</v>
      </c>
      <c r="M222" s="60">
        <v>0</v>
      </c>
      <c r="O222" s="70">
        <v>0</v>
      </c>
      <c r="P222" s="70">
        <v>0</v>
      </c>
    </row>
    <row r="223" spans="1:16" ht="16" hidden="1" customHeight="1" outlineLevel="1" x14ac:dyDescent="0.45">
      <c r="A223" s="29" t="s">
        <v>116</v>
      </c>
      <c r="B223" s="44">
        <v>112287032</v>
      </c>
      <c r="C223" s="71">
        <v>43214442</v>
      </c>
      <c r="D223" s="71">
        <v>4830000</v>
      </c>
      <c r="E223" s="64">
        <v>64242590</v>
      </c>
      <c r="F223" s="63">
        <v>4061000</v>
      </c>
      <c r="G223" s="63">
        <v>50771614</v>
      </c>
      <c r="H223" s="32">
        <f t="shared" si="3"/>
        <v>0</v>
      </c>
      <c r="I223" s="32">
        <v>0</v>
      </c>
      <c r="J223" s="32">
        <v>0</v>
      </c>
      <c r="K223" s="32">
        <v>0</v>
      </c>
      <c r="L223" s="32">
        <v>1109500</v>
      </c>
      <c r="M223" s="63">
        <v>8300476</v>
      </c>
      <c r="N223" s="1"/>
      <c r="O223" s="32">
        <v>0</v>
      </c>
      <c r="P223" s="32">
        <v>0</v>
      </c>
    </row>
    <row r="224" spans="1:16" ht="16" hidden="1" customHeight="1" outlineLevel="1" x14ac:dyDescent="0.45">
      <c r="A224" s="29" t="s">
        <v>105</v>
      </c>
      <c r="B224" s="44">
        <v>1000902335</v>
      </c>
      <c r="C224" s="71">
        <v>28956961</v>
      </c>
      <c r="D224" s="71">
        <v>4641818</v>
      </c>
      <c r="E224" s="64">
        <v>967303556</v>
      </c>
      <c r="F224" s="63">
        <v>172002172.83238584</v>
      </c>
      <c r="G224" s="63">
        <v>710084.16761416825</v>
      </c>
      <c r="H224" s="32">
        <f t="shared" si="3"/>
        <v>676293926</v>
      </c>
      <c r="I224" s="72">
        <v>158772.5</v>
      </c>
      <c r="J224" s="72">
        <v>158772.5</v>
      </c>
      <c r="K224" s="72">
        <v>0</v>
      </c>
      <c r="L224" s="72">
        <v>117979828</v>
      </c>
      <c r="M224" s="63">
        <v>0</v>
      </c>
      <c r="N224" s="1"/>
      <c r="O224" s="32">
        <v>676293926</v>
      </c>
      <c r="P224" s="32">
        <v>0</v>
      </c>
    </row>
    <row r="225" spans="1:16" ht="16" hidden="1" customHeight="1" outlineLevel="1" x14ac:dyDescent="0.45">
      <c r="A225" s="29" t="s">
        <v>217</v>
      </c>
      <c r="B225" s="44">
        <v>0</v>
      </c>
      <c r="C225" s="71">
        <v>0</v>
      </c>
      <c r="D225" s="71">
        <v>0</v>
      </c>
      <c r="E225" s="64">
        <v>0</v>
      </c>
      <c r="F225" s="63">
        <v>0</v>
      </c>
      <c r="G225" s="63">
        <v>0</v>
      </c>
      <c r="H225" s="32">
        <f t="shared" si="3"/>
        <v>0</v>
      </c>
      <c r="I225" s="32">
        <v>0</v>
      </c>
      <c r="J225" s="32">
        <v>0</v>
      </c>
      <c r="K225" s="32">
        <v>0</v>
      </c>
      <c r="L225" s="32">
        <v>0</v>
      </c>
      <c r="M225" s="63">
        <v>0</v>
      </c>
      <c r="N225" s="1"/>
      <c r="O225" s="32">
        <v>0</v>
      </c>
      <c r="P225" s="32">
        <v>0</v>
      </c>
    </row>
    <row r="226" spans="1:16" ht="16" hidden="1" customHeight="1" outlineLevel="1" x14ac:dyDescent="0.45">
      <c r="A226" s="29" t="s">
        <v>106</v>
      </c>
      <c r="B226" s="44">
        <v>11220325</v>
      </c>
      <c r="C226" s="71">
        <v>0</v>
      </c>
      <c r="D226" s="71">
        <v>0</v>
      </c>
      <c r="E226" s="64">
        <v>11220325</v>
      </c>
      <c r="F226" s="63">
        <v>0</v>
      </c>
      <c r="G226" s="63">
        <v>0</v>
      </c>
      <c r="H226" s="32">
        <f t="shared" si="3"/>
        <v>0</v>
      </c>
      <c r="I226" s="32">
        <v>0</v>
      </c>
      <c r="J226" s="32">
        <v>0</v>
      </c>
      <c r="K226" s="32">
        <v>0</v>
      </c>
      <c r="L226" s="32">
        <v>11220325</v>
      </c>
      <c r="M226" s="63">
        <v>0</v>
      </c>
      <c r="N226" s="1"/>
      <c r="O226" s="32">
        <v>0</v>
      </c>
      <c r="P226" s="32">
        <v>0</v>
      </c>
    </row>
    <row r="227" spans="1:16" s="1" customFormat="1" ht="16" hidden="1" customHeight="1" outlineLevel="1" collapsed="1" x14ac:dyDescent="0.45">
      <c r="A227" s="28" t="s">
        <v>260</v>
      </c>
      <c r="B227" s="43">
        <v>0</v>
      </c>
      <c r="C227" s="69">
        <v>0</v>
      </c>
      <c r="D227" s="69">
        <v>0</v>
      </c>
      <c r="E227" s="61">
        <v>0</v>
      </c>
      <c r="F227" s="60">
        <v>0</v>
      </c>
      <c r="G227" s="60">
        <v>0</v>
      </c>
      <c r="H227" s="70">
        <f t="shared" si="3"/>
        <v>0</v>
      </c>
      <c r="I227" s="70">
        <v>0</v>
      </c>
      <c r="J227" s="70">
        <v>0</v>
      </c>
      <c r="K227" s="70">
        <v>0</v>
      </c>
      <c r="L227" s="70">
        <v>0</v>
      </c>
      <c r="M227" s="60">
        <v>0</v>
      </c>
      <c r="O227" s="70">
        <v>0</v>
      </c>
      <c r="P227" s="70">
        <v>0</v>
      </c>
    </row>
    <row r="228" spans="1:16" s="1" customFormat="1" collapsed="1" x14ac:dyDescent="0.45">
      <c r="A228" s="28" t="s">
        <v>218</v>
      </c>
      <c r="B228" s="43">
        <v>0</v>
      </c>
      <c r="C228" s="69">
        <v>0</v>
      </c>
      <c r="D228" s="69">
        <v>0</v>
      </c>
      <c r="E228" s="61">
        <v>0</v>
      </c>
      <c r="F228" s="60">
        <v>0</v>
      </c>
      <c r="G228" s="60">
        <v>0</v>
      </c>
      <c r="H228" s="70">
        <f t="shared" si="3"/>
        <v>0</v>
      </c>
      <c r="I228" s="70">
        <v>0</v>
      </c>
      <c r="J228" s="70">
        <v>0</v>
      </c>
      <c r="K228" s="70">
        <v>0</v>
      </c>
      <c r="L228" s="70">
        <v>0</v>
      </c>
      <c r="M228" s="60">
        <v>0</v>
      </c>
      <c r="O228" s="70">
        <v>0</v>
      </c>
      <c r="P228" s="70">
        <v>0</v>
      </c>
    </row>
    <row r="229" spans="1:16" s="1" customFormat="1" x14ac:dyDescent="0.45">
      <c r="A229" s="28" t="s">
        <v>107</v>
      </c>
      <c r="B229" s="43">
        <v>765681582</v>
      </c>
      <c r="C229" s="69">
        <v>-5277272</v>
      </c>
      <c r="D229" s="69">
        <v>60836296</v>
      </c>
      <c r="E229" s="61">
        <v>710122558</v>
      </c>
      <c r="F229" s="60">
        <v>0</v>
      </c>
      <c r="G229" s="60">
        <v>1963635</v>
      </c>
      <c r="H229" s="70">
        <f t="shared" si="3"/>
        <v>60685909</v>
      </c>
      <c r="I229" s="70">
        <v>-10773909</v>
      </c>
      <c r="J229" s="70">
        <v>595078898</v>
      </c>
      <c r="K229" s="70">
        <v>59854388</v>
      </c>
      <c r="L229" s="70">
        <v>3313637</v>
      </c>
      <c r="M229" s="60">
        <v>0</v>
      </c>
      <c r="O229" s="70">
        <v>60685909</v>
      </c>
      <c r="P229" s="70">
        <v>0</v>
      </c>
    </row>
    <row r="230" spans="1:16" ht="16" hidden="1" customHeight="1" outlineLevel="1" x14ac:dyDescent="0.45">
      <c r="A230" s="29" t="s">
        <v>158</v>
      </c>
      <c r="B230" s="44">
        <v>0</v>
      </c>
      <c r="C230" s="71">
        <v>0</v>
      </c>
      <c r="D230" s="71">
        <v>0</v>
      </c>
      <c r="E230" s="64">
        <v>0</v>
      </c>
      <c r="F230" s="63">
        <v>0</v>
      </c>
      <c r="G230" s="63">
        <v>0</v>
      </c>
      <c r="H230" s="32">
        <f t="shared" si="3"/>
        <v>0</v>
      </c>
      <c r="I230" s="32">
        <v>0</v>
      </c>
      <c r="J230" s="32">
        <v>0</v>
      </c>
      <c r="K230" s="32">
        <v>0</v>
      </c>
      <c r="L230" s="32">
        <v>0</v>
      </c>
      <c r="M230" s="63">
        <v>0</v>
      </c>
      <c r="N230" s="1"/>
      <c r="O230" s="32">
        <v>0</v>
      </c>
      <c r="P230" s="32">
        <v>0</v>
      </c>
    </row>
    <row r="231" spans="1:16" ht="16" hidden="1" customHeight="1" outlineLevel="1" x14ac:dyDescent="0.45">
      <c r="A231" s="29" t="s">
        <v>219</v>
      </c>
      <c r="B231" s="44">
        <v>0</v>
      </c>
      <c r="C231" s="71">
        <v>0</v>
      </c>
      <c r="D231" s="71">
        <v>0</v>
      </c>
      <c r="E231" s="64">
        <v>0</v>
      </c>
      <c r="F231" s="63">
        <v>0</v>
      </c>
      <c r="G231" s="63">
        <v>0</v>
      </c>
      <c r="H231" s="32">
        <f t="shared" si="3"/>
        <v>0</v>
      </c>
      <c r="I231" s="32">
        <v>0</v>
      </c>
      <c r="J231" s="32">
        <v>0</v>
      </c>
      <c r="K231" s="32">
        <v>0</v>
      </c>
      <c r="L231" s="32">
        <v>0</v>
      </c>
      <c r="M231" s="63">
        <v>0</v>
      </c>
      <c r="N231" s="1"/>
      <c r="O231" s="32">
        <v>0</v>
      </c>
      <c r="P231" s="32">
        <v>0</v>
      </c>
    </row>
    <row r="232" spans="1:16" ht="16" hidden="1" customHeight="1" outlineLevel="1" x14ac:dyDescent="0.45">
      <c r="A232" s="29" t="s">
        <v>230</v>
      </c>
      <c r="B232" s="44">
        <v>704845286</v>
      </c>
      <c r="C232" s="71">
        <v>0</v>
      </c>
      <c r="D232" s="71">
        <v>0</v>
      </c>
      <c r="E232" s="64">
        <v>704845286</v>
      </c>
      <c r="F232" s="63">
        <v>0</v>
      </c>
      <c r="G232" s="63">
        <v>0</v>
      </c>
      <c r="H232" s="32">
        <f t="shared" si="3"/>
        <v>60685909</v>
      </c>
      <c r="I232" s="32">
        <v>-10773909</v>
      </c>
      <c r="J232" s="32">
        <v>595078898</v>
      </c>
      <c r="K232" s="32">
        <v>59854388</v>
      </c>
      <c r="L232" s="32">
        <v>0</v>
      </c>
      <c r="M232" s="63">
        <v>0</v>
      </c>
      <c r="N232" s="1"/>
      <c r="O232" s="32">
        <v>60685909</v>
      </c>
      <c r="P232" s="32">
        <v>0</v>
      </c>
    </row>
    <row r="233" spans="1:16" ht="16" hidden="1" customHeight="1" outlineLevel="1" x14ac:dyDescent="0.45">
      <c r="A233" s="29" t="s">
        <v>220</v>
      </c>
      <c r="B233" s="44">
        <v>0</v>
      </c>
      <c r="C233" s="71">
        <v>0</v>
      </c>
      <c r="D233" s="71">
        <v>0</v>
      </c>
      <c r="E233" s="64">
        <v>0</v>
      </c>
      <c r="F233" s="63">
        <v>0</v>
      </c>
      <c r="G233" s="63">
        <v>0</v>
      </c>
      <c r="H233" s="32">
        <f t="shared" si="3"/>
        <v>0</v>
      </c>
      <c r="I233" s="32">
        <v>0</v>
      </c>
      <c r="J233" s="32">
        <v>0</v>
      </c>
      <c r="K233" s="32">
        <v>0</v>
      </c>
      <c r="L233" s="32">
        <v>0</v>
      </c>
      <c r="M233" s="63">
        <v>0</v>
      </c>
      <c r="N233" s="1"/>
      <c r="O233" s="32">
        <v>0</v>
      </c>
      <c r="P233" s="32">
        <v>0</v>
      </c>
    </row>
    <row r="234" spans="1:16" s="1" customFormat="1" ht="16" hidden="1" customHeight="1" outlineLevel="1" collapsed="1" x14ac:dyDescent="0.45">
      <c r="A234" s="28" t="s">
        <v>108</v>
      </c>
      <c r="B234" s="44">
        <v>0</v>
      </c>
      <c r="C234" s="69">
        <v>-3181817</v>
      </c>
      <c r="D234" s="69">
        <v>0</v>
      </c>
      <c r="E234" s="61">
        <v>3181817</v>
      </c>
      <c r="F234" s="60">
        <v>0</v>
      </c>
      <c r="G234" s="60">
        <v>3181817</v>
      </c>
      <c r="H234" s="70">
        <f t="shared" si="3"/>
        <v>0</v>
      </c>
      <c r="I234" s="70">
        <v>0</v>
      </c>
      <c r="J234" s="70">
        <v>0</v>
      </c>
      <c r="K234" s="70">
        <v>0</v>
      </c>
      <c r="L234" s="70">
        <v>0</v>
      </c>
      <c r="M234" s="60">
        <v>0</v>
      </c>
      <c r="O234" s="70">
        <v>0</v>
      </c>
      <c r="P234" s="70">
        <v>0</v>
      </c>
    </row>
    <row r="235" spans="1:16" ht="16" hidden="1" customHeight="1" outlineLevel="1" x14ac:dyDescent="0.45">
      <c r="A235" s="29" t="s">
        <v>221</v>
      </c>
      <c r="B235" s="44">
        <v>0</v>
      </c>
      <c r="C235" s="71">
        <v>0</v>
      </c>
      <c r="D235" s="71">
        <v>0</v>
      </c>
      <c r="E235" s="64">
        <v>0</v>
      </c>
      <c r="F235" s="63">
        <v>0</v>
      </c>
      <c r="G235" s="63">
        <v>0</v>
      </c>
      <c r="H235" s="32">
        <f t="shared" si="3"/>
        <v>0</v>
      </c>
      <c r="I235" s="32">
        <v>0</v>
      </c>
      <c r="J235" s="32">
        <v>0</v>
      </c>
      <c r="K235" s="32">
        <v>0</v>
      </c>
      <c r="L235" s="32">
        <v>0</v>
      </c>
      <c r="M235" s="63">
        <v>0</v>
      </c>
      <c r="N235" s="1"/>
      <c r="O235" s="32">
        <v>0</v>
      </c>
      <c r="P235" s="32">
        <v>0</v>
      </c>
    </row>
    <row r="236" spans="1:16" ht="16" hidden="1" customHeight="1" outlineLevel="1" x14ac:dyDescent="0.45">
      <c r="A236" s="29" t="s">
        <v>222</v>
      </c>
      <c r="B236" s="44">
        <v>60836296</v>
      </c>
      <c r="C236" s="71">
        <v>0</v>
      </c>
      <c r="D236" s="71">
        <v>60836296</v>
      </c>
      <c r="E236" s="64">
        <v>0</v>
      </c>
      <c r="F236" s="63">
        <v>0</v>
      </c>
      <c r="G236" s="63">
        <v>0</v>
      </c>
      <c r="H236" s="32">
        <f t="shared" si="3"/>
        <v>0</v>
      </c>
      <c r="I236" s="32">
        <v>0</v>
      </c>
      <c r="J236" s="32">
        <v>0</v>
      </c>
      <c r="K236" s="32">
        <v>0</v>
      </c>
      <c r="L236" s="32">
        <v>0</v>
      </c>
      <c r="M236" s="63">
        <v>0</v>
      </c>
      <c r="N236" s="1"/>
      <c r="O236" s="32">
        <v>0</v>
      </c>
      <c r="P236" s="32">
        <v>0</v>
      </c>
    </row>
    <row r="237" spans="1:16" s="1" customFormat="1" ht="16" hidden="1" customHeight="1" outlineLevel="1" collapsed="1" x14ac:dyDescent="0.45">
      <c r="A237" s="28" t="s">
        <v>109</v>
      </c>
      <c r="B237" s="44">
        <v>0</v>
      </c>
      <c r="C237" s="69">
        <v>-2095455</v>
      </c>
      <c r="D237" s="69">
        <v>0</v>
      </c>
      <c r="E237" s="61">
        <v>2095455</v>
      </c>
      <c r="F237" s="60">
        <v>0</v>
      </c>
      <c r="G237" s="60">
        <v>-1218182</v>
      </c>
      <c r="H237" s="70">
        <f t="shared" si="3"/>
        <v>0</v>
      </c>
      <c r="I237" s="70">
        <v>0</v>
      </c>
      <c r="J237" s="70">
        <v>0</v>
      </c>
      <c r="K237" s="70">
        <v>0</v>
      </c>
      <c r="L237" s="70">
        <v>3313637</v>
      </c>
      <c r="M237" s="60">
        <v>0</v>
      </c>
      <c r="O237" s="70">
        <v>0</v>
      </c>
      <c r="P237" s="70">
        <v>0</v>
      </c>
    </row>
    <row r="238" spans="1:16" s="1" customFormat="1" ht="16" customHeight="1" collapsed="1" x14ac:dyDescent="0.45">
      <c r="A238" s="28" t="s">
        <v>110</v>
      </c>
      <c r="B238" s="44">
        <v>20810258</v>
      </c>
      <c r="C238" s="69">
        <v>18310258</v>
      </c>
      <c r="D238" s="69">
        <v>0</v>
      </c>
      <c r="E238" s="61">
        <v>2500000</v>
      </c>
      <c r="F238" s="60">
        <v>0</v>
      </c>
      <c r="G238" s="60">
        <v>0</v>
      </c>
      <c r="H238" s="70">
        <f t="shared" si="3"/>
        <v>0</v>
      </c>
      <c r="I238" s="70">
        <v>0</v>
      </c>
      <c r="J238" s="70">
        <v>0</v>
      </c>
      <c r="K238" s="70">
        <v>0</v>
      </c>
      <c r="L238" s="70">
        <v>0</v>
      </c>
      <c r="M238" s="60">
        <v>2500000</v>
      </c>
      <c r="O238" s="70">
        <v>0</v>
      </c>
      <c r="P238" s="70">
        <v>0</v>
      </c>
    </row>
    <row r="239" spans="1:16" s="1" customFormat="1" collapsed="1" x14ac:dyDescent="0.45">
      <c r="A239" s="27" t="s">
        <v>231</v>
      </c>
      <c r="B239" s="42">
        <v>2468753406</v>
      </c>
      <c r="C239" s="73">
        <v>-1142121765</v>
      </c>
      <c r="D239" s="73">
        <v>-173544707</v>
      </c>
      <c r="E239" s="58">
        <v>3784419878</v>
      </c>
      <c r="F239" s="57">
        <v>2366767970.6602578</v>
      </c>
      <c r="G239" s="57">
        <v>988728146.355708</v>
      </c>
      <c r="H239" s="57">
        <f t="shared" si="3"/>
        <v>254671335.98403412</v>
      </c>
      <c r="I239" s="57">
        <v>62845428.701001391</v>
      </c>
      <c r="J239" s="57">
        <v>98881714.119636536</v>
      </c>
      <c r="K239" s="57">
        <v>80859835.218371451</v>
      </c>
      <c r="L239" s="57">
        <v>-552429101.03900933</v>
      </c>
      <c r="M239" s="57">
        <v>484094548</v>
      </c>
      <c r="O239" s="57">
        <v>91204413.948504582</v>
      </c>
      <c r="P239" s="57">
        <v>163466922.03552955</v>
      </c>
    </row>
    <row r="240" spans="1:16" s="1" customFormat="1" x14ac:dyDescent="0.45">
      <c r="A240" s="28" t="s">
        <v>268</v>
      </c>
      <c r="B240" s="43">
        <v>48183886</v>
      </c>
      <c r="C240" s="69">
        <v>48077168</v>
      </c>
      <c r="D240" s="69">
        <v>0</v>
      </c>
      <c r="E240" s="61">
        <v>106718</v>
      </c>
      <c r="F240" s="60">
        <v>0</v>
      </c>
      <c r="G240" s="60">
        <v>106718</v>
      </c>
      <c r="H240" s="70">
        <f t="shared" si="3"/>
        <v>0</v>
      </c>
      <c r="I240" s="70">
        <v>0</v>
      </c>
      <c r="J240" s="70">
        <v>0</v>
      </c>
      <c r="K240" s="70">
        <v>0</v>
      </c>
      <c r="L240" s="70">
        <v>0</v>
      </c>
      <c r="M240" s="70">
        <v>0</v>
      </c>
      <c r="O240" s="70">
        <v>0</v>
      </c>
      <c r="P240" s="70">
        <v>0</v>
      </c>
    </row>
    <row r="241" spans="1:16" ht="16" hidden="1" customHeight="1" outlineLevel="1" x14ac:dyDescent="0.45">
      <c r="A241" s="29" t="s">
        <v>159</v>
      </c>
      <c r="B241" s="44">
        <v>48077159</v>
      </c>
      <c r="C241" s="71">
        <v>48077159</v>
      </c>
      <c r="D241" s="71">
        <v>0</v>
      </c>
      <c r="E241" s="64">
        <v>0</v>
      </c>
      <c r="F241" s="63">
        <v>0</v>
      </c>
      <c r="G241" s="63">
        <v>0</v>
      </c>
      <c r="H241" s="32">
        <f t="shared" si="3"/>
        <v>0</v>
      </c>
      <c r="I241" s="32">
        <v>0</v>
      </c>
      <c r="J241" s="32">
        <v>0</v>
      </c>
      <c r="K241" s="32">
        <v>0</v>
      </c>
      <c r="L241" s="32">
        <v>0</v>
      </c>
      <c r="M241" s="32">
        <v>0</v>
      </c>
      <c r="N241" s="1"/>
      <c r="O241" s="32">
        <v>0</v>
      </c>
      <c r="P241" s="32">
        <v>0</v>
      </c>
    </row>
    <row r="242" spans="1:16" ht="16" hidden="1" customHeight="1" outlineLevel="1" x14ac:dyDescent="0.45">
      <c r="A242" s="29" t="s">
        <v>160</v>
      </c>
      <c r="B242" s="44">
        <v>0</v>
      </c>
      <c r="C242" s="71">
        <v>0</v>
      </c>
      <c r="D242" s="71">
        <v>0</v>
      </c>
      <c r="E242" s="64">
        <v>0</v>
      </c>
      <c r="F242" s="63">
        <v>0</v>
      </c>
      <c r="G242" s="63">
        <v>0</v>
      </c>
      <c r="H242" s="32">
        <f t="shared" si="3"/>
        <v>0</v>
      </c>
      <c r="I242" s="32">
        <v>0</v>
      </c>
      <c r="J242" s="32">
        <v>0</v>
      </c>
      <c r="K242" s="32">
        <v>0</v>
      </c>
      <c r="L242" s="32">
        <v>0</v>
      </c>
      <c r="M242" s="32">
        <v>0</v>
      </c>
      <c r="N242" s="1"/>
      <c r="O242" s="32">
        <v>0</v>
      </c>
      <c r="P242" s="32">
        <v>0</v>
      </c>
    </row>
    <row r="243" spans="1:16" ht="16" hidden="1" customHeight="1" outlineLevel="1" x14ac:dyDescent="0.45">
      <c r="A243" s="29" t="s">
        <v>258</v>
      </c>
      <c r="B243" s="44">
        <v>0</v>
      </c>
      <c r="C243" s="71">
        <v>0</v>
      </c>
      <c r="D243" s="71">
        <v>0</v>
      </c>
      <c r="E243" s="64">
        <v>0</v>
      </c>
      <c r="F243" s="63">
        <v>0</v>
      </c>
      <c r="G243" s="63">
        <v>0</v>
      </c>
      <c r="H243" s="32">
        <f t="shared" si="3"/>
        <v>0</v>
      </c>
      <c r="I243" s="32">
        <v>0</v>
      </c>
      <c r="J243" s="32">
        <v>0</v>
      </c>
      <c r="K243" s="32">
        <v>0</v>
      </c>
      <c r="L243" s="32">
        <v>0</v>
      </c>
      <c r="M243" s="32">
        <v>0</v>
      </c>
      <c r="N243" s="1"/>
      <c r="O243" s="32">
        <v>0</v>
      </c>
      <c r="P243" s="32">
        <v>0</v>
      </c>
    </row>
    <row r="244" spans="1:16" ht="16" hidden="1" customHeight="1" outlineLevel="1" x14ac:dyDescent="0.45">
      <c r="A244" s="29" t="s">
        <v>223</v>
      </c>
      <c r="B244" s="44">
        <v>0</v>
      </c>
      <c r="C244" s="71">
        <v>0</v>
      </c>
      <c r="D244" s="71">
        <v>0</v>
      </c>
      <c r="E244" s="64">
        <v>0</v>
      </c>
      <c r="F244" s="63">
        <v>0</v>
      </c>
      <c r="G244" s="63">
        <v>0</v>
      </c>
      <c r="H244" s="32">
        <f t="shared" si="3"/>
        <v>0</v>
      </c>
      <c r="I244" s="32">
        <v>0</v>
      </c>
      <c r="J244" s="32">
        <v>0</v>
      </c>
      <c r="K244" s="32">
        <v>0</v>
      </c>
      <c r="L244" s="32">
        <v>0</v>
      </c>
      <c r="M244" s="32">
        <v>0</v>
      </c>
      <c r="N244" s="1"/>
      <c r="O244" s="32">
        <v>0</v>
      </c>
      <c r="P244" s="32">
        <v>0</v>
      </c>
    </row>
    <row r="245" spans="1:16" s="3" customFormat="1" ht="16" hidden="1" customHeight="1" outlineLevel="1" x14ac:dyDescent="0.45">
      <c r="A245" s="33" t="s">
        <v>243</v>
      </c>
      <c r="B245" s="33">
        <v>0</v>
      </c>
      <c r="C245" s="71">
        <v>0</v>
      </c>
      <c r="D245" s="71">
        <v>0</v>
      </c>
      <c r="E245" s="64">
        <v>0</v>
      </c>
      <c r="F245" s="63">
        <v>0</v>
      </c>
      <c r="G245" s="63">
        <v>0</v>
      </c>
      <c r="H245" s="32">
        <f t="shared" si="3"/>
        <v>0</v>
      </c>
      <c r="I245" s="32">
        <v>0</v>
      </c>
      <c r="J245" s="32">
        <v>0</v>
      </c>
      <c r="K245" s="32">
        <v>0</v>
      </c>
      <c r="L245" s="32">
        <v>0</v>
      </c>
      <c r="M245" s="32">
        <v>0</v>
      </c>
      <c r="N245" s="1"/>
      <c r="O245" s="32">
        <v>0</v>
      </c>
      <c r="P245" s="32">
        <v>0</v>
      </c>
    </row>
    <row r="246" spans="1:16" s="3" customFormat="1" ht="16" hidden="1" customHeight="1" outlineLevel="1" x14ac:dyDescent="0.45">
      <c r="A246" s="34" t="s">
        <v>264</v>
      </c>
      <c r="B246" s="33">
        <v>0</v>
      </c>
      <c r="C246" s="71">
        <v>0</v>
      </c>
      <c r="D246" s="71">
        <v>0</v>
      </c>
      <c r="E246" s="64">
        <v>0</v>
      </c>
      <c r="F246" s="63">
        <v>0</v>
      </c>
      <c r="G246" s="63">
        <v>0</v>
      </c>
      <c r="H246" s="32">
        <f t="shared" si="3"/>
        <v>0</v>
      </c>
      <c r="I246" s="32">
        <v>0</v>
      </c>
      <c r="J246" s="32">
        <v>0</v>
      </c>
      <c r="K246" s="32">
        <v>0</v>
      </c>
      <c r="L246" s="32">
        <v>0</v>
      </c>
      <c r="M246" s="32">
        <v>0</v>
      </c>
      <c r="N246" s="1"/>
      <c r="O246" s="32">
        <v>0</v>
      </c>
      <c r="P246" s="32">
        <v>0</v>
      </c>
    </row>
    <row r="247" spans="1:16" s="3" customFormat="1" ht="16" hidden="1" customHeight="1" outlineLevel="1" x14ac:dyDescent="0.45">
      <c r="A247" s="34" t="s">
        <v>247</v>
      </c>
      <c r="B247" s="33">
        <v>0</v>
      </c>
      <c r="C247" s="71">
        <v>0</v>
      </c>
      <c r="D247" s="71">
        <v>0</v>
      </c>
      <c r="E247" s="64">
        <v>0</v>
      </c>
      <c r="F247" s="63">
        <v>0</v>
      </c>
      <c r="G247" s="63">
        <v>0</v>
      </c>
      <c r="H247" s="32">
        <f t="shared" si="3"/>
        <v>0</v>
      </c>
      <c r="I247" s="32">
        <v>0</v>
      </c>
      <c r="J247" s="32">
        <v>0</v>
      </c>
      <c r="K247" s="32">
        <v>0</v>
      </c>
      <c r="L247" s="32">
        <v>0</v>
      </c>
      <c r="M247" s="32">
        <v>0</v>
      </c>
      <c r="N247" s="1"/>
      <c r="O247" s="32">
        <v>0</v>
      </c>
      <c r="P247" s="32">
        <v>0</v>
      </c>
    </row>
    <row r="248" spans="1:16" ht="16" hidden="1" customHeight="1" outlineLevel="1" collapsed="1" x14ac:dyDescent="0.45">
      <c r="A248" s="29" t="s">
        <v>161</v>
      </c>
      <c r="B248" s="44">
        <v>106727</v>
      </c>
      <c r="C248" s="71">
        <v>9</v>
      </c>
      <c r="D248" s="71">
        <v>0</v>
      </c>
      <c r="E248" s="64">
        <v>106718</v>
      </c>
      <c r="F248" s="63">
        <v>0</v>
      </c>
      <c r="G248" s="63">
        <v>106718</v>
      </c>
      <c r="H248" s="32">
        <f t="shared" si="3"/>
        <v>0</v>
      </c>
      <c r="I248" s="32">
        <v>0</v>
      </c>
      <c r="J248" s="32">
        <v>0</v>
      </c>
      <c r="K248" s="32">
        <v>0</v>
      </c>
      <c r="L248" s="32">
        <v>0</v>
      </c>
      <c r="M248" s="32">
        <v>0</v>
      </c>
      <c r="N248" s="1"/>
      <c r="O248" s="32">
        <v>0</v>
      </c>
      <c r="P248" s="32">
        <v>0</v>
      </c>
    </row>
    <row r="249" spans="1:16" ht="16" hidden="1" customHeight="1" outlineLevel="1" x14ac:dyDescent="0.45">
      <c r="A249" s="29" t="s">
        <v>224</v>
      </c>
      <c r="B249" s="44">
        <v>0</v>
      </c>
      <c r="C249" s="71">
        <v>0</v>
      </c>
      <c r="D249" s="71">
        <v>0</v>
      </c>
      <c r="E249" s="64">
        <v>0</v>
      </c>
      <c r="F249" s="63">
        <v>0</v>
      </c>
      <c r="G249" s="63">
        <v>0</v>
      </c>
      <c r="H249" s="32">
        <f t="shared" si="3"/>
        <v>0</v>
      </c>
      <c r="I249" s="32">
        <v>0</v>
      </c>
      <c r="J249" s="32">
        <v>0</v>
      </c>
      <c r="K249" s="32">
        <v>0</v>
      </c>
      <c r="L249" s="32">
        <v>0</v>
      </c>
      <c r="M249" s="32">
        <v>0</v>
      </c>
      <c r="N249" s="1"/>
      <c r="O249" s="32">
        <v>0</v>
      </c>
      <c r="P249" s="32">
        <v>0</v>
      </c>
    </row>
    <row r="250" spans="1:16" s="1" customFormat="1" collapsed="1" x14ac:dyDescent="0.45">
      <c r="A250" s="28" t="s">
        <v>111</v>
      </c>
      <c r="B250" s="43">
        <v>180019533</v>
      </c>
      <c r="C250" s="69">
        <v>178920809</v>
      </c>
      <c r="D250" s="69">
        <v>549362</v>
      </c>
      <c r="E250" s="61">
        <v>549362</v>
      </c>
      <c r="F250" s="60">
        <v>549362</v>
      </c>
      <c r="G250" s="60">
        <v>0</v>
      </c>
      <c r="H250" s="70">
        <f t="shared" si="3"/>
        <v>0</v>
      </c>
      <c r="I250" s="70">
        <v>0</v>
      </c>
      <c r="J250" s="70">
        <v>0</v>
      </c>
      <c r="K250" s="70">
        <v>0</v>
      </c>
      <c r="L250" s="70">
        <v>0</v>
      </c>
      <c r="M250" s="70">
        <v>0</v>
      </c>
      <c r="O250" s="70">
        <v>0</v>
      </c>
      <c r="P250" s="70">
        <v>0</v>
      </c>
    </row>
    <row r="251" spans="1:16" ht="16" hidden="1" customHeight="1" outlineLevel="1" x14ac:dyDescent="0.45">
      <c r="A251" s="29" t="s">
        <v>162</v>
      </c>
      <c r="B251" s="44">
        <v>179470171</v>
      </c>
      <c r="C251" s="71">
        <v>179470171</v>
      </c>
      <c r="D251" s="71">
        <v>0</v>
      </c>
      <c r="E251" s="64">
        <v>0</v>
      </c>
      <c r="F251" s="63">
        <v>0</v>
      </c>
      <c r="G251" s="63">
        <v>0</v>
      </c>
      <c r="H251" s="32">
        <f t="shared" si="3"/>
        <v>0</v>
      </c>
      <c r="I251" s="32">
        <v>0</v>
      </c>
      <c r="J251" s="32">
        <v>0</v>
      </c>
      <c r="K251" s="32">
        <v>0</v>
      </c>
      <c r="L251" s="32">
        <v>0</v>
      </c>
      <c r="M251" s="32">
        <v>0</v>
      </c>
      <c r="N251" s="1"/>
      <c r="O251" s="32">
        <v>0</v>
      </c>
      <c r="P251" s="32">
        <v>0</v>
      </c>
    </row>
    <row r="252" spans="1:16" ht="16" hidden="1" customHeight="1" outlineLevel="1" x14ac:dyDescent="0.45">
      <c r="A252" s="29" t="s">
        <v>251</v>
      </c>
      <c r="B252" s="44">
        <v>0</v>
      </c>
      <c r="C252" s="71">
        <v>0</v>
      </c>
      <c r="D252" s="71">
        <v>0</v>
      </c>
      <c r="E252" s="64">
        <v>0</v>
      </c>
      <c r="F252" s="63">
        <v>0</v>
      </c>
      <c r="G252" s="63">
        <v>0</v>
      </c>
      <c r="H252" s="32">
        <f t="shared" si="3"/>
        <v>0</v>
      </c>
      <c r="I252" s="32">
        <v>0</v>
      </c>
      <c r="J252" s="32">
        <v>0</v>
      </c>
      <c r="K252" s="32">
        <v>0</v>
      </c>
      <c r="L252" s="32">
        <v>0</v>
      </c>
      <c r="M252" s="32">
        <v>0</v>
      </c>
      <c r="N252" s="1"/>
      <c r="O252" s="32">
        <v>0</v>
      </c>
      <c r="P252" s="32">
        <v>0</v>
      </c>
    </row>
    <row r="253" spans="1:16" ht="16" hidden="1" customHeight="1" outlineLevel="1" x14ac:dyDescent="0.45">
      <c r="A253" s="29" t="s">
        <v>314</v>
      </c>
      <c r="B253" s="44">
        <v>0</v>
      </c>
      <c r="C253" s="71">
        <v>0</v>
      </c>
      <c r="D253" s="71">
        <v>0</v>
      </c>
      <c r="E253" s="64">
        <v>0</v>
      </c>
      <c r="F253" s="63">
        <v>0</v>
      </c>
      <c r="G253" s="63">
        <v>0</v>
      </c>
      <c r="H253" s="32">
        <f t="shared" si="3"/>
        <v>0</v>
      </c>
      <c r="I253" s="32">
        <v>0</v>
      </c>
      <c r="J253" s="32">
        <v>0</v>
      </c>
      <c r="K253" s="32">
        <v>0</v>
      </c>
      <c r="L253" s="32">
        <v>0</v>
      </c>
      <c r="M253" s="32">
        <v>0</v>
      </c>
      <c r="N253" s="1"/>
      <c r="O253" s="32">
        <v>0</v>
      </c>
      <c r="P253" s="32">
        <v>0</v>
      </c>
    </row>
    <row r="254" spans="1:16" ht="16" hidden="1" customHeight="1" outlineLevel="1" x14ac:dyDescent="0.45">
      <c r="A254" s="29" t="s">
        <v>225</v>
      </c>
      <c r="B254" s="44">
        <v>0</v>
      </c>
      <c r="C254" s="71">
        <v>0</v>
      </c>
      <c r="D254" s="71">
        <v>0</v>
      </c>
      <c r="E254" s="64">
        <v>0</v>
      </c>
      <c r="F254" s="63">
        <v>0</v>
      </c>
      <c r="G254" s="63">
        <v>0</v>
      </c>
      <c r="H254" s="32">
        <f t="shared" si="3"/>
        <v>0</v>
      </c>
      <c r="I254" s="32">
        <v>0</v>
      </c>
      <c r="J254" s="32">
        <v>0</v>
      </c>
      <c r="K254" s="32">
        <v>0</v>
      </c>
      <c r="L254" s="32">
        <v>0</v>
      </c>
      <c r="M254" s="32">
        <v>0</v>
      </c>
      <c r="N254" s="1"/>
      <c r="O254" s="32">
        <v>0</v>
      </c>
      <c r="P254" s="32">
        <v>0</v>
      </c>
    </row>
    <row r="255" spans="1:16" ht="16" hidden="1" customHeight="1" outlineLevel="1" x14ac:dyDescent="0.45">
      <c r="A255" s="29" t="s">
        <v>226</v>
      </c>
      <c r="B255" s="44">
        <v>0</v>
      </c>
      <c r="C255" s="71">
        <v>0</v>
      </c>
      <c r="D255" s="71">
        <v>0</v>
      </c>
      <c r="E255" s="64">
        <v>0</v>
      </c>
      <c r="F255" s="63">
        <v>0</v>
      </c>
      <c r="G255" s="63">
        <v>0</v>
      </c>
      <c r="H255" s="32">
        <f t="shared" si="3"/>
        <v>0</v>
      </c>
      <c r="I255" s="32">
        <v>0</v>
      </c>
      <c r="J255" s="32">
        <v>0</v>
      </c>
      <c r="K255" s="32">
        <v>0</v>
      </c>
      <c r="L255" s="32">
        <v>0</v>
      </c>
      <c r="M255" s="32">
        <v>0</v>
      </c>
      <c r="N255" s="1"/>
      <c r="O255" s="32">
        <v>0</v>
      </c>
      <c r="P255" s="32">
        <v>0</v>
      </c>
    </row>
    <row r="256" spans="1:16" ht="16" hidden="1" customHeight="1" outlineLevel="1" x14ac:dyDescent="0.45">
      <c r="A256" s="29" t="s">
        <v>163</v>
      </c>
      <c r="B256" s="44">
        <v>0</v>
      </c>
      <c r="C256" s="71">
        <v>0</v>
      </c>
      <c r="D256" s="71">
        <v>0</v>
      </c>
      <c r="E256" s="64">
        <v>0</v>
      </c>
      <c r="F256" s="63">
        <v>0</v>
      </c>
      <c r="G256" s="63">
        <v>0</v>
      </c>
      <c r="H256" s="32">
        <f t="shared" si="3"/>
        <v>0</v>
      </c>
      <c r="I256" s="32">
        <v>0</v>
      </c>
      <c r="J256" s="32">
        <v>0</v>
      </c>
      <c r="K256" s="32">
        <v>0</v>
      </c>
      <c r="L256" s="32">
        <v>0</v>
      </c>
      <c r="M256" s="32">
        <v>0</v>
      </c>
      <c r="N256" s="1"/>
      <c r="O256" s="32">
        <v>0</v>
      </c>
      <c r="P256" s="32">
        <v>0</v>
      </c>
    </row>
    <row r="257" spans="1:16" ht="16" hidden="1" customHeight="1" outlineLevel="1" x14ac:dyDescent="0.45">
      <c r="A257" s="29" t="s">
        <v>164</v>
      </c>
      <c r="B257" s="44">
        <v>0</v>
      </c>
      <c r="C257" s="71">
        <v>0</v>
      </c>
      <c r="D257" s="71">
        <v>0</v>
      </c>
      <c r="E257" s="64">
        <v>0</v>
      </c>
      <c r="F257" s="63">
        <v>0</v>
      </c>
      <c r="G257" s="63">
        <v>0</v>
      </c>
      <c r="H257" s="32">
        <f t="shared" si="3"/>
        <v>0</v>
      </c>
      <c r="I257" s="32">
        <v>0</v>
      </c>
      <c r="J257" s="32">
        <v>0</v>
      </c>
      <c r="K257" s="32">
        <v>0</v>
      </c>
      <c r="L257" s="32">
        <v>0</v>
      </c>
      <c r="M257" s="32">
        <v>0</v>
      </c>
      <c r="N257" s="1"/>
      <c r="O257" s="32">
        <v>0</v>
      </c>
      <c r="P257" s="32">
        <v>0</v>
      </c>
    </row>
    <row r="258" spans="1:16" ht="16" hidden="1" customHeight="1" outlineLevel="1" x14ac:dyDescent="0.45">
      <c r="A258" s="29" t="s">
        <v>265</v>
      </c>
      <c r="B258" s="44">
        <v>0</v>
      </c>
      <c r="C258" s="71">
        <v>0</v>
      </c>
      <c r="D258" s="71">
        <v>0</v>
      </c>
      <c r="E258" s="64">
        <v>0</v>
      </c>
      <c r="F258" s="63">
        <v>0</v>
      </c>
      <c r="G258" s="63">
        <v>0</v>
      </c>
      <c r="H258" s="32">
        <f t="shared" si="3"/>
        <v>0</v>
      </c>
      <c r="I258" s="32">
        <v>0</v>
      </c>
      <c r="J258" s="32">
        <v>0</v>
      </c>
      <c r="K258" s="32">
        <v>0</v>
      </c>
      <c r="L258" s="32">
        <v>0</v>
      </c>
      <c r="M258" s="32">
        <v>0</v>
      </c>
      <c r="N258" s="1"/>
      <c r="O258" s="32">
        <v>0</v>
      </c>
      <c r="P258" s="32">
        <v>0</v>
      </c>
    </row>
    <row r="259" spans="1:16" ht="16" hidden="1" customHeight="1" outlineLevel="1" x14ac:dyDescent="0.45">
      <c r="A259" s="29" t="s">
        <v>165</v>
      </c>
      <c r="B259" s="44">
        <v>549362</v>
      </c>
      <c r="C259" s="71">
        <v>-549362</v>
      </c>
      <c r="D259" s="71">
        <v>549362</v>
      </c>
      <c r="E259" s="64">
        <v>549362</v>
      </c>
      <c r="F259" s="63">
        <v>549362</v>
      </c>
      <c r="G259" s="63">
        <v>0</v>
      </c>
      <c r="H259" s="32">
        <f t="shared" si="3"/>
        <v>0</v>
      </c>
      <c r="I259" s="32">
        <v>0</v>
      </c>
      <c r="J259" s="32">
        <v>0</v>
      </c>
      <c r="K259" s="32">
        <v>0</v>
      </c>
      <c r="L259" s="32">
        <v>0</v>
      </c>
      <c r="M259" s="32">
        <v>0</v>
      </c>
      <c r="N259" s="1"/>
      <c r="O259" s="32">
        <v>0</v>
      </c>
      <c r="P259" s="32">
        <v>0</v>
      </c>
    </row>
    <row r="260" spans="1:16" s="1" customFormat="1" collapsed="1" x14ac:dyDescent="0.45">
      <c r="A260" s="74" t="s">
        <v>112</v>
      </c>
      <c r="B260" s="75">
        <v>27810</v>
      </c>
      <c r="C260" s="76">
        <v>27810</v>
      </c>
      <c r="D260" s="76">
        <v>0</v>
      </c>
      <c r="E260" s="77">
        <v>0</v>
      </c>
      <c r="F260" s="78">
        <v>0</v>
      </c>
      <c r="G260" s="78">
        <v>0</v>
      </c>
      <c r="H260" s="79">
        <f t="shared" ref="H260:H271" si="4">O260+P260</f>
        <v>0</v>
      </c>
      <c r="I260" s="79">
        <v>0</v>
      </c>
      <c r="J260" s="79">
        <v>0</v>
      </c>
      <c r="K260" s="79">
        <v>0</v>
      </c>
      <c r="L260" s="79">
        <v>0</v>
      </c>
      <c r="M260" s="79">
        <v>0</v>
      </c>
      <c r="O260" s="79">
        <v>0</v>
      </c>
      <c r="P260" s="79">
        <v>0</v>
      </c>
    </row>
    <row r="261" spans="1:16" s="1" customFormat="1" x14ac:dyDescent="0.45">
      <c r="A261" s="27" t="s">
        <v>232</v>
      </c>
      <c r="B261" s="42">
        <v>2336889949</v>
      </c>
      <c r="C261" s="73">
        <v>-1272993216</v>
      </c>
      <c r="D261" s="73">
        <v>-174094069</v>
      </c>
      <c r="E261" s="58">
        <v>3783977234</v>
      </c>
      <c r="F261" s="57">
        <v>2366218608.6602578</v>
      </c>
      <c r="G261" s="57">
        <v>988834864.355708</v>
      </c>
      <c r="H261" s="80">
        <f t="shared" si="4"/>
        <v>254671335.98403412</v>
      </c>
      <c r="I261" s="80">
        <v>62845428.701001391</v>
      </c>
      <c r="J261" s="80">
        <v>98881714.119636536</v>
      </c>
      <c r="K261" s="80">
        <v>80859835.218371451</v>
      </c>
      <c r="L261" s="80">
        <v>-552429101.03900933</v>
      </c>
      <c r="M261" s="57">
        <v>484094548</v>
      </c>
      <c r="O261" s="80">
        <v>91204413.948504582</v>
      </c>
      <c r="P261" s="80">
        <v>163466922.03552955</v>
      </c>
    </row>
    <row r="262" spans="1:16" ht="16" hidden="1" customHeight="1" x14ac:dyDescent="0.45">
      <c r="A262" s="83"/>
      <c r="B262" s="35"/>
      <c r="C262" s="84"/>
      <c r="D262" s="36"/>
      <c r="E262" s="36"/>
      <c r="F262" s="85"/>
      <c r="G262" s="36"/>
      <c r="H262" s="36">
        <f t="shared" si="4"/>
        <v>0</v>
      </c>
      <c r="I262" s="36"/>
      <c r="J262" s="36"/>
      <c r="K262" s="36"/>
      <c r="L262" s="85"/>
      <c r="M262" s="36"/>
      <c r="O262" s="36"/>
      <c r="P262" s="36"/>
    </row>
    <row r="263" spans="1:16" s="4" customFormat="1" ht="15" hidden="1" customHeight="1" x14ac:dyDescent="0.45">
      <c r="A263" s="86" t="s">
        <v>298</v>
      </c>
      <c r="B263" s="87"/>
      <c r="C263" s="87"/>
      <c r="D263" s="87"/>
      <c r="E263" s="88">
        <v>1</v>
      </c>
      <c r="F263" s="89">
        <v>0.47</v>
      </c>
      <c r="G263" s="89">
        <v>0.4</v>
      </c>
      <c r="H263" s="89">
        <f t="shared" si="4"/>
        <v>4.9999999999999996E-2</v>
      </c>
      <c r="I263" s="89">
        <v>1.06E-2</v>
      </c>
      <c r="J263" s="89">
        <v>8.9999999999999993E-3</v>
      </c>
      <c r="K263" s="90">
        <v>2.0400000000000001E-2</v>
      </c>
      <c r="L263" s="90">
        <v>0.02</v>
      </c>
      <c r="M263" s="90">
        <v>0.02</v>
      </c>
      <c r="O263" s="89">
        <v>3.5999999999999997E-2</v>
      </c>
      <c r="P263" s="89">
        <v>1.4E-2</v>
      </c>
    </row>
    <row r="264" spans="1:16" s="4" customFormat="1" ht="15" customHeight="1" x14ac:dyDescent="0.45">
      <c r="A264" s="91"/>
      <c r="B264" s="5"/>
      <c r="C264" s="5"/>
      <c r="D264" s="5"/>
      <c r="E264" s="92"/>
      <c r="F264" s="93"/>
      <c r="G264" s="92"/>
      <c r="H264" s="92"/>
      <c r="I264" s="92"/>
      <c r="J264" s="92"/>
      <c r="K264" s="94"/>
      <c r="L264" s="94"/>
      <c r="M264" s="92"/>
      <c r="O264" s="92"/>
      <c r="P264" s="94"/>
    </row>
    <row r="265" spans="1:16" s="4" customFormat="1" ht="15" customHeight="1" x14ac:dyDescent="0.45">
      <c r="A265" s="95" t="s">
        <v>315</v>
      </c>
      <c r="B265" s="96">
        <v>-173544707</v>
      </c>
      <c r="C265" s="96"/>
      <c r="D265" s="96"/>
      <c r="E265" s="96">
        <v>-173544706.99999994</v>
      </c>
      <c r="F265" s="96">
        <v>-81566012.289999992</v>
      </c>
      <c r="G265" s="96">
        <v>-69417882.799999997</v>
      </c>
      <c r="H265" s="96">
        <f t="shared" si="4"/>
        <v>-8677235.3499999996</v>
      </c>
      <c r="I265" s="96">
        <v>-1839573.8942</v>
      </c>
      <c r="J265" s="96">
        <v>-1561902.3629999999</v>
      </c>
      <c r="K265" s="96">
        <v>-3540312.0228000004</v>
      </c>
      <c r="L265" s="96">
        <v>-3470894.14</v>
      </c>
      <c r="M265" s="96">
        <v>-3470894.14</v>
      </c>
      <c r="O265" s="96">
        <v>-6247609.4519999996</v>
      </c>
      <c r="P265" s="96">
        <v>-2429625.898</v>
      </c>
    </row>
    <row r="266" spans="1:16" s="4" customFormat="1" ht="15" customHeight="1" x14ac:dyDescent="0.45">
      <c r="A266" s="97" t="s">
        <v>316</v>
      </c>
      <c r="B266" s="98">
        <v>3610875171</v>
      </c>
      <c r="C266" s="98"/>
      <c r="D266" s="98"/>
      <c r="E266" s="98">
        <v>3610875171</v>
      </c>
      <c r="F266" s="98">
        <v>2285201958.3702579</v>
      </c>
      <c r="G266" s="98">
        <v>919310263.55570805</v>
      </c>
      <c r="H266" s="98">
        <f t="shared" si="4"/>
        <v>245994100.63403413</v>
      </c>
      <c r="I266" s="98">
        <v>61005854.806801394</v>
      </c>
      <c r="J266" s="98">
        <v>97319811.75663653</v>
      </c>
      <c r="K266" s="98">
        <v>77319523.195571452</v>
      </c>
      <c r="L266" s="98">
        <v>-555899995.17900932</v>
      </c>
      <c r="M266" s="98">
        <v>480623653.86000001</v>
      </c>
      <c r="O266" s="98">
        <v>84956804.496504575</v>
      </c>
      <c r="P266" s="98">
        <v>161037296.13752955</v>
      </c>
    </row>
    <row r="267" spans="1:16" s="14" customFormat="1" ht="15" customHeight="1" x14ac:dyDescent="0.45">
      <c r="A267" s="35"/>
      <c r="B267" s="35"/>
      <c r="C267" s="36"/>
      <c r="D267" s="36"/>
      <c r="E267" s="36"/>
      <c r="F267" s="36"/>
      <c r="G267" s="36"/>
      <c r="H267" s="35"/>
      <c r="I267" s="35"/>
      <c r="J267" s="35"/>
      <c r="K267" s="35"/>
      <c r="L267" s="35"/>
      <c r="M267" s="36"/>
      <c r="O267" s="35"/>
      <c r="P267" s="35"/>
    </row>
    <row r="268" spans="1:16" ht="14" customHeight="1" x14ac:dyDescent="0.45">
      <c r="A268" s="95" t="s">
        <v>317</v>
      </c>
      <c r="B268" s="96">
        <v>-1142121765</v>
      </c>
      <c r="C268" s="96"/>
      <c r="D268" s="96"/>
      <c r="E268" s="96">
        <v>-1142121764.9999998</v>
      </c>
      <c r="F268" s="96">
        <v>-536797229.54999995</v>
      </c>
      <c r="G268" s="96">
        <v>-456848706</v>
      </c>
      <c r="H268" s="96">
        <f t="shared" si="4"/>
        <v>-57106088.25</v>
      </c>
      <c r="I268" s="96">
        <v>-12106490.709000001</v>
      </c>
      <c r="J268" s="96">
        <v>-10279095.885</v>
      </c>
      <c r="K268" s="96">
        <v>-23299284.006000001</v>
      </c>
      <c r="L268" s="96">
        <v>-22842435.300000001</v>
      </c>
      <c r="M268" s="96">
        <v>-22842435.300000001</v>
      </c>
      <c r="O268" s="96">
        <v>-41116383.539999999</v>
      </c>
      <c r="P268" s="96">
        <v>-15989704.710000001</v>
      </c>
    </row>
    <row r="269" spans="1:16" s="4" customFormat="1" ht="15" customHeight="1" x14ac:dyDescent="0.45">
      <c r="A269" s="99" t="s">
        <v>318</v>
      </c>
      <c r="B269" s="100">
        <v>2468753406</v>
      </c>
      <c r="C269" s="100"/>
      <c r="D269" s="100"/>
      <c r="E269" s="100">
        <v>2468753405.9999995</v>
      </c>
      <c r="F269" s="100">
        <v>1748404728.8202579</v>
      </c>
      <c r="G269" s="100">
        <v>462461557.55570805</v>
      </c>
      <c r="H269" s="100">
        <f t="shared" si="4"/>
        <v>188888012.38403413</v>
      </c>
      <c r="I269" s="100">
        <v>48899364.097801395</v>
      </c>
      <c r="J269" s="100">
        <v>87040715.871636525</v>
      </c>
      <c r="K269" s="100">
        <v>54020239.189571455</v>
      </c>
      <c r="L269" s="100">
        <v>-578742430.47900927</v>
      </c>
      <c r="M269" s="100">
        <v>457781218.56</v>
      </c>
      <c r="O269" s="100">
        <v>43840420.956504576</v>
      </c>
      <c r="P269" s="100">
        <v>145047591.42752954</v>
      </c>
    </row>
    <row r="270" spans="1:16" s="14" customFormat="1" ht="15" customHeight="1" x14ac:dyDescent="0.45">
      <c r="A270" s="35"/>
      <c r="B270" s="35"/>
      <c r="C270" s="36"/>
      <c r="D270" s="36"/>
      <c r="E270" s="36"/>
      <c r="F270" s="36"/>
      <c r="G270" s="101"/>
      <c r="H270" s="101"/>
      <c r="I270" s="101"/>
      <c r="J270" s="101"/>
      <c r="K270" s="101"/>
      <c r="L270" s="101"/>
      <c r="M270" s="101"/>
      <c r="O270" s="101"/>
      <c r="P270" s="101"/>
    </row>
    <row r="271" spans="1:16" x14ac:dyDescent="0.45">
      <c r="A271" s="102" t="s">
        <v>319</v>
      </c>
      <c r="B271" s="103">
        <v>2468753405.9999995</v>
      </c>
      <c r="C271" s="103"/>
      <c r="D271" s="103"/>
      <c r="E271" s="103">
        <v>2468753405.9999995</v>
      </c>
      <c r="F271" s="103">
        <v>1652972674.8202579</v>
      </c>
      <c r="G271" s="103">
        <v>557893611.55570805</v>
      </c>
      <c r="H271" s="103">
        <f t="shared" si="4"/>
        <v>188888012.38403413</v>
      </c>
      <c r="I271" s="103">
        <v>48899364.097801395</v>
      </c>
      <c r="J271" s="103">
        <v>87040715.871636525</v>
      </c>
      <c r="K271" s="103">
        <v>54020239.189571455</v>
      </c>
      <c r="L271" s="103">
        <v>-578742430.47900927</v>
      </c>
      <c r="M271" s="103">
        <v>457781218.56</v>
      </c>
      <c r="O271" s="103">
        <v>43840420.956504576</v>
      </c>
      <c r="P271" s="103">
        <v>145047591.42752954</v>
      </c>
    </row>
    <row r="272" spans="1:16" s="1" customFormat="1" x14ac:dyDescent="0.45">
      <c r="A272" s="104" t="s">
        <v>320</v>
      </c>
      <c r="B272" s="104">
        <v>95432054</v>
      </c>
      <c r="C272" s="36"/>
      <c r="D272" s="36"/>
      <c r="E272" s="101"/>
      <c r="F272" s="101"/>
      <c r="G272" s="101"/>
      <c r="H272" s="101"/>
      <c r="I272" s="101"/>
      <c r="J272" s="101"/>
      <c r="K272" s="101"/>
      <c r="L272" s="101"/>
      <c r="M272" s="101"/>
    </row>
    <row r="273" spans="1:13" ht="15.65" customHeight="1" x14ac:dyDescent="0.45">
      <c r="A273" s="105" t="s">
        <v>321</v>
      </c>
      <c r="B273" s="106">
        <v>172132122.72727272</v>
      </c>
      <c r="C273" s="36"/>
      <c r="D273" s="36"/>
      <c r="E273" s="36"/>
      <c r="F273" s="36"/>
      <c r="G273" s="36"/>
      <c r="H273" s="35"/>
      <c r="I273" s="35"/>
      <c r="J273" s="35"/>
      <c r="K273" s="35"/>
      <c r="L273" s="35"/>
      <c r="M273" s="35"/>
    </row>
    <row r="274" spans="1:13" ht="15.65" hidden="1" customHeight="1" x14ac:dyDescent="0.45">
      <c r="A274" s="37" t="s">
        <v>235</v>
      </c>
      <c r="B274" s="38">
        <f t="shared" ref="B274:M274" si="5">B28-B29-B30-B63-B70-B71-B73-B74-B115-B122-B126-B133-B136-B141-B142-B151-B156-B164-B171-B178-B181-B193-B199-B215-B217-B228-B229-B238</f>
        <v>0</v>
      </c>
      <c r="C274" s="38">
        <f t="shared" si="5"/>
        <v>3.814697265625E-6</v>
      </c>
      <c r="D274" s="38">
        <f t="shared" si="5"/>
        <v>0</v>
      </c>
      <c r="E274" s="38">
        <f t="shared" si="5"/>
        <v>-3.814697265625E-6</v>
      </c>
      <c r="F274" s="38">
        <f t="shared" si="5"/>
        <v>-2.6226043701171875E-6</v>
      </c>
      <c r="G274" s="38">
        <f t="shared" si="5"/>
        <v>-3.7252902984619141E-8</v>
      </c>
      <c r="H274" s="38">
        <f t="shared" si="5"/>
        <v>0</v>
      </c>
      <c r="I274" s="38">
        <f t="shared" si="5"/>
        <v>5.5879354476928711E-9</v>
      </c>
      <c r="J274" s="38">
        <f t="shared" si="5"/>
        <v>0</v>
      </c>
      <c r="K274" s="38">
        <f t="shared" si="5"/>
        <v>1.4901161193847656E-8</v>
      </c>
      <c r="L274" s="38">
        <f t="shared" si="5"/>
        <v>1.1920928955078125E-7</v>
      </c>
      <c r="M274" s="38">
        <f t="shared" si="5"/>
        <v>0</v>
      </c>
    </row>
    <row r="275" spans="1:13" s="4" customFormat="1" ht="15" hidden="1" customHeight="1" x14ac:dyDescent="0.45">
      <c r="A275" s="37" t="s">
        <v>236</v>
      </c>
      <c r="B275" s="38">
        <f t="shared" ref="B275:M275" si="6">B28-B29-SUM(B31:B62)-SUM(B64:B69)-B70-B72-B73-SUM(B75:B114)-SUM(B116:B121)-SUM(B123:B125)-SUM(B127:B132)-B134-SUM(B137:B140)-B141-SUM(B143:B150)-SUM(B152:B155)-SUM(B157:B163)-SUM(B165:B170)-SUM(B172:B177)-SUM(B179:B180)-SUM(B182:B192)-SUM(B194:B198)-SUM(B200:B214)-B216-SUM(B218:B227)-B228-SUM(B230:B237)-B238-B135</f>
        <v>0</v>
      </c>
      <c r="C275" s="38">
        <f t="shared" si="6"/>
        <v>4.0531158447265625E-6</v>
      </c>
      <c r="D275" s="38">
        <f t="shared" si="6"/>
        <v>0</v>
      </c>
      <c r="E275" s="38">
        <f t="shared" si="6"/>
        <v>-3.814697265625E-6</v>
      </c>
      <c r="F275" s="38">
        <f t="shared" si="6"/>
        <v>-9.5367431640625E-7</v>
      </c>
      <c r="G275" s="38">
        <f t="shared" si="6"/>
        <v>-2.2351741790771484E-8</v>
      </c>
      <c r="H275" s="38">
        <f t="shared" si="6"/>
        <v>0</v>
      </c>
      <c r="I275" s="38">
        <f t="shared" si="6"/>
        <v>5.5879354476928711E-9</v>
      </c>
      <c r="J275" s="38">
        <f t="shared" si="6"/>
        <v>0</v>
      </c>
      <c r="K275" s="38">
        <f t="shared" si="6"/>
        <v>1.4901161193847656E-8</v>
      </c>
      <c r="L275" s="38">
        <f t="shared" si="6"/>
        <v>1.1920928955078125E-7</v>
      </c>
      <c r="M275" s="38">
        <f t="shared" si="6"/>
        <v>0</v>
      </c>
    </row>
    <row r="276" spans="1:13" s="4" customFormat="1" ht="15" hidden="1" customHeight="1" x14ac:dyDescent="0.45">
      <c r="A276" s="37" t="s">
        <v>237</v>
      </c>
      <c r="B276" s="38">
        <f t="shared" ref="B276:M276" si="7">B3-B25-B28-B239</f>
        <v>0</v>
      </c>
      <c r="C276" s="38">
        <f t="shared" si="7"/>
        <v>-3.814697265625E-6</v>
      </c>
      <c r="D276" s="38">
        <f t="shared" si="7"/>
        <v>0</v>
      </c>
      <c r="E276" s="38">
        <f t="shared" si="7"/>
        <v>3.814697265625E-6</v>
      </c>
      <c r="F276" s="38">
        <f t="shared" si="7"/>
        <v>0</v>
      </c>
      <c r="G276" s="38">
        <f t="shared" si="7"/>
        <v>0</v>
      </c>
      <c r="H276" s="38">
        <f t="shared" si="7"/>
        <v>0</v>
      </c>
      <c r="I276" s="38">
        <f t="shared" si="7"/>
        <v>0</v>
      </c>
      <c r="J276" s="38">
        <f t="shared" si="7"/>
        <v>0</v>
      </c>
      <c r="K276" s="38">
        <f t="shared" si="7"/>
        <v>0</v>
      </c>
      <c r="L276" s="38">
        <f t="shared" si="7"/>
        <v>0</v>
      </c>
      <c r="M276" s="38">
        <f t="shared" si="7"/>
        <v>0</v>
      </c>
    </row>
    <row r="277" spans="1:13" s="4" customFormat="1" ht="15" hidden="1" customHeight="1" x14ac:dyDescent="0.45">
      <c r="A277" s="37" t="s">
        <v>238</v>
      </c>
      <c r="B277" s="38">
        <f t="shared" ref="B277:M277" si="8">B239+B240-B250-B261-B260</f>
        <v>0</v>
      </c>
      <c r="C277" s="38">
        <f t="shared" si="8"/>
        <v>0</v>
      </c>
      <c r="D277" s="38">
        <f t="shared" si="8"/>
        <v>0</v>
      </c>
      <c r="E277" s="38">
        <f t="shared" si="8"/>
        <v>0</v>
      </c>
      <c r="F277" s="38">
        <f t="shared" si="8"/>
        <v>0</v>
      </c>
      <c r="G277" s="38">
        <f t="shared" si="8"/>
        <v>0</v>
      </c>
      <c r="H277" s="38">
        <f t="shared" si="8"/>
        <v>0</v>
      </c>
      <c r="I277" s="38">
        <f t="shared" si="8"/>
        <v>0</v>
      </c>
      <c r="J277" s="38">
        <f t="shared" si="8"/>
        <v>0</v>
      </c>
      <c r="K277" s="38">
        <f t="shared" si="8"/>
        <v>0</v>
      </c>
      <c r="L277" s="38">
        <f t="shared" si="8"/>
        <v>0</v>
      </c>
      <c r="M277" s="38">
        <f t="shared" si="8"/>
        <v>0</v>
      </c>
    </row>
    <row r="278" spans="1:13" s="4" customFormat="1" ht="15" hidden="1" customHeight="1" x14ac:dyDescent="0.45">
      <c r="A278" s="32" t="s">
        <v>244</v>
      </c>
      <c r="B278" s="32">
        <f t="shared" ref="B278:M278" si="9">B240-B241-B242-B244-B248-B249-B245-B247-B243-B246</f>
        <v>0</v>
      </c>
      <c r="C278" s="32">
        <f t="shared" si="9"/>
        <v>0</v>
      </c>
      <c r="D278" s="32">
        <f t="shared" si="9"/>
        <v>0</v>
      </c>
      <c r="E278" s="32">
        <f t="shared" si="9"/>
        <v>0</v>
      </c>
      <c r="F278" s="32">
        <f t="shared" si="9"/>
        <v>0</v>
      </c>
      <c r="G278" s="32">
        <f t="shared" si="9"/>
        <v>0</v>
      </c>
      <c r="H278" s="32">
        <f t="shared" si="9"/>
        <v>0</v>
      </c>
      <c r="I278" s="32">
        <f t="shared" si="9"/>
        <v>0</v>
      </c>
      <c r="J278" s="32">
        <f t="shared" si="9"/>
        <v>0</v>
      </c>
      <c r="K278" s="32">
        <f t="shared" si="9"/>
        <v>0</v>
      </c>
      <c r="L278" s="32">
        <f t="shared" si="9"/>
        <v>0</v>
      </c>
      <c r="M278" s="32">
        <f t="shared" si="9"/>
        <v>0</v>
      </c>
    </row>
    <row r="279" spans="1:13" ht="15.65" hidden="1" customHeight="1" x14ac:dyDescent="0.45">
      <c r="A279" s="32" t="s">
        <v>245</v>
      </c>
      <c r="B279" s="32">
        <f t="shared" ref="B279:M279" si="10">B250-B251-B254-B255-B256-B257-B259-B252-B253-B258</f>
        <v>0</v>
      </c>
      <c r="C279" s="32">
        <f t="shared" si="10"/>
        <v>0</v>
      </c>
      <c r="D279" s="32">
        <f t="shared" si="10"/>
        <v>0</v>
      </c>
      <c r="E279" s="32">
        <f t="shared" si="10"/>
        <v>0</v>
      </c>
      <c r="F279" s="32">
        <f t="shared" si="10"/>
        <v>0</v>
      </c>
      <c r="G279" s="32">
        <f t="shared" si="10"/>
        <v>0</v>
      </c>
      <c r="H279" s="32">
        <f t="shared" si="10"/>
        <v>0</v>
      </c>
      <c r="I279" s="32">
        <f t="shared" si="10"/>
        <v>0</v>
      </c>
      <c r="J279" s="32">
        <f t="shared" si="10"/>
        <v>0</v>
      </c>
      <c r="K279" s="32">
        <f t="shared" si="10"/>
        <v>0</v>
      </c>
      <c r="L279" s="32">
        <f t="shared" si="10"/>
        <v>0</v>
      </c>
      <c r="M279" s="32">
        <f t="shared" si="10"/>
        <v>0</v>
      </c>
    </row>
    <row r="280" spans="1:13" ht="15.65" hidden="1" customHeight="1" x14ac:dyDescent="0.45">
      <c r="A280" s="35"/>
      <c r="B280" s="35"/>
      <c r="C280" s="36"/>
      <c r="D280" s="36"/>
      <c r="E280" s="36"/>
      <c r="F280" s="36"/>
      <c r="G280" s="36"/>
      <c r="H280" s="35"/>
      <c r="I280" s="35"/>
      <c r="J280" s="35"/>
      <c r="K280" s="35"/>
      <c r="L280" s="35"/>
      <c r="M280" s="36"/>
    </row>
    <row r="281" spans="1:13" ht="15.65" hidden="1" customHeight="1" x14ac:dyDescent="0.45">
      <c r="A281" s="39" t="s">
        <v>239</v>
      </c>
      <c r="B281" s="38">
        <f>B4+B14+B21-B26-B53-B81-B131-B162-B168-B175-B189-B198-B210-B212-B218-B219-B221-B224-B230-B231-B232-B234-B235-B236-B227</f>
        <v>6163891919</v>
      </c>
      <c r="C281" s="38">
        <f>C4+C14+C21-C26-C53-C81-C131-C162-C168-C175-C189-C198-C210-C212-C219-C221-C224-C230-C231-C232-C235-C236</f>
        <v>-1120750324</v>
      </c>
      <c r="D281" s="38"/>
      <c r="E281" s="38">
        <f>E4+E14+E21-E26-E53-E81-E131-E162-E168-E175-E189-E198-E210-E212-E218-E219-E221-E224-E230-E231-E232-E234-E235-E236-E227</f>
        <v>6550479085</v>
      </c>
      <c r="F281" s="38">
        <f>F4+F14+F21-F26-F53-F81-F131-F162-F168-F175-F189-F198-F210-F212-F218-F219-F221-F224-F230-F231-F232-F234-F235-F236-F227</f>
        <v>5461037172.9303551</v>
      </c>
      <c r="G281" s="38">
        <f>G4+G14+G21-G26-G53-G81-G131-G162-G168-G175-G189-G198-G210-G212-G218-G219-G221-G224-G230-G231-G232-G234-G235-G236-G227</f>
        <v>441557351.06964457</v>
      </c>
      <c r="H281" s="38">
        <f t="shared" ref="H281:L281" si="11">H4+H14+H21-H26-H53-H81-H131-H162-H168-H175-H189-H198-H210-H212-H218-H219-H221-H224-H230-H231-H232-H234-H235-H236-H227-H164-H215</f>
        <v>-329598172</v>
      </c>
      <c r="I281" s="38">
        <f t="shared" si="11"/>
        <v>66440147.787105441</v>
      </c>
      <c r="J281" s="38">
        <f t="shared" si="11"/>
        <v>16956391.645346165</v>
      </c>
      <c r="K281" s="38">
        <f t="shared" si="11"/>
        <v>120058864.71571612</v>
      </c>
      <c r="L281" s="38">
        <f t="shared" si="11"/>
        <v>-123501495.14816773</v>
      </c>
      <c r="M281" s="38">
        <f>M4+M14+M21-M26-M53-M81-M131-M162-M168-M175-M189-M198-M210-M212-M218-M219-M221-M224-M230-M231-M232-M234-M235-M236-M227</f>
        <v>817255594</v>
      </c>
    </row>
    <row r="282" spans="1:13" s="4" customFormat="1" ht="15" hidden="1" customHeight="1" x14ac:dyDescent="0.45">
      <c r="A282" s="40" t="s">
        <v>240</v>
      </c>
      <c r="B282" s="38">
        <f>B18-B109-B163-B165-B170-B192-B222-B226-B237</f>
        <v>1933438920</v>
      </c>
      <c r="C282" s="38">
        <f>C18-C109-C163-C165-C170-C192-C226-C113</f>
        <v>-163023865</v>
      </c>
      <c r="D282" s="38"/>
      <c r="E282" s="38">
        <f t="shared" ref="E282:M282" si="12">E18-E109-E163-E165-E170-E192-E222-E226-E237-E113</f>
        <v>576200830</v>
      </c>
      <c r="F282" s="38">
        <f t="shared" si="12"/>
        <v>444934066.9045558</v>
      </c>
      <c r="G282" s="38">
        <f t="shared" si="12"/>
        <v>-111185527.90455586</v>
      </c>
      <c r="H282" s="38">
        <f t="shared" si="12"/>
        <v>23799092</v>
      </c>
      <c r="I282" s="38">
        <f t="shared" si="12"/>
        <v>0</v>
      </c>
      <c r="J282" s="38">
        <f t="shared" si="12"/>
        <v>0</v>
      </c>
      <c r="K282" s="38">
        <f t="shared" si="12"/>
        <v>3460136</v>
      </c>
      <c r="L282" s="38">
        <f t="shared" si="12"/>
        <v>215193063</v>
      </c>
      <c r="M282" s="38">
        <f t="shared" si="12"/>
        <v>0</v>
      </c>
    </row>
    <row r="283" spans="1:13" s="4" customFormat="1" ht="15" hidden="1" customHeight="1" x14ac:dyDescent="0.45">
      <c r="A283" s="37" t="s">
        <v>241</v>
      </c>
      <c r="B283" s="41">
        <f>SUBTOTAL(9,B281:B282)</f>
        <v>8097330839</v>
      </c>
      <c r="C283" s="41">
        <f t="shared" ref="C283" si="13">SUBTOTAL(9,C281:C282)</f>
        <v>-1283774189</v>
      </c>
      <c r="D283" s="41"/>
      <c r="E283" s="41">
        <f t="shared" ref="E283:L283" si="14">SUBTOTAL(9,E281:E282)</f>
        <v>7126679915</v>
      </c>
      <c r="F283" s="41">
        <f t="shared" si="14"/>
        <v>5905971239.8349113</v>
      </c>
      <c r="G283" s="41">
        <f>SUBTOTAL(9,G281:G282)</f>
        <v>330371823.16508871</v>
      </c>
      <c r="H283" s="41">
        <f>SUBTOTAL(9,H281:H282)</f>
        <v>-305799080</v>
      </c>
      <c r="I283" s="41">
        <f t="shared" si="14"/>
        <v>66440147.787105441</v>
      </c>
      <c r="J283" s="41">
        <f t="shared" si="14"/>
        <v>16956391.645346165</v>
      </c>
      <c r="K283" s="41">
        <f t="shared" si="14"/>
        <v>123519000.71571612</v>
      </c>
      <c r="L283" s="41">
        <f t="shared" si="14"/>
        <v>91691567.851832271</v>
      </c>
      <c r="M283" s="41">
        <f>SUBTOTAL(9,M281:M282)</f>
        <v>817255594</v>
      </c>
    </row>
    <row r="284" spans="1:13" s="4" customFormat="1" ht="15" hidden="1" customHeight="1" x14ac:dyDescent="0.45">
      <c r="A284" s="9" t="s">
        <v>241</v>
      </c>
      <c r="B284" s="10">
        <f>SUBTOTAL(9,B282:B283)</f>
        <v>1933438920</v>
      </c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</row>
    <row r="285" spans="1:13" collapsed="1" x14ac:dyDescent="0.45">
      <c r="H285" s="3"/>
      <c r="I285" s="3"/>
      <c r="J285" s="3"/>
      <c r="K285" s="3"/>
      <c r="L285" s="3"/>
      <c r="M285" s="2"/>
    </row>
    <row r="286" spans="1:13" x14ac:dyDescent="0.45">
      <c r="E286" s="20"/>
      <c r="F286" s="20"/>
      <c r="G286" s="20"/>
      <c r="H286" s="20"/>
      <c r="M286" s="2"/>
    </row>
    <row r="287" spans="1:13" x14ac:dyDescent="0.45">
      <c r="H287" s="3"/>
      <c r="I287" s="3"/>
      <c r="J287" s="3"/>
      <c r="K287" s="3"/>
      <c r="L287" s="3"/>
    </row>
    <row r="288" spans="1:13" x14ac:dyDescent="0.45">
      <c r="B288" s="3"/>
      <c r="H288" s="3"/>
      <c r="I288" s="3"/>
      <c r="J288" s="3"/>
      <c r="K288" s="3"/>
      <c r="L288" s="3"/>
    </row>
    <row r="289" spans="8:12" x14ac:dyDescent="0.45">
      <c r="H289" s="3"/>
      <c r="I289" s="3"/>
      <c r="J289" s="3"/>
      <c r="K289" s="3"/>
      <c r="L289" s="3"/>
    </row>
    <row r="290" spans="8:12" x14ac:dyDescent="0.45">
      <c r="H290" s="3"/>
      <c r="I290" s="3"/>
      <c r="J290" s="3"/>
      <c r="K290" s="3"/>
      <c r="L290" s="3"/>
    </row>
    <row r="293" spans="8:12" x14ac:dyDescent="0.45">
      <c r="H293" s="3"/>
      <c r="I293" s="3"/>
      <c r="J293" s="3"/>
      <c r="K293" s="3"/>
      <c r="L293" s="3"/>
    </row>
    <row r="295" spans="8:12" x14ac:dyDescent="0.45">
      <c r="H295" s="3"/>
      <c r="I295" s="3"/>
      <c r="J295" s="3"/>
      <c r="K295" s="3"/>
      <c r="L295" s="3"/>
    </row>
  </sheetData>
  <mergeCells count="8">
    <mergeCell ref="I1:L1"/>
    <mergeCell ref="M1:M2"/>
    <mergeCell ref="A1:A2"/>
    <mergeCell ref="B1:B2"/>
    <mergeCell ref="C1:C2"/>
    <mergeCell ref="D1:D2"/>
    <mergeCell ref="E1:E2"/>
    <mergeCell ref="F1:H1"/>
  </mergeCells>
  <phoneticPr fontId="2" type="noConversion"/>
  <pageMargins left="0.75" right="0.75" top="1" bottom="1" header="0.5" footer="0.5"/>
  <pageSetup paperSize="8" scale="60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3EA2D-8384-4214-900A-8D32F7DBA294}">
  <sheetPr>
    <tabColor rgb="FFFFC000"/>
    <pageSetUpPr fitToPage="1"/>
  </sheetPr>
  <dimension ref="A1:N295"/>
  <sheetViews>
    <sheetView showGridLines="0" zoomScale="85" zoomScaleNormal="85" zoomScaleSheetLayoutView="85" workbookViewId="0">
      <pane xSplit="2" ySplit="3" topLeftCell="C4" activePane="bottomRight" state="frozen"/>
      <selection activeCell="J2" sqref="J2:J253"/>
      <selection pane="topRight" activeCell="J2" sqref="J2:J253"/>
      <selection pane="bottomLeft" activeCell="J2" sqref="J2:J253"/>
      <selection pane="bottomRight" sqref="A1:A2"/>
    </sheetView>
  </sheetViews>
  <sheetFormatPr defaultColWidth="9.08984375" defaultRowHeight="16" outlineLevelRow="1" x14ac:dyDescent="0.45"/>
  <cols>
    <col min="1" max="1" width="36.36328125" style="2" customWidth="1"/>
    <col min="2" max="2" width="19.08984375" style="2" customWidth="1"/>
    <col min="3" max="7" width="19.08984375" style="3" customWidth="1"/>
    <col min="8" max="12" width="19.08984375" style="2" customWidth="1"/>
    <col min="13" max="13" width="19.08984375" style="3" customWidth="1"/>
    <col min="14" max="16384" width="9.08984375" style="2"/>
  </cols>
  <sheetData>
    <row r="1" spans="1:14" s="1" customFormat="1" ht="15.65" customHeight="1" x14ac:dyDescent="0.45">
      <c r="A1" s="208" t="s">
        <v>313</v>
      </c>
      <c r="B1" s="210" t="s">
        <v>233</v>
      </c>
      <c r="C1" s="210" t="s">
        <v>250</v>
      </c>
      <c r="D1" s="210" t="s">
        <v>288</v>
      </c>
      <c r="E1" s="212" t="s">
        <v>167</v>
      </c>
      <c r="F1" s="204" t="s">
        <v>289</v>
      </c>
      <c r="G1" s="205"/>
      <c r="H1" s="205"/>
      <c r="I1" s="202" t="s">
        <v>290</v>
      </c>
      <c r="J1" s="206"/>
      <c r="K1" s="206"/>
      <c r="L1" s="207"/>
      <c r="M1" s="202" t="s">
        <v>291</v>
      </c>
    </row>
    <row r="2" spans="1:14" s="1" customFormat="1" ht="15.65" customHeight="1" x14ac:dyDescent="0.45">
      <c r="A2" s="208"/>
      <c r="B2" s="211"/>
      <c r="C2" s="211"/>
      <c r="D2" s="211"/>
      <c r="E2" s="212"/>
      <c r="F2" s="108" t="s">
        <v>248</v>
      </c>
      <c r="G2" s="108" t="s">
        <v>242</v>
      </c>
      <c r="H2" s="26" t="s">
        <v>292</v>
      </c>
      <c r="I2" s="26" t="s">
        <v>168</v>
      </c>
      <c r="J2" s="26" t="s">
        <v>169</v>
      </c>
      <c r="K2" s="26" t="s">
        <v>294</v>
      </c>
      <c r="L2" s="26" t="s">
        <v>295</v>
      </c>
      <c r="M2" s="203"/>
    </row>
    <row r="3" spans="1:14" s="1" customFormat="1" ht="15.65" customHeight="1" x14ac:dyDescent="0.45">
      <c r="A3" s="27" t="s">
        <v>0</v>
      </c>
      <c r="B3" s="42">
        <v>51736181077</v>
      </c>
      <c r="C3" s="57">
        <v>-2425281625</v>
      </c>
      <c r="D3" s="57">
        <v>132390819</v>
      </c>
      <c r="E3" s="58">
        <v>54029071883</v>
      </c>
      <c r="F3" s="57">
        <v>29373908591.167221</v>
      </c>
      <c r="G3" s="57">
        <v>3609933234.8327808</v>
      </c>
      <c r="H3" s="59">
        <v>11526143298</v>
      </c>
      <c r="I3" s="59">
        <v>409020065</v>
      </c>
      <c r="J3" s="59">
        <v>1200763121</v>
      </c>
      <c r="K3" s="59">
        <v>2322704196</v>
      </c>
      <c r="L3" s="57">
        <v>1331754508</v>
      </c>
      <c r="M3" s="57">
        <v>4254844869</v>
      </c>
    </row>
    <row r="4" spans="1:14" s="1" customFormat="1" x14ac:dyDescent="0.45">
      <c r="A4" s="28" t="s">
        <v>1</v>
      </c>
      <c r="B4" s="43">
        <v>28703541559</v>
      </c>
      <c r="C4" s="60">
        <v>54728396</v>
      </c>
      <c r="D4" s="60">
        <v>2040637</v>
      </c>
      <c r="E4" s="61">
        <v>28646772526</v>
      </c>
      <c r="F4" s="60">
        <v>13892942589</v>
      </c>
      <c r="G4" s="60">
        <v>414156261</v>
      </c>
      <c r="H4" s="62">
        <v>8641482092</v>
      </c>
      <c r="I4" s="62">
        <v>184286099</v>
      </c>
      <c r="J4" s="62">
        <v>15275907</v>
      </c>
      <c r="K4" s="62">
        <v>1336141676</v>
      </c>
      <c r="L4" s="62">
        <v>95185273</v>
      </c>
      <c r="M4" s="60">
        <v>4067302629</v>
      </c>
    </row>
    <row r="5" spans="1:14" s="1" customFormat="1" ht="16" hidden="1" customHeight="1" outlineLevel="1" x14ac:dyDescent="0.45">
      <c r="A5" s="29" t="s">
        <v>2</v>
      </c>
      <c r="B5" s="44">
        <v>5660000642</v>
      </c>
      <c r="C5" s="63">
        <v>18604492</v>
      </c>
      <c r="D5" s="63">
        <v>0</v>
      </c>
      <c r="E5" s="64">
        <v>5641396150</v>
      </c>
      <c r="F5" s="63">
        <v>30186615</v>
      </c>
      <c r="G5" s="63">
        <v>411543000</v>
      </c>
      <c r="H5" s="65">
        <v>1183977908</v>
      </c>
      <c r="I5" s="65">
        <v>50985635</v>
      </c>
      <c r="J5" s="65">
        <v>12842000</v>
      </c>
      <c r="K5" s="65">
        <v>324950272</v>
      </c>
      <c r="L5" s="65">
        <v>79909</v>
      </c>
      <c r="M5" s="63">
        <v>3626830811</v>
      </c>
    </row>
    <row r="6" spans="1:14" ht="16" hidden="1" customHeight="1" outlineLevel="1" x14ac:dyDescent="0.45">
      <c r="A6" s="29" t="s">
        <v>3</v>
      </c>
      <c r="B6" s="44">
        <v>0</v>
      </c>
      <c r="C6" s="63">
        <v>0</v>
      </c>
      <c r="D6" s="63">
        <v>0</v>
      </c>
      <c r="E6" s="64">
        <v>0</v>
      </c>
      <c r="F6" s="63">
        <v>0</v>
      </c>
      <c r="G6" s="63">
        <v>0</v>
      </c>
      <c r="H6" s="65">
        <v>0</v>
      </c>
      <c r="I6" s="65">
        <v>0</v>
      </c>
      <c r="J6" s="65">
        <v>0</v>
      </c>
      <c r="K6" s="65">
        <v>0</v>
      </c>
      <c r="L6" s="65">
        <v>0</v>
      </c>
      <c r="M6" s="63">
        <v>0</v>
      </c>
      <c r="N6" s="1"/>
    </row>
    <row r="7" spans="1:14" ht="16" hidden="1" customHeight="1" outlineLevel="1" x14ac:dyDescent="0.45">
      <c r="A7" s="29" t="s">
        <v>170</v>
      </c>
      <c r="B7" s="44">
        <v>0</v>
      </c>
      <c r="C7" s="63">
        <v>0</v>
      </c>
      <c r="D7" s="63">
        <v>0</v>
      </c>
      <c r="E7" s="64">
        <v>0</v>
      </c>
      <c r="F7" s="63">
        <v>0</v>
      </c>
      <c r="G7" s="63">
        <v>0</v>
      </c>
      <c r="H7" s="65">
        <v>0</v>
      </c>
      <c r="I7" s="65">
        <v>0</v>
      </c>
      <c r="J7" s="65">
        <v>0</v>
      </c>
      <c r="K7" s="65">
        <v>0</v>
      </c>
      <c r="L7" s="65">
        <v>0</v>
      </c>
      <c r="M7" s="63">
        <v>0</v>
      </c>
      <c r="N7" s="1"/>
    </row>
    <row r="8" spans="1:14" ht="16" hidden="1" customHeight="1" outlineLevel="1" x14ac:dyDescent="0.45">
      <c r="A8" s="29" t="s">
        <v>4</v>
      </c>
      <c r="B8" s="44">
        <v>21819409892</v>
      </c>
      <c r="C8" s="63">
        <v>38150541</v>
      </c>
      <c r="D8" s="63">
        <v>0</v>
      </c>
      <c r="E8" s="64">
        <v>21781259351</v>
      </c>
      <c r="F8" s="63">
        <v>13306428504</v>
      </c>
      <c r="G8" s="63">
        <v>2613261</v>
      </c>
      <c r="H8" s="65">
        <v>7372446262</v>
      </c>
      <c r="I8" s="65">
        <v>131903464</v>
      </c>
      <c r="J8" s="65">
        <v>1167000</v>
      </c>
      <c r="K8" s="65">
        <v>871602496</v>
      </c>
      <c r="L8" s="65">
        <v>95098364</v>
      </c>
      <c r="M8" s="63">
        <v>0</v>
      </c>
      <c r="N8" s="1"/>
    </row>
    <row r="9" spans="1:14" ht="16" hidden="1" customHeight="1" outlineLevel="1" x14ac:dyDescent="0.45">
      <c r="A9" s="29" t="s">
        <v>5</v>
      </c>
      <c r="B9" s="44">
        <v>306669527</v>
      </c>
      <c r="C9" s="63">
        <v>-2026637</v>
      </c>
      <c r="D9" s="63">
        <v>2040637</v>
      </c>
      <c r="E9" s="64">
        <v>306655527</v>
      </c>
      <c r="F9" s="63">
        <v>262412118</v>
      </c>
      <c r="G9" s="63">
        <v>0</v>
      </c>
      <c r="H9" s="65">
        <v>10184864</v>
      </c>
      <c r="I9" s="65">
        <v>1397000</v>
      </c>
      <c r="J9" s="65">
        <v>0</v>
      </c>
      <c r="K9" s="65">
        <v>0</v>
      </c>
      <c r="L9" s="65">
        <v>7000</v>
      </c>
      <c r="M9" s="63">
        <v>32654545</v>
      </c>
      <c r="N9" s="1"/>
    </row>
    <row r="10" spans="1:14" ht="16" hidden="1" customHeight="1" outlineLevel="1" x14ac:dyDescent="0.45">
      <c r="A10" s="29" t="s">
        <v>118</v>
      </c>
      <c r="B10" s="44">
        <v>165955815</v>
      </c>
      <c r="C10" s="63">
        <v>0</v>
      </c>
      <c r="D10" s="63">
        <v>0</v>
      </c>
      <c r="E10" s="64">
        <v>165955815</v>
      </c>
      <c r="F10" s="63">
        <v>0</v>
      </c>
      <c r="G10" s="63">
        <v>0</v>
      </c>
      <c r="H10" s="65">
        <v>25100000</v>
      </c>
      <c r="I10" s="65">
        <v>0</v>
      </c>
      <c r="J10" s="65">
        <v>1266907</v>
      </c>
      <c r="K10" s="65">
        <v>139588908</v>
      </c>
      <c r="L10" s="65">
        <v>0</v>
      </c>
      <c r="M10" s="63">
        <v>0</v>
      </c>
      <c r="N10" s="1"/>
    </row>
    <row r="11" spans="1:14" ht="16" hidden="1" customHeight="1" outlineLevel="1" x14ac:dyDescent="0.45">
      <c r="A11" s="29" t="s">
        <v>6</v>
      </c>
      <c r="B11" s="44">
        <v>343688410</v>
      </c>
      <c r="C11" s="63">
        <v>0</v>
      </c>
      <c r="D11" s="63">
        <v>0</v>
      </c>
      <c r="E11" s="64">
        <v>343688410</v>
      </c>
      <c r="F11" s="63">
        <v>293915352</v>
      </c>
      <c r="G11" s="63">
        <v>0</v>
      </c>
      <c r="H11" s="65">
        <v>49773058</v>
      </c>
      <c r="I11" s="65">
        <v>0</v>
      </c>
      <c r="J11" s="65">
        <v>0</v>
      </c>
      <c r="K11" s="65">
        <v>0</v>
      </c>
      <c r="L11" s="65">
        <v>0</v>
      </c>
      <c r="M11" s="63">
        <v>0</v>
      </c>
      <c r="N11" s="1"/>
    </row>
    <row r="12" spans="1:14" ht="16" hidden="1" customHeight="1" outlineLevel="1" x14ac:dyDescent="0.45">
      <c r="A12" s="29" t="s">
        <v>299</v>
      </c>
      <c r="B12" s="44">
        <v>407817273</v>
      </c>
      <c r="C12" s="63">
        <v>0</v>
      </c>
      <c r="D12" s="63">
        <v>0</v>
      </c>
      <c r="E12" s="64">
        <v>407817273</v>
      </c>
      <c r="F12" s="63">
        <v>0</v>
      </c>
      <c r="G12" s="63">
        <v>0</v>
      </c>
      <c r="H12" s="65">
        <v>0</v>
      </c>
      <c r="I12" s="65">
        <v>0</v>
      </c>
      <c r="J12" s="65">
        <v>0</v>
      </c>
      <c r="K12" s="65">
        <v>0</v>
      </c>
      <c r="L12" s="65">
        <v>0</v>
      </c>
      <c r="M12" s="63">
        <v>407817273</v>
      </c>
      <c r="N12" s="1"/>
    </row>
    <row r="13" spans="1:14" ht="16" customHeight="1" collapsed="1" x14ac:dyDescent="0.45">
      <c r="A13" s="28" t="s">
        <v>7</v>
      </c>
      <c r="B13" s="43">
        <v>23032639518</v>
      </c>
      <c r="C13" s="60">
        <v>-2480010021</v>
      </c>
      <c r="D13" s="60">
        <v>130350182</v>
      </c>
      <c r="E13" s="61">
        <v>25382299357</v>
      </c>
      <c r="F13" s="60">
        <v>15480966002.167219</v>
      </c>
      <c r="G13" s="60">
        <v>3195776973.8327808</v>
      </c>
      <c r="H13" s="62">
        <v>2884661206</v>
      </c>
      <c r="I13" s="62">
        <v>224733966</v>
      </c>
      <c r="J13" s="62">
        <v>1185487214</v>
      </c>
      <c r="K13" s="62">
        <v>986562520</v>
      </c>
      <c r="L13" s="62">
        <v>1236569235</v>
      </c>
      <c r="M13" s="60">
        <v>187542240</v>
      </c>
      <c r="N13" s="1"/>
    </row>
    <row r="14" spans="1:14" s="1" customFormat="1" ht="16" hidden="1" customHeight="1" outlineLevel="1" collapsed="1" x14ac:dyDescent="0.45">
      <c r="A14" s="24" t="s">
        <v>8</v>
      </c>
      <c r="B14" s="45">
        <v>13069369758</v>
      </c>
      <c r="C14" s="63">
        <v>17641714</v>
      </c>
      <c r="D14" s="63">
        <v>1818182</v>
      </c>
      <c r="E14" s="64">
        <v>13049909862</v>
      </c>
      <c r="F14" s="63">
        <v>9493135069</v>
      </c>
      <c r="G14" s="63">
        <v>21923065</v>
      </c>
      <c r="H14" s="65">
        <v>1211796745</v>
      </c>
      <c r="I14" s="65">
        <v>141029492</v>
      </c>
      <c r="J14" s="65">
        <v>1044963423</v>
      </c>
      <c r="K14" s="65">
        <v>913687897</v>
      </c>
      <c r="L14" s="65">
        <v>85870816</v>
      </c>
      <c r="M14" s="63">
        <v>137503355</v>
      </c>
    </row>
    <row r="15" spans="1:14" ht="16" hidden="1" customHeight="1" outlineLevel="1" x14ac:dyDescent="0.45">
      <c r="A15" s="29" t="s">
        <v>9</v>
      </c>
      <c r="B15" s="44">
        <v>435042544</v>
      </c>
      <c r="C15" s="63">
        <v>328487273</v>
      </c>
      <c r="D15" s="63">
        <v>0</v>
      </c>
      <c r="E15" s="64">
        <v>106555271</v>
      </c>
      <c r="F15" s="63">
        <v>11618178</v>
      </c>
      <c r="G15" s="63">
        <v>909091</v>
      </c>
      <c r="H15" s="65">
        <v>14503817</v>
      </c>
      <c r="I15" s="65">
        <v>0</v>
      </c>
      <c r="J15" s="65">
        <v>0</v>
      </c>
      <c r="K15" s="65">
        <v>0</v>
      </c>
      <c r="L15" s="65">
        <v>58475300</v>
      </c>
      <c r="M15" s="63">
        <v>21048885</v>
      </c>
      <c r="N15" s="1"/>
    </row>
    <row r="16" spans="1:14" ht="16" hidden="1" customHeight="1" outlineLevel="1" x14ac:dyDescent="0.45">
      <c r="A16" s="29" t="s">
        <v>10</v>
      </c>
      <c r="B16" s="44">
        <v>3790346722</v>
      </c>
      <c r="C16" s="63">
        <v>-394487684</v>
      </c>
      <c r="D16" s="63">
        <v>0</v>
      </c>
      <c r="E16" s="64">
        <v>4184834406</v>
      </c>
      <c r="F16" s="63">
        <v>2443680288.1672192</v>
      </c>
      <c r="G16" s="63">
        <v>674043836.8327806</v>
      </c>
      <c r="H16" s="65">
        <v>493978562</v>
      </c>
      <c r="I16" s="65">
        <v>77787610</v>
      </c>
      <c r="J16" s="65">
        <v>136059291</v>
      </c>
      <c r="K16" s="65">
        <v>237350195</v>
      </c>
      <c r="L16" s="65">
        <v>121934623</v>
      </c>
      <c r="M16" s="63">
        <v>0</v>
      </c>
      <c r="N16" s="1"/>
    </row>
    <row r="17" spans="1:14" ht="16" hidden="1" customHeight="1" outlineLevel="1" x14ac:dyDescent="0.45">
      <c r="A17" s="29" t="s">
        <v>11</v>
      </c>
      <c r="B17" s="44">
        <v>69777633</v>
      </c>
      <c r="C17" s="63">
        <v>309836</v>
      </c>
      <c r="D17" s="63">
        <v>0</v>
      </c>
      <c r="E17" s="64">
        <v>69467797</v>
      </c>
      <c r="F17" s="63">
        <v>65718024</v>
      </c>
      <c r="G17" s="63">
        <v>15000</v>
      </c>
      <c r="H17" s="65">
        <v>3203409</v>
      </c>
      <c r="I17" s="65">
        <v>12364</v>
      </c>
      <c r="J17" s="65">
        <v>424500</v>
      </c>
      <c r="K17" s="65">
        <v>94500</v>
      </c>
      <c r="L17" s="65">
        <v>0</v>
      </c>
      <c r="M17" s="63">
        <v>0</v>
      </c>
      <c r="N17" s="1"/>
    </row>
    <row r="18" spans="1:14" ht="16" hidden="1" customHeight="1" outlineLevel="1" x14ac:dyDescent="0.45">
      <c r="A18" s="30" t="s">
        <v>12</v>
      </c>
      <c r="B18" s="46">
        <v>3698805907</v>
      </c>
      <c r="C18" s="63">
        <v>57619134</v>
      </c>
      <c r="D18" s="63">
        <v>0</v>
      </c>
      <c r="E18" s="64">
        <v>3641186773</v>
      </c>
      <c r="F18" s="63">
        <v>2576145600</v>
      </c>
      <c r="G18" s="63">
        <v>-1114019</v>
      </c>
      <c r="H18" s="65">
        <v>73377283</v>
      </c>
      <c r="I18" s="65">
        <v>0</v>
      </c>
      <c r="J18" s="65">
        <v>0</v>
      </c>
      <c r="K18" s="65">
        <v>22489413</v>
      </c>
      <c r="L18" s="65">
        <v>970288496</v>
      </c>
      <c r="M18" s="63">
        <v>0</v>
      </c>
      <c r="N18" s="1"/>
    </row>
    <row r="19" spans="1:14" ht="16" hidden="1" customHeight="1" outlineLevel="1" x14ac:dyDescent="0.45">
      <c r="A19" s="29" t="s">
        <v>119</v>
      </c>
      <c r="B19" s="44">
        <v>-2363820242</v>
      </c>
      <c r="C19" s="63">
        <v>-2363820242</v>
      </c>
      <c r="D19" s="63">
        <v>0</v>
      </c>
      <c r="E19" s="64">
        <v>0</v>
      </c>
      <c r="F19" s="63">
        <v>0</v>
      </c>
      <c r="G19" s="63">
        <v>0</v>
      </c>
      <c r="H19" s="65">
        <v>0</v>
      </c>
      <c r="I19" s="65">
        <v>0</v>
      </c>
      <c r="J19" s="65">
        <v>0</v>
      </c>
      <c r="K19" s="65">
        <v>0</v>
      </c>
      <c r="L19" s="65">
        <v>0</v>
      </c>
      <c r="M19" s="63">
        <v>0</v>
      </c>
      <c r="N19" s="1"/>
    </row>
    <row r="20" spans="1:14" ht="16" hidden="1" customHeight="1" outlineLevel="1" x14ac:dyDescent="0.45">
      <c r="A20" s="29" t="s">
        <v>120</v>
      </c>
      <c r="B20" s="44">
        <v>0</v>
      </c>
      <c r="C20" s="63">
        <v>0</v>
      </c>
      <c r="D20" s="63">
        <v>0</v>
      </c>
      <c r="E20" s="64">
        <v>0</v>
      </c>
      <c r="F20" s="63">
        <v>0</v>
      </c>
      <c r="G20" s="63">
        <v>0</v>
      </c>
      <c r="H20" s="65">
        <v>0</v>
      </c>
      <c r="I20" s="65">
        <v>0</v>
      </c>
      <c r="J20" s="65">
        <v>0</v>
      </c>
      <c r="K20" s="65">
        <v>0</v>
      </c>
      <c r="L20" s="65">
        <v>0</v>
      </c>
      <c r="M20" s="63">
        <v>0</v>
      </c>
      <c r="N20" s="1"/>
    </row>
    <row r="21" spans="1:14" ht="16" hidden="1" customHeight="1" outlineLevel="1" x14ac:dyDescent="0.45">
      <c r="A21" s="24" t="s">
        <v>13</v>
      </c>
      <c r="B21" s="45">
        <v>-139345197</v>
      </c>
      <c r="C21" s="63">
        <v>0</v>
      </c>
      <c r="D21" s="63">
        <v>0</v>
      </c>
      <c r="E21" s="64">
        <v>-139345197</v>
      </c>
      <c r="F21" s="63">
        <v>2623091</v>
      </c>
      <c r="G21" s="63">
        <v>0</v>
      </c>
      <c r="H21" s="65">
        <v>81662530</v>
      </c>
      <c r="I21" s="65">
        <v>5904500</v>
      </c>
      <c r="J21" s="65">
        <v>0</v>
      </c>
      <c r="K21" s="65">
        <v>-229535318</v>
      </c>
      <c r="L21" s="65">
        <v>0</v>
      </c>
      <c r="M21" s="63">
        <v>0</v>
      </c>
      <c r="N21" s="1"/>
    </row>
    <row r="22" spans="1:14" s="1" customFormat="1" ht="16" hidden="1" customHeight="1" outlineLevel="1" x14ac:dyDescent="0.45">
      <c r="A22" s="29" t="s">
        <v>121</v>
      </c>
      <c r="B22" s="44">
        <v>3710176693</v>
      </c>
      <c r="C22" s="63">
        <v>-128532000</v>
      </c>
      <c r="D22" s="63">
        <v>128532000</v>
      </c>
      <c r="E22" s="64">
        <v>3710176693</v>
      </c>
      <c r="F22" s="63">
        <v>128532000</v>
      </c>
      <c r="G22" s="63">
        <v>2500000000</v>
      </c>
      <c r="H22" s="65">
        <v>1006138860</v>
      </c>
      <c r="I22" s="65">
        <v>0</v>
      </c>
      <c r="J22" s="65">
        <v>4040000</v>
      </c>
      <c r="K22" s="65">
        <v>42475833</v>
      </c>
      <c r="L22" s="65">
        <v>0</v>
      </c>
      <c r="M22" s="63">
        <v>28990000</v>
      </c>
    </row>
    <row r="23" spans="1:14" ht="16" hidden="1" customHeight="1" outlineLevel="1" x14ac:dyDescent="0.45">
      <c r="A23" s="29" t="s">
        <v>249</v>
      </c>
      <c r="B23" s="44">
        <v>762285700</v>
      </c>
      <c r="C23" s="63">
        <v>2771948</v>
      </c>
      <c r="D23" s="63">
        <v>0</v>
      </c>
      <c r="E23" s="64">
        <v>759513752</v>
      </c>
      <c r="F23" s="63">
        <v>759513752</v>
      </c>
      <c r="G23" s="63">
        <v>0</v>
      </c>
      <c r="H23" s="65">
        <v>0</v>
      </c>
      <c r="I23" s="65">
        <v>0</v>
      </c>
      <c r="J23" s="65">
        <v>0</v>
      </c>
      <c r="K23" s="65">
        <v>0</v>
      </c>
      <c r="L23" s="65">
        <v>0</v>
      </c>
      <c r="M23" s="63">
        <v>0</v>
      </c>
      <c r="N23" s="1"/>
    </row>
    <row r="24" spans="1:14" ht="16" hidden="1" customHeight="1" outlineLevel="1" x14ac:dyDescent="0.45">
      <c r="A24" s="24" t="s">
        <v>287</v>
      </c>
      <c r="B24" s="45">
        <v>0</v>
      </c>
      <c r="C24" s="63">
        <v>0</v>
      </c>
      <c r="D24" s="63">
        <v>0</v>
      </c>
      <c r="E24" s="64">
        <v>0</v>
      </c>
      <c r="F24" s="63">
        <v>0</v>
      </c>
      <c r="G24" s="63">
        <v>0</v>
      </c>
      <c r="H24" s="65">
        <v>0</v>
      </c>
      <c r="I24" s="65">
        <v>0</v>
      </c>
      <c r="J24" s="65">
        <v>0</v>
      </c>
      <c r="K24" s="65">
        <v>0</v>
      </c>
      <c r="L24" s="65">
        <v>0</v>
      </c>
      <c r="M24" s="63">
        <v>0</v>
      </c>
      <c r="N24" s="1"/>
    </row>
    <row r="25" spans="1:14" ht="16" customHeight="1" collapsed="1" x14ac:dyDescent="0.45">
      <c r="A25" s="27" t="s">
        <v>14</v>
      </c>
      <c r="B25" s="42">
        <v>30772261553</v>
      </c>
      <c r="C25" s="57">
        <v>900991776</v>
      </c>
      <c r="D25" s="57">
        <v>0</v>
      </c>
      <c r="E25" s="58">
        <v>29871269777</v>
      </c>
      <c r="F25" s="58">
        <v>15205200709</v>
      </c>
      <c r="G25" s="58">
        <v>43518000</v>
      </c>
      <c r="H25" s="58">
        <v>9420262781</v>
      </c>
      <c r="I25" s="58">
        <v>265349182</v>
      </c>
      <c r="J25" s="58">
        <v>-339714178</v>
      </c>
      <c r="K25" s="58">
        <v>1701289826</v>
      </c>
      <c r="L25" s="58">
        <v>120534182</v>
      </c>
      <c r="M25" s="58">
        <v>3454829275</v>
      </c>
      <c r="N25" s="1"/>
    </row>
    <row r="26" spans="1:14" s="1" customFormat="1" ht="16" hidden="1" customHeight="1" outlineLevel="1" collapsed="1" x14ac:dyDescent="0.45">
      <c r="A26" s="28" t="s">
        <v>15</v>
      </c>
      <c r="B26" s="43">
        <v>30772261553</v>
      </c>
      <c r="C26" s="60">
        <v>900991776</v>
      </c>
      <c r="D26" s="60">
        <v>0</v>
      </c>
      <c r="E26" s="61">
        <v>29871269777</v>
      </c>
      <c r="F26" s="60">
        <v>15205200709</v>
      </c>
      <c r="G26" s="60">
        <v>43518000</v>
      </c>
      <c r="H26" s="62">
        <v>9420262781</v>
      </c>
      <c r="I26" s="62">
        <v>265349182</v>
      </c>
      <c r="J26" s="62">
        <v>-339714178</v>
      </c>
      <c r="K26" s="62">
        <v>1701289826</v>
      </c>
      <c r="L26" s="62">
        <v>120534182</v>
      </c>
      <c r="M26" s="60">
        <v>3454829275</v>
      </c>
    </row>
    <row r="27" spans="1:14" s="1" customFormat="1" ht="16" customHeight="1" collapsed="1" x14ac:dyDescent="0.45">
      <c r="A27" s="27" t="s">
        <v>16</v>
      </c>
      <c r="B27" s="42">
        <v>20963919524</v>
      </c>
      <c r="C27" s="57">
        <v>-3326273401</v>
      </c>
      <c r="D27" s="57">
        <v>132390819</v>
      </c>
      <c r="E27" s="58">
        <v>24157802106</v>
      </c>
      <c r="F27" s="57">
        <v>14168707882.167219</v>
      </c>
      <c r="G27" s="57">
        <v>3566415234.8327808</v>
      </c>
      <c r="H27" s="59">
        <v>2105880517</v>
      </c>
      <c r="I27" s="59">
        <v>143670883</v>
      </c>
      <c r="J27" s="59">
        <v>1540477299</v>
      </c>
      <c r="K27" s="59">
        <v>621414370</v>
      </c>
      <c r="L27" s="59">
        <v>1211220326</v>
      </c>
      <c r="M27" s="57">
        <v>800015594</v>
      </c>
    </row>
    <row r="28" spans="1:14" s="1" customFormat="1" collapsed="1" x14ac:dyDescent="0.45">
      <c r="A28" s="27" t="s">
        <v>17</v>
      </c>
      <c r="B28" s="42">
        <v>17542495651</v>
      </c>
      <c r="C28" s="57">
        <v>-61566315.000001907</v>
      </c>
      <c r="D28" s="57">
        <v>528170958</v>
      </c>
      <c r="E28" s="58">
        <v>17075891008.000002</v>
      </c>
      <c r="F28" s="57">
        <v>8679478183.8624039</v>
      </c>
      <c r="G28" s="57">
        <v>2184334122.5380106</v>
      </c>
      <c r="H28" s="59">
        <v>1900355354.5995867</v>
      </c>
      <c r="I28" s="59">
        <v>95693047.366561353</v>
      </c>
      <c r="J28" s="59">
        <v>1474452955.3567195</v>
      </c>
      <c r="K28" s="59">
        <v>423918817.61493266</v>
      </c>
      <c r="L28" s="59">
        <v>1716344003.6617866</v>
      </c>
      <c r="M28" s="57">
        <v>601314523</v>
      </c>
    </row>
    <row r="29" spans="1:14" s="1" customFormat="1" x14ac:dyDescent="0.45">
      <c r="A29" s="28" t="s">
        <v>18</v>
      </c>
      <c r="B29" s="43">
        <v>107370460</v>
      </c>
      <c r="C29" s="60">
        <v>33674330.000000007</v>
      </c>
      <c r="D29" s="60">
        <v>16000000</v>
      </c>
      <c r="E29" s="61">
        <v>57696129.999999993</v>
      </c>
      <c r="F29" s="60">
        <v>52235590.278024659</v>
      </c>
      <c r="G29" s="60">
        <v>5460539.7219753359</v>
      </c>
      <c r="H29" s="62">
        <v>0</v>
      </c>
      <c r="I29" s="62">
        <v>0</v>
      </c>
      <c r="J29" s="62">
        <v>0</v>
      </c>
      <c r="K29" s="62">
        <v>0</v>
      </c>
      <c r="L29" s="62">
        <v>0</v>
      </c>
      <c r="M29" s="60">
        <v>0</v>
      </c>
    </row>
    <row r="30" spans="1:14" s="1" customFormat="1" x14ac:dyDescent="0.45">
      <c r="A30" s="28" t="s">
        <v>19</v>
      </c>
      <c r="B30" s="43">
        <v>6478271860</v>
      </c>
      <c r="C30" s="66">
        <v>343941480</v>
      </c>
      <c r="D30" s="60">
        <v>175482630</v>
      </c>
      <c r="E30" s="61">
        <v>5958847750</v>
      </c>
      <c r="F30" s="60">
        <v>3548340592.3746791</v>
      </c>
      <c r="G30" s="60">
        <v>1189008394.7409678</v>
      </c>
      <c r="H30" s="62">
        <v>386083582.88435298</v>
      </c>
      <c r="I30" s="62">
        <v>38278961.91567032</v>
      </c>
      <c r="J30" s="62">
        <v>46737211.679161772</v>
      </c>
      <c r="K30" s="62">
        <v>177160602.45052484</v>
      </c>
      <c r="L30" s="62">
        <v>494533263.95464307</v>
      </c>
      <c r="M30" s="60">
        <v>78705140</v>
      </c>
    </row>
    <row r="31" spans="1:14" s="1" customFormat="1" ht="16" hidden="1" customHeight="1" outlineLevel="1" x14ac:dyDescent="0.45">
      <c r="A31" s="29" t="s">
        <v>20</v>
      </c>
      <c r="B31" s="44">
        <v>696502800</v>
      </c>
      <c r="C31" s="63">
        <v>154354160</v>
      </c>
      <c r="D31" s="63">
        <v>71404190</v>
      </c>
      <c r="E31" s="64">
        <v>470744450</v>
      </c>
      <c r="F31" s="63">
        <v>219544966.86612105</v>
      </c>
      <c r="G31" s="63">
        <v>93689699.629630804</v>
      </c>
      <c r="H31" s="65">
        <v>23727283.504248146</v>
      </c>
      <c r="I31" s="65">
        <v>7938657.0016375305</v>
      </c>
      <c r="J31" s="65">
        <v>8063201.2575018164</v>
      </c>
      <c r="K31" s="65">
        <v>17369577.151021712</v>
      </c>
      <c r="L31" s="65">
        <v>58049434.589838937</v>
      </c>
      <c r="M31" s="63">
        <v>42361630</v>
      </c>
    </row>
    <row r="32" spans="1:14" ht="16" hidden="1" customHeight="1" outlineLevel="1" x14ac:dyDescent="0.45">
      <c r="A32" s="29" t="s">
        <v>21</v>
      </c>
      <c r="B32" s="44">
        <v>127838820</v>
      </c>
      <c r="C32" s="63">
        <v>28373640</v>
      </c>
      <c r="D32" s="63">
        <v>13096600</v>
      </c>
      <c r="E32" s="64">
        <v>86368580</v>
      </c>
      <c r="F32" s="63">
        <v>40374568.903946191</v>
      </c>
      <c r="G32" s="63">
        <v>16595748.284878008</v>
      </c>
      <c r="H32" s="65">
        <v>4406372.8111758018</v>
      </c>
      <c r="I32" s="65">
        <v>1479360.804755165</v>
      </c>
      <c r="J32" s="65">
        <v>1507171.4367257624</v>
      </c>
      <c r="K32" s="65">
        <v>3291372.1076709223</v>
      </c>
      <c r="L32" s="65">
        <v>10954715.65084815</v>
      </c>
      <c r="M32" s="63">
        <v>7759270</v>
      </c>
      <c r="N32" s="1"/>
    </row>
    <row r="33" spans="1:14" ht="16" hidden="1" customHeight="1" outlineLevel="1" x14ac:dyDescent="0.45">
      <c r="A33" s="29" t="s">
        <v>22</v>
      </c>
      <c r="B33" s="44">
        <v>33400000</v>
      </c>
      <c r="C33" s="63">
        <v>7600000</v>
      </c>
      <c r="D33" s="63">
        <v>2800000</v>
      </c>
      <c r="E33" s="64">
        <v>23000000</v>
      </c>
      <c r="F33" s="63">
        <v>9737974.9987660609</v>
      </c>
      <c r="G33" s="63">
        <v>3456526.0005828785</v>
      </c>
      <c r="H33" s="65">
        <v>1105499.0006510604</v>
      </c>
      <c r="I33" s="65">
        <v>517915.15543348016</v>
      </c>
      <c r="J33" s="65">
        <v>555018.25992363738</v>
      </c>
      <c r="K33" s="65">
        <v>1477135.7583495728</v>
      </c>
      <c r="L33" s="65">
        <v>4449930.8262933102</v>
      </c>
      <c r="M33" s="63">
        <v>1700000</v>
      </c>
      <c r="N33" s="1"/>
    </row>
    <row r="34" spans="1:14" ht="16" hidden="1" customHeight="1" outlineLevel="1" x14ac:dyDescent="0.45">
      <c r="A34" s="29" t="s">
        <v>171</v>
      </c>
      <c r="B34" s="44">
        <v>0</v>
      </c>
      <c r="C34" s="63">
        <v>0</v>
      </c>
      <c r="D34" s="63">
        <v>0</v>
      </c>
      <c r="E34" s="64">
        <v>0</v>
      </c>
      <c r="F34" s="63">
        <v>0</v>
      </c>
      <c r="G34" s="63">
        <v>0</v>
      </c>
      <c r="H34" s="65">
        <v>0</v>
      </c>
      <c r="I34" s="65">
        <v>0</v>
      </c>
      <c r="J34" s="65">
        <v>0</v>
      </c>
      <c r="K34" s="65">
        <v>0</v>
      </c>
      <c r="L34" s="65">
        <v>0</v>
      </c>
      <c r="M34" s="63">
        <v>0</v>
      </c>
      <c r="N34" s="1"/>
    </row>
    <row r="35" spans="1:14" ht="16" hidden="1" customHeight="1" outlineLevel="1" x14ac:dyDescent="0.45">
      <c r="A35" s="29" t="s">
        <v>23</v>
      </c>
      <c r="B35" s="44">
        <v>12228300</v>
      </c>
      <c r="C35" s="63">
        <v>1862150</v>
      </c>
      <c r="D35" s="63">
        <v>479550</v>
      </c>
      <c r="E35" s="64">
        <v>9886600</v>
      </c>
      <c r="F35" s="63">
        <v>5709123.5034071058</v>
      </c>
      <c r="G35" s="63">
        <v>2874756.4965928947</v>
      </c>
      <c r="H35" s="65">
        <v>227180</v>
      </c>
      <c r="I35" s="65">
        <v>0</v>
      </c>
      <c r="J35" s="65">
        <v>0</v>
      </c>
      <c r="K35" s="65">
        <v>0</v>
      </c>
      <c r="L35" s="65">
        <v>395710</v>
      </c>
      <c r="M35" s="63">
        <v>679830</v>
      </c>
      <c r="N35" s="1"/>
    </row>
    <row r="36" spans="1:14" ht="16" hidden="1" customHeight="1" outlineLevel="1" x14ac:dyDescent="0.45">
      <c r="A36" s="29" t="s">
        <v>24</v>
      </c>
      <c r="B36" s="44">
        <v>18842300</v>
      </c>
      <c r="C36" s="63">
        <v>4031860.0000000019</v>
      </c>
      <c r="D36" s="63">
        <v>1691790</v>
      </c>
      <c r="E36" s="64">
        <v>13118649.999999998</v>
      </c>
      <c r="F36" s="63">
        <v>5756877.2746634707</v>
      </c>
      <c r="G36" s="63">
        <v>2680765.4035591753</v>
      </c>
      <c r="H36" s="65">
        <v>556517.32177735376</v>
      </c>
      <c r="I36" s="65">
        <v>212370.3473497215</v>
      </c>
      <c r="J36" s="65">
        <v>259010.27480472374</v>
      </c>
      <c r="K36" s="65">
        <v>1476887.4030939254</v>
      </c>
      <c r="L36" s="65">
        <v>582151.9747516294</v>
      </c>
      <c r="M36" s="63">
        <v>1594070</v>
      </c>
      <c r="N36" s="1"/>
    </row>
    <row r="37" spans="1:14" ht="16" hidden="1" customHeight="1" outlineLevel="1" x14ac:dyDescent="0.45">
      <c r="A37" s="29" t="s">
        <v>122</v>
      </c>
      <c r="B37" s="44">
        <v>322469090</v>
      </c>
      <c r="C37" s="63">
        <v>28155640</v>
      </c>
      <c r="D37" s="63">
        <v>0</v>
      </c>
      <c r="E37" s="64">
        <v>294313450</v>
      </c>
      <c r="F37" s="63">
        <v>24987600</v>
      </c>
      <c r="G37" s="63">
        <v>0</v>
      </c>
      <c r="H37" s="65">
        <v>260794640</v>
      </c>
      <c r="I37" s="65">
        <v>0</v>
      </c>
      <c r="J37" s="65">
        <v>0</v>
      </c>
      <c r="K37" s="65">
        <v>8531210</v>
      </c>
      <c r="L37" s="65">
        <v>0</v>
      </c>
      <c r="M37" s="63">
        <v>0</v>
      </c>
      <c r="N37" s="1"/>
    </row>
    <row r="38" spans="1:14" ht="16" hidden="1" customHeight="1" outlineLevel="1" x14ac:dyDescent="0.45">
      <c r="A38" s="29" t="s">
        <v>123</v>
      </c>
      <c r="B38" s="44">
        <v>53810270</v>
      </c>
      <c r="C38" s="63">
        <v>4461280</v>
      </c>
      <c r="D38" s="63">
        <v>0</v>
      </c>
      <c r="E38" s="64">
        <v>49348990</v>
      </c>
      <c r="F38" s="63">
        <v>4239120</v>
      </c>
      <c r="G38" s="63">
        <v>0</v>
      </c>
      <c r="H38" s="65">
        <v>43664930</v>
      </c>
      <c r="I38" s="65">
        <v>0</v>
      </c>
      <c r="J38" s="65">
        <v>0</v>
      </c>
      <c r="K38" s="65">
        <v>1444940</v>
      </c>
      <c r="L38" s="65">
        <v>0</v>
      </c>
      <c r="M38" s="63">
        <v>0</v>
      </c>
      <c r="N38" s="1"/>
    </row>
    <row r="39" spans="1:14" ht="16" hidden="1" customHeight="1" outlineLevel="1" x14ac:dyDescent="0.45">
      <c r="A39" s="29" t="s">
        <v>124</v>
      </c>
      <c r="B39" s="44">
        <v>1200000</v>
      </c>
      <c r="C39" s="63">
        <v>0</v>
      </c>
      <c r="D39" s="63">
        <v>0</v>
      </c>
      <c r="E39" s="64">
        <v>1200000</v>
      </c>
      <c r="F39" s="63">
        <v>0</v>
      </c>
      <c r="G39" s="63">
        <v>0</v>
      </c>
      <c r="H39" s="65">
        <v>1200000</v>
      </c>
      <c r="I39" s="65">
        <v>0</v>
      </c>
      <c r="J39" s="65">
        <v>0</v>
      </c>
      <c r="K39" s="65">
        <v>0</v>
      </c>
      <c r="L39" s="65">
        <v>0</v>
      </c>
      <c r="M39" s="63">
        <v>0</v>
      </c>
      <c r="N39" s="1"/>
    </row>
    <row r="40" spans="1:14" ht="16" hidden="1" customHeight="1" outlineLevel="1" x14ac:dyDescent="0.45">
      <c r="A40" s="29" t="s">
        <v>125</v>
      </c>
      <c r="B40" s="44">
        <v>0</v>
      </c>
      <c r="C40" s="63">
        <v>0</v>
      </c>
      <c r="D40" s="63">
        <v>0</v>
      </c>
      <c r="E40" s="64">
        <v>0</v>
      </c>
      <c r="F40" s="63">
        <v>0</v>
      </c>
      <c r="G40" s="63">
        <v>0</v>
      </c>
      <c r="H40" s="65">
        <v>0</v>
      </c>
      <c r="I40" s="65">
        <v>0</v>
      </c>
      <c r="J40" s="65">
        <v>0</v>
      </c>
      <c r="K40" s="65">
        <v>0</v>
      </c>
      <c r="L40" s="65">
        <v>0</v>
      </c>
      <c r="M40" s="63">
        <v>0</v>
      </c>
      <c r="N40" s="1"/>
    </row>
    <row r="41" spans="1:14" ht="16" hidden="1" customHeight="1" outlineLevel="1" x14ac:dyDescent="0.45">
      <c r="A41" s="29" t="s">
        <v>172</v>
      </c>
      <c r="B41" s="44">
        <v>363490</v>
      </c>
      <c r="C41" s="63">
        <v>0</v>
      </c>
      <c r="D41" s="63">
        <v>0</v>
      </c>
      <c r="E41" s="64">
        <v>363490</v>
      </c>
      <c r="F41" s="63">
        <v>0</v>
      </c>
      <c r="G41" s="63">
        <v>0</v>
      </c>
      <c r="H41" s="65">
        <v>363490</v>
      </c>
      <c r="I41" s="65">
        <v>0</v>
      </c>
      <c r="J41" s="65">
        <v>0</v>
      </c>
      <c r="K41" s="65">
        <v>0</v>
      </c>
      <c r="L41" s="65">
        <v>0</v>
      </c>
      <c r="M41" s="63">
        <v>0</v>
      </c>
      <c r="N41" s="1"/>
    </row>
    <row r="42" spans="1:14" ht="16" hidden="1" customHeight="1" outlineLevel="1" x14ac:dyDescent="0.45">
      <c r="A42" s="29" t="s">
        <v>173</v>
      </c>
      <c r="B42" s="44">
        <v>0</v>
      </c>
      <c r="C42" s="63">
        <v>0</v>
      </c>
      <c r="D42" s="63">
        <v>0</v>
      </c>
      <c r="E42" s="64">
        <v>0</v>
      </c>
      <c r="F42" s="63">
        <v>0</v>
      </c>
      <c r="G42" s="63">
        <v>0</v>
      </c>
      <c r="H42" s="65">
        <v>0</v>
      </c>
      <c r="I42" s="65">
        <v>0</v>
      </c>
      <c r="J42" s="65">
        <v>0</v>
      </c>
      <c r="K42" s="65">
        <v>0</v>
      </c>
      <c r="L42" s="65">
        <v>0</v>
      </c>
      <c r="M42" s="63">
        <v>0</v>
      </c>
      <c r="N42" s="1"/>
    </row>
    <row r="43" spans="1:14" ht="16" hidden="1" customHeight="1" outlineLevel="1" x14ac:dyDescent="0.45">
      <c r="A43" s="29" t="s">
        <v>25</v>
      </c>
      <c r="B43" s="44">
        <v>27636500</v>
      </c>
      <c r="C43" s="63">
        <v>6355000</v>
      </c>
      <c r="D43" s="63">
        <v>2790000</v>
      </c>
      <c r="E43" s="64">
        <v>18491500</v>
      </c>
      <c r="F43" s="63">
        <v>8827025.8669116367</v>
      </c>
      <c r="G43" s="63">
        <v>3917793.8865877111</v>
      </c>
      <c r="H43" s="65">
        <v>1096680.2465006532</v>
      </c>
      <c r="I43" s="65">
        <v>251090.60649442102</v>
      </c>
      <c r="J43" s="65">
        <v>255198.45020583126</v>
      </c>
      <c r="K43" s="65">
        <v>551040.03038870264</v>
      </c>
      <c r="L43" s="65">
        <v>2042670.9129110449</v>
      </c>
      <c r="M43" s="63">
        <v>1550000</v>
      </c>
      <c r="N43" s="1"/>
    </row>
    <row r="44" spans="1:14" ht="16" hidden="1" customHeight="1" outlineLevel="1" x14ac:dyDescent="0.45">
      <c r="A44" s="29" t="s">
        <v>174</v>
      </c>
      <c r="B44" s="44">
        <v>0</v>
      </c>
      <c r="C44" s="63">
        <v>0</v>
      </c>
      <c r="D44" s="63">
        <v>0</v>
      </c>
      <c r="E44" s="64">
        <v>0</v>
      </c>
      <c r="F44" s="63">
        <v>0</v>
      </c>
      <c r="G44" s="63">
        <v>0</v>
      </c>
      <c r="H44" s="65">
        <v>0</v>
      </c>
      <c r="I44" s="65">
        <v>0</v>
      </c>
      <c r="J44" s="65">
        <v>0</v>
      </c>
      <c r="K44" s="65">
        <v>0</v>
      </c>
      <c r="L44" s="65">
        <v>0</v>
      </c>
      <c r="M44" s="63">
        <v>0</v>
      </c>
      <c r="N44" s="1"/>
    </row>
    <row r="45" spans="1:14" ht="16" hidden="1" customHeight="1" outlineLevel="1" x14ac:dyDescent="0.45">
      <c r="A45" s="29" t="s">
        <v>126</v>
      </c>
      <c r="B45" s="44">
        <v>23653060</v>
      </c>
      <c r="C45" s="63">
        <v>2149340</v>
      </c>
      <c r="D45" s="63">
        <v>0</v>
      </c>
      <c r="E45" s="64">
        <v>21503720</v>
      </c>
      <c r="F45" s="63">
        <v>1860000</v>
      </c>
      <c r="G45" s="63">
        <v>0</v>
      </c>
      <c r="H45" s="65">
        <v>19023720</v>
      </c>
      <c r="I45" s="65">
        <v>0</v>
      </c>
      <c r="J45" s="65">
        <v>0</v>
      </c>
      <c r="K45" s="65">
        <v>620000</v>
      </c>
      <c r="L45" s="65">
        <v>0</v>
      </c>
      <c r="M45" s="63">
        <v>0</v>
      </c>
      <c r="N45" s="1"/>
    </row>
    <row r="46" spans="1:14" ht="16" hidden="1" customHeight="1" outlineLevel="1" x14ac:dyDescent="0.45">
      <c r="A46" s="29" t="s">
        <v>175</v>
      </c>
      <c r="B46" s="44">
        <v>0</v>
      </c>
      <c r="C46" s="63">
        <v>0</v>
      </c>
      <c r="D46" s="63">
        <v>0</v>
      </c>
      <c r="E46" s="64">
        <v>0</v>
      </c>
      <c r="F46" s="63">
        <v>0</v>
      </c>
      <c r="G46" s="63">
        <v>0</v>
      </c>
      <c r="H46" s="65">
        <v>0</v>
      </c>
      <c r="I46" s="65">
        <v>0</v>
      </c>
      <c r="J46" s="65">
        <v>0</v>
      </c>
      <c r="K46" s="65">
        <v>0</v>
      </c>
      <c r="L46" s="65">
        <v>0</v>
      </c>
      <c r="M46" s="63">
        <v>0</v>
      </c>
      <c r="N46" s="1"/>
    </row>
    <row r="47" spans="1:14" ht="16" hidden="1" customHeight="1" outlineLevel="1" x14ac:dyDescent="0.45">
      <c r="A47" s="29" t="s">
        <v>176</v>
      </c>
      <c r="B47" s="44">
        <v>0</v>
      </c>
      <c r="C47" s="63">
        <v>0</v>
      </c>
      <c r="D47" s="63">
        <v>0</v>
      </c>
      <c r="E47" s="64">
        <v>0</v>
      </c>
      <c r="F47" s="63">
        <v>0</v>
      </c>
      <c r="G47" s="63">
        <v>0</v>
      </c>
      <c r="H47" s="65">
        <v>0</v>
      </c>
      <c r="I47" s="65">
        <v>0</v>
      </c>
      <c r="J47" s="65">
        <v>0</v>
      </c>
      <c r="K47" s="65">
        <v>0</v>
      </c>
      <c r="L47" s="65">
        <v>0</v>
      </c>
      <c r="M47" s="63">
        <v>0</v>
      </c>
      <c r="N47" s="1"/>
    </row>
    <row r="48" spans="1:14" ht="16" hidden="1" customHeight="1" outlineLevel="1" x14ac:dyDescent="0.45">
      <c r="A48" s="29" t="s">
        <v>26</v>
      </c>
      <c r="B48" s="44">
        <v>3983838940</v>
      </c>
      <c r="C48" s="63">
        <v>77336440</v>
      </c>
      <c r="D48" s="63">
        <v>66279340</v>
      </c>
      <c r="E48" s="64">
        <v>3840223160</v>
      </c>
      <c r="F48" s="63">
        <v>2517184699.584446</v>
      </c>
      <c r="G48" s="63">
        <v>833728000.41555429</v>
      </c>
      <c r="H48" s="65">
        <v>22970400</v>
      </c>
      <c r="I48" s="65">
        <v>22264588</v>
      </c>
      <c r="J48" s="65">
        <v>28997742</v>
      </c>
      <c r="K48" s="65">
        <v>112514700</v>
      </c>
      <c r="L48" s="65">
        <v>284812240</v>
      </c>
      <c r="M48" s="63">
        <v>17750790</v>
      </c>
      <c r="N48" s="1"/>
    </row>
    <row r="49" spans="1:14" ht="16" hidden="1" customHeight="1" outlineLevel="1" x14ac:dyDescent="0.45">
      <c r="A49" s="29" t="s">
        <v>27</v>
      </c>
      <c r="B49" s="44">
        <v>672119750</v>
      </c>
      <c r="C49" s="63">
        <v>12387330</v>
      </c>
      <c r="D49" s="63">
        <v>11031240</v>
      </c>
      <c r="E49" s="64">
        <v>648701180</v>
      </c>
      <c r="F49" s="63">
        <v>427169858.44831139</v>
      </c>
      <c r="G49" s="63">
        <v>138594811.55168861</v>
      </c>
      <c r="H49" s="65">
        <v>4061170</v>
      </c>
      <c r="I49" s="65">
        <v>3642326</v>
      </c>
      <c r="J49" s="65">
        <v>4550344</v>
      </c>
      <c r="K49" s="65">
        <v>18861800</v>
      </c>
      <c r="L49" s="65">
        <v>48822290</v>
      </c>
      <c r="M49" s="63">
        <v>2998580</v>
      </c>
      <c r="N49" s="1"/>
    </row>
    <row r="50" spans="1:14" ht="16" hidden="1" customHeight="1" outlineLevel="1" x14ac:dyDescent="0.45">
      <c r="A50" s="29" t="s">
        <v>28</v>
      </c>
      <c r="B50" s="44">
        <v>128930000</v>
      </c>
      <c r="C50" s="63">
        <v>5650000</v>
      </c>
      <c r="D50" s="63">
        <v>600000</v>
      </c>
      <c r="E50" s="64">
        <v>122680000</v>
      </c>
      <c r="F50" s="63">
        <v>88690000</v>
      </c>
      <c r="G50" s="63">
        <v>24700000</v>
      </c>
      <c r="H50" s="65">
        <v>1200000</v>
      </c>
      <c r="I50" s="65">
        <v>387000</v>
      </c>
      <c r="J50" s="65">
        <v>503000</v>
      </c>
      <c r="K50" s="65">
        <v>2400000</v>
      </c>
      <c r="L50" s="65">
        <v>4800000</v>
      </c>
      <c r="M50" s="63">
        <v>0</v>
      </c>
      <c r="N50" s="1"/>
    </row>
    <row r="51" spans="1:14" ht="16" hidden="1" customHeight="1" outlineLevel="1" x14ac:dyDescent="0.45">
      <c r="A51" s="29" t="s">
        <v>29</v>
      </c>
      <c r="B51" s="44">
        <v>279940030</v>
      </c>
      <c r="C51" s="63">
        <v>4954220</v>
      </c>
      <c r="D51" s="63">
        <v>4495000</v>
      </c>
      <c r="E51" s="64">
        <v>270490810</v>
      </c>
      <c r="F51" s="63">
        <v>178737825.88323539</v>
      </c>
      <c r="G51" s="63">
        <v>58081784.11676462</v>
      </c>
      <c r="H51" s="65">
        <v>1550000</v>
      </c>
      <c r="I51" s="65">
        <v>1585654</v>
      </c>
      <c r="J51" s="65">
        <v>2046526</v>
      </c>
      <c r="K51" s="65">
        <v>7657010</v>
      </c>
      <c r="L51" s="65">
        <v>19592010</v>
      </c>
      <c r="M51" s="63">
        <v>1240000</v>
      </c>
      <c r="N51" s="1"/>
    </row>
    <row r="52" spans="1:14" ht="16" hidden="1" customHeight="1" outlineLevel="1" x14ac:dyDescent="0.45">
      <c r="A52" s="29" t="s">
        <v>127</v>
      </c>
      <c r="B52" s="44">
        <v>180000</v>
      </c>
      <c r="C52" s="63">
        <v>40000</v>
      </c>
      <c r="D52" s="63">
        <v>100000</v>
      </c>
      <c r="E52" s="64">
        <v>40000</v>
      </c>
      <c r="F52" s="63">
        <v>40000</v>
      </c>
      <c r="G52" s="63">
        <v>0</v>
      </c>
      <c r="H52" s="65">
        <v>0</v>
      </c>
      <c r="I52" s="65">
        <v>0</v>
      </c>
      <c r="J52" s="65">
        <v>0</v>
      </c>
      <c r="K52" s="65">
        <v>0</v>
      </c>
      <c r="L52" s="65">
        <v>0</v>
      </c>
      <c r="M52" s="63">
        <v>0</v>
      </c>
      <c r="N52" s="1"/>
    </row>
    <row r="53" spans="1:14" ht="16" hidden="1" customHeight="1" outlineLevel="1" x14ac:dyDescent="0.45">
      <c r="A53" s="29" t="s">
        <v>177</v>
      </c>
      <c r="B53" s="44">
        <v>0</v>
      </c>
      <c r="C53" s="63">
        <v>0</v>
      </c>
      <c r="D53" s="63">
        <v>0</v>
      </c>
      <c r="E53" s="64">
        <v>0</v>
      </c>
      <c r="F53" s="63">
        <v>0</v>
      </c>
      <c r="G53" s="63">
        <v>0</v>
      </c>
      <c r="H53" s="65">
        <v>0</v>
      </c>
      <c r="I53" s="65">
        <v>0</v>
      </c>
      <c r="J53" s="65">
        <v>0</v>
      </c>
      <c r="K53" s="65">
        <v>0</v>
      </c>
      <c r="L53" s="65">
        <v>0</v>
      </c>
      <c r="M53" s="63">
        <v>0</v>
      </c>
      <c r="N53" s="1"/>
    </row>
    <row r="54" spans="1:14" ht="16" hidden="1" customHeight="1" outlineLevel="1" x14ac:dyDescent="0.45">
      <c r="A54" s="29" t="s">
        <v>30</v>
      </c>
      <c r="B54" s="44">
        <v>14105130</v>
      </c>
      <c r="C54" s="63">
        <v>2949860</v>
      </c>
      <c r="D54" s="63">
        <v>0</v>
      </c>
      <c r="E54" s="64">
        <v>11155270</v>
      </c>
      <c r="F54" s="63">
        <v>5800420</v>
      </c>
      <c r="G54" s="63">
        <v>4389920</v>
      </c>
      <c r="H54" s="65">
        <v>0</v>
      </c>
      <c r="I54" s="65">
        <v>0</v>
      </c>
      <c r="J54" s="65">
        <v>0</v>
      </c>
      <c r="K54" s="65">
        <v>964930</v>
      </c>
      <c r="L54" s="65">
        <v>0</v>
      </c>
      <c r="M54" s="63">
        <v>0</v>
      </c>
      <c r="N54" s="1"/>
    </row>
    <row r="55" spans="1:14" ht="16" hidden="1" customHeight="1" outlineLevel="1" x14ac:dyDescent="0.45">
      <c r="A55" s="29" t="s">
        <v>128</v>
      </c>
      <c r="B55" s="44">
        <v>58287600</v>
      </c>
      <c r="C55" s="63">
        <v>0</v>
      </c>
      <c r="D55" s="63">
        <v>0</v>
      </c>
      <c r="E55" s="64">
        <v>58287600</v>
      </c>
      <c r="F55" s="63">
        <v>0</v>
      </c>
      <c r="G55" s="63">
        <v>0</v>
      </c>
      <c r="H55" s="65">
        <v>0</v>
      </c>
      <c r="I55" s="65">
        <v>0</v>
      </c>
      <c r="J55" s="65">
        <v>0</v>
      </c>
      <c r="K55" s="65">
        <v>0</v>
      </c>
      <c r="L55" s="65">
        <v>58287600</v>
      </c>
      <c r="M55" s="63">
        <v>0</v>
      </c>
      <c r="N55" s="1"/>
    </row>
    <row r="56" spans="1:14" ht="16" hidden="1" customHeight="1" outlineLevel="1" x14ac:dyDescent="0.45">
      <c r="A56" s="29" t="s">
        <v>129</v>
      </c>
      <c r="B56" s="44">
        <v>1156120</v>
      </c>
      <c r="C56" s="63">
        <v>0</v>
      </c>
      <c r="D56" s="63">
        <v>0</v>
      </c>
      <c r="E56" s="64">
        <v>1156120</v>
      </c>
      <c r="F56" s="63">
        <v>0</v>
      </c>
      <c r="G56" s="63">
        <v>0</v>
      </c>
      <c r="H56" s="65">
        <v>0</v>
      </c>
      <c r="I56" s="65">
        <v>0</v>
      </c>
      <c r="J56" s="65">
        <v>0</v>
      </c>
      <c r="K56" s="65">
        <v>0</v>
      </c>
      <c r="L56" s="65">
        <v>1156120</v>
      </c>
      <c r="M56" s="63">
        <v>0</v>
      </c>
      <c r="N56" s="1"/>
    </row>
    <row r="57" spans="1:14" ht="16" hidden="1" customHeight="1" outlineLevel="1" x14ac:dyDescent="0.45">
      <c r="A57" s="29" t="s">
        <v>178</v>
      </c>
      <c r="B57" s="44">
        <v>0</v>
      </c>
      <c r="C57" s="63">
        <v>0</v>
      </c>
      <c r="D57" s="63">
        <v>0</v>
      </c>
      <c r="E57" s="64">
        <v>0</v>
      </c>
      <c r="F57" s="63">
        <v>0</v>
      </c>
      <c r="G57" s="63">
        <v>0</v>
      </c>
      <c r="H57" s="65">
        <v>0</v>
      </c>
      <c r="I57" s="65">
        <v>0</v>
      </c>
      <c r="J57" s="65">
        <v>0</v>
      </c>
      <c r="K57" s="65">
        <v>0</v>
      </c>
      <c r="L57" s="65">
        <v>0</v>
      </c>
      <c r="M57" s="63">
        <v>0</v>
      </c>
      <c r="N57" s="1"/>
    </row>
    <row r="58" spans="1:14" ht="16" hidden="1" customHeight="1" outlineLevel="1" x14ac:dyDescent="0.45">
      <c r="A58" s="29" t="s">
        <v>31</v>
      </c>
      <c r="B58" s="44">
        <v>12144920</v>
      </c>
      <c r="C58" s="63">
        <v>1680560</v>
      </c>
      <c r="D58" s="63">
        <v>214920</v>
      </c>
      <c r="E58" s="64">
        <v>10249440</v>
      </c>
      <c r="F58" s="63">
        <v>6710531.0448711868</v>
      </c>
      <c r="G58" s="63">
        <v>3332238.9551288136</v>
      </c>
      <c r="H58" s="65">
        <v>135700</v>
      </c>
      <c r="I58" s="65">
        <v>0</v>
      </c>
      <c r="J58" s="65">
        <v>0</v>
      </c>
      <c r="K58" s="65">
        <v>0</v>
      </c>
      <c r="L58" s="65">
        <v>0</v>
      </c>
      <c r="M58" s="63">
        <v>70970</v>
      </c>
      <c r="N58" s="1"/>
    </row>
    <row r="59" spans="1:14" ht="16" hidden="1" customHeight="1" outlineLevel="1" x14ac:dyDescent="0.45">
      <c r="A59" s="29" t="s">
        <v>113</v>
      </c>
      <c r="B59" s="44">
        <v>0</v>
      </c>
      <c r="C59" s="63">
        <v>0</v>
      </c>
      <c r="D59" s="63">
        <v>0</v>
      </c>
      <c r="E59" s="64">
        <v>0</v>
      </c>
      <c r="F59" s="63">
        <v>0</v>
      </c>
      <c r="G59" s="63">
        <v>0</v>
      </c>
      <c r="H59" s="65">
        <v>0</v>
      </c>
      <c r="I59" s="65">
        <v>0</v>
      </c>
      <c r="J59" s="65">
        <v>0</v>
      </c>
      <c r="K59" s="65">
        <v>0</v>
      </c>
      <c r="L59" s="65">
        <v>0</v>
      </c>
      <c r="M59" s="63">
        <v>0</v>
      </c>
      <c r="N59" s="1"/>
    </row>
    <row r="60" spans="1:14" ht="16" hidden="1" customHeight="1" outlineLevel="1" x14ac:dyDescent="0.45">
      <c r="A60" s="29" t="s">
        <v>32</v>
      </c>
      <c r="B60" s="44">
        <v>9624740</v>
      </c>
      <c r="C60" s="63">
        <v>1600000</v>
      </c>
      <c r="D60" s="63">
        <v>500000</v>
      </c>
      <c r="E60" s="64">
        <v>7524740</v>
      </c>
      <c r="F60" s="63">
        <v>2970000</v>
      </c>
      <c r="G60" s="63">
        <v>2966350</v>
      </c>
      <c r="H60" s="65">
        <v>0</v>
      </c>
      <c r="I60" s="65">
        <v>0</v>
      </c>
      <c r="J60" s="65">
        <v>0</v>
      </c>
      <c r="K60" s="65">
        <v>0</v>
      </c>
      <c r="L60" s="65">
        <v>588390</v>
      </c>
      <c r="M60" s="63">
        <v>1000000</v>
      </c>
      <c r="N60" s="1"/>
    </row>
    <row r="61" spans="1:14" ht="16" hidden="1" customHeight="1" outlineLevel="1" x14ac:dyDescent="0.45">
      <c r="A61" s="24" t="s">
        <v>130</v>
      </c>
      <c r="B61" s="44">
        <v>0</v>
      </c>
      <c r="C61" s="63">
        <v>0</v>
      </c>
      <c r="D61" s="63">
        <v>0</v>
      </c>
      <c r="E61" s="64">
        <v>0</v>
      </c>
      <c r="F61" s="63">
        <v>0</v>
      </c>
      <c r="G61" s="63">
        <v>0</v>
      </c>
      <c r="H61" s="65">
        <v>0</v>
      </c>
      <c r="I61" s="65">
        <v>0</v>
      </c>
      <c r="J61" s="65">
        <v>0</v>
      </c>
      <c r="K61" s="65">
        <v>0</v>
      </c>
      <c r="L61" s="65">
        <v>0</v>
      </c>
      <c r="M61" s="63">
        <v>0</v>
      </c>
      <c r="N61" s="1"/>
    </row>
    <row r="62" spans="1:14" ht="16" hidden="1" customHeight="1" outlineLevel="1" x14ac:dyDescent="0.45">
      <c r="A62" s="29" t="s">
        <v>267</v>
      </c>
      <c r="B62" s="44">
        <v>0</v>
      </c>
      <c r="C62" s="63">
        <v>0</v>
      </c>
      <c r="D62" s="63">
        <v>0</v>
      </c>
      <c r="E62" s="64">
        <v>0</v>
      </c>
      <c r="F62" s="63">
        <v>0</v>
      </c>
      <c r="G62" s="63">
        <v>0</v>
      </c>
      <c r="H62" s="65">
        <v>0</v>
      </c>
      <c r="I62" s="65">
        <v>0</v>
      </c>
      <c r="J62" s="65">
        <v>0</v>
      </c>
      <c r="K62" s="65">
        <v>0</v>
      </c>
      <c r="L62" s="65">
        <v>0</v>
      </c>
      <c r="M62" s="63">
        <v>0</v>
      </c>
      <c r="N62" s="1"/>
    </row>
    <row r="63" spans="1:14" ht="16" customHeight="1" collapsed="1" x14ac:dyDescent="0.45">
      <c r="A63" s="28" t="s">
        <v>33</v>
      </c>
      <c r="B63" s="43">
        <v>939580164</v>
      </c>
      <c r="C63" s="60">
        <v>901132144</v>
      </c>
      <c r="D63" s="60">
        <v>0</v>
      </c>
      <c r="E63" s="61">
        <v>38448020</v>
      </c>
      <c r="F63" s="60">
        <v>1300000</v>
      </c>
      <c r="G63" s="60">
        <v>0</v>
      </c>
      <c r="H63" s="62">
        <v>26478020</v>
      </c>
      <c r="I63" s="62">
        <v>0</v>
      </c>
      <c r="J63" s="62">
        <v>0</v>
      </c>
      <c r="K63" s="62">
        <v>870000</v>
      </c>
      <c r="L63" s="62">
        <v>9800000</v>
      </c>
      <c r="M63" s="60">
        <v>0</v>
      </c>
      <c r="N63" s="1"/>
    </row>
    <row r="64" spans="1:14" s="1" customFormat="1" ht="16" hidden="1" customHeight="1" outlineLevel="1" collapsed="1" x14ac:dyDescent="0.45">
      <c r="A64" s="29" t="s">
        <v>34</v>
      </c>
      <c r="B64" s="44">
        <v>111799000</v>
      </c>
      <c r="C64" s="63">
        <v>111799000</v>
      </c>
      <c r="D64" s="63">
        <v>0</v>
      </c>
      <c r="E64" s="64">
        <v>0</v>
      </c>
      <c r="F64" s="63">
        <v>0</v>
      </c>
      <c r="G64" s="63">
        <v>0</v>
      </c>
      <c r="H64" s="65">
        <v>0</v>
      </c>
      <c r="I64" s="65">
        <v>0</v>
      </c>
      <c r="J64" s="65">
        <v>0</v>
      </c>
      <c r="K64" s="65">
        <v>0</v>
      </c>
      <c r="L64" s="65">
        <v>0</v>
      </c>
      <c r="M64" s="63">
        <v>0</v>
      </c>
    </row>
    <row r="65" spans="1:14" ht="16" hidden="1" customHeight="1" outlineLevel="1" x14ac:dyDescent="0.45">
      <c r="A65" s="29" t="s">
        <v>179</v>
      </c>
      <c r="B65" s="44">
        <v>184797144</v>
      </c>
      <c r="C65" s="63">
        <v>184797144</v>
      </c>
      <c r="D65" s="63">
        <v>0</v>
      </c>
      <c r="E65" s="64">
        <v>0</v>
      </c>
      <c r="F65" s="63">
        <v>0</v>
      </c>
      <c r="G65" s="63">
        <v>0</v>
      </c>
      <c r="H65" s="65">
        <v>0</v>
      </c>
      <c r="I65" s="65">
        <v>0</v>
      </c>
      <c r="J65" s="65">
        <v>0</v>
      </c>
      <c r="K65" s="65">
        <v>0</v>
      </c>
      <c r="L65" s="65">
        <v>0</v>
      </c>
      <c r="M65" s="63">
        <v>0</v>
      </c>
      <c r="N65" s="1"/>
    </row>
    <row r="66" spans="1:14" ht="16" hidden="1" customHeight="1" outlineLevel="1" x14ac:dyDescent="0.45">
      <c r="A66" s="29" t="s">
        <v>180</v>
      </c>
      <c r="B66" s="44">
        <v>0</v>
      </c>
      <c r="C66" s="63">
        <v>0</v>
      </c>
      <c r="D66" s="63">
        <v>0</v>
      </c>
      <c r="E66" s="64">
        <v>0</v>
      </c>
      <c r="F66" s="63">
        <v>0</v>
      </c>
      <c r="G66" s="63">
        <v>0</v>
      </c>
      <c r="H66" s="65">
        <v>0</v>
      </c>
      <c r="I66" s="65">
        <v>0</v>
      </c>
      <c r="J66" s="65">
        <v>0</v>
      </c>
      <c r="K66" s="65">
        <v>0</v>
      </c>
      <c r="L66" s="65">
        <v>0</v>
      </c>
      <c r="M66" s="63">
        <v>0</v>
      </c>
      <c r="N66" s="1"/>
    </row>
    <row r="67" spans="1:14" ht="16" hidden="1" customHeight="1" outlineLevel="1" x14ac:dyDescent="0.45">
      <c r="A67" s="29" t="s">
        <v>131</v>
      </c>
      <c r="B67" s="44">
        <v>31360020</v>
      </c>
      <c r="C67" s="63">
        <v>2712000</v>
      </c>
      <c r="D67" s="63">
        <v>0</v>
      </c>
      <c r="E67" s="64">
        <v>28648020</v>
      </c>
      <c r="F67" s="63">
        <v>1300000</v>
      </c>
      <c r="G67" s="63">
        <v>0</v>
      </c>
      <c r="H67" s="65">
        <v>26478020</v>
      </c>
      <c r="I67" s="65">
        <v>0</v>
      </c>
      <c r="J67" s="65">
        <v>0</v>
      </c>
      <c r="K67" s="65">
        <v>870000</v>
      </c>
      <c r="L67" s="65">
        <v>0</v>
      </c>
      <c r="M67" s="63">
        <v>0</v>
      </c>
      <c r="N67" s="1"/>
    </row>
    <row r="68" spans="1:14" ht="16" hidden="1" customHeight="1" outlineLevel="1" x14ac:dyDescent="0.45">
      <c r="A68" s="29" t="s">
        <v>35</v>
      </c>
      <c r="B68" s="44">
        <v>601824000</v>
      </c>
      <c r="C68" s="63">
        <v>601824000</v>
      </c>
      <c r="D68" s="63">
        <v>0</v>
      </c>
      <c r="E68" s="64">
        <v>0</v>
      </c>
      <c r="F68" s="63">
        <v>0</v>
      </c>
      <c r="G68" s="63">
        <v>0</v>
      </c>
      <c r="H68" s="65">
        <v>0</v>
      </c>
      <c r="I68" s="65">
        <v>0</v>
      </c>
      <c r="J68" s="65">
        <v>0</v>
      </c>
      <c r="K68" s="65">
        <v>0</v>
      </c>
      <c r="L68" s="65">
        <v>0</v>
      </c>
      <c r="M68" s="63">
        <v>0</v>
      </c>
      <c r="N68" s="1"/>
    </row>
    <row r="69" spans="1:14" ht="16" hidden="1" customHeight="1" outlineLevel="1" x14ac:dyDescent="0.45">
      <c r="A69" s="29" t="s">
        <v>132</v>
      </c>
      <c r="B69" s="44">
        <v>9800000</v>
      </c>
      <c r="C69" s="63">
        <v>0</v>
      </c>
      <c r="D69" s="63">
        <v>0</v>
      </c>
      <c r="E69" s="64">
        <v>9800000</v>
      </c>
      <c r="F69" s="63">
        <v>0</v>
      </c>
      <c r="G69" s="63">
        <v>0</v>
      </c>
      <c r="H69" s="65">
        <v>0</v>
      </c>
      <c r="I69" s="65">
        <v>0</v>
      </c>
      <c r="J69" s="65">
        <v>0</v>
      </c>
      <c r="K69" s="65">
        <v>0</v>
      </c>
      <c r="L69" s="65">
        <v>9800000</v>
      </c>
      <c r="M69" s="63">
        <v>0</v>
      </c>
      <c r="N69" s="1"/>
    </row>
    <row r="70" spans="1:14" ht="16" customHeight="1" collapsed="1" x14ac:dyDescent="0.45">
      <c r="A70" s="28" t="s">
        <v>133</v>
      </c>
      <c r="B70" s="43">
        <v>2020760</v>
      </c>
      <c r="C70" s="60">
        <v>0</v>
      </c>
      <c r="D70" s="60">
        <v>0</v>
      </c>
      <c r="E70" s="61">
        <v>2020760</v>
      </c>
      <c r="F70" s="60">
        <v>0</v>
      </c>
      <c r="G70" s="60">
        <v>0</v>
      </c>
      <c r="H70" s="62">
        <v>0</v>
      </c>
      <c r="I70" s="62">
        <v>0</v>
      </c>
      <c r="J70" s="62">
        <v>0</v>
      </c>
      <c r="K70" s="62">
        <v>2020760</v>
      </c>
      <c r="L70" s="62">
        <v>0</v>
      </c>
      <c r="M70" s="60">
        <v>0</v>
      </c>
      <c r="N70" s="1"/>
    </row>
    <row r="71" spans="1:14" s="1" customFormat="1" collapsed="1" x14ac:dyDescent="0.45">
      <c r="A71" s="28" t="s">
        <v>36</v>
      </c>
      <c r="B71" s="43">
        <v>743627707</v>
      </c>
      <c r="C71" s="60">
        <v>50239883.000000119</v>
      </c>
      <c r="D71" s="60">
        <v>19107857</v>
      </c>
      <c r="E71" s="61">
        <v>674279966.99999988</v>
      </c>
      <c r="F71" s="60">
        <v>415384407.01243484</v>
      </c>
      <c r="G71" s="60">
        <v>131641455.55274054</v>
      </c>
      <c r="H71" s="62">
        <v>36267550.434824578</v>
      </c>
      <c r="I71" s="62">
        <v>3868115.8680745643</v>
      </c>
      <c r="J71" s="62">
        <v>4279778.7239140822</v>
      </c>
      <c r="K71" s="62">
        <v>16561065.375790145</v>
      </c>
      <c r="L71" s="62">
        <v>58802854.032221213</v>
      </c>
      <c r="M71" s="60">
        <v>7474740</v>
      </c>
    </row>
    <row r="72" spans="1:14" s="1" customFormat="1" ht="16" hidden="1" customHeight="1" outlineLevel="1" x14ac:dyDescent="0.45">
      <c r="A72" s="29" t="s">
        <v>37</v>
      </c>
      <c r="B72" s="44">
        <v>743627707</v>
      </c>
      <c r="C72" s="63">
        <v>50239883.000000119</v>
      </c>
      <c r="D72" s="63">
        <v>19107857</v>
      </c>
      <c r="E72" s="64">
        <v>674279966.99999988</v>
      </c>
      <c r="F72" s="63">
        <v>415384407.01243484</v>
      </c>
      <c r="G72" s="63">
        <v>131641455.55274054</v>
      </c>
      <c r="H72" s="65">
        <v>36267550.434824578</v>
      </c>
      <c r="I72" s="65">
        <v>3868115.8680745643</v>
      </c>
      <c r="J72" s="65">
        <v>4279778.7239140822</v>
      </c>
      <c r="K72" s="65">
        <v>16561065.375790145</v>
      </c>
      <c r="L72" s="65">
        <v>58802854.032221213</v>
      </c>
      <c r="M72" s="63">
        <v>7474740</v>
      </c>
    </row>
    <row r="73" spans="1:14" ht="16" customHeight="1" collapsed="1" x14ac:dyDescent="0.45">
      <c r="A73" s="28" t="s">
        <v>181</v>
      </c>
      <c r="B73" s="43">
        <v>8643053</v>
      </c>
      <c r="C73" s="60">
        <v>-19356947</v>
      </c>
      <c r="D73" s="60">
        <v>0</v>
      </c>
      <c r="E73" s="61">
        <v>28000000</v>
      </c>
      <c r="F73" s="60">
        <v>17500000</v>
      </c>
      <c r="G73" s="60">
        <v>9000000</v>
      </c>
      <c r="H73" s="62">
        <v>0</v>
      </c>
      <c r="I73" s="62">
        <v>0</v>
      </c>
      <c r="J73" s="62">
        <v>0</v>
      </c>
      <c r="K73" s="62">
        <v>1000000</v>
      </c>
      <c r="L73" s="62">
        <v>500000</v>
      </c>
      <c r="M73" s="60">
        <v>0</v>
      </c>
      <c r="N73" s="1"/>
    </row>
    <row r="74" spans="1:14" s="1" customFormat="1" collapsed="1" x14ac:dyDescent="0.45">
      <c r="A74" s="28" t="s">
        <v>38</v>
      </c>
      <c r="B74" s="43">
        <v>2536125516</v>
      </c>
      <c r="C74" s="60">
        <v>110087411</v>
      </c>
      <c r="D74" s="60">
        <v>34383151</v>
      </c>
      <c r="E74" s="61">
        <v>2391654954</v>
      </c>
      <c r="F74" s="60">
        <v>1602164797.1471279</v>
      </c>
      <c r="G74" s="60">
        <v>334116262.00575471</v>
      </c>
      <c r="H74" s="62">
        <v>136526820.84711745</v>
      </c>
      <c r="I74" s="62">
        <v>8592121.8840317484</v>
      </c>
      <c r="J74" s="62">
        <v>9392804.5130837634</v>
      </c>
      <c r="K74" s="62">
        <v>37464708.940994538</v>
      </c>
      <c r="L74" s="62">
        <v>251024669.66188997</v>
      </c>
      <c r="M74" s="60">
        <v>12372769</v>
      </c>
    </row>
    <row r="75" spans="1:14" s="1" customFormat="1" ht="16" hidden="1" customHeight="1" outlineLevel="1" x14ac:dyDescent="0.45">
      <c r="A75" s="29" t="s">
        <v>39</v>
      </c>
      <c r="B75" s="44">
        <v>3050040</v>
      </c>
      <c r="C75" s="63">
        <v>3050040</v>
      </c>
      <c r="D75" s="63">
        <v>0</v>
      </c>
      <c r="E75" s="64">
        <v>0</v>
      </c>
      <c r="F75" s="63">
        <v>0</v>
      </c>
      <c r="G75" s="63">
        <v>0</v>
      </c>
      <c r="H75" s="65">
        <v>0</v>
      </c>
      <c r="I75" s="65">
        <v>0</v>
      </c>
      <c r="J75" s="65">
        <v>0</v>
      </c>
      <c r="K75" s="65">
        <v>0</v>
      </c>
      <c r="L75" s="65">
        <v>0</v>
      </c>
      <c r="M75" s="63">
        <v>0</v>
      </c>
    </row>
    <row r="76" spans="1:14" ht="16" hidden="1" customHeight="1" outlineLevel="1" x14ac:dyDescent="0.45">
      <c r="A76" s="29" t="s">
        <v>40</v>
      </c>
      <c r="B76" s="44">
        <v>67087770</v>
      </c>
      <c r="C76" s="63">
        <v>3399853.0000000075</v>
      </c>
      <c r="D76" s="63">
        <v>1696756</v>
      </c>
      <c r="E76" s="64">
        <v>61991160.999999993</v>
      </c>
      <c r="F76" s="63">
        <v>38276660.021205083</v>
      </c>
      <c r="G76" s="63">
        <v>11102016.519215699</v>
      </c>
      <c r="H76" s="65">
        <v>4062680.4595792168</v>
      </c>
      <c r="I76" s="65">
        <v>344184.10136943299</v>
      </c>
      <c r="J76" s="65">
        <v>421273.5905256531</v>
      </c>
      <c r="K76" s="65">
        <v>1579107.4052006116</v>
      </c>
      <c r="L76" s="65">
        <v>5538676.9029043019</v>
      </c>
      <c r="M76" s="63">
        <v>666562</v>
      </c>
      <c r="N76" s="1"/>
    </row>
    <row r="77" spans="1:14" ht="16" hidden="1" customHeight="1" outlineLevel="1" x14ac:dyDescent="0.45">
      <c r="A77" s="29" t="s">
        <v>41</v>
      </c>
      <c r="B77" s="44">
        <v>383300370</v>
      </c>
      <c r="C77" s="63">
        <v>25895980</v>
      </c>
      <c r="D77" s="63">
        <v>9849080</v>
      </c>
      <c r="E77" s="64">
        <v>347555310</v>
      </c>
      <c r="F77" s="63">
        <v>214108475.07855737</v>
      </c>
      <c r="G77" s="63">
        <v>67854139.964486897</v>
      </c>
      <c r="H77" s="65">
        <v>18693984.956955738</v>
      </c>
      <c r="I77" s="65">
        <v>1993807.1577141164</v>
      </c>
      <c r="J77" s="65">
        <v>2205997.0076988237</v>
      </c>
      <c r="K77" s="65">
        <v>8536345.3900848832</v>
      </c>
      <c r="L77" s="65">
        <v>30309730.444502175</v>
      </c>
      <c r="M77" s="63">
        <v>3852830</v>
      </c>
      <c r="N77" s="1"/>
    </row>
    <row r="78" spans="1:14" ht="16" hidden="1" customHeight="1" outlineLevel="1" x14ac:dyDescent="0.45">
      <c r="A78" s="29" t="s">
        <v>42</v>
      </c>
      <c r="B78" s="44">
        <v>337652450</v>
      </c>
      <c r="C78" s="63">
        <v>14033490.00000006</v>
      </c>
      <c r="D78" s="63">
        <v>8146300</v>
      </c>
      <c r="E78" s="64">
        <v>315472659.99999994</v>
      </c>
      <c r="F78" s="63">
        <v>195176516.15242016</v>
      </c>
      <c r="G78" s="63">
        <v>60956231.135057867</v>
      </c>
      <c r="H78" s="65">
        <v>18858062.712521974</v>
      </c>
      <c r="I78" s="65">
        <v>1756143.1735043612</v>
      </c>
      <c r="J78" s="65">
        <v>2229847.5141912843</v>
      </c>
      <c r="K78" s="65">
        <v>8751262.6737898272</v>
      </c>
      <c r="L78" s="65">
        <v>24527796.638514526</v>
      </c>
      <c r="M78" s="63">
        <v>3216800</v>
      </c>
      <c r="N78" s="1"/>
    </row>
    <row r="79" spans="1:14" ht="16" hidden="1" customHeight="1" outlineLevel="1" x14ac:dyDescent="0.45">
      <c r="A79" s="29" t="s">
        <v>43</v>
      </c>
      <c r="B79" s="44">
        <v>157801320</v>
      </c>
      <c r="C79" s="63">
        <v>7549259</v>
      </c>
      <c r="D79" s="63">
        <v>4002975</v>
      </c>
      <c r="E79" s="64">
        <v>146249086</v>
      </c>
      <c r="F79" s="63">
        <v>90302004.978789032</v>
      </c>
      <c r="G79" s="63">
        <v>26191803.335790426</v>
      </c>
      <c r="H79" s="65">
        <v>9584645.685420543</v>
      </c>
      <c r="I79" s="65">
        <v>811997.26778683998</v>
      </c>
      <c r="J79" s="65">
        <v>993864.26011812361</v>
      </c>
      <c r="K79" s="65">
        <v>3725414.7624651664</v>
      </c>
      <c r="L79" s="65">
        <v>13066804.709629871</v>
      </c>
      <c r="M79" s="63">
        <v>1572551</v>
      </c>
      <c r="N79" s="1"/>
    </row>
    <row r="80" spans="1:14" ht="16" hidden="1" customHeight="1" outlineLevel="1" x14ac:dyDescent="0.45">
      <c r="A80" s="29" t="s">
        <v>134</v>
      </c>
      <c r="B80" s="44">
        <v>2100000</v>
      </c>
      <c r="C80" s="63">
        <v>2100000</v>
      </c>
      <c r="D80" s="63">
        <v>0</v>
      </c>
      <c r="E80" s="64">
        <v>0</v>
      </c>
      <c r="F80" s="63">
        <v>0</v>
      </c>
      <c r="G80" s="63">
        <v>0</v>
      </c>
      <c r="H80" s="65">
        <v>0</v>
      </c>
      <c r="I80" s="65">
        <v>0</v>
      </c>
      <c r="J80" s="65">
        <v>0</v>
      </c>
      <c r="K80" s="65">
        <v>0</v>
      </c>
      <c r="L80" s="65">
        <v>0</v>
      </c>
      <c r="M80" s="63">
        <v>0</v>
      </c>
      <c r="N80" s="1"/>
    </row>
    <row r="81" spans="1:14" ht="16" hidden="1" customHeight="1" outlineLevel="1" x14ac:dyDescent="0.45">
      <c r="A81" s="24" t="s">
        <v>44</v>
      </c>
      <c r="B81" s="45">
        <v>890518888</v>
      </c>
      <c r="C81" s="63">
        <v>7387500</v>
      </c>
      <c r="D81" s="63">
        <v>1040000</v>
      </c>
      <c r="E81" s="64">
        <v>882091388</v>
      </c>
      <c r="F81" s="63">
        <v>701312538</v>
      </c>
      <c r="G81" s="63">
        <v>95629750</v>
      </c>
      <c r="H81" s="65">
        <v>70549100</v>
      </c>
      <c r="I81" s="65">
        <v>2273987.8793476401</v>
      </c>
      <c r="J81" s="65">
        <v>1919288.3228462338</v>
      </c>
      <c r="K81" s="65">
        <v>5781019.3940499388</v>
      </c>
      <c r="L81" s="65">
        <v>4625704.4037561873</v>
      </c>
      <c r="M81" s="63">
        <v>0</v>
      </c>
      <c r="N81" s="1"/>
    </row>
    <row r="82" spans="1:14" ht="16" hidden="1" customHeight="1" outlineLevel="1" x14ac:dyDescent="0.45">
      <c r="A82" s="29" t="s">
        <v>45</v>
      </c>
      <c r="B82" s="44">
        <v>44100000</v>
      </c>
      <c r="C82" s="63">
        <v>1200000</v>
      </c>
      <c r="D82" s="63">
        <v>5000000</v>
      </c>
      <c r="E82" s="64">
        <v>37900000</v>
      </c>
      <c r="F82" s="63">
        <v>17601599.742272027</v>
      </c>
      <c r="G82" s="63">
        <v>11798400.257727975</v>
      </c>
      <c r="H82" s="65">
        <v>1900000</v>
      </c>
      <c r="I82" s="65">
        <v>100000</v>
      </c>
      <c r="J82" s="65">
        <v>100000</v>
      </c>
      <c r="K82" s="65">
        <v>2200000</v>
      </c>
      <c r="L82" s="65">
        <v>3200000</v>
      </c>
      <c r="M82" s="63">
        <v>1000000</v>
      </c>
      <c r="N82" s="1"/>
    </row>
    <row r="83" spans="1:14" ht="16" hidden="1" customHeight="1" outlineLevel="1" x14ac:dyDescent="0.45">
      <c r="A83" s="29" t="s">
        <v>46</v>
      </c>
      <c r="B83" s="44">
        <v>-13776000</v>
      </c>
      <c r="C83" s="63">
        <v>-14804500</v>
      </c>
      <c r="D83" s="63">
        <v>38500</v>
      </c>
      <c r="E83" s="64">
        <v>989999.99999999988</v>
      </c>
      <c r="F83" s="63">
        <v>481173.38666070771</v>
      </c>
      <c r="G83" s="63">
        <v>83175.897152765509</v>
      </c>
      <c r="H83" s="65">
        <v>18650.716186526752</v>
      </c>
      <c r="I83" s="65">
        <v>48815.334472447452</v>
      </c>
      <c r="J83" s="65">
        <v>59601.736992086007</v>
      </c>
      <c r="K83" s="65">
        <v>225924.46689162581</v>
      </c>
      <c r="L83" s="65">
        <v>72658.461643840739</v>
      </c>
      <c r="M83" s="63">
        <v>0</v>
      </c>
      <c r="N83" s="1"/>
    </row>
    <row r="84" spans="1:14" ht="16" hidden="1" customHeight="1" outlineLevel="1" x14ac:dyDescent="0.45">
      <c r="A84" s="29" t="s">
        <v>47</v>
      </c>
      <c r="B84" s="44">
        <v>18238105</v>
      </c>
      <c r="C84" s="63">
        <v>9120551</v>
      </c>
      <c r="D84" s="63">
        <v>0</v>
      </c>
      <c r="E84" s="64">
        <v>9117554</v>
      </c>
      <c r="F84" s="63">
        <v>7602777.8605153896</v>
      </c>
      <c r="G84" s="63">
        <v>1312685.1394846109</v>
      </c>
      <c r="H84" s="65">
        <v>0</v>
      </c>
      <c r="I84" s="65">
        <v>0</v>
      </c>
      <c r="J84" s="65">
        <v>0</v>
      </c>
      <c r="K84" s="65">
        <v>88090</v>
      </c>
      <c r="L84" s="65">
        <v>15545</v>
      </c>
      <c r="M84" s="63">
        <v>98456</v>
      </c>
      <c r="N84" s="1"/>
    </row>
    <row r="85" spans="1:14" ht="16" hidden="1" customHeight="1" outlineLevel="1" x14ac:dyDescent="0.45">
      <c r="A85" s="29" t="s">
        <v>246</v>
      </c>
      <c r="B85" s="44">
        <v>26850000</v>
      </c>
      <c r="C85" s="63">
        <v>0</v>
      </c>
      <c r="D85" s="63">
        <v>0</v>
      </c>
      <c r="E85" s="64">
        <v>26850000</v>
      </c>
      <c r="F85" s="63">
        <v>18000000</v>
      </c>
      <c r="G85" s="63">
        <v>3850000</v>
      </c>
      <c r="H85" s="65">
        <v>0</v>
      </c>
      <c r="I85" s="65">
        <v>0</v>
      </c>
      <c r="J85" s="65">
        <v>0</v>
      </c>
      <c r="K85" s="65">
        <v>0</v>
      </c>
      <c r="L85" s="65">
        <v>5000000</v>
      </c>
      <c r="M85" s="63">
        <v>0</v>
      </c>
      <c r="N85" s="1"/>
    </row>
    <row r="86" spans="1:14" ht="16" hidden="1" customHeight="1" outlineLevel="1" x14ac:dyDescent="0.45">
      <c r="A86" s="29" t="s">
        <v>48</v>
      </c>
      <c r="B86" s="44">
        <v>57351150</v>
      </c>
      <c r="C86" s="63">
        <v>8788210</v>
      </c>
      <c r="D86" s="63">
        <v>1437540</v>
      </c>
      <c r="E86" s="64">
        <v>47125400</v>
      </c>
      <c r="F86" s="63">
        <v>28478013.072041016</v>
      </c>
      <c r="G86" s="63">
        <v>9256028.4329573549</v>
      </c>
      <c r="H86" s="65">
        <v>3844228.4950016295</v>
      </c>
      <c r="I86" s="65">
        <v>0</v>
      </c>
      <c r="J86" s="65">
        <v>0</v>
      </c>
      <c r="K86" s="65">
        <v>1748030</v>
      </c>
      <c r="L86" s="65">
        <v>3478430</v>
      </c>
      <c r="M86" s="63">
        <v>320670</v>
      </c>
      <c r="N86" s="1"/>
    </row>
    <row r="87" spans="1:14" ht="16" hidden="1" customHeight="1" outlineLevel="1" x14ac:dyDescent="0.45">
      <c r="A87" s="29" t="s">
        <v>49</v>
      </c>
      <c r="B87" s="44">
        <v>7146840</v>
      </c>
      <c r="C87" s="63">
        <v>531400</v>
      </c>
      <c r="D87" s="63">
        <v>0</v>
      </c>
      <c r="E87" s="64">
        <v>6615440</v>
      </c>
      <c r="F87" s="63">
        <v>2198040</v>
      </c>
      <c r="G87" s="63">
        <v>1848400</v>
      </c>
      <c r="H87" s="65">
        <v>0</v>
      </c>
      <c r="I87" s="65">
        <v>246690</v>
      </c>
      <c r="J87" s="65">
        <v>575610</v>
      </c>
      <c r="K87" s="65">
        <v>1011800</v>
      </c>
      <c r="L87" s="65">
        <v>490000</v>
      </c>
      <c r="M87" s="63">
        <v>244900</v>
      </c>
      <c r="N87" s="1"/>
    </row>
    <row r="88" spans="1:14" ht="16" hidden="1" customHeight="1" outlineLevel="1" x14ac:dyDescent="0.45">
      <c r="A88" s="29" t="s">
        <v>182</v>
      </c>
      <c r="B88" s="44">
        <v>0</v>
      </c>
      <c r="C88" s="63">
        <v>0</v>
      </c>
      <c r="D88" s="63">
        <v>0</v>
      </c>
      <c r="E88" s="64">
        <v>0</v>
      </c>
      <c r="F88" s="63">
        <v>0</v>
      </c>
      <c r="G88" s="63">
        <v>0</v>
      </c>
      <c r="H88" s="65">
        <v>0</v>
      </c>
      <c r="I88" s="65">
        <v>0</v>
      </c>
      <c r="J88" s="65">
        <v>0</v>
      </c>
      <c r="K88" s="65">
        <v>0</v>
      </c>
      <c r="L88" s="65">
        <v>0</v>
      </c>
      <c r="M88" s="63">
        <v>0</v>
      </c>
      <c r="N88" s="1"/>
    </row>
    <row r="89" spans="1:14" ht="16" hidden="1" customHeight="1" outlineLevel="1" x14ac:dyDescent="0.45">
      <c r="A89" s="29" t="s">
        <v>50</v>
      </c>
      <c r="B89" s="44">
        <v>2300000</v>
      </c>
      <c r="C89" s="63">
        <v>0</v>
      </c>
      <c r="D89" s="63">
        <v>0</v>
      </c>
      <c r="E89" s="64">
        <v>2300000</v>
      </c>
      <c r="F89" s="63">
        <v>1247051.6969468584</v>
      </c>
      <c r="G89" s="63">
        <v>52948.303053141448</v>
      </c>
      <c r="H89" s="65">
        <v>0</v>
      </c>
      <c r="I89" s="65">
        <v>0</v>
      </c>
      <c r="J89" s="65">
        <v>0</v>
      </c>
      <c r="K89" s="65">
        <v>0</v>
      </c>
      <c r="L89" s="65">
        <v>1000000</v>
      </c>
      <c r="M89" s="63">
        <v>0</v>
      </c>
      <c r="N89" s="1"/>
    </row>
    <row r="90" spans="1:14" ht="16" hidden="1" customHeight="1" outlineLevel="1" x14ac:dyDescent="0.45">
      <c r="A90" s="29" t="s">
        <v>183</v>
      </c>
      <c r="B90" s="44">
        <v>1000000</v>
      </c>
      <c r="C90" s="63">
        <v>0</v>
      </c>
      <c r="D90" s="63">
        <v>0</v>
      </c>
      <c r="E90" s="64">
        <v>1000000</v>
      </c>
      <c r="F90" s="63">
        <v>0</v>
      </c>
      <c r="G90" s="63">
        <v>0</v>
      </c>
      <c r="H90" s="65">
        <v>1000000</v>
      </c>
      <c r="I90" s="65">
        <v>0</v>
      </c>
      <c r="J90" s="65">
        <v>0</v>
      </c>
      <c r="K90" s="65">
        <v>0</v>
      </c>
      <c r="L90" s="65">
        <v>0</v>
      </c>
      <c r="M90" s="63">
        <v>0</v>
      </c>
      <c r="N90" s="1"/>
    </row>
    <row r="91" spans="1:14" ht="16" hidden="1" customHeight="1" outlineLevel="1" x14ac:dyDescent="0.45">
      <c r="A91" s="29" t="s">
        <v>51</v>
      </c>
      <c r="B91" s="44">
        <v>18200000</v>
      </c>
      <c r="C91" s="63">
        <v>300000</v>
      </c>
      <c r="D91" s="63">
        <v>0</v>
      </c>
      <c r="E91" s="64">
        <v>17900000</v>
      </c>
      <c r="F91" s="63">
        <v>12200000</v>
      </c>
      <c r="G91" s="63">
        <v>3100000</v>
      </c>
      <c r="H91" s="65">
        <v>0</v>
      </c>
      <c r="I91" s="65">
        <v>0</v>
      </c>
      <c r="J91" s="65">
        <v>0</v>
      </c>
      <c r="K91" s="65">
        <v>0</v>
      </c>
      <c r="L91" s="65">
        <v>2300000</v>
      </c>
      <c r="M91" s="63">
        <v>300000</v>
      </c>
      <c r="N91" s="1"/>
    </row>
    <row r="92" spans="1:14" ht="16" hidden="1" customHeight="1" outlineLevel="1" x14ac:dyDescent="0.45">
      <c r="A92" s="31" t="s">
        <v>227</v>
      </c>
      <c r="B92" s="47">
        <v>1000000</v>
      </c>
      <c r="C92" s="63">
        <v>0</v>
      </c>
      <c r="D92" s="63">
        <v>0</v>
      </c>
      <c r="E92" s="64">
        <v>1000000</v>
      </c>
      <c r="F92" s="63">
        <v>0</v>
      </c>
      <c r="G92" s="63">
        <v>0</v>
      </c>
      <c r="H92" s="65">
        <v>0</v>
      </c>
      <c r="I92" s="65">
        <v>0</v>
      </c>
      <c r="J92" s="65">
        <v>0</v>
      </c>
      <c r="K92" s="65">
        <v>0</v>
      </c>
      <c r="L92" s="65">
        <v>1000000</v>
      </c>
      <c r="M92" s="63">
        <v>0</v>
      </c>
      <c r="N92" s="1"/>
    </row>
    <row r="93" spans="1:14" ht="16" hidden="1" customHeight="1" outlineLevel="1" x14ac:dyDescent="0.45">
      <c r="A93" s="29" t="s">
        <v>184</v>
      </c>
      <c r="B93" s="44">
        <v>0</v>
      </c>
      <c r="C93" s="63">
        <v>0</v>
      </c>
      <c r="D93" s="63">
        <v>0</v>
      </c>
      <c r="E93" s="64">
        <v>0</v>
      </c>
      <c r="F93" s="63">
        <v>0</v>
      </c>
      <c r="G93" s="63">
        <v>0</v>
      </c>
      <c r="H93" s="65">
        <v>0</v>
      </c>
      <c r="I93" s="65">
        <v>0</v>
      </c>
      <c r="J93" s="65">
        <v>0</v>
      </c>
      <c r="K93" s="65">
        <v>0</v>
      </c>
      <c r="L93" s="65">
        <v>0</v>
      </c>
      <c r="M93" s="63">
        <v>0</v>
      </c>
      <c r="N93" s="1"/>
    </row>
    <row r="94" spans="1:14" ht="16" hidden="1" customHeight="1" outlineLevel="1" x14ac:dyDescent="0.45">
      <c r="A94" s="31" t="s">
        <v>185</v>
      </c>
      <c r="B94" s="47">
        <v>0</v>
      </c>
      <c r="C94" s="63">
        <v>0</v>
      </c>
      <c r="D94" s="63">
        <v>0</v>
      </c>
      <c r="E94" s="64">
        <v>0</v>
      </c>
      <c r="F94" s="63">
        <v>0</v>
      </c>
      <c r="G94" s="63">
        <v>0</v>
      </c>
      <c r="H94" s="65">
        <v>0</v>
      </c>
      <c r="I94" s="65">
        <v>0</v>
      </c>
      <c r="J94" s="65">
        <v>0</v>
      </c>
      <c r="K94" s="65">
        <v>0</v>
      </c>
      <c r="L94" s="65">
        <v>0</v>
      </c>
      <c r="M94" s="63">
        <v>0</v>
      </c>
      <c r="N94" s="1"/>
    </row>
    <row r="95" spans="1:14" ht="16" hidden="1" customHeight="1" outlineLevel="1" x14ac:dyDescent="0.45">
      <c r="A95" s="29" t="s">
        <v>186</v>
      </c>
      <c r="B95" s="44">
        <v>0</v>
      </c>
      <c r="C95" s="63">
        <v>0</v>
      </c>
      <c r="D95" s="63">
        <v>0</v>
      </c>
      <c r="E95" s="64">
        <v>0</v>
      </c>
      <c r="F95" s="63">
        <v>0</v>
      </c>
      <c r="G95" s="63">
        <v>0</v>
      </c>
      <c r="H95" s="65">
        <v>0</v>
      </c>
      <c r="I95" s="65">
        <v>0</v>
      </c>
      <c r="J95" s="65">
        <v>0</v>
      </c>
      <c r="K95" s="65">
        <v>0</v>
      </c>
      <c r="L95" s="65">
        <v>0</v>
      </c>
      <c r="M95" s="63">
        <v>0</v>
      </c>
      <c r="N95" s="1"/>
    </row>
    <row r="96" spans="1:14" ht="16" hidden="1" customHeight="1" outlineLevel="1" x14ac:dyDescent="0.45">
      <c r="A96" s="31" t="s">
        <v>228</v>
      </c>
      <c r="B96" s="47">
        <v>0</v>
      </c>
      <c r="C96" s="63">
        <v>0</v>
      </c>
      <c r="D96" s="63">
        <v>0</v>
      </c>
      <c r="E96" s="64">
        <v>0</v>
      </c>
      <c r="F96" s="63">
        <v>0</v>
      </c>
      <c r="G96" s="63">
        <v>0</v>
      </c>
      <c r="H96" s="65">
        <v>0</v>
      </c>
      <c r="I96" s="65">
        <v>0</v>
      </c>
      <c r="J96" s="65">
        <v>0</v>
      </c>
      <c r="K96" s="65">
        <v>0</v>
      </c>
      <c r="L96" s="65">
        <v>0</v>
      </c>
      <c r="M96" s="63">
        <v>0</v>
      </c>
      <c r="N96" s="1"/>
    </row>
    <row r="97" spans="1:14" ht="16" hidden="1" customHeight="1" outlineLevel="1" x14ac:dyDescent="0.45">
      <c r="A97" s="29" t="s">
        <v>135</v>
      </c>
      <c r="B97" s="44">
        <v>0</v>
      </c>
      <c r="C97" s="63">
        <v>0</v>
      </c>
      <c r="D97" s="63">
        <v>0</v>
      </c>
      <c r="E97" s="64">
        <v>0</v>
      </c>
      <c r="F97" s="63">
        <v>0</v>
      </c>
      <c r="G97" s="63">
        <v>0</v>
      </c>
      <c r="H97" s="65">
        <v>0</v>
      </c>
      <c r="I97" s="65">
        <v>0</v>
      </c>
      <c r="J97" s="65">
        <v>0</v>
      </c>
      <c r="K97" s="65">
        <v>0</v>
      </c>
      <c r="L97" s="65">
        <v>0</v>
      </c>
      <c r="M97" s="63">
        <v>0</v>
      </c>
      <c r="N97" s="1"/>
    </row>
    <row r="98" spans="1:14" ht="16" hidden="1" customHeight="1" outlineLevel="1" x14ac:dyDescent="0.45">
      <c r="A98" s="29" t="s">
        <v>52</v>
      </c>
      <c r="B98" s="44">
        <v>0</v>
      </c>
      <c r="C98" s="63">
        <v>0</v>
      </c>
      <c r="D98" s="63">
        <v>0</v>
      </c>
      <c r="E98" s="64">
        <v>0</v>
      </c>
      <c r="F98" s="63">
        <v>0</v>
      </c>
      <c r="G98" s="63">
        <v>0</v>
      </c>
      <c r="H98" s="65">
        <v>0</v>
      </c>
      <c r="I98" s="65">
        <v>0</v>
      </c>
      <c r="J98" s="65">
        <v>0</v>
      </c>
      <c r="K98" s="65">
        <v>0</v>
      </c>
      <c r="L98" s="65">
        <v>0</v>
      </c>
      <c r="M98" s="63">
        <v>0</v>
      </c>
      <c r="N98" s="1"/>
    </row>
    <row r="99" spans="1:14" ht="16" hidden="1" customHeight="1" outlineLevel="1" x14ac:dyDescent="0.45">
      <c r="A99" s="31" t="s">
        <v>187</v>
      </c>
      <c r="B99" s="47">
        <v>0</v>
      </c>
      <c r="C99" s="63">
        <v>0</v>
      </c>
      <c r="D99" s="63">
        <v>0</v>
      </c>
      <c r="E99" s="64">
        <v>0</v>
      </c>
      <c r="F99" s="63">
        <v>0</v>
      </c>
      <c r="G99" s="63">
        <v>0</v>
      </c>
      <c r="H99" s="65">
        <v>0</v>
      </c>
      <c r="I99" s="65">
        <v>0</v>
      </c>
      <c r="J99" s="65">
        <v>0</v>
      </c>
      <c r="K99" s="65">
        <v>0</v>
      </c>
      <c r="L99" s="65">
        <v>0</v>
      </c>
      <c r="M99" s="63">
        <v>0</v>
      </c>
      <c r="N99" s="1"/>
    </row>
    <row r="100" spans="1:14" ht="16" hidden="1" customHeight="1" outlineLevel="1" x14ac:dyDescent="0.45">
      <c r="A100" s="24" t="s">
        <v>114</v>
      </c>
      <c r="B100" s="44">
        <v>0</v>
      </c>
      <c r="C100" s="63">
        <v>0</v>
      </c>
      <c r="D100" s="63">
        <v>0</v>
      </c>
      <c r="E100" s="64">
        <v>0</v>
      </c>
      <c r="F100" s="63">
        <v>0</v>
      </c>
      <c r="G100" s="63">
        <v>0</v>
      </c>
      <c r="H100" s="65">
        <v>0</v>
      </c>
      <c r="I100" s="65">
        <v>0</v>
      </c>
      <c r="J100" s="65">
        <v>0</v>
      </c>
      <c r="K100" s="65">
        <v>0</v>
      </c>
      <c r="L100" s="65">
        <v>0</v>
      </c>
      <c r="M100" s="63">
        <v>0</v>
      </c>
      <c r="N100" s="1"/>
    </row>
    <row r="101" spans="1:14" ht="16" hidden="1" customHeight="1" outlineLevel="1" x14ac:dyDescent="0.45">
      <c r="A101" s="29" t="s">
        <v>188</v>
      </c>
      <c r="B101" s="44">
        <v>0</v>
      </c>
      <c r="C101" s="63">
        <v>0</v>
      </c>
      <c r="D101" s="63">
        <v>0</v>
      </c>
      <c r="E101" s="64">
        <v>0</v>
      </c>
      <c r="F101" s="63">
        <v>0</v>
      </c>
      <c r="G101" s="63">
        <v>0</v>
      </c>
      <c r="H101" s="65">
        <v>0</v>
      </c>
      <c r="I101" s="65">
        <v>0</v>
      </c>
      <c r="J101" s="65">
        <v>0</v>
      </c>
      <c r="K101" s="65">
        <v>0</v>
      </c>
      <c r="L101" s="65">
        <v>0</v>
      </c>
      <c r="M101" s="63">
        <v>0</v>
      </c>
      <c r="N101" s="1"/>
    </row>
    <row r="102" spans="1:14" ht="16" hidden="1" customHeight="1" outlineLevel="1" x14ac:dyDescent="0.45">
      <c r="A102" s="29" t="s">
        <v>259</v>
      </c>
      <c r="B102" s="44">
        <v>0</v>
      </c>
      <c r="C102" s="63">
        <v>0</v>
      </c>
      <c r="D102" s="63">
        <v>0</v>
      </c>
      <c r="E102" s="64">
        <v>0</v>
      </c>
      <c r="F102" s="63">
        <v>0</v>
      </c>
      <c r="G102" s="63">
        <v>0</v>
      </c>
      <c r="H102" s="65">
        <v>0</v>
      </c>
      <c r="I102" s="65">
        <v>0</v>
      </c>
      <c r="J102" s="65">
        <v>0</v>
      </c>
      <c r="K102" s="65">
        <v>0</v>
      </c>
      <c r="L102" s="65">
        <v>0</v>
      </c>
      <c r="M102" s="63">
        <v>0</v>
      </c>
      <c r="N102" s="1"/>
    </row>
    <row r="103" spans="1:14" ht="16" hidden="1" customHeight="1" outlineLevel="1" x14ac:dyDescent="0.45">
      <c r="A103" s="29" t="s">
        <v>189</v>
      </c>
      <c r="B103" s="44">
        <v>5408000</v>
      </c>
      <c r="C103" s="63">
        <v>5408000</v>
      </c>
      <c r="D103" s="63">
        <v>0</v>
      </c>
      <c r="E103" s="64">
        <v>0</v>
      </c>
      <c r="F103" s="63">
        <v>0</v>
      </c>
      <c r="G103" s="63">
        <v>0</v>
      </c>
      <c r="H103" s="65">
        <v>0</v>
      </c>
      <c r="I103" s="65">
        <v>0</v>
      </c>
      <c r="J103" s="65">
        <v>0</v>
      </c>
      <c r="K103" s="65">
        <v>0</v>
      </c>
      <c r="L103" s="65">
        <v>0</v>
      </c>
      <c r="M103" s="63">
        <v>0</v>
      </c>
      <c r="N103" s="1"/>
    </row>
    <row r="104" spans="1:14" ht="16" hidden="1" customHeight="1" outlineLevel="1" x14ac:dyDescent="0.45">
      <c r="A104" s="29" t="s">
        <v>115</v>
      </c>
      <c r="B104" s="44">
        <v>0</v>
      </c>
      <c r="C104" s="63">
        <v>0</v>
      </c>
      <c r="D104" s="63">
        <v>0</v>
      </c>
      <c r="E104" s="64">
        <v>0</v>
      </c>
      <c r="F104" s="63">
        <v>0</v>
      </c>
      <c r="G104" s="63">
        <v>0</v>
      </c>
      <c r="H104" s="65">
        <v>0</v>
      </c>
      <c r="I104" s="65">
        <v>0</v>
      </c>
      <c r="J104" s="65">
        <v>0</v>
      </c>
      <c r="K104" s="65">
        <v>0</v>
      </c>
      <c r="L104" s="65">
        <v>0</v>
      </c>
      <c r="M104" s="63">
        <v>0</v>
      </c>
      <c r="N104" s="1"/>
    </row>
    <row r="105" spans="1:14" ht="16" hidden="1" customHeight="1" outlineLevel="1" x14ac:dyDescent="0.45">
      <c r="A105" s="29" t="s">
        <v>53</v>
      </c>
      <c r="B105" s="44">
        <v>123300000</v>
      </c>
      <c r="C105" s="63">
        <v>4400000</v>
      </c>
      <c r="D105" s="63">
        <v>2750000</v>
      </c>
      <c r="E105" s="64">
        <v>116150000</v>
      </c>
      <c r="F105" s="63">
        <v>71952449.157720208</v>
      </c>
      <c r="G105" s="63">
        <v>21643783.020827964</v>
      </c>
      <c r="H105" s="65">
        <v>7853767.8214518232</v>
      </c>
      <c r="I105" s="65">
        <v>675996.96983691002</v>
      </c>
      <c r="J105" s="65">
        <v>887322.08071155846</v>
      </c>
      <c r="K105" s="65">
        <v>2977754.8485124847</v>
      </c>
      <c r="L105" s="65">
        <v>9058926.1009390466</v>
      </c>
      <c r="M105" s="63">
        <v>1100000</v>
      </c>
      <c r="N105" s="1"/>
    </row>
    <row r="106" spans="1:14" ht="16" hidden="1" customHeight="1" outlineLevel="1" x14ac:dyDescent="0.45">
      <c r="A106" s="29" t="s">
        <v>54</v>
      </c>
      <c r="B106" s="44">
        <v>3870750</v>
      </c>
      <c r="C106" s="63">
        <v>189600</v>
      </c>
      <c r="D106" s="63">
        <v>352000</v>
      </c>
      <c r="E106" s="64">
        <v>3329150</v>
      </c>
      <c r="F106" s="63">
        <v>1614240</v>
      </c>
      <c r="G106" s="63">
        <v>916900</v>
      </c>
      <c r="H106" s="65">
        <v>91700</v>
      </c>
      <c r="I106" s="65">
        <v>100000</v>
      </c>
      <c r="J106" s="65">
        <v>0</v>
      </c>
      <c r="K106" s="65">
        <v>218960</v>
      </c>
      <c r="L106" s="65">
        <v>387350</v>
      </c>
      <c r="M106" s="63">
        <v>0</v>
      </c>
      <c r="N106" s="1"/>
    </row>
    <row r="107" spans="1:14" ht="16" hidden="1" customHeight="1" outlineLevel="1" x14ac:dyDescent="0.45">
      <c r="A107" s="29" t="s">
        <v>55</v>
      </c>
      <c r="B107" s="44">
        <v>1536500</v>
      </c>
      <c r="C107" s="63">
        <v>210000</v>
      </c>
      <c r="D107" s="63">
        <v>70000</v>
      </c>
      <c r="E107" s="64">
        <v>1256500</v>
      </c>
      <c r="F107" s="63">
        <v>836500</v>
      </c>
      <c r="G107" s="63">
        <v>210000</v>
      </c>
      <c r="H107" s="65">
        <v>70000</v>
      </c>
      <c r="I107" s="65">
        <v>70000</v>
      </c>
      <c r="J107" s="65">
        <v>0</v>
      </c>
      <c r="K107" s="65">
        <v>0</v>
      </c>
      <c r="L107" s="65">
        <v>70000</v>
      </c>
      <c r="M107" s="63">
        <v>0</v>
      </c>
      <c r="N107" s="1"/>
    </row>
    <row r="108" spans="1:14" ht="16" hidden="1" customHeight="1" outlineLevel="1" x14ac:dyDescent="0.45">
      <c r="A108" s="29" t="s">
        <v>190</v>
      </c>
      <c r="B108" s="44">
        <v>0</v>
      </c>
      <c r="C108" s="63">
        <v>0</v>
      </c>
      <c r="D108" s="63">
        <v>0</v>
      </c>
      <c r="E108" s="64">
        <v>0</v>
      </c>
      <c r="F108" s="63">
        <v>0</v>
      </c>
      <c r="G108" s="63">
        <v>0</v>
      </c>
      <c r="H108" s="65">
        <v>0</v>
      </c>
      <c r="I108" s="65">
        <v>0</v>
      </c>
      <c r="J108" s="65">
        <v>0</v>
      </c>
      <c r="K108" s="65">
        <v>0</v>
      </c>
      <c r="L108" s="65">
        <v>0</v>
      </c>
      <c r="M108" s="63">
        <v>0</v>
      </c>
      <c r="N108" s="1"/>
    </row>
    <row r="109" spans="1:14" ht="16" hidden="1" customHeight="1" outlineLevel="1" x14ac:dyDescent="0.45">
      <c r="A109" s="30" t="s">
        <v>56</v>
      </c>
      <c r="B109" s="46">
        <v>370025613</v>
      </c>
      <c r="C109" s="63">
        <v>3264308</v>
      </c>
      <c r="D109" s="63">
        <v>0</v>
      </c>
      <c r="E109" s="64">
        <v>366761305</v>
      </c>
      <c r="F109" s="63">
        <v>200776758</v>
      </c>
      <c r="G109" s="63">
        <v>18310000</v>
      </c>
      <c r="H109" s="65">
        <v>0</v>
      </c>
      <c r="I109" s="65">
        <v>170500</v>
      </c>
      <c r="J109" s="65">
        <v>0</v>
      </c>
      <c r="K109" s="65">
        <v>621000</v>
      </c>
      <c r="L109" s="65">
        <v>146883047</v>
      </c>
      <c r="M109" s="63">
        <v>0</v>
      </c>
      <c r="N109" s="1"/>
    </row>
    <row r="110" spans="1:14" ht="16" hidden="1" customHeight="1" outlineLevel="1" x14ac:dyDescent="0.45">
      <c r="A110" s="29" t="s">
        <v>229</v>
      </c>
      <c r="B110" s="44">
        <v>0</v>
      </c>
      <c r="C110" s="63">
        <v>0</v>
      </c>
      <c r="D110" s="63">
        <v>0</v>
      </c>
      <c r="E110" s="64">
        <v>0</v>
      </c>
      <c r="F110" s="63">
        <v>0</v>
      </c>
      <c r="G110" s="63">
        <v>0</v>
      </c>
      <c r="H110" s="65">
        <v>0</v>
      </c>
      <c r="I110" s="65">
        <v>0</v>
      </c>
      <c r="J110" s="65">
        <v>0</v>
      </c>
      <c r="K110" s="65">
        <v>0</v>
      </c>
      <c r="L110" s="65">
        <v>0</v>
      </c>
      <c r="M110" s="63">
        <v>0</v>
      </c>
      <c r="N110" s="1"/>
    </row>
    <row r="111" spans="1:14" ht="16" hidden="1" customHeight="1" outlineLevel="1" x14ac:dyDescent="0.45">
      <c r="A111" s="29" t="s">
        <v>253</v>
      </c>
      <c r="B111" s="44">
        <v>0</v>
      </c>
      <c r="C111" s="63">
        <v>0</v>
      </c>
      <c r="D111" s="63">
        <v>0</v>
      </c>
      <c r="E111" s="64">
        <v>0</v>
      </c>
      <c r="F111" s="63">
        <v>0</v>
      </c>
      <c r="G111" s="63">
        <v>0</v>
      </c>
      <c r="H111" s="65">
        <v>0</v>
      </c>
      <c r="I111" s="65">
        <v>0</v>
      </c>
      <c r="J111" s="65">
        <v>0</v>
      </c>
      <c r="K111" s="65">
        <v>0</v>
      </c>
      <c r="L111" s="65">
        <v>0</v>
      </c>
      <c r="M111" s="63">
        <v>0</v>
      </c>
      <c r="N111" s="1"/>
    </row>
    <row r="112" spans="1:14" ht="16" hidden="1" customHeight="1" outlineLevel="1" x14ac:dyDescent="0.45">
      <c r="A112" s="29" t="s">
        <v>255</v>
      </c>
      <c r="B112" s="44">
        <v>0</v>
      </c>
      <c r="C112" s="63">
        <v>0</v>
      </c>
      <c r="D112" s="63">
        <v>0</v>
      </c>
      <c r="E112" s="64">
        <v>0</v>
      </c>
      <c r="F112" s="63">
        <v>0</v>
      </c>
      <c r="G112" s="63">
        <v>0</v>
      </c>
      <c r="H112" s="65">
        <v>0</v>
      </c>
      <c r="I112" s="65">
        <v>0</v>
      </c>
      <c r="J112" s="65">
        <v>0</v>
      </c>
      <c r="K112" s="65">
        <v>0</v>
      </c>
      <c r="L112" s="65">
        <v>0</v>
      </c>
      <c r="M112" s="63">
        <v>0</v>
      </c>
      <c r="N112" s="1"/>
    </row>
    <row r="113" spans="1:14" ht="16" hidden="1" customHeight="1" outlineLevel="1" x14ac:dyDescent="0.45">
      <c r="A113" s="29" t="s">
        <v>254</v>
      </c>
      <c r="B113" s="44">
        <v>0</v>
      </c>
      <c r="C113" s="63">
        <v>0</v>
      </c>
      <c r="D113" s="63">
        <v>0</v>
      </c>
      <c r="E113" s="64">
        <v>0</v>
      </c>
      <c r="F113" s="63">
        <v>0</v>
      </c>
      <c r="G113" s="63">
        <v>0</v>
      </c>
      <c r="H113" s="65">
        <v>0</v>
      </c>
      <c r="I113" s="65">
        <v>0</v>
      </c>
      <c r="J113" s="65">
        <v>0</v>
      </c>
      <c r="K113" s="65">
        <v>0</v>
      </c>
      <c r="L113" s="65">
        <v>0</v>
      </c>
      <c r="M113" s="63">
        <v>0</v>
      </c>
      <c r="N113" s="1"/>
    </row>
    <row r="114" spans="1:14" ht="16" hidden="1" customHeight="1" outlineLevel="1" x14ac:dyDescent="0.45">
      <c r="A114" s="29" t="s">
        <v>269</v>
      </c>
      <c r="B114" s="44">
        <v>28063720</v>
      </c>
      <c r="C114" s="63">
        <v>28063720</v>
      </c>
      <c r="D114" s="63">
        <v>0</v>
      </c>
      <c r="E114" s="64">
        <v>0</v>
      </c>
      <c r="F114" s="63">
        <v>0</v>
      </c>
      <c r="G114" s="63">
        <v>0</v>
      </c>
      <c r="H114" s="65">
        <v>0</v>
      </c>
      <c r="I114" s="65">
        <v>0</v>
      </c>
      <c r="J114" s="65">
        <v>0</v>
      </c>
      <c r="K114" s="65">
        <v>0</v>
      </c>
      <c r="L114" s="65">
        <v>0</v>
      </c>
      <c r="M114" s="63">
        <v>0</v>
      </c>
      <c r="N114" s="1"/>
    </row>
    <row r="115" spans="1:14" ht="16" customHeight="1" collapsed="1" x14ac:dyDescent="0.45">
      <c r="A115" s="28" t="s">
        <v>57</v>
      </c>
      <c r="B115" s="43">
        <v>40721719</v>
      </c>
      <c r="C115" s="60">
        <v>9265010</v>
      </c>
      <c r="D115" s="60">
        <v>4407310</v>
      </c>
      <c r="E115" s="61">
        <v>27049399</v>
      </c>
      <c r="F115" s="60">
        <v>10303400</v>
      </c>
      <c r="G115" s="60">
        <v>5142380</v>
      </c>
      <c r="H115" s="62">
        <v>885320</v>
      </c>
      <c r="I115" s="62">
        <v>697804</v>
      </c>
      <c r="J115" s="62">
        <v>256000</v>
      </c>
      <c r="K115" s="62">
        <v>1496100</v>
      </c>
      <c r="L115" s="62">
        <v>5610995</v>
      </c>
      <c r="M115" s="60">
        <v>2657400</v>
      </c>
      <c r="N115" s="1"/>
    </row>
    <row r="116" spans="1:14" s="1" customFormat="1" ht="16" hidden="1" customHeight="1" outlineLevel="1" collapsed="1" x14ac:dyDescent="0.45">
      <c r="A116" s="29" t="s">
        <v>58</v>
      </c>
      <c r="B116" s="44">
        <v>18097879</v>
      </c>
      <c r="C116" s="63">
        <v>2491500</v>
      </c>
      <c r="D116" s="63">
        <v>1626600</v>
      </c>
      <c r="E116" s="64">
        <v>13979779</v>
      </c>
      <c r="F116" s="63">
        <v>4982400</v>
      </c>
      <c r="G116" s="63">
        <v>2303200</v>
      </c>
      <c r="H116" s="65">
        <v>0</v>
      </c>
      <c r="I116" s="65">
        <v>479304</v>
      </c>
      <c r="J116" s="65">
        <v>37500</v>
      </c>
      <c r="K116" s="65">
        <v>1096100</v>
      </c>
      <c r="L116" s="65">
        <v>3868875</v>
      </c>
      <c r="M116" s="63">
        <v>1212400</v>
      </c>
    </row>
    <row r="117" spans="1:14" ht="16" hidden="1" customHeight="1" outlineLevel="1" x14ac:dyDescent="0.45">
      <c r="A117" s="29" t="s">
        <v>266</v>
      </c>
      <c r="B117" s="44">
        <v>1161200</v>
      </c>
      <c r="C117" s="63">
        <v>669200</v>
      </c>
      <c r="D117" s="63">
        <v>0</v>
      </c>
      <c r="E117" s="64">
        <v>492000</v>
      </c>
      <c r="F117" s="63">
        <v>0</v>
      </c>
      <c r="G117" s="63">
        <v>0</v>
      </c>
      <c r="H117" s="65">
        <v>0</v>
      </c>
      <c r="I117" s="65">
        <v>0</v>
      </c>
      <c r="J117" s="65">
        <v>0</v>
      </c>
      <c r="K117" s="65">
        <v>0</v>
      </c>
      <c r="L117" s="65">
        <v>0</v>
      </c>
      <c r="M117" s="63">
        <v>492000</v>
      </c>
      <c r="N117" s="1"/>
    </row>
    <row r="118" spans="1:14" ht="16" hidden="1" customHeight="1" outlineLevel="1" x14ac:dyDescent="0.45">
      <c r="A118" s="29" t="s">
        <v>296</v>
      </c>
      <c r="B118" s="44">
        <v>0</v>
      </c>
      <c r="C118" s="63">
        <v>0</v>
      </c>
      <c r="D118" s="63">
        <v>0</v>
      </c>
      <c r="E118" s="64">
        <v>0</v>
      </c>
      <c r="F118" s="63">
        <v>0</v>
      </c>
      <c r="G118" s="63">
        <v>0</v>
      </c>
      <c r="H118" s="65">
        <v>0</v>
      </c>
      <c r="I118" s="65">
        <v>0</v>
      </c>
      <c r="J118" s="65">
        <v>0</v>
      </c>
      <c r="K118" s="65">
        <v>0</v>
      </c>
      <c r="L118" s="65">
        <v>0</v>
      </c>
      <c r="M118" s="63">
        <v>0</v>
      </c>
      <c r="N118" s="1"/>
    </row>
    <row r="119" spans="1:14" ht="16" hidden="1" customHeight="1" outlineLevel="1" x14ac:dyDescent="0.45">
      <c r="A119" s="29" t="s">
        <v>270</v>
      </c>
      <c r="B119" s="44">
        <v>8733880</v>
      </c>
      <c r="C119" s="63">
        <v>1506800</v>
      </c>
      <c r="D119" s="63">
        <v>95000</v>
      </c>
      <c r="E119" s="64">
        <v>7132080</v>
      </c>
      <c r="F119" s="63">
        <v>4221000</v>
      </c>
      <c r="G119" s="63">
        <v>2339180</v>
      </c>
      <c r="H119" s="65">
        <v>143000</v>
      </c>
      <c r="I119" s="65">
        <v>18500</v>
      </c>
      <c r="J119" s="65">
        <v>18500</v>
      </c>
      <c r="K119" s="65">
        <v>0</v>
      </c>
      <c r="L119" s="65">
        <v>338900</v>
      </c>
      <c r="M119" s="63">
        <v>53000</v>
      </c>
      <c r="N119" s="1"/>
    </row>
    <row r="120" spans="1:14" ht="16" hidden="1" customHeight="1" outlineLevel="1" x14ac:dyDescent="0.45">
      <c r="A120" s="29" t="s">
        <v>271</v>
      </c>
      <c r="B120" s="44">
        <v>1285760</v>
      </c>
      <c r="C120" s="63">
        <v>1285760</v>
      </c>
      <c r="D120" s="63">
        <v>0</v>
      </c>
      <c r="E120" s="64">
        <v>0</v>
      </c>
      <c r="F120" s="63">
        <v>0</v>
      </c>
      <c r="G120" s="63">
        <v>0</v>
      </c>
      <c r="H120" s="65">
        <v>0</v>
      </c>
      <c r="I120" s="65">
        <v>0</v>
      </c>
      <c r="J120" s="65">
        <v>0</v>
      </c>
      <c r="K120" s="65">
        <v>0</v>
      </c>
      <c r="L120" s="65">
        <v>0</v>
      </c>
      <c r="M120" s="63">
        <v>0</v>
      </c>
      <c r="N120" s="1"/>
    </row>
    <row r="121" spans="1:14" ht="16" hidden="1" customHeight="1" outlineLevel="1" x14ac:dyDescent="0.45">
      <c r="A121" s="29" t="s">
        <v>297</v>
      </c>
      <c r="B121" s="44">
        <v>11443000</v>
      </c>
      <c r="C121" s="63">
        <v>3311750</v>
      </c>
      <c r="D121" s="63">
        <v>2685710</v>
      </c>
      <c r="E121" s="64">
        <v>5445540</v>
      </c>
      <c r="F121" s="63">
        <v>1100000</v>
      </c>
      <c r="G121" s="63">
        <v>500000</v>
      </c>
      <c r="H121" s="65">
        <v>742320</v>
      </c>
      <c r="I121" s="65">
        <v>200000</v>
      </c>
      <c r="J121" s="65">
        <v>200000</v>
      </c>
      <c r="K121" s="65">
        <v>400000</v>
      </c>
      <c r="L121" s="65">
        <v>1403220</v>
      </c>
      <c r="M121" s="63">
        <v>900000</v>
      </c>
      <c r="N121" s="1"/>
    </row>
    <row r="122" spans="1:14" s="1" customFormat="1" collapsed="1" x14ac:dyDescent="0.45">
      <c r="A122" s="28" t="s">
        <v>136</v>
      </c>
      <c r="B122" s="43">
        <v>20782500</v>
      </c>
      <c r="C122" s="60">
        <v>19782500</v>
      </c>
      <c r="D122" s="60">
        <v>200000</v>
      </c>
      <c r="E122" s="61">
        <v>799999.99999999988</v>
      </c>
      <c r="F122" s="60">
        <v>624510.77461504634</v>
      </c>
      <c r="G122" s="60">
        <v>75489.225384953577</v>
      </c>
      <c r="H122" s="62">
        <v>0</v>
      </c>
      <c r="I122" s="62">
        <v>0</v>
      </c>
      <c r="J122" s="62">
        <v>0</v>
      </c>
      <c r="K122" s="62">
        <v>0</v>
      </c>
      <c r="L122" s="62">
        <v>100000</v>
      </c>
      <c r="M122" s="60">
        <v>0</v>
      </c>
    </row>
    <row r="123" spans="1:14" ht="16" hidden="1" customHeight="1" outlineLevel="1" x14ac:dyDescent="0.45">
      <c r="A123" s="29" t="s">
        <v>137</v>
      </c>
      <c r="B123" s="44">
        <v>0</v>
      </c>
      <c r="C123" s="63">
        <v>0</v>
      </c>
      <c r="D123" s="63">
        <v>0</v>
      </c>
      <c r="E123" s="64">
        <v>0</v>
      </c>
      <c r="F123" s="63">
        <v>0</v>
      </c>
      <c r="G123" s="63">
        <v>0</v>
      </c>
      <c r="H123" s="65">
        <v>0</v>
      </c>
      <c r="I123" s="65">
        <v>0</v>
      </c>
      <c r="J123" s="65">
        <v>0</v>
      </c>
      <c r="K123" s="65">
        <v>0</v>
      </c>
      <c r="L123" s="65">
        <v>0</v>
      </c>
      <c r="M123" s="63">
        <v>0</v>
      </c>
      <c r="N123" s="1"/>
    </row>
    <row r="124" spans="1:14" ht="16" hidden="1" customHeight="1" outlineLevel="1" x14ac:dyDescent="0.45">
      <c r="A124" s="29" t="s">
        <v>191</v>
      </c>
      <c r="B124" s="44">
        <v>0</v>
      </c>
      <c r="C124" s="63">
        <v>0</v>
      </c>
      <c r="D124" s="63">
        <v>0</v>
      </c>
      <c r="E124" s="64">
        <v>0</v>
      </c>
      <c r="F124" s="63">
        <v>0</v>
      </c>
      <c r="G124" s="63">
        <v>0</v>
      </c>
      <c r="H124" s="65">
        <v>0</v>
      </c>
      <c r="I124" s="65">
        <v>0</v>
      </c>
      <c r="J124" s="65">
        <v>0</v>
      </c>
      <c r="K124" s="65">
        <v>0</v>
      </c>
      <c r="L124" s="65">
        <v>0</v>
      </c>
      <c r="M124" s="63">
        <v>0</v>
      </c>
      <c r="N124" s="1"/>
    </row>
    <row r="125" spans="1:14" ht="16" hidden="1" customHeight="1" outlineLevel="1" x14ac:dyDescent="0.45">
      <c r="A125" s="29" t="s">
        <v>138</v>
      </c>
      <c r="B125" s="44">
        <v>20782500</v>
      </c>
      <c r="C125" s="63">
        <v>19782500</v>
      </c>
      <c r="D125" s="63">
        <v>200000</v>
      </c>
      <c r="E125" s="64">
        <v>799999.99999999988</v>
      </c>
      <c r="F125" s="63">
        <v>624510.77461504634</v>
      </c>
      <c r="G125" s="63">
        <v>75489.225384953577</v>
      </c>
      <c r="H125" s="65">
        <v>0</v>
      </c>
      <c r="I125" s="65">
        <v>0</v>
      </c>
      <c r="J125" s="65">
        <v>0</v>
      </c>
      <c r="K125" s="65">
        <v>0</v>
      </c>
      <c r="L125" s="65">
        <v>100000</v>
      </c>
      <c r="M125" s="63">
        <v>0</v>
      </c>
      <c r="N125" s="1"/>
    </row>
    <row r="126" spans="1:14" s="1" customFormat="1" collapsed="1" x14ac:dyDescent="0.45">
      <c r="A126" s="28" t="s">
        <v>59</v>
      </c>
      <c r="B126" s="43">
        <v>74715329</v>
      </c>
      <c r="C126" s="60">
        <v>29089414</v>
      </c>
      <c r="D126" s="60">
        <v>1231005</v>
      </c>
      <c r="E126" s="61">
        <v>44394910</v>
      </c>
      <c r="F126" s="60">
        <v>14223390.065201594</v>
      </c>
      <c r="G126" s="60">
        <v>7359129.9347984055</v>
      </c>
      <c r="H126" s="62">
        <v>7708317</v>
      </c>
      <c r="I126" s="62">
        <v>343722.5</v>
      </c>
      <c r="J126" s="62">
        <v>12278116.5</v>
      </c>
      <c r="K126" s="62">
        <v>1327794</v>
      </c>
      <c r="L126" s="62">
        <v>351641</v>
      </c>
      <c r="M126" s="60">
        <v>802799</v>
      </c>
    </row>
    <row r="127" spans="1:14" ht="16" hidden="1" customHeight="1" outlineLevel="1" x14ac:dyDescent="0.45">
      <c r="A127" s="29" t="s">
        <v>60</v>
      </c>
      <c r="B127" s="44">
        <v>31218218</v>
      </c>
      <c r="C127" s="63">
        <v>12657449</v>
      </c>
      <c r="D127" s="63">
        <v>744236</v>
      </c>
      <c r="E127" s="64">
        <v>17816533</v>
      </c>
      <c r="F127" s="63">
        <v>9928234.6654288732</v>
      </c>
      <c r="G127" s="63">
        <v>6662285.3345711268</v>
      </c>
      <c r="H127" s="65">
        <v>713647</v>
      </c>
      <c r="I127" s="65">
        <v>0</v>
      </c>
      <c r="J127" s="65">
        <v>0</v>
      </c>
      <c r="K127" s="65">
        <v>388899</v>
      </c>
      <c r="L127" s="65">
        <v>70161</v>
      </c>
      <c r="M127" s="63">
        <v>53306</v>
      </c>
      <c r="N127" s="1"/>
    </row>
    <row r="128" spans="1:14" ht="16" hidden="1" customHeight="1" outlineLevel="1" x14ac:dyDescent="0.45">
      <c r="A128" s="29" t="s">
        <v>61</v>
      </c>
      <c r="B128" s="44">
        <v>26395020</v>
      </c>
      <c r="C128" s="63">
        <v>11097435</v>
      </c>
      <c r="D128" s="63">
        <v>0</v>
      </c>
      <c r="E128" s="64">
        <v>15297585</v>
      </c>
      <c r="F128" s="63">
        <v>0</v>
      </c>
      <c r="G128" s="63">
        <v>0</v>
      </c>
      <c r="H128" s="65">
        <v>2726718</v>
      </c>
      <c r="I128" s="65">
        <v>0</v>
      </c>
      <c r="J128" s="65">
        <v>11862044</v>
      </c>
      <c r="K128" s="65">
        <v>173478</v>
      </c>
      <c r="L128" s="65">
        <v>0</v>
      </c>
      <c r="M128" s="63">
        <v>535345</v>
      </c>
      <c r="N128" s="1"/>
    </row>
    <row r="129" spans="1:14" ht="16" hidden="1" customHeight="1" outlineLevel="1" x14ac:dyDescent="0.45">
      <c r="A129" s="29" t="s">
        <v>62</v>
      </c>
      <c r="B129" s="44">
        <v>11484991</v>
      </c>
      <c r="C129" s="63">
        <v>5244110</v>
      </c>
      <c r="D129" s="63">
        <v>458889</v>
      </c>
      <c r="E129" s="64">
        <v>5781992</v>
      </c>
      <c r="F129" s="63">
        <v>0</v>
      </c>
      <c r="G129" s="63">
        <v>0</v>
      </c>
      <c r="H129" s="65">
        <v>4252362</v>
      </c>
      <c r="I129" s="65">
        <v>321222.5</v>
      </c>
      <c r="J129" s="65">
        <v>321222.5</v>
      </c>
      <c r="K129" s="65">
        <v>673037</v>
      </c>
      <c r="L129" s="65">
        <v>0</v>
      </c>
      <c r="M129" s="63">
        <v>214148</v>
      </c>
      <c r="N129" s="1"/>
    </row>
    <row r="130" spans="1:14" ht="16" hidden="1" customHeight="1" outlineLevel="1" x14ac:dyDescent="0.45">
      <c r="A130" s="29" t="s">
        <v>63</v>
      </c>
      <c r="B130" s="44">
        <v>5617100</v>
      </c>
      <c r="C130" s="63">
        <v>90420</v>
      </c>
      <c r="D130" s="63">
        <v>27880</v>
      </c>
      <c r="E130" s="64">
        <v>5498800</v>
      </c>
      <c r="F130" s="63">
        <v>4295155.3997727213</v>
      </c>
      <c r="G130" s="63">
        <v>696844.60022727842</v>
      </c>
      <c r="H130" s="65">
        <v>15590</v>
      </c>
      <c r="I130" s="65">
        <v>22500</v>
      </c>
      <c r="J130" s="65">
        <v>94850</v>
      </c>
      <c r="K130" s="65">
        <v>92380</v>
      </c>
      <c r="L130" s="65">
        <v>281480</v>
      </c>
      <c r="M130" s="63">
        <v>0</v>
      </c>
      <c r="N130" s="1"/>
    </row>
    <row r="131" spans="1:14" ht="16" hidden="1" customHeight="1" outlineLevel="1" x14ac:dyDescent="0.45">
      <c r="A131" s="24" t="s">
        <v>192</v>
      </c>
      <c r="B131" s="45">
        <v>0</v>
      </c>
      <c r="C131" s="63">
        <v>0</v>
      </c>
      <c r="D131" s="63">
        <v>0</v>
      </c>
      <c r="E131" s="64">
        <v>0</v>
      </c>
      <c r="F131" s="63">
        <v>0</v>
      </c>
      <c r="G131" s="63">
        <v>0</v>
      </c>
      <c r="H131" s="65">
        <v>0</v>
      </c>
      <c r="I131" s="65">
        <v>0</v>
      </c>
      <c r="J131" s="65">
        <v>0</v>
      </c>
      <c r="K131" s="65">
        <v>0</v>
      </c>
      <c r="L131" s="65">
        <v>0</v>
      </c>
      <c r="M131" s="63">
        <v>0</v>
      </c>
      <c r="N131" s="1"/>
    </row>
    <row r="132" spans="1:14" ht="16" hidden="1" customHeight="1" outlineLevel="1" x14ac:dyDescent="0.45">
      <c r="A132" s="29" t="s">
        <v>193</v>
      </c>
      <c r="B132" s="44">
        <v>0</v>
      </c>
      <c r="C132" s="63">
        <v>0</v>
      </c>
      <c r="D132" s="63">
        <v>0</v>
      </c>
      <c r="E132" s="64">
        <v>0</v>
      </c>
      <c r="F132" s="63">
        <v>0</v>
      </c>
      <c r="G132" s="63">
        <v>0</v>
      </c>
      <c r="H132" s="65">
        <v>0</v>
      </c>
      <c r="I132" s="65">
        <v>0</v>
      </c>
      <c r="J132" s="65">
        <v>0</v>
      </c>
      <c r="K132" s="65">
        <v>0</v>
      </c>
      <c r="L132" s="65">
        <v>0</v>
      </c>
      <c r="M132" s="63">
        <v>0</v>
      </c>
      <c r="N132" s="1"/>
    </row>
    <row r="133" spans="1:14" s="1" customFormat="1" collapsed="1" x14ac:dyDescent="0.45">
      <c r="A133" s="28" t="s">
        <v>64</v>
      </c>
      <c r="B133" s="43">
        <v>53026055</v>
      </c>
      <c r="C133" s="60">
        <v>0</v>
      </c>
      <c r="D133" s="60">
        <v>0</v>
      </c>
      <c r="E133" s="61">
        <v>53026055</v>
      </c>
      <c r="F133" s="60">
        <v>47728881.564347848</v>
      </c>
      <c r="G133" s="60">
        <v>4999511.4356521545</v>
      </c>
      <c r="H133" s="62">
        <v>0</v>
      </c>
      <c r="I133" s="62">
        <v>0</v>
      </c>
      <c r="J133" s="62">
        <v>0</v>
      </c>
      <c r="K133" s="62">
        <v>13880</v>
      </c>
      <c r="L133" s="62">
        <v>0</v>
      </c>
      <c r="M133" s="60">
        <v>283782</v>
      </c>
    </row>
    <row r="134" spans="1:14" ht="16" hidden="1" customHeight="1" outlineLevel="1" x14ac:dyDescent="0.45">
      <c r="A134" s="29" t="s">
        <v>65</v>
      </c>
      <c r="B134" s="44">
        <v>53026055</v>
      </c>
      <c r="C134" s="63">
        <v>0</v>
      </c>
      <c r="D134" s="63">
        <v>0</v>
      </c>
      <c r="E134" s="64">
        <v>53026055</v>
      </c>
      <c r="F134" s="63">
        <v>47728881.564347848</v>
      </c>
      <c r="G134" s="63">
        <v>4999511.4356521545</v>
      </c>
      <c r="H134" s="65">
        <v>0</v>
      </c>
      <c r="I134" s="65">
        <v>0</v>
      </c>
      <c r="J134" s="65">
        <v>0</v>
      </c>
      <c r="K134" s="65">
        <v>13880</v>
      </c>
      <c r="L134" s="65">
        <v>0</v>
      </c>
      <c r="M134" s="63">
        <v>283782</v>
      </c>
      <c r="N134" s="1"/>
    </row>
    <row r="135" spans="1:14" ht="16" hidden="1" customHeight="1" outlineLevel="1" x14ac:dyDescent="0.45">
      <c r="A135" s="29" t="s">
        <v>261</v>
      </c>
      <c r="B135" s="44">
        <v>0</v>
      </c>
      <c r="C135" s="63">
        <v>0</v>
      </c>
      <c r="D135" s="63">
        <v>0</v>
      </c>
      <c r="E135" s="64">
        <v>0</v>
      </c>
      <c r="F135" s="63">
        <v>0</v>
      </c>
      <c r="G135" s="63">
        <v>0</v>
      </c>
      <c r="H135" s="65">
        <v>0</v>
      </c>
      <c r="I135" s="65">
        <v>0</v>
      </c>
      <c r="J135" s="65">
        <v>0</v>
      </c>
      <c r="K135" s="65">
        <v>0</v>
      </c>
      <c r="L135" s="65">
        <v>0</v>
      </c>
      <c r="M135" s="63">
        <v>0</v>
      </c>
      <c r="N135" s="1"/>
    </row>
    <row r="136" spans="1:14" s="1" customFormat="1" collapsed="1" x14ac:dyDescent="0.45">
      <c r="A136" s="28" t="s">
        <v>139</v>
      </c>
      <c r="B136" s="43">
        <v>13042777</v>
      </c>
      <c r="C136" s="60">
        <v>12997940</v>
      </c>
      <c r="D136" s="60">
        <v>0</v>
      </c>
      <c r="E136" s="61">
        <v>44837</v>
      </c>
      <c r="F136" s="60">
        <v>44837</v>
      </c>
      <c r="G136" s="60">
        <v>0</v>
      </c>
      <c r="H136" s="62">
        <v>0</v>
      </c>
      <c r="I136" s="62">
        <v>0</v>
      </c>
      <c r="J136" s="62">
        <v>0</v>
      </c>
      <c r="K136" s="62">
        <v>0</v>
      </c>
      <c r="L136" s="62">
        <v>0</v>
      </c>
      <c r="M136" s="60">
        <v>0</v>
      </c>
    </row>
    <row r="137" spans="1:14" ht="16" hidden="1" customHeight="1" outlineLevel="1" x14ac:dyDescent="0.45">
      <c r="A137" s="29" t="s">
        <v>140</v>
      </c>
      <c r="B137" s="43">
        <v>0</v>
      </c>
      <c r="C137" s="60">
        <v>0</v>
      </c>
      <c r="D137" s="60">
        <v>0</v>
      </c>
      <c r="E137" s="64">
        <v>0</v>
      </c>
      <c r="F137" s="63">
        <v>0</v>
      </c>
      <c r="G137" s="63">
        <v>0</v>
      </c>
      <c r="H137" s="65">
        <v>0</v>
      </c>
      <c r="I137" s="65">
        <v>0</v>
      </c>
      <c r="J137" s="65">
        <v>0</v>
      </c>
      <c r="K137" s="65">
        <v>0</v>
      </c>
      <c r="L137" s="65">
        <v>0</v>
      </c>
      <c r="M137" s="63">
        <v>0</v>
      </c>
      <c r="N137" s="1"/>
    </row>
    <row r="138" spans="1:14" ht="16" hidden="1" customHeight="1" outlineLevel="1" x14ac:dyDescent="0.45">
      <c r="A138" s="29" t="s">
        <v>194</v>
      </c>
      <c r="B138" s="43">
        <v>0</v>
      </c>
      <c r="C138" s="60">
        <v>0</v>
      </c>
      <c r="D138" s="60">
        <v>0</v>
      </c>
      <c r="E138" s="64">
        <v>0</v>
      </c>
      <c r="F138" s="63">
        <v>0</v>
      </c>
      <c r="G138" s="63">
        <v>0</v>
      </c>
      <c r="H138" s="65">
        <v>0</v>
      </c>
      <c r="I138" s="65">
        <v>0</v>
      </c>
      <c r="J138" s="65">
        <v>0</v>
      </c>
      <c r="K138" s="65">
        <v>0</v>
      </c>
      <c r="L138" s="65">
        <v>0</v>
      </c>
      <c r="M138" s="63">
        <v>0</v>
      </c>
      <c r="N138" s="1"/>
    </row>
    <row r="139" spans="1:14" ht="16" hidden="1" customHeight="1" outlineLevel="1" x14ac:dyDescent="0.45">
      <c r="A139" s="29" t="s">
        <v>195</v>
      </c>
      <c r="B139" s="44">
        <v>71617</v>
      </c>
      <c r="C139" s="63">
        <v>26780</v>
      </c>
      <c r="D139" s="63">
        <v>0</v>
      </c>
      <c r="E139" s="64">
        <v>44837</v>
      </c>
      <c r="F139" s="63">
        <v>44837</v>
      </c>
      <c r="G139" s="63">
        <v>0</v>
      </c>
      <c r="H139" s="65">
        <v>0</v>
      </c>
      <c r="I139" s="65">
        <v>0</v>
      </c>
      <c r="J139" s="65">
        <v>0</v>
      </c>
      <c r="K139" s="65">
        <v>0</v>
      </c>
      <c r="L139" s="65">
        <v>0</v>
      </c>
      <c r="M139" s="63">
        <v>0</v>
      </c>
      <c r="N139" s="1"/>
    </row>
    <row r="140" spans="1:14" ht="16" hidden="1" customHeight="1" outlineLevel="1" x14ac:dyDescent="0.45">
      <c r="A140" s="29" t="s">
        <v>141</v>
      </c>
      <c r="B140" s="44">
        <v>12971160</v>
      </c>
      <c r="C140" s="63">
        <v>12971160</v>
      </c>
      <c r="D140" s="63">
        <v>0</v>
      </c>
      <c r="E140" s="64">
        <v>0</v>
      </c>
      <c r="F140" s="63">
        <v>0</v>
      </c>
      <c r="G140" s="63">
        <v>0</v>
      </c>
      <c r="H140" s="65">
        <v>0</v>
      </c>
      <c r="I140" s="65">
        <v>0</v>
      </c>
      <c r="J140" s="65">
        <v>0</v>
      </c>
      <c r="K140" s="65">
        <v>0</v>
      </c>
      <c r="L140" s="65">
        <v>0</v>
      </c>
      <c r="M140" s="63">
        <v>0</v>
      </c>
      <c r="N140" s="1"/>
    </row>
    <row r="141" spans="1:14" s="1" customFormat="1" collapsed="1" x14ac:dyDescent="0.45">
      <c r="A141" s="28" t="s">
        <v>66</v>
      </c>
      <c r="B141" s="43">
        <v>43723525</v>
      </c>
      <c r="C141" s="66">
        <v>329116</v>
      </c>
      <c r="D141" s="66">
        <v>0</v>
      </c>
      <c r="E141" s="61">
        <v>43394409</v>
      </c>
      <c r="F141" s="60">
        <v>11561543.262096282</v>
      </c>
      <c r="G141" s="60">
        <v>2832866.7379037193</v>
      </c>
      <c r="H141" s="62">
        <v>0</v>
      </c>
      <c r="I141" s="62">
        <v>0</v>
      </c>
      <c r="J141" s="62">
        <v>0</v>
      </c>
      <c r="K141" s="62">
        <v>0</v>
      </c>
      <c r="L141" s="62">
        <v>0</v>
      </c>
      <c r="M141" s="60">
        <v>28999999</v>
      </c>
    </row>
    <row r="142" spans="1:14" s="1" customFormat="1" x14ac:dyDescent="0.45">
      <c r="A142" s="28" t="s">
        <v>67</v>
      </c>
      <c r="B142" s="43">
        <v>861790022</v>
      </c>
      <c r="C142" s="66">
        <v>161367315</v>
      </c>
      <c r="D142" s="66">
        <v>32896000</v>
      </c>
      <c r="E142" s="61">
        <v>667526707</v>
      </c>
      <c r="F142" s="60">
        <v>272348348.05111194</v>
      </c>
      <c r="G142" s="60">
        <v>266652407.94888806</v>
      </c>
      <c r="H142" s="62">
        <v>52421440</v>
      </c>
      <c r="I142" s="62">
        <v>4505410.5</v>
      </c>
      <c r="J142" s="62">
        <v>4505410.5</v>
      </c>
      <c r="K142" s="62">
        <v>28438761</v>
      </c>
      <c r="L142" s="62">
        <v>25822069</v>
      </c>
      <c r="M142" s="60">
        <v>12832860</v>
      </c>
    </row>
    <row r="143" spans="1:14" ht="16" hidden="1" customHeight="1" outlineLevel="1" x14ac:dyDescent="0.45">
      <c r="A143" s="29" t="s">
        <v>68</v>
      </c>
      <c r="B143" s="44">
        <v>170870806</v>
      </c>
      <c r="C143" s="67">
        <v>10582806</v>
      </c>
      <c r="D143" s="67">
        <v>1330000</v>
      </c>
      <c r="E143" s="64">
        <v>158958000</v>
      </c>
      <c r="F143" s="63">
        <v>27579808.422339424</v>
      </c>
      <c r="G143" s="63">
        <v>117903191.57766058</v>
      </c>
      <c r="H143" s="65">
        <v>0</v>
      </c>
      <c r="I143" s="65">
        <v>0</v>
      </c>
      <c r="J143" s="65">
        <v>0</v>
      </c>
      <c r="K143" s="65">
        <v>539000</v>
      </c>
      <c r="L143" s="65">
        <v>12936000</v>
      </c>
      <c r="M143" s="63">
        <v>0</v>
      </c>
      <c r="N143" s="1"/>
    </row>
    <row r="144" spans="1:14" ht="16" hidden="1" customHeight="1" outlineLevel="1" x14ac:dyDescent="0.45">
      <c r="A144" s="29" t="s">
        <v>196</v>
      </c>
      <c r="B144" s="44">
        <v>0</v>
      </c>
      <c r="C144" s="67">
        <v>0</v>
      </c>
      <c r="D144" s="67">
        <v>0</v>
      </c>
      <c r="E144" s="64">
        <v>0</v>
      </c>
      <c r="F144" s="63">
        <v>0</v>
      </c>
      <c r="G144" s="63">
        <v>0</v>
      </c>
      <c r="H144" s="65">
        <v>0</v>
      </c>
      <c r="I144" s="65">
        <v>0</v>
      </c>
      <c r="J144" s="65">
        <v>0</v>
      </c>
      <c r="K144" s="65">
        <v>0</v>
      </c>
      <c r="L144" s="65">
        <v>0</v>
      </c>
      <c r="M144" s="63">
        <v>0</v>
      </c>
      <c r="N144" s="1"/>
    </row>
    <row r="145" spans="1:14" ht="16" hidden="1" customHeight="1" outlineLevel="1" x14ac:dyDescent="0.45">
      <c r="A145" s="29" t="s">
        <v>69</v>
      </c>
      <c r="B145" s="44">
        <v>349682785</v>
      </c>
      <c r="C145" s="67">
        <v>45546994</v>
      </c>
      <c r="D145" s="67">
        <v>18200280</v>
      </c>
      <c r="E145" s="64">
        <v>285935511</v>
      </c>
      <c r="F145" s="63">
        <v>92051640.879287958</v>
      </c>
      <c r="G145" s="63">
        <v>106530790.12071206</v>
      </c>
      <c r="H145" s="65">
        <v>39275668</v>
      </c>
      <c r="I145" s="65">
        <v>2976135.5</v>
      </c>
      <c r="J145" s="65">
        <v>2976135.5</v>
      </c>
      <c r="K145" s="65">
        <v>23007071</v>
      </c>
      <c r="L145" s="65">
        <v>8235070</v>
      </c>
      <c r="M145" s="63">
        <v>10883000</v>
      </c>
      <c r="N145" s="1"/>
    </row>
    <row r="146" spans="1:14" ht="16" hidden="1" customHeight="1" outlineLevel="1" x14ac:dyDescent="0.45">
      <c r="A146" s="29" t="s">
        <v>70</v>
      </c>
      <c r="B146" s="44">
        <v>260703931</v>
      </c>
      <c r="C146" s="67">
        <v>26922615</v>
      </c>
      <c r="D146" s="67">
        <v>12256920</v>
      </c>
      <c r="E146" s="64">
        <v>221524396</v>
      </c>
      <c r="F146" s="63">
        <v>151608098.74948454</v>
      </c>
      <c r="G146" s="63">
        <v>42218426.250515454</v>
      </c>
      <c r="H146" s="65">
        <v>13145772</v>
      </c>
      <c r="I146" s="65">
        <v>1529275</v>
      </c>
      <c r="J146" s="65">
        <v>1529275</v>
      </c>
      <c r="K146" s="65">
        <v>4892690</v>
      </c>
      <c r="L146" s="65">
        <v>4650999</v>
      </c>
      <c r="M146" s="63">
        <v>1949860</v>
      </c>
      <c r="N146" s="1"/>
    </row>
    <row r="147" spans="1:14" ht="16" hidden="1" customHeight="1" outlineLevel="1" x14ac:dyDescent="0.45">
      <c r="A147" s="29" t="s">
        <v>142</v>
      </c>
      <c r="B147" s="44">
        <v>80532500</v>
      </c>
      <c r="C147" s="63">
        <v>78314900</v>
      </c>
      <c r="D147" s="63">
        <v>1108800</v>
      </c>
      <c r="E147" s="64">
        <v>1108800</v>
      </c>
      <c r="F147" s="63">
        <v>1108800</v>
      </c>
      <c r="G147" s="63">
        <v>0</v>
      </c>
      <c r="H147" s="65">
        <v>0</v>
      </c>
      <c r="I147" s="65">
        <v>0</v>
      </c>
      <c r="J147" s="65">
        <v>0</v>
      </c>
      <c r="K147" s="65">
        <v>0</v>
      </c>
      <c r="L147" s="65">
        <v>0</v>
      </c>
      <c r="M147" s="63">
        <v>0</v>
      </c>
      <c r="N147" s="1"/>
    </row>
    <row r="148" spans="1:14" ht="16" hidden="1" customHeight="1" outlineLevel="1" x14ac:dyDescent="0.45">
      <c r="A148" s="29" t="s">
        <v>197</v>
      </c>
      <c r="B148" s="44">
        <v>0</v>
      </c>
      <c r="C148" s="63">
        <v>0</v>
      </c>
      <c r="D148" s="63">
        <v>0</v>
      </c>
      <c r="E148" s="64">
        <v>0</v>
      </c>
      <c r="F148" s="63">
        <v>0</v>
      </c>
      <c r="G148" s="63">
        <v>0</v>
      </c>
      <c r="H148" s="65">
        <v>0</v>
      </c>
      <c r="I148" s="65">
        <v>0</v>
      </c>
      <c r="J148" s="65">
        <v>0</v>
      </c>
      <c r="K148" s="65">
        <v>0</v>
      </c>
      <c r="L148" s="65">
        <v>0</v>
      </c>
      <c r="M148" s="63">
        <v>0</v>
      </c>
      <c r="N148" s="1"/>
    </row>
    <row r="149" spans="1:14" ht="16" hidden="1" customHeight="1" outlineLevel="1" x14ac:dyDescent="0.45">
      <c r="A149" s="29" t="s">
        <v>262</v>
      </c>
      <c r="B149" s="44">
        <v>0</v>
      </c>
      <c r="C149" s="63">
        <v>0</v>
      </c>
      <c r="D149" s="63">
        <v>0</v>
      </c>
      <c r="E149" s="64">
        <v>0</v>
      </c>
      <c r="F149" s="63">
        <v>0</v>
      </c>
      <c r="G149" s="63">
        <v>0</v>
      </c>
      <c r="H149" s="65">
        <v>0</v>
      </c>
      <c r="I149" s="65">
        <v>0</v>
      </c>
      <c r="J149" s="65">
        <v>0</v>
      </c>
      <c r="K149" s="65">
        <v>0</v>
      </c>
      <c r="L149" s="65">
        <v>0</v>
      </c>
      <c r="M149" s="63">
        <v>0</v>
      </c>
      <c r="N149" s="1"/>
    </row>
    <row r="150" spans="1:14" ht="16" hidden="1" customHeight="1" outlineLevel="1" x14ac:dyDescent="0.45">
      <c r="A150" s="29" t="s">
        <v>263</v>
      </c>
      <c r="B150" s="44">
        <v>0</v>
      </c>
      <c r="C150" s="63">
        <v>0</v>
      </c>
      <c r="D150" s="63">
        <v>0</v>
      </c>
      <c r="E150" s="64">
        <v>0</v>
      </c>
      <c r="F150" s="63">
        <v>0</v>
      </c>
      <c r="G150" s="63">
        <v>0</v>
      </c>
      <c r="H150" s="65">
        <v>0</v>
      </c>
      <c r="I150" s="65">
        <v>0</v>
      </c>
      <c r="J150" s="65">
        <v>0</v>
      </c>
      <c r="K150" s="65">
        <v>0</v>
      </c>
      <c r="L150" s="65">
        <v>0</v>
      </c>
      <c r="M150" s="63">
        <v>0</v>
      </c>
      <c r="N150" s="1"/>
    </row>
    <row r="151" spans="1:14" s="1" customFormat="1" collapsed="1" x14ac:dyDescent="0.45">
      <c r="A151" s="28" t="s">
        <v>71</v>
      </c>
      <c r="B151" s="43">
        <v>115892481</v>
      </c>
      <c r="C151" s="60">
        <v>115892481</v>
      </c>
      <c r="D151" s="60">
        <v>0</v>
      </c>
      <c r="E151" s="61">
        <v>0</v>
      </c>
      <c r="F151" s="60">
        <v>0</v>
      </c>
      <c r="G151" s="60">
        <v>0</v>
      </c>
      <c r="H151" s="62">
        <v>0</v>
      </c>
      <c r="I151" s="62">
        <v>0</v>
      </c>
      <c r="J151" s="62">
        <v>0</v>
      </c>
      <c r="K151" s="62">
        <v>0</v>
      </c>
      <c r="L151" s="62">
        <v>0</v>
      </c>
      <c r="M151" s="60">
        <v>0</v>
      </c>
    </row>
    <row r="152" spans="1:14" ht="16" hidden="1" customHeight="1" outlineLevel="1" x14ac:dyDescent="0.45">
      <c r="A152" s="29" t="s">
        <v>143</v>
      </c>
      <c r="B152" s="44">
        <v>0</v>
      </c>
      <c r="C152" s="63">
        <v>0</v>
      </c>
      <c r="D152" s="63">
        <v>0</v>
      </c>
      <c r="E152" s="64">
        <v>0</v>
      </c>
      <c r="F152" s="63">
        <v>0</v>
      </c>
      <c r="G152" s="63">
        <v>0</v>
      </c>
      <c r="H152" s="65">
        <v>0</v>
      </c>
      <c r="I152" s="65">
        <v>0</v>
      </c>
      <c r="J152" s="65">
        <v>0</v>
      </c>
      <c r="K152" s="65">
        <v>0</v>
      </c>
      <c r="L152" s="65">
        <v>0</v>
      </c>
      <c r="M152" s="63">
        <v>0</v>
      </c>
      <c r="N152" s="1"/>
    </row>
    <row r="153" spans="1:14" ht="16" hidden="1" customHeight="1" outlineLevel="1" x14ac:dyDescent="0.45">
      <c r="A153" s="29" t="s">
        <v>72</v>
      </c>
      <c r="B153" s="44">
        <v>14110127</v>
      </c>
      <c r="C153" s="63">
        <v>14110127</v>
      </c>
      <c r="D153" s="63">
        <v>0</v>
      </c>
      <c r="E153" s="64">
        <v>0</v>
      </c>
      <c r="F153" s="63">
        <v>0</v>
      </c>
      <c r="G153" s="63">
        <v>0</v>
      </c>
      <c r="H153" s="65">
        <v>0</v>
      </c>
      <c r="I153" s="65">
        <v>0</v>
      </c>
      <c r="J153" s="65">
        <v>0</v>
      </c>
      <c r="K153" s="65">
        <v>0</v>
      </c>
      <c r="L153" s="65">
        <v>0</v>
      </c>
      <c r="M153" s="63">
        <v>0</v>
      </c>
      <c r="N153" s="1"/>
    </row>
    <row r="154" spans="1:14" ht="16" hidden="1" customHeight="1" outlineLevel="1" x14ac:dyDescent="0.45">
      <c r="A154" s="29" t="s">
        <v>144</v>
      </c>
      <c r="B154" s="44">
        <v>101782354</v>
      </c>
      <c r="C154" s="63">
        <v>101782354</v>
      </c>
      <c r="D154" s="63">
        <v>0</v>
      </c>
      <c r="E154" s="64">
        <v>0</v>
      </c>
      <c r="F154" s="63">
        <v>0</v>
      </c>
      <c r="G154" s="63">
        <v>0</v>
      </c>
      <c r="H154" s="65">
        <v>0</v>
      </c>
      <c r="I154" s="65">
        <v>0</v>
      </c>
      <c r="J154" s="65">
        <v>0</v>
      </c>
      <c r="K154" s="65">
        <v>0</v>
      </c>
      <c r="L154" s="65">
        <v>0</v>
      </c>
      <c r="M154" s="63">
        <v>0</v>
      </c>
      <c r="N154" s="1"/>
    </row>
    <row r="155" spans="1:14" ht="16" hidden="1" customHeight="1" outlineLevel="1" x14ac:dyDescent="0.45">
      <c r="A155" s="29" t="s">
        <v>145</v>
      </c>
      <c r="B155" s="44">
        <v>0</v>
      </c>
      <c r="C155" s="63">
        <v>0</v>
      </c>
      <c r="D155" s="63">
        <v>0</v>
      </c>
      <c r="E155" s="64">
        <v>0</v>
      </c>
      <c r="F155" s="63">
        <v>0</v>
      </c>
      <c r="G155" s="63">
        <v>0</v>
      </c>
      <c r="H155" s="65">
        <v>0</v>
      </c>
      <c r="I155" s="65">
        <v>0</v>
      </c>
      <c r="J155" s="65">
        <v>0</v>
      </c>
      <c r="K155" s="65">
        <v>0</v>
      </c>
      <c r="L155" s="65">
        <v>0</v>
      </c>
      <c r="M155" s="63">
        <v>0</v>
      </c>
      <c r="N155" s="1"/>
    </row>
    <row r="156" spans="1:14" s="1" customFormat="1" collapsed="1" x14ac:dyDescent="0.45">
      <c r="A156" s="28" t="s">
        <v>73</v>
      </c>
      <c r="B156" s="43">
        <v>101405669</v>
      </c>
      <c r="C156" s="60">
        <v>8362255.9999999702</v>
      </c>
      <c r="D156" s="60">
        <v>1970660</v>
      </c>
      <c r="E156" s="61">
        <v>91072753.00000003</v>
      </c>
      <c r="F156" s="60">
        <v>15986663.546986241</v>
      </c>
      <c r="G156" s="60">
        <v>49490436.786019228</v>
      </c>
      <c r="H156" s="62">
        <v>746395.66699453234</v>
      </c>
      <c r="I156" s="62">
        <v>388775.78853510792</v>
      </c>
      <c r="J156" s="62">
        <v>925715.55853720929</v>
      </c>
      <c r="K156" s="62">
        <v>3803376.2395235533</v>
      </c>
      <c r="L156" s="62">
        <v>19712889.413404129</v>
      </c>
      <c r="M156" s="60">
        <v>18500</v>
      </c>
    </row>
    <row r="157" spans="1:14" ht="16" hidden="1" customHeight="1" outlineLevel="1" x14ac:dyDescent="0.45">
      <c r="A157" s="29" t="s">
        <v>74</v>
      </c>
      <c r="B157" s="44">
        <v>27667276</v>
      </c>
      <c r="C157" s="63">
        <v>4519819.9999999963</v>
      </c>
      <c r="D157" s="63">
        <v>83950</v>
      </c>
      <c r="E157" s="64">
        <v>23063506.000000004</v>
      </c>
      <c r="F157" s="63">
        <v>6149014.0356158651</v>
      </c>
      <c r="G157" s="63">
        <v>13029165.964384135</v>
      </c>
      <c r="H157" s="65">
        <v>51800</v>
      </c>
      <c r="I157" s="65">
        <v>124608.75763313311</v>
      </c>
      <c r="J157" s="65">
        <v>365102.05309173896</v>
      </c>
      <c r="K157" s="65">
        <v>1052679.4878901187</v>
      </c>
      <c r="L157" s="65">
        <v>2272635.7013850091</v>
      </c>
      <c r="M157" s="63">
        <v>18500</v>
      </c>
      <c r="N157" s="1"/>
    </row>
    <row r="158" spans="1:14" ht="16" hidden="1" customHeight="1" outlineLevel="1" x14ac:dyDescent="0.45">
      <c r="A158" s="29" t="s">
        <v>75</v>
      </c>
      <c r="B158" s="44">
        <v>10687790</v>
      </c>
      <c r="C158" s="63">
        <v>2290533.9999999991</v>
      </c>
      <c r="D158" s="63">
        <v>1736710</v>
      </c>
      <c r="E158" s="64">
        <v>6660546.0000000009</v>
      </c>
      <c r="F158" s="63">
        <v>3881563.8141551595</v>
      </c>
      <c r="G158" s="63">
        <v>505351.51885030844</v>
      </c>
      <c r="H158" s="65">
        <v>694595.66699453234</v>
      </c>
      <c r="I158" s="65">
        <v>264167.03090197482</v>
      </c>
      <c r="J158" s="65">
        <v>560613.50544547033</v>
      </c>
      <c r="K158" s="65">
        <v>561790.75163343467</v>
      </c>
      <c r="L158" s="65">
        <v>192463.7120191202</v>
      </c>
      <c r="M158" s="63">
        <v>0</v>
      </c>
      <c r="N158" s="1"/>
    </row>
    <row r="159" spans="1:14" ht="16" hidden="1" customHeight="1" outlineLevel="1" x14ac:dyDescent="0.45">
      <c r="A159" s="29" t="s">
        <v>76</v>
      </c>
      <c r="B159" s="44">
        <v>20298167</v>
      </c>
      <c r="C159" s="63">
        <v>405514</v>
      </c>
      <c r="D159" s="63">
        <v>150000</v>
      </c>
      <c r="E159" s="64">
        <v>19742653</v>
      </c>
      <c r="F159" s="63">
        <v>1684974</v>
      </c>
      <c r="G159" s="63">
        <v>1792416</v>
      </c>
      <c r="H159" s="65">
        <v>0</v>
      </c>
      <c r="I159" s="65">
        <v>0</v>
      </c>
      <c r="J159" s="65">
        <v>0</v>
      </c>
      <c r="K159" s="65">
        <v>1923913</v>
      </c>
      <c r="L159" s="65">
        <v>14341350</v>
      </c>
      <c r="M159" s="63">
        <v>0</v>
      </c>
      <c r="N159" s="1"/>
    </row>
    <row r="160" spans="1:14" ht="16" hidden="1" customHeight="1" outlineLevel="1" x14ac:dyDescent="0.45">
      <c r="A160" s="29" t="s">
        <v>77</v>
      </c>
      <c r="B160" s="44">
        <v>42752436</v>
      </c>
      <c r="C160" s="63">
        <v>1146388</v>
      </c>
      <c r="D160" s="63">
        <v>0</v>
      </c>
      <c r="E160" s="64">
        <v>41606048</v>
      </c>
      <c r="F160" s="63">
        <v>4271111.6972152153</v>
      </c>
      <c r="G160" s="63">
        <v>34163503.302784786</v>
      </c>
      <c r="H160" s="65">
        <v>0</v>
      </c>
      <c r="I160" s="65">
        <v>0</v>
      </c>
      <c r="J160" s="65">
        <v>0</v>
      </c>
      <c r="K160" s="65">
        <v>264993</v>
      </c>
      <c r="L160" s="65">
        <v>2906440</v>
      </c>
      <c r="M160" s="63">
        <v>0</v>
      </c>
      <c r="N160" s="1"/>
    </row>
    <row r="161" spans="1:14" ht="16" hidden="1" customHeight="1" outlineLevel="1" x14ac:dyDescent="0.45">
      <c r="A161" s="29" t="s">
        <v>198</v>
      </c>
      <c r="B161" s="44">
        <v>0</v>
      </c>
      <c r="C161" s="63">
        <v>0</v>
      </c>
      <c r="D161" s="63">
        <v>0</v>
      </c>
      <c r="E161" s="64">
        <v>0</v>
      </c>
      <c r="F161" s="63">
        <v>0</v>
      </c>
      <c r="G161" s="63">
        <v>0</v>
      </c>
      <c r="H161" s="65">
        <v>0</v>
      </c>
      <c r="I161" s="65">
        <v>0</v>
      </c>
      <c r="J161" s="65">
        <v>0</v>
      </c>
      <c r="K161" s="65">
        <v>0</v>
      </c>
      <c r="L161" s="65">
        <v>0</v>
      </c>
      <c r="M161" s="63">
        <v>0</v>
      </c>
      <c r="N161" s="1"/>
    </row>
    <row r="162" spans="1:14" ht="16" hidden="1" customHeight="1" outlineLevel="1" x14ac:dyDescent="0.45">
      <c r="A162" s="24" t="s">
        <v>199</v>
      </c>
      <c r="B162" s="45">
        <v>0</v>
      </c>
      <c r="C162" s="63">
        <v>0</v>
      </c>
      <c r="D162" s="63">
        <v>0</v>
      </c>
      <c r="E162" s="64">
        <v>0</v>
      </c>
      <c r="F162" s="63">
        <v>0</v>
      </c>
      <c r="G162" s="63">
        <v>0</v>
      </c>
      <c r="H162" s="65">
        <v>0</v>
      </c>
      <c r="I162" s="65">
        <v>0</v>
      </c>
      <c r="J162" s="65">
        <v>0</v>
      </c>
      <c r="K162" s="65">
        <v>0</v>
      </c>
      <c r="L162" s="65">
        <v>0</v>
      </c>
      <c r="M162" s="63">
        <v>0</v>
      </c>
      <c r="N162" s="1"/>
    </row>
    <row r="163" spans="1:14" ht="16" hidden="1" customHeight="1" outlineLevel="1" x14ac:dyDescent="0.45">
      <c r="A163" s="30" t="s">
        <v>200</v>
      </c>
      <c r="B163" s="46">
        <v>0</v>
      </c>
      <c r="C163" s="63">
        <v>0</v>
      </c>
      <c r="D163" s="63">
        <v>0</v>
      </c>
      <c r="E163" s="64">
        <v>0</v>
      </c>
      <c r="F163" s="63">
        <v>0</v>
      </c>
      <c r="G163" s="63">
        <v>0</v>
      </c>
      <c r="H163" s="65">
        <v>0</v>
      </c>
      <c r="I163" s="65">
        <v>0</v>
      </c>
      <c r="J163" s="65">
        <v>0</v>
      </c>
      <c r="K163" s="65">
        <v>0</v>
      </c>
      <c r="L163" s="65">
        <v>0</v>
      </c>
      <c r="M163" s="63">
        <v>0</v>
      </c>
      <c r="N163" s="1"/>
    </row>
    <row r="164" spans="1:14" s="1" customFormat="1" collapsed="1" x14ac:dyDescent="0.45">
      <c r="A164" s="28" t="s">
        <v>78</v>
      </c>
      <c r="B164" s="43">
        <v>392615897</v>
      </c>
      <c r="C164" s="60">
        <v>-105789992</v>
      </c>
      <c r="D164" s="60">
        <v>111225492</v>
      </c>
      <c r="E164" s="61">
        <v>387180397</v>
      </c>
      <c r="F164" s="60">
        <v>204924932</v>
      </c>
      <c r="G164" s="60">
        <v>66360797</v>
      </c>
      <c r="H164" s="62">
        <v>54845834</v>
      </c>
      <c r="I164" s="62">
        <v>1194528.5</v>
      </c>
      <c r="J164" s="62">
        <v>1194528.5</v>
      </c>
      <c r="K164" s="62">
        <v>4913384</v>
      </c>
      <c r="L164" s="62">
        <v>0</v>
      </c>
      <c r="M164" s="60">
        <v>53746393</v>
      </c>
    </row>
    <row r="165" spans="1:14" ht="16" hidden="1" customHeight="1" outlineLevel="1" x14ac:dyDescent="0.45">
      <c r="A165" s="30" t="s">
        <v>201</v>
      </c>
      <c r="B165" s="46">
        <v>0</v>
      </c>
      <c r="C165" s="63">
        <v>0</v>
      </c>
      <c r="D165" s="63">
        <v>0</v>
      </c>
      <c r="E165" s="64">
        <v>0</v>
      </c>
      <c r="F165" s="63">
        <v>0</v>
      </c>
      <c r="G165" s="63">
        <v>0</v>
      </c>
      <c r="H165" s="65">
        <v>0</v>
      </c>
      <c r="I165" s="65">
        <v>0</v>
      </c>
      <c r="J165" s="65">
        <v>0</v>
      </c>
      <c r="K165" s="65">
        <v>0</v>
      </c>
      <c r="L165" s="65">
        <v>0</v>
      </c>
      <c r="M165" s="63">
        <v>0</v>
      </c>
      <c r="N165" s="1"/>
    </row>
    <row r="166" spans="1:14" ht="16" hidden="1" customHeight="1" outlineLevel="1" x14ac:dyDescent="0.45">
      <c r="A166" s="29" t="s">
        <v>79</v>
      </c>
      <c r="B166" s="44">
        <v>392615897</v>
      </c>
      <c r="C166" s="63">
        <v>-105789992</v>
      </c>
      <c r="D166" s="63">
        <v>111225492</v>
      </c>
      <c r="E166" s="64">
        <v>387180397</v>
      </c>
      <c r="F166" s="63">
        <v>204924932</v>
      </c>
      <c r="G166" s="63">
        <v>66360797</v>
      </c>
      <c r="H166" s="65">
        <v>54845834</v>
      </c>
      <c r="I166" s="65">
        <v>1194528.5</v>
      </c>
      <c r="J166" s="65">
        <v>1194528.5</v>
      </c>
      <c r="K166" s="65">
        <v>4913384</v>
      </c>
      <c r="L166" s="65">
        <v>0</v>
      </c>
      <c r="M166" s="63">
        <v>53746393</v>
      </c>
      <c r="N166" s="1"/>
    </row>
    <row r="167" spans="1:14" ht="16" hidden="1" customHeight="1" outlineLevel="1" x14ac:dyDescent="0.45">
      <c r="A167" s="29" t="s">
        <v>202</v>
      </c>
      <c r="B167" s="44">
        <v>0</v>
      </c>
      <c r="C167" s="63">
        <v>0</v>
      </c>
      <c r="D167" s="63">
        <v>0</v>
      </c>
      <c r="E167" s="64">
        <v>0</v>
      </c>
      <c r="F167" s="63">
        <v>0</v>
      </c>
      <c r="G167" s="63">
        <v>0</v>
      </c>
      <c r="H167" s="65">
        <v>0</v>
      </c>
      <c r="I167" s="65">
        <v>0</v>
      </c>
      <c r="J167" s="65">
        <v>0</v>
      </c>
      <c r="K167" s="65">
        <v>0</v>
      </c>
      <c r="L167" s="65">
        <v>0</v>
      </c>
      <c r="M167" s="63">
        <v>0</v>
      </c>
      <c r="N167" s="1"/>
    </row>
    <row r="168" spans="1:14" ht="16" hidden="1" customHeight="1" outlineLevel="1" x14ac:dyDescent="0.45">
      <c r="A168" s="29" t="s">
        <v>203</v>
      </c>
      <c r="B168" s="44">
        <v>0</v>
      </c>
      <c r="C168" s="63">
        <v>0</v>
      </c>
      <c r="D168" s="63">
        <v>0</v>
      </c>
      <c r="E168" s="64">
        <v>0</v>
      </c>
      <c r="F168" s="63">
        <v>0</v>
      </c>
      <c r="G168" s="63">
        <v>0</v>
      </c>
      <c r="H168" s="65">
        <v>0</v>
      </c>
      <c r="I168" s="65">
        <v>0</v>
      </c>
      <c r="J168" s="65">
        <v>0</v>
      </c>
      <c r="K168" s="65">
        <v>0</v>
      </c>
      <c r="L168" s="65">
        <v>0</v>
      </c>
      <c r="M168" s="63">
        <v>0</v>
      </c>
      <c r="N168" s="1"/>
    </row>
    <row r="169" spans="1:14" ht="16" hidden="1" customHeight="1" outlineLevel="1" x14ac:dyDescent="0.45">
      <c r="A169" s="29" t="s">
        <v>204</v>
      </c>
      <c r="B169" s="44">
        <v>0</v>
      </c>
      <c r="C169" s="63">
        <v>0</v>
      </c>
      <c r="D169" s="63">
        <v>0</v>
      </c>
      <c r="E169" s="64">
        <v>0</v>
      </c>
      <c r="F169" s="63">
        <v>0</v>
      </c>
      <c r="G169" s="63">
        <v>0</v>
      </c>
      <c r="H169" s="65">
        <v>0</v>
      </c>
      <c r="I169" s="65">
        <v>0</v>
      </c>
      <c r="J169" s="65">
        <v>0</v>
      </c>
      <c r="K169" s="65">
        <v>0</v>
      </c>
      <c r="L169" s="65">
        <v>0</v>
      </c>
      <c r="M169" s="63">
        <v>0</v>
      </c>
      <c r="N169" s="1"/>
    </row>
    <row r="170" spans="1:14" ht="16" hidden="1" customHeight="1" outlineLevel="1" x14ac:dyDescent="0.45">
      <c r="A170" s="30" t="s">
        <v>205</v>
      </c>
      <c r="B170" s="46">
        <v>0</v>
      </c>
      <c r="C170" s="63">
        <v>0</v>
      </c>
      <c r="D170" s="63">
        <v>0</v>
      </c>
      <c r="E170" s="64">
        <v>0</v>
      </c>
      <c r="F170" s="63">
        <v>0</v>
      </c>
      <c r="G170" s="63">
        <v>0</v>
      </c>
      <c r="H170" s="65">
        <v>0</v>
      </c>
      <c r="I170" s="65">
        <v>0</v>
      </c>
      <c r="J170" s="65">
        <v>0</v>
      </c>
      <c r="K170" s="65">
        <v>0</v>
      </c>
      <c r="L170" s="65">
        <v>0</v>
      </c>
      <c r="M170" s="63">
        <v>0</v>
      </c>
      <c r="N170" s="1"/>
    </row>
    <row r="171" spans="1:14" s="1" customFormat="1" ht="16" hidden="1" customHeight="1" outlineLevel="1" collapsed="1" x14ac:dyDescent="0.45">
      <c r="A171" s="28" t="s">
        <v>80</v>
      </c>
      <c r="B171" s="43">
        <v>83954356</v>
      </c>
      <c r="C171" s="60">
        <v>9488890</v>
      </c>
      <c r="D171" s="60">
        <v>-3867974</v>
      </c>
      <c r="E171" s="61">
        <v>78333440</v>
      </c>
      <c r="F171" s="60">
        <v>75308709</v>
      </c>
      <c r="G171" s="60">
        <v>1345073</v>
      </c>
      <c r="H171" s="62">
        <v>180000</v>
      </c>
      <c r="I171" s="62">
        <v>0</v>
      </c>
      <c r="J171" s="62">
        <v>0</v>
      </c>
      <c r="K171" s="62">
        <v>0</v>
      </c>
      <c r="L171" s="62">
        <v>1356930</v>
      </c>
      <c r="M171" s="60">
        <v>142728</v>
      </c>
    </row>
    <row r="172" spans="1:14" ht="16" hidden="1" customHeight="1" outlineLevel="1" x14ac:dyDescent="0.45">
      <c r="A172" s="29" t="s">
        <v>81</v>
      </c>
      <c r="B172" s="44">
        <v>-1863124</v>
      </c>
      <c r="C172" s="63">
        <v>30000</v>
      </c>
      <c r="D172" s="63">
        <v>-3867974</v>
      </c>
      <c r="E172" s="64">
        <v>1974850</v>
      </c>
      <c r="F172" s="63">
        <v>78454</v>
      </c>
      <c r="G172" s="63">
        <v>845073</v>
      </c>
      <c r="H172" s="65">
        <v>0</v>
      </c>
      <c r="I172" s="65">
        <v>0</v>
      </c>
      <c r="J172" s="65">
        <v>0</v>
      </c>
      <c r="K172" s="65">
        <v>0</v>
      </c>
      <c r="L172" s="65">
        <v>1051323</v>
      </c>
      <c r="M172" s="63">
        <v>0</v>
      </c>
      <c r="N172" s="1"/>
    </row>
    <row r="173" spans="1:14" ht="16" hidden="1" customHeight="1" outlineLevel="1" x14ac:dyDescent="0.45">
      <c r="A173" s="29" t="s">
        <v>206</v>
      </c>
      <c r="B173" s="44">
        <v>3120149</v>
      </c>
      <c r="C173" s="63">
        <v>3120149</v>
      </c>
      <c r="D173" s="63">
        <v>0</v>
      </c>
      <c r="E173" s="64">
        <v>0</v>
      </c>
      <c r="F173" s="63">
        <v>0</v>
      </c>
      <c r="G173" s="63">
        <v>0</v>
      </c>
      <c r="H173" s="65">
        <v>0</v>
      </c>
      <c r="I173" s="65">
        <v>0</v>
      </c>
      <c r="J173" s="65">
        <v>0</v>
      </c>
      <c r="K173" s="65">
        <v>0</v>
      </c>
      <c r="L173" s="65">
        <v>0</v>
      </c>
      <c r="M173" s="63">
        <v>0</v>
      </c>
      <c r="N173" s="1"/>
    </row>
    <row r="174" spans="1:14" ht="16" hidden="1" customHeight="1" outlineLevel="1" x14ac:dyDescent="0.45">
      <c r="A174" s="29" t="s">
        <v>82</v>
      </c>
      <c r="B174" s="44">
        <v>8897331</v>
      </c>
      <c r="C174" s="63">
        <v>6338741</v>
      </c>
      <c r="D174" s="63">
        <v>0</v>
      </c>
      <c r="E174" s="64">
        <v>2558590</v>
      </c>
      <c r="F174" s="63">
        <v>1430255</v>
      </c>
      <c r="G174" s="63">
        <v>500000</v>
      </c>
      <c r="H174" s="65">
        <v>180000</v>
      </c>
      <c r="I174" s="65">
        <v>0</v>
      </c>
      <c r="J174" s="65">
        <v>0</v>
      </c>
      <c r="K174" s="65">
        <v>0</v>
      </c>
      <c r="L174" s="65">
        <v>305607</v>
      </c>
      <c r="M174" s="63">
        <v>142728</v>
      </c>
      <c r="N174" s="1"/>
    </row>
    <row r="175" spans="1:14" ht="16" hidden="1" customHeight="1" outlineLevel="1" x14ac:dyDescent="0.45">
      <c r="A175" s="29" t="s">
        <v>207</v>
      </c>
      <c r="B175" s="44">
        <v>0</v>
      </c>
      <c r="C175" s="63">
        <v>0</v>
      </c>
      <c r="D175" s="63">
        <v>0</v>
      </c>
      <c r="E175" s="64">
        <v>0</v>
      </c>
      <c r="F175" s="63">
        <v>0</v>
      </c>
      <c r="G175" s="63">
        <v>0</v>
      </c>
      <c r="H175" s="65">
        <v>0</v>
      </c>
      <c r="I175" s="65">
        <v>0</v>
      </c>
      <c r="J175" s="65">
        <v>0</v>
      </c>
      <c r="K175" s="65">
        <v>0</v>
      </c>
      <c r="L175" s="65">
        <v>0</v>
      </c>
      <c r="M175" s="63">
        <v>0</v>
      </c>
      <c r="N175" s="1"/>
    </row>
    <row r="176" spans="1:14" ht="16" hidden="1" customHeight="1" outlineLevel="1" x14ac:dyDescent="0.45">
      <c r="A176" s="29" t="s">
        <v>256</v>
      </c>
      <c r="B176" s="44">
        <v>0</v>
      </c>
      <c r="C176" s="63">
        <v>0</v>
      </c>
      <c r="D176" s="63">
        <v>0</v>
      </c>
      <c r="E176" s="64">
        <v>0</v>
      </c>
      <c r="F176" s="63">
        <v>0</v>
      </c>
      <c r="G176" s="63">
        <v>0</v>
      </c>
      <c r="H176" s="65">
        <v>0</v>
      </c>
      <c r="I176" s="65">
        <v>0</v>
      </c>
      <c r="J176" s="65">
        <v>0</v>
      </c>
      <c r="K176" s="65">
        <v>0</v>
      </c>
      <c r="L176" s="65">
        <v>0</v>
      </c>
      <c r="M176" s="63">
        <v>0</v>
      </c>
      <c r="N176" s="1"/>
    </row>
    <row r="177" spans="1:14" ht="16" hidden="1" customHeight="1" outlineLevel="1" x14ac:dyDescent="0.45">
      <c r="A177" s="29" t="s">
        <v>208</v>
      </c>
      <c r="B177" s="44">
        <v>73800000</v>
      </c>
      <c r="C177" s="63">
        <v>0</v>
      </c>
      <c r="D177" s="63">
        <v>0</v>
      </c>
      <c r="E177" s="64">
        <v>73800000</v>
      </c>
      <c r="F177" s="63">
        <v>73800000</v>
      </c>
      <c r="G177" s="63">
        <v>0</v>
      </c>
      <c r="H177" s="65">
        <v>0</v>
      </c>
      <c r="I177" s="65">
        <v>0</v>
      </c>
      <c r="J177" s="65">
        <v>0</v>
      </c>
      <c r="K177" s="65">
        <v>0</v>
      </c>
      <c r="L177" s="65">
        <v>0</v>
      </c>
      <c r="M177" s="63">
        <v>0</v>
      </c>
      <c r="N177" s="1"/>
    </row>
    <row r="178" spans="1:14" s="1" customFormat="1" collapsed="1" x14ac:dyDescent="0.45">
      <c r="A178" s="28" t="s">
        <v>146</v>
      </c>
      <c r="B178" s="43">
        <v>105546</v>
      </c>
      <c r="C178" s="60">
        <v>105546</v>
      </c>
      <c r="D178" s="60">
        <v>0</v>
      </c>
      <c r="E178" s="61">
        <v>0</v>
      </c>
      <c r="F178" s="60">
        <v>0</v>
      </c>
      <c r="G178" s="60">
        <v>0</v>
      </c>
      <c r="H178" s="62">
        <v>0</v>
      </c>
      <c r="I178" s="62">
        <v>0</v>
      </c>
      <c r="J178" s="62">
        <v>0</v>
      </c>
      <c r="K178" s="62">
        <v>0</v>
      </c>
      <c r="L178" s="62">
        <v>0</v>
      </c>
      <c r="M178" s="60">
        <v>0</v>
      </c>
    </row>
    <row r="179" spans="1:14" ht="16" hidden="1" customHeight="1" outlineLevel="1" x14ac:dyDescent="0.45">
      <c r="A179" s="29" t="s">
        <v>147</v>
      </c>
      <c r="B179" s="44">
        <v>105546</v>
      </c>
      <c r="C179" s="63">
        <v>105546</v>
      </c>
      <c r="D179" s="63">
        <v>0</v>
      </c>
      <c r="E179" s="64">
        <v>0</v>
      </c>
      <c r="F179" s="63">
        <v>0</v>
      </c>
      <c r="G179" s="63">
        <v>0</v>
      </c>
      <c r="H179" s="65">
        <v>0</v>
      </c>
      <c r="I179" s="65">
        <v>0</v>
      </c>
      <c r="J179" s="65">
        <v>0</v>
      </c>
      <c r="K179" s="65">
        <v>0</v>
      </c>
      <c r="L179" s="65">
        <v>0</v>
      </c>
      <c r="M179" s="63">
        <v>0</v>
      </c>
      <c r="N179" s="1"/>
    </row>
    <row r="180" spans="1:14" ht="16" hidden="1" customHeight="1" outlineLevel="1" x14ac:dyDescent="0.45">
      <c r="A180" s="29" t="s">
        <v>148</v>
      </c>
      <c r="B180" s="43">
        <v>0</v>
      </c>
      <c r="C180" s="63">
        <v>0</v>
      </c>
      <c r="D180" s="63">
        <v>0</v>
      </c>
      <c r="E180" s="64">
        <v>0</v>
      </c>
      <c r="F180" s="63">
        <v>0</v>
      </c>
      <c r="G180" s="63">
        <v>0</v>
      </c>
      <c r="H180" s="65">
        <v>0</v>
      </c>
      <c r="I180" s="65">
        <v>0</v>
      </c>
      <c r="J180" s="65">
        <v>0</v>
      </c>
      <c r="K180" s="65">
        <v>0</v>
      </c>
      <c r="L180" s="65">
        <v>0</v>
      </c>
      <c r="M180" s="63">
        <v>0</v>
      </c>
      <c r="N180" s="1"/>
    </row>
    <row r="181" spans="1:14" s="1" customFormat="1" collapsed="1" x14ac:dyDescent="0.45">
      <c r="A181" s="28" t="s">
        <v>83</v>
      </c>
      <c r="B181" s="43">
        <v>427299299</v>
      </c>
      <c r="C181" s="60">
        <v>67094951</v>
      </c>
      <c r="D181" s="60">
        <v>17145198</v>
      </c>
      <c r="E181" s="61">
        <v>343059150</v>
      </c>
      <c r="F181" s="60">
        <v>196225301.44299987</v>
      </c>
      <c r="G181" s="60">
        <v>66037500.790702954</v>
      </c>
      <c r="H181" s="60">
        <v>21844373.766297173</v>
      </c>
      <c r="I181" s="60">
        <v>2036052.2102496084</v>
      </c>
      <c r="J181" s="60">
        <v>1744793.5820226211</v>
      </c>
      <c r="K181" s="60">
        <v>7862829.6080995733</v>
      </c>
      <c r="L181" s="60">
        <v>40762296.599628195</v>
      </c>
      <c r="M181" s="60">
        <v>6546002</v>
      </c>
    </row>
    <row r="182" spans="1:14" s="1" customFormat="1" ht="16" hidden="1" customHeight="1" outlineLevel="1" x14ac:dyDescent="0.45">
      <c r="A182" s="29" t="s">
        <v>84</v>
      </c>
      <c r="B182" s="44">
        <v>49918734</v>
      </c>
      <c r="C182" s="63">
        <v>1286473</v>
      </c>
      <c r="D182" s="63">
        <v>413002</v>
      </c>
      <c r="E182" s="64">
        <v>48219259</v>
      </c>
      <c r="F182" s="63">
        <v>31682280</v>
      </c>
      <c r="G182" s="63">
        <v>8250894</v>
      </c>
      <c r="H182" s="63">
        <v>3429326</v>
      </c>
      <c r="I182" s="63">
        <v>281593</v>
      </c>
      <c r="J182" s="63">
        <v>208543</v>
      </c>
      <c r="K182" s="63">
        <v>1550928</v>
      </c>
      <c r="L182" s="63">
        <v>2690186</v>
      </c>
      <c r="M182" s="63">
        <v>125509</v>
      </c>
    </row>
    <row r="183" spans="1:14" ht="16" hidden="1" customHeight="1" outlineLevel="1" x14ac:dyDescent="0.45">
      <c r="A183" s="29" t="s">
        <v>149</v>
      </c>
      <c r="B183" s="44">
        <v>2035418</v>
      </c>
      <c r="C183" s="63">
        <v>2035418</v>
      </c>
      <c r="D183" s="63">
        <v>0</v>
      </c>
      <c r="E183" s="64">
        <v>0</v>
      </c>
      <c r="F183" s="63">
        <v>0</v>
      </c>
      <c r="G183" s="63">
        <v>0</v>
      </c>
      <c r="H183" s="63">
        <v>0</v>
      </c>
      <c r="I183" s="63">
        <v>0</v>
      </c>
      <c r="J183" s="63">
        <v>0</v>
      </c>
      <c r="K183" s="63">
        <v>0</v>
      </c>
      <c r="L183" s="63">
        <v>0</v>
      </c>
      <c r="M183" s="63">
        <v>0</v>
      </c>
      <c r="N183" s="1"/>
    </row>
    <row r="184" spans="1:14" ht="16" hidden="1" customHeight="1" outlineLevel="1" x14ac:dyDescent="0.45">
      <c r="A184" s="29" t="s">
        <v>85</v>
      </c>
      <c r="B184" s="44">
        <v>30503195</v>
      </c>
      <c r="C184" s="63">
        <v>8111314</v>
      </c>
      <c r="D184" s="63">
        <v>3079774</v>
      </c>
      <c r="E184" s="64">
        <v>19312107</v>
      </c>
      <c r="F184" s="63">
        <v>11074840.437269706</v>
      </c>
      <c r="G184" s="63">
        <v>3980848.7964331182</v>
      </c>
      <c r="H184" s="63">
        <v>556811.7662971745</v>
      </c>
      <c r="I184" s="63">
        <v>195872.71024960841</v>
      </c>
      <c r="J184" s="63">
        <v>214305.08202262112</v>
      </c>
      <c r="K184" s="63">
        <v>687400.60809957352</v>
      </c>
      <c r="L184" s="63">
        <v>2068083.599628197</v>
      </c>
      <c r="M184" s="63">
        <v>533944</v>
      </c>
      <c r="N184" s="1"/>
    </row>
    <row r="185" spans="1:14" ht="16" hidden="1" customHeight="1" outlineLevel="1" x14ac:dyDescent="0.45">
      <c r="A185" s="29" t="s">
        <v>86</v>
      </c>
      <c r="B185" s="44">
        <v>6468988</v>
      </c>
      <c r="C185" s="63">
        <v>1201477</v>
      </c>
      <c r="D185" s="63">
        <v>0</v>
      </c>
      <c r="E185" s="64">
        <v>5267511</v>
      </c>
      <c r="F185" s="63">
        <v>3669966</v>
      </c>
      <c r="G185" s="63">
        <v>1597545</v>
      </c>
      <c r="H185" s="63">
        <v>0</v>
      </c>
      <c r="I185" s="63">
        <v>0</v>
      </c>
      <c r="J185" s="63">
        <v>0</v>
      </c>
      <c r="K185" s="63">
        <v>0</v>
      </c>
      <c r="L185" s="63">
        <v>0</v>
      </c>
      <c r="M185" s="63">
        <v>0</v>
      </c>
      <c r="N185" s="1"/>
    </row>
    <row r="186" spans="1:14" ht="16" hidden="1" customHeight="1" outlineLevel="1" x14ac:dyDescent="0.45">
      <c r="A186" s="29" t="s">
        <v>150</v>
      </c>
      <c r="B186" s="44">
        <v>8278356</v>
      </c>
      <c r="C186" s="63">
        <v>2126348</v>
      </c>
      <c r="D186" s="63">
        <v>0</v>
      </c>
      <c r="E186" s="64">
        <v>6152008</v>
      </c>
      <c r="F186" s="63">
        <v>5222455</v>
      </c>
      <c r="G186" s="63">
        <v>495371</v>
      </c>
      <c r="H186" s="63">
        <v>0</v>
      </c>
      <c r="I186" s="63">
        <v>0</v>
      </c>
      <c r="J186" s="63">
        <v>0</v>
      </c>
      <c r="K186" s="63">
        <v>0</v>
      </c>
      <c r="L186" s="63">
        <v>434182</v>
      </c>
      <c r="M186" s="63">
        <v>0</v>
      </c>
      <c r="N186" s="1"/>
    </row>
    <row r="187" spans="1:14" s="1" customFormat="1" ht="16" hidden="1" customHeight="1" outlineLevel="1" x14ac:dyDescent="0.45">
      <c r="A187" s="29" t="s">
        <v>87</v>
      </c>
      <c r="B187" s="44">
        <v>0</v>
      </c>
      <c r="C187" s="63">
        <v>0</v>
      </c>
      <c r="D187" s="63">
        <v>0</v>
      </c>
      <c r="E187" s="64">
        <v>0</v>
      </c>
      <c r="F187" s="63">
        <v>0</v>
      </c>
      <c r="G187" s="63">
        <v>0</v>
      </c>
      <c r="H187" s="63">
        <v>0</v>
      </c>
      <c r="I187" s="63">
        <v>0</v>
      </c>
      <c r="J187" s="63">
        <v>0</v>
      </c>
      <c r="K187" s="63">
        <v>0</v>
      </c>
      <c r="L187" s="63">
        <v>0</v>
      </c>
      <c r="M187" s="63">
        <v>0</v>
      </c>
    </row>
    <row r="188" spans="1:14" ht="16" hidden="1" customHeight="1" outlineLevel="1" x14ac:dyDescent="0.45">
      <c r="A188" s="29" t="s">
        <v>88</v>
      </c>
      <c r="B188" s="44">
        <v>141637603</v>
      </c>
      <c r="C188" s="63">
        <v>40375971</v>
      </c>
      <c r="D188" s="63">
        <v>13464419</v>
      </c>
      <c r="E188" s="64">
        <v>87797213</v>
      </c>
      <c r="F188" s="63">
        <v>17285227.961465456</v>
      </c>
      <c r="G188" s="63">
        <v>38775584.038534544</v>
      </c>
      <c r="H188" s="63">
        <v>17559142</v>
      </c>
      <c r="I188" s="63">
        <v>462827</v>
      </c>
      <c r="J188" s="63">
        <v>462827</v>
      </c>
      <c r="K188" s="63">
        <v>3107562</v>
      </c>
      <c r="L188" s="63">
        <v>4742702</v>
      </c>
      <c r="M188" s="63">
        <v>5401341</v>
      </c>
      <c r="N188" s="1"/>
    </row>
    <row r="189" spans="1:14" ht="16" hidden="1" customHeight="1" outlineLevel="1" x14ac:dyDescent="0.45">
      <c r="A189" s="24" t="s">
        <v>89</v>
      </c>
      <c r="B189" s="45">
        <v>185912202</v>
      </c>
      <c r="C189" s="63">
        <v>11760123</v>
      </c>
      <c r="D189" s="63">
        <v>0</v>
      </c>
      <c r="E189" s="64">
        <v>174152079</v>
      </c>
      <c r="F189" s="63">
        <v>126359182.0442647</v>
      </c>
      <c r="G189" s="63">
        <v>12108056.955735294</v>
      </c>
      <c r="H189" s="63">
        <v>0</v>
      </c>
      <c r="I189" s="63">
        <v>1095759.5</v>
      </c>
      <c r="J189" s="63">
        <v>859118.5</v>
      </c>
      <c r="K189" s="63">
        <v>2516939</v>
      </c>
      <c r="L189" s="63">
        <v>30727815</v>
      </c>
      <c r="M189" s="63">
        <v>485208</v>
      </c>
      <c r="N189" s="1"/>
    </row>
    <row r="190" spans="1:14" ht="16" hidden="1" customHeight="1" outlineLevel="1" x14ac:dyDescent="0.45">
      <c r="A190" s="29" t="s">
        <v>209</v>
      </c>
      <c r="B190" s="44">
        <v>0</v>
      </c>
      <c r="C190" s="63">
        <v>0</v>
      </c>
      <c r="D190" s="63">
        <v>0</v>
      </c>
      <c r="E190" s="64">
        <v>0</v>
      </c>
      <c r="F190" s="63">
        <v>0</v>
      </c>
      <c r="G190" s="63">
        <v>0</v>
      </c>
      <c r="H190" s="63">
        <v>0</v>
      </c>
      <c r="I190" s="63">
        <v>0</v>
      </c>
      <c r="J190" s="63">
        <v>0</v>
      </c>
      <c r="K190" s="63">
        <v>0</v>
      </c>
      <c r="L190" s="63">
        <v>0</v>
      </c>
      <c r="M190" s="63">
        <v>0</v>
      </c>
      <c r="N190" s="1"/>
    </row>
    <row r="191" spans="1:14" ht="16" hidden="1" customHeight="1" outlineLevel="1" x14ac:dyDescent="0.45">
      <c r="A191" s="29" t="s">
        <v>90</v>
      </c>
      <c r="B191" s="44">
        <v>2544803</v>
      </c>
      <c r="C191" s="63">
        <v>197827</v>
      </c>
      <c r="D191" s="63">
        <v>188003</v>
      </c>
      <c r="E191" s="64">
        <v>2158973</v>
      </c>
      <c r="F191" s="63">
        <v>931350</v>
      </c>
      <c r="G191" s="63">
        <v>829201</v>
      </c>
      <c r="H191" s="63">
        <v>299094</v>
      </c>
      <c r="I191" s="63">
        <v>0</v>
      </c>
      <c r="J191" s="63">
        <v>0</v>
      </c>
      <c r="K191" s="63">
        <v>0</v>
      </c>
      <c r="L191" s="63">
        <v>99328</v>
      </c>
      <c r="M191" s="63">
        <v>0</v>
      </c>
      <c r="N191" s="1"/>
    </row>
    <row r="192" spans="1:14" ht="16" hidden="1" customHeight="1" outlineLevel="1" x14ac:dyDescent="0.45">
      <c r="A192" s="30" t="s">
        <v>151</v>
      </c>
      <c r="B192" s="46">
        <v>0</v>
      </c>
      <c r="C192" s="63">
        <v>0</v>
      </c>
      <c r="D192" s="63">
        <v>0</v>
      </c>
      <c r="E192" s="64">
        <v>0</v>
      </c>
      <c r="F192" s="63">
        <v>0</v>
      </c>
      <c r="G192" s="63">
        <v>0</v>
      </c>
      <c r="H192" s="63">
        <v>0</v>
      </c>
      <c r="I192" s="63">
        <v>0</v>
      </c>
      <c r="J192" s="63">
        <v>0</v>
      </c>
      <c r="K192" s="63">
        <v>0</v>
      </c>
      <c r="L192" s="63">
        <v>0</v>
      </c>
      <c r="M192" s="63">
        <v>0</v>
      </c>
      <c r="N192" s="1"/>
    </row>
    <row r="193" spans="1:14" s="1" customFormat="1" collapsed="1" x14ac:dyDescent="0.45">
      <c r="A193" s="28" t="s">
        <v>91</v>
      </c>
      <c r="B193" s="43">
        <v>93138609</v>
      </c>
      <c r="C193" s="60">
        <v>22571348</v>
      </c>
      <c r="D193" s="60">
        <v>473987</v>
      </c>
      <c r="E193" s="61">
        <v>70093274</v>
      </c>
      <c r="F193" s="60">
        <v>50379790.156449884</v>
      </c>
      <c r="G193" s="60">
        <v>5852564.8435501177</v>
      </c>
      <c r="H193" s="60">
        <v>10527433</v>
      </c>
      <c r="I193" s="60">
        <v>60717</v>
      </c>
      <c r="J193" s="60">
        <v>60717</v>
      </c>
      <c r="K193" s="60">
        <v>531993</v>
      </c>
      <c r="L193" s="60">
        <v>1861249</v>
      </c>
      <c r="M193" s="60">
        <v>818810</v>
      </c>
    </row>
    <row r="194" spans="1:14" ht="16" hidden="1" customHeight="1" outlineLevel="1" x14ac:dyDescent="0.45">
      <c r="A194" s="29" t="s">
        <v>92</v>
      </c>
      <c r="B194" s="44">
        <v>30386228</v>
      </c>
      <c r="C194" s="63">
        <v>1721095</v>
      </c>
      <c r="D194" s="63">
        <v>90700</v>
      </c>
      <c r="E194" s="64">
        <v>28574433</v>
      </c>
      <c r="F194" s="63">
        <v>24040509.801058996</v>
      </c>
      <c r="G194" s="63">
        <v>2899309.198941004</v>
      </c>
      <c r="H194" s="63">
        <v>321300</v>
      </c>
      <c r="I194" s="63">
        <v>10390</v>
      </c>
      <c r="J194" s="63">
        <v>10390</v>
      </c>
      <c r="K194" s="63">
        <v>322520</v>
      </c>
      <c r="L194" s="63">
        <v>970014</v>
      </c>
      <c r="M194" s="63">
        <v>0</v>
      </c>
      <c r="N194" s="1"/>
    </row>
    <row r="195" spans="1:14" ht="16" hidden="1" customHeight="1" outlineLevel="1" x14ac:dyDescent="0.45">
      <c r="A195" s="29" t="s">
        <v>93</v>
      </c>
      <c r="B195" s="44">
        <v>46793996</v>
      </c>
      <c r="C195" s="63">
        <v>20200264</v>
      </c>
      <c r="D195" s="63">
        <v>26417</v>
      </c>
      <c r="E195" s="64">
        <v>26567315</v>
      </c>
      <c r="F195" s="63">
        <v>15087010</v>
      </c>
      <c r="G195" s="63">
        <v>664000</v>
      </c>
      <c r="H195" s="63">
        <v>10178269</v>
      </c>
      <c r="I195" s="63">
        <v>50327</v>
      </c>
      <c r="J195" s="63">
        <v>50327</v>
      </c>
      <c r="K195" s="63">
        <v>182200</v>
      </c>
      <c r="L195" s="63">
        <v>290000</v>
      </c>
      <c r="M195" s="63">
        <v>65182</v>
      </c>
      <c r="N195" s="1"/>
    </row>
    <row r="196" spans="1:14" ht="16" hidden="1" customHeight="1" outlineLevel="1" x14ac:dyDescent="0.45">
      <c r="A196" s="29" t="s">
        <v>94</v>
      </c>
      <c r="B196" s="44">
        <v>15958385</v>
      </c>
      <c r="C196" s="63">
        <v>649989</v>
      </c>
      <c r="D196" s="63">
        <v>356870</v>
      </c>
      <c r="E196" s="64">
        <v>14951526</v>
      </c>
      <c r="F196" s="63">
        <v>11252270.355390888</v>
      </c>
      <c r="G196" s="63">
        <v>2289255.6446091132</v>
      </c>
      <c r="H196" s="63">
        <v>27864</v>
      </c>
      <c r="I196" s="63">
        <v>0</v>
      </c>
      <c r="J196" s="63">
        <v>0</v>
      </c>
      <c r="K196" s="63">
        <v>27273</v>
      </c>
      <c r="L196" s="63">
        <v>601235</v>
      </c>
      <c r="M196" s="63">
        <v>753628</v>
      </c>
      <c r="N196" s="1"/>
    </row>
    <row r="197" spans="1:14" ht="16" hidden="1" customHeight="1" outlineLevel="1" x14ac:dyDescent="0.45">
      <c r="A197" s="29" t="s">
        <v>210</v>
      </c>
      <c r="B197" s="44">
        <v>0</v>
      </c>
      <c r="C197" s="63">
        <v>0</v>
      </c>
      <c r="D197" s="63">
        <v>0</v>
      </c>
      <c r="E197" s="64">
        <v>0</v>
      </c>
      <c r="F197" s="63">
        <v>0</v>
      </c>
      <c r="G197" s="63">
        <v>0</v>
      </c>
      <c r="H197" s="63">
        <v>0</v>
      </c>
      <c r="I197" s="63">
        <v>0</v>
      </c>
      <c r="J197" s="63">
        <v>0</v>
      </c>
      <c r="K197" s="63">
        <v>0</v>
      </c>
      <c r="L197" s="63">
        <v>0</v>
      </c>
      <c r="M197" s="63">
        <v>0</v>
      </c>
      <c r="N197" s="1"/>
    </row>
    <row r="198" spans="1:14" s="1" customFormat="1" ht="16" hidden="1" customHeight="1" outlineLevel="1" x14ac:dyDescent="0.45">
      <c r="A198" s="24" t="s">
        <v>211</v>
      </c>
      <c r="B198" s="45">
        <v>0</v>
      </c>
      <c r="C198" s="63">
        <v>0</v>
      </c>
      <c r="D198" s="63">
        <v>0</v>
      </c>
      <c r="E198" s="64">
        <v>0</v>
      </c>
      <c r="F198" s="63">
        <v>0</v>
      </c>
      <c r="G198" s="63">
        <v>0</v>
      </c>
      <c r="H198" s="63">
        <v>0</v>
      </c>
      <c r="I198" s="63">
        <v>0</v>
      </c>
      <c r="J198" s="63">
        <v>0</v>
      </c>
      <c r="K198" s="63">
        <v>0</v>
      </c>
      <c r="L198" s="63">
        <v>0</v>
      </c>
      <c r="M198" s="63">
        <v>0</v>
      </c>
    </row>
    <row r="199" spans="1:14" s="1" customFormat="1" collapsed="1" x14ac:dyDescent="0.45">
      <c r="A199" s="28" t="s">
        <v>95</v>
      </c>
      <c r="B199" s="43">
        <v>1524225864</v>
      </c>
      <c r="C199" s="69">
        <v>462858376</v>
      </c>
      <c r="D199" s="69">
        <v>110581317</v>
      </c>
      <c r="E199" s="61">
        <v>950786171</v>
      </c>
      <c r="F199" s="60">
        <v>181253682.66975629</v>
      </c>
      <c r="G199" s="60">
        <v>13815623.330243714</v>
      </c>
      <c r="H199" s="70">
        <v>343439868</v>
      </c>
      <c r="I199" s="70">
        <v>1747501</v>
      </c>
      <c r="J199" s="70">
        <v>1747501</v>
      </c>
      <c r="K199" s="70">
        <v>16589538</v>
      </c>
      <c r="L199" s="70">
        <v>9987616</v>
      </c>
      <c r="M199" s="60">
        <v>382204841</v>
      </c>
    </row>
    <row r="200" spans="1:14" ht="16" hidden="1" customHeight="1" outlineLevel="1" x14ac:dyDescent="0.45">
      <c r="A200" s="29" t="s">
        <v>152</v>
      </c>
      <c r="B200" s="44">
        <v>264544920</v>
      </c>
      <c r="C200" s="71">
        <v>264544920</v>
      </c>
      <c r="D200" s="71">
        <v>0</v>
      </c>
      <c r="E200" s="64">
        <v>0</v>
      </c>
      <c r="F200" s="63">
        <v>0</v>
      </c>
      <c r="G200" s="63">
        <v>0</v>
      </c>
      <c r="H200" s="32">
        <v>0</v>
      </c>
      <c r="I200" s="32">
        <v>0</v>
      </c>
      <c r="J200" s="32">
        <v>0</v>
      </c>
      <c r="K200" s="32">
        <v>0</v>
      </c>
      <c r="L200" s="32">
        <v>0</v>
      </c>
      <c r="M200" s="63">
        <v>0</v>
      </c>
      <c r="N200" s="1"/>
    </row>
    <row r="201" spans="1:14" ht="16" hidden="1" customHeight="1" outlineLevel="1" x14ac:dyDescent="0.45">
      <c r="A201" s="29" t="s">
        <v>153</v>
      </c>
      <c r="B201" s="44">
        <v>485311632</v>
      </c>
      <c r="C201" s="71">
        <v>8636723</v>
      </c>
      <c r="D201" s="71">
        <v>5154086</v>
      </c>
      <c r="E201" s="64">
        <v>471520823</v>
      </c>
      <c r="F201" s="63">
        <v>7842979.8140816437</v>
      </c>
      <c r="G201" s="63">
        <v>3272504.1859183558</v>
      </c>
      <c r="H201" s="32">
        <v>98873263</v>
      </c>
      <c r="I201" s="32">
        <v>272323.5</v>
      </c>
      <c r="J201" s="32">
        <v>272323.5</v>
      </c>
      <c r="K201" s="32">
        <v>2758824</v>
      </c>
      <c r="L201" s="32">
        <v>5539616</v>
      </c>
      <c r="M201" s="63">
        <v>352688989</v>
      </c>
      <c r="N201" s="1"/>
    </row>
    <row r="202" spans="1:14" ht="16" hidden="1" customHeight="1" outlineLevel="1" x14ac:dyDescent="0.45">
      <c r="A202" s="29" t="s">
        <v>117</v>
      </c>
      <c r="B202" s="44">
        <v>158011730</v>
      </c>
      <c r="C202" s="71">
        <v>157045940</v>
      </c>
      <c r="D202" s="71">
        <v>0</v>
      </c>
      <c r="E202" s="64">
        <v>965790</v>
      </c>
      <c r="F202" s="63">
        <v>0</v>
      </c>
      <c r="G202" s="63">
        <v>0</v>
      </c>
      <c r="H202" s="32">
        <v>0</v>
      </c>
      <c r="I202" s="32">
        <v>0</v>
      </c>
      <c r="J202" s="32">
        <v>0</v>
      </c>
      <c r="K202" s="32">
        <v>214200</v>
      </c>
      <c r="L202" s="32">
        <v>0</v>
      </c>
      <c r="M202" s="63">
        <v>751590</v>
      </c>
      <c r="N202" s="1"/>
    </row>
    <row r="203" spans="1:14" ht="16" hidden="1" customHeight="1" outlineLevel="1" x14ac:dyDescent="0.45">
      <c r="A203" s="29" t="s">
        <v>154</v>
      </c>
      <c r="B203" s="44">
        <v>864172</v>
      </c>
      <c r="C203" s="71">
        <v>847999</v>
      </c>
      <c r="D203" s="71">
        <v>16173</v>
      </c>
      <c r="E203" s="64">
        <v>0</v>
      </c>
      <c r="F203" s="63">
        <v>0</v>
      </c>
      <c r="G203" s="63">
        <v>0</v>
      </c>
      <c r="H203" s="32">
        <v>0</v>
      </c>
      <c r="I203" s="32">
        <v>0</v>
      </c>
      <c r="J203" s="32">
        <v>0</v>
      </c>
      <c r="K203" s="32">
        <v>0</v>
      </c>
      <c r="L203" s="32">
        <v>0</v>
      </c>
      <c r="M203" s="63">
        <v>0</v>
      </c>
      <c r="N203" s="1"/>
    </row>
    <row r="204" spans="1:14" ht="16" hidden="1" customHeight="1" outlineLevel="1" x14ac:dyDescent="0.45">
      <c r="A204" s="29" t="s">
        <v>96</v>
      </c>
      <c r="B204" s="44">
        <v>24521120</v>
      </c>
      <c r="C204" s="71">
        <v>332000</v>
      </c>
      <c r="D204" s="71">
        <v>1074000</v>
      </c>
      <c r="E204" s="64">
        <v>23115120</v>
      </c>
      <c r="F204" s="63">
        <v>19874469.254445717</v>
      </c>
      <c r="G204" s="63">
        <v>2919650.7455542837</v>
      </c>
      <c r="H204" s="32">
        <v>0</v>
      </c>
      <c r="I204" s="32">
        <v>0</v>
      </c>
      <c r="J204" s="32">
        <v>0</v>
      </c>
      <c r="K204" s="32">
        <v>123000</v>
      </c>
      <c r="L204" s="32">
        <v>128000</v>
      </c>
      <c r="M204" s="63">
        <v>70000</v>
      </c>
      <c r="N204" s="1"/>
    </row>
    <row r="205" spans="1:14" ht="16" hidden="1" customHeight="1" outlineLevel="1" x14ac:dyDescent="0.45">
      <c r="A205" s="29" t="s">
        <v>97</v>
      </c>
      <c r="B205" s="44">
        <v>31600</v>
      </c>
      <c r="C205" s="71">
        <v>13000</v>
      </c>
      <c r="D205" s="71">
        <v>0</v>
      </c>
      <c r="E205" s="64">
        <v>18600</v>
      </c>
      <c r="F205" s="63">
        <v>18600</v>
      </c>
      <c r="G205" s="63">
        <v>0</v>
      </c>
      <c r="H205" s="32">
        <v>0</v>
      </c>
      <c r="I205" s="32">
        <v>0</v>
      </c>
      <c r="J205" s="32">
        <v>0</v>
      </c>
      <c r="K205" s="32">
        <v>0</v>
      </c>
      <c r="L205" s="32">
        <v>0</v>
      </c>
      <c r="M205" s="63">
        <v>0</v>
      </c>
      <c r="N205" s="1"/>
    </row>
    <row r="206" spans="1:14" ht="16" hidden="1" customHeight="1" outlineLevel="1" x14ac:dyDescent="0.45">
      <c r="A206" s="29" t="s">
        <v>98</v>
      </c>
      <c r="B206" s="44">
        <v>22870000</v>
      </c>
      <c r="C206" s="71">
        <v>14660000</v>
      </c>
      <c r="D206" s="71">
        <v>0</v>
      </c>
      <c r="E206" s="64">
        <v>8210000</v>
      </c>
      <c r="F206" s="63">
        <v>1120000</v>
      </c>
      <c r="G206" s="63">
        <v>1790000</v>
      </c>
      <c r="H206" s="32">
        <v>0</v>
      </c>
      <c r="I206" s="32">
        <v>0</v>
      </c>
      <c r="J206" s="32">
        <v>0</v>
      </c>
      <c r="K206" s="32">
        <v>0</v>
      </c>
      <c r="L206" s="32">
        <v>4200000</v>
      </c>
      <c r="M206" s="63">
        <v>1100000</v>
      </c>
      <c r="N206" s="1"/>
    </row>
    <row r="207" spans="1:14" ht="16" hidden="1" customHeight="1" outlineLevel="1" x14ac:dyDescent="0.45">
      <c r="A207" s="29" t="s">
        <v>99</v>
      </c>
      <c r="B207" s="44">
        <v>318896968</v>
      </c>
      <c r="C207" s="71">
        <v>89518603</v>
      </c>
      <c r="D207" s="71">
        <v>0</v>
      </c>
      <c r="E207" s="64">
        <v>229378365</v>
      </c>
      <c r="F207" s="63">
        <v>30480822.090696309</v>
      </c>
      <c r="G207" s="63">
        <v>3499921.9093036912</v>
      </c>
      <c r="H207" s="32">
        <v>161622550</v>
      </c>
      <c r="I207" s="32">
        <v>0</v>
      </c>
      <c r="J207" s="32">
        <v>0</v>
      </c>
      <c r="K207" s="32">
        <v>6060809</v>
      </c>
      <c r="L207" s="32">
        <v>120000</v>
      </c>
      <c r="M207" s="63">
        <v>27594262</v>
      </c>
      <c r="N207" s="1"/>
    </row>
    <row r="208" spans="1:14" ht="16" hidden="1" customHeight="1" outlineLevel="1" x14ac:dyDescent="0.45">
      <c r="A208" s="29" t="s">
        <v>155</v>
      </c>
      <c r="B208" s="44">
        <v>7432669</v>
      </c>
      <c r="C208" s="71">
        <v>7432669</v>
      </c>
      <c r="D208" s="71">
        <v>0</v>
      </c>
      <c r="E208" s="64">
        <v>0</v>
      </c>
      <c r="F208" s="63">
        <v>0</v>
      </c>
      <c r="G208" s="63">
        <v>0</v>
      </c>
      <c r="H208" s="32">
        <v>0</v>
      </c>
      <c r="I208" s="32">
        <v>0</v>
      </c>
      <c r="J208" s="32">
        <v>0</v>
      </c>
      <c r="K208" s="32">
        <v>0</v>
      </c>
      <c r="L208" s="32">
        <v>0</v>
      </c>
      <c r="M208" s="63">
        <v>0</v>
      </c>
      <c r="N208" s="1"/>
    </row>
    <row r="209" spans="1:14" ht="16" hidden="1" customHeight="1" outlineLevel="1" x14ac:dyDescent="0.45">
      <c r="A209" s="29" t="s">
        <v>100</v>
      </c>
      <c r="B209" s="44">
        <v>240863780</v>
      </c>
      <c r="C209" s="71">
        <v>-80173478</v>
      </c>
      <c r="D209" s="71">
        <v>104337058</v>
      </c>
      <c r="E209" s="64">
        <v>216700200</v>
      </c>
      <c r="F209" s="63">
        <v>121916811.51053262</v>
      </c>
      <c r="G209" s="63">
        <v>2333546.4894673815</v>
      </c>
      <c r="H209" s="32">
        <v>82944055</v>
      </c>
      <c r="I209" s="32">
        <v>1475177.5</v>
      </c>
      <c r="J209" s="32">
        <v>1475177.5</v>
      </c>
      <c r="K209" s="32">
        <v>6555432</v>
      </c>
      <c r="L209" s="32">
        <v>0</v>
      </c>
      <c r="M209" s="63">
        <v>0</v>
      </c>
      <c r="N209" s="1"/>
    </row>
    <row r="210" spans="1:14" ht="16" hidden="1" customHeight="1" outlineLevel="1" x14ac:dyDescent="0.45">
      <c r="A210" s="24" t="s">
        <v>212</v>
      </c>
      <c r="B210" s="45">
        <v>0</v>
      </c>
      <c r="C210" s="71">
        <v>0</v>
      </c>
      <c r="D210" s="71">
        <v>0</v>
      </c>
      <c r="E210" s="64">
        <v>0</v>
      </c>
      <c r="F210" s="63">
        <v>0</v>
      </c>
      <c r="G210" s="63">
        <v>0</v>
      </c>
      <c r="H210" s="32">
        <v>0</v>
      </c>
      <c r="I210" s="32">
        <v>0</v>
      </c>
      <c r="J210" s="32">
        <v>0</v>
      </c>
      <c r="K210" s="32">
        <v>0</v>
      </c>
      <c r="L210" s="32">
        <v>0</v>
      </c>
      <c r="M210" s="63">
        <v>0</v>
      </c>
      <c r="N210" s="1"/>
    </row>
    <row r="211" spans="1:14" ht="16" hidden="1" customHeight="1" outlineLevel="1" x14ac:dyDescent="0.45">
      <c r="A211" s="29" t="s">
        <v>213</v>
      </c>
      <c r="B211" s="44">
        <v>0</v>
      </c>
      <c r="C211" s="71">
        <v>0</v>
      </c>
      <c r="D211" s="71">
        <v>0</v>
      </c>
      <c r="E211" s="64">
        <v>0</v>
      </c>
      <c r="F211" s="63">
        <v>0</v>
      </c>
      <c r="G211" s="63">
        <v>0</v>
      </c>
      <c r="H211" s="32">
        <v>0</v>
      </c>
      <c r="I211" s="32">
        <v>0</v>
      </c>
      <c r="J211" s="32">
        <v>0</v>
      </c>
      <c r="K211" s="32">
        <v>0</v>
      </c>
      <c r="L211" s="32">
        <v>0</v>
      </c>
      <c r="M211" s="63">
        <v>0</v>
      </c>
      <c r="N211" s="1"/>
    </row>
    <row r="212" spans="1:14" ht="16" hidden="1" customHeight="1" outlineLevel="1" x14ac:dyDescent="0.45">
      <c r="A212" s="24" t="s">
        <v>214</v>
      </c>
      <c r="B212" s="45">
        <v>0</v>
      </c>
      <c r="C212" s="71">
        <v>0</v>
      </c>
      <c r="D212" s="71">
        <v>0</v>
      </c>
      <c r="E212" s="64">
        <v>0</v>
      </c>
      <c r="F212" s="63">
        <v>0</v>
      </c>
      <c r="G212" s="63">
        <v>0</v>
      </c>
      <c r="H212" s="32">
        <v>0</v>
      </c>
      <c r="I212" s="32">
        <v>0</v>
      </c>
      <c r="J212" s="32">
        <v>0</v>
      </c>
      <c r="K212" s="32">
        <v>0</v>
      </c>
      <c r="L212" s="32">
        <v>0</v>
      </c>
      <c r="M212" s="63">
        <v>0</v>
      </c>
      <c r="N212" s="1"/>
    </row>
    <row r="213" spans="1:14" ht="16" hidden="1" customHeight="1" outlineLevel="1" x14ac:dyDescent="0.45">
      <c r="A213" s="29" t="s">
        <v>215</v>
      </c>
      <c r="B213" s="44">
        <v>0</v>
      </c>
      <c r="C213" s="71">
        <v>0</v>
      </c>
      <c r="D213" s="71">
        <v>0</v>
      </c>
      <c r="E213" s="64">
        <v>0</v>
      </c>
      <c r="F213" s="63">
        <v>0</v>
      </c>
      <c r="G213" s="63">
        <v>0</v>
      </c>
      <c r="H213" s="32">
        <v>0</v>
      </c>
      <c r="I213" s="32">
        <v>0</v>
      </c>
      <c r="J213" s="32">
        <v>0</v>
      </c>
      <c r="K213" s="32">
        <v>0</v>
      </c>
      <c r="L213" s="32">
        <v>0</v>
      </c>
      <c r="M213" s="63">
        <v>0</v>
      </c>
      <c r="N213" s="1"/>
    </row>
    <row r="214" spans="1:14" ht="16" hidden="1" customHeight="1" outlineLevel="1" x14ac:dyDescent="0.45">
      <c r="A214" s="29" t="s">
        <v>257</v>
      </c>
      <c r="B214" s="44">
        <v>877273</v>
      </c>
      <c r="C214" s="71">
        <v>0</v>
      </c>
      <c r="D214" s="71">
        <v>0</v>
      </c>
      <c r="E214" s="64">
        <v>877273</v>
      </c>
      <c r="F214" s="63">
        <v>0</v>
      </c>
      <c r="G214" s="63">
        <v>0</v>
      </c>
      <c r="H214" s="32">
        <v>0</v>
      </c>
      <c r="I214" s="32">
        <v>0</v>
      </c>
      <c r="J214" s="32">
        <v>0</v>
      </c>
      <c r="K214" s="32">
        <v>877273</v>
      </c>
      <c r="L214" s="32">
        <v>0</v>
      </c>
      <c r="M214" s="63">
        <v>0</v>
      </c>
      <c r="N214" s="1"/>
    </row>
    <row r="215" spans="1:14" s="1" customFormat="1" collapsed="1" x14ac:dyDescent="0.45">
      <c r="A215" s="28" t="s">
        <v>156</v>
      </c>
      <c r="B215" s="43">
        <v>27242000</v>
      </c>
      <c r="C215" s="69">
        <v>2350000</v>
      </c>
      <c r="D215" s="69">
        <v>0</v>
      </c>
      <c r="E215" s="61">
        <v>24892000</v>
      </c>
      <c r="F215" s="60">
        <v>0</v>
      </c>
      <c r="G215" s="60">
        <v>0</v>
      </c>
      <c r="H215" s="70">
        <v>24892000</v>
      </c>
      <c r="I215" s="70">
        <v>0</v>
      </c>
      <c r="J215" s="70">
        <v>0</v>
      </c>
      <c r="K215" s="70">
        <v>0</v>
      </c>
      <c r="L215" s="70">
        <v>0</v>
      </c>
      <c r="M215" s="60">
        <v>0</v>
      </c>
    </row>
    <row r="216" spans="1:14" ht="16" hidden="1" customHeight="1" outlineLevel="1" x14ac:dyDescent="0.45">
      <c r="A216" s="29" t="s">
        <v>157</v>
      </c>
      <c r="B216" s="44">
        <v>27242000</v>
      </c>
      <c r="C216" s="71">
        <v>2350000</v>
      </c>
      <c r="D216" s="71">
        <v>0</v>
      </c>
      <c r="E216" s="64">
        <v>24892000</v>
      </c>
      <c r="F216" s="63">
        <v>0</v>
      </c>
      <c r="G216" s="63">
        <v>0</v>
      </c>
      <c r="H216" s="32">
        <v>24892000</v>
      </c>
      <c r="I216" s="32">
        <v>0</v>
      </c>
      <c r="J216" s="32">
        <v>0</v>
      </c>
      <c r="K216" s="32">
        <v>0</v>
      </c>
      <c r="L216" s="32">
        <v>0</v>
      </c>
      <c r="M216" s="63">
        <v>0</v>
      </c>
      <c r="N216" s="1"/>
    </row>
    <row r="217" spans="1:14" s="1" customFormat="1" collapsed="1" x14ac:dyDescent="0.45">
      <c r="A217" s="28" t="s">
        <v>101</v>
      </c>
      <c r="B217" s="43">
        <v>1247760626</v>
      </c>
      <c r="C217" s="69">
        <v>-2306940113</v>
      </c>
      <c r="D217" s="69">
        <v>4976364</v>
      </c>
      <c r="E217" s="61">
        <v>3549724375</v>
      </c>
      <c r="F217" s="60">
        <v>1961638807.5165715</v>
      </c>
      <c r="G217" s="60">
        <v>25233777.483428508</v>
      </c>
      <c r="H217" s="70">
        <v>734792030</v>
      </c>
      <c r="I217" s="70">
        <v>5828700</v>
      </c>
      <c r="J217" s="70">
        <v>111720</v>
      </c>
      <c r="K217" s="70">
        <v>23304050</v>
      </c>
      <c r="L217" s="70">
        <v>787607530</v>
      </c>
      <c r="M217" s="60">
        <v>11207760</v>
      </c>
    </row>
    <row r="218" spans="1:14" s="1" customFormat="1" ht="16" hidden="1" customHeight="1" outlineLevel="1" x14ac:dyDescent="0.45">
      <c r="A218" s="28" t="s">
        <v>166</v>
      </c>
      <c r="B218" s="43">
        <v>0</v>
      </c>
      <c r="C218" s="69">
        <v>-483594760</v>
      </c>
      <c r="D218" s="69">
        <v>0</v>
      </c>
      <c r="E218" s="61">
        <v>483594760</v>
      </c>
      <c r="F218" s="60">
        <v>440988890</v>
      </c>
      <c r="G218" s="60">
        <v>0</v>
      </c>
      <c r="H218" s="70">
        <v>20166500</v>
      </c>
      <c r="I218" s="70">
        <v>75200</v>
      </c>
      <c r="J218" s="70">
        <v>111720</v>
      </c>
      <c r="K218" s="70">
        <v>22032050</v>
      </c>
      <c r="L218" s="70">
        <v>220400</v>
      </c>
      <c r="M218" s="60">
        <v>0</v>
      </c>
    </row>
    <row r="219" spans="1:14" ht="16" hidden="1" customHeight="1" outlineLevel="1" x14ac:dyDescent="0.45">
      <c r="A219" s="29" t="s">
        <v>216</v>
      </c>
      <c r="B219" s="44">
        <v>0</v>
      </c>
      <c r="C219" s="71">
        <v>0</v>
      </c>
      <c r="D219" s="71">
        <v>0</v>
      </c>
      <c r="E219" s="64">
        <v>0</v>
      </c>
      <c r="F219" s="63">
        <v>0</v>
      </c>
      <c r="G219" s="63">
        <v>0</v>
      </c>
      <c r="H219" s="32">
        <v>0</v>
      </c>
      <c r="I219" s="32">
        <v>0</v>
      </c>
      <c r="J219" s="32">
        <v>0</v>
      </c>
      <c r="K219" s="32">
        <v>0</v>
      </c>
      <c r="L219" s="32">
        <v>0</v>
      </c>
      <c r="M219" s="63">
        <v>0</v>
      </c>
      <c r="N219" s="1"/>
    </row>
    <row r="220" spans="1:14" ht="16" hidden="1" customHeight="1" outlineLevel="1" x14ac:dyDescent="0.45">
      <c r="A220" s="29" t="s">
        <v>102</v>
      </c>
      <c r="B220" s="44">
        <v>0</v>
      </c>
      <c r="C220" s="71">
        <v>0</v>
      </c>
      <c r="D220" s="71">
        <v>0</v>
      </c>
      <c r="E220" s="64">
        <v>0</v>
      </c>
      <c r="F220" s="63">
        <v>0</v>
      </c>
      <c r="G220" s="63">
        <v>0</v>
      </c>
      <c r="H220" s="32">
        <v>0</v>
      </c>
      <c r="I220" s="32">
        <v>0</v>
      </c>
      <c r="J220" s="32">
        <v>0</v>
      </c>
      <c r="K220" s="32">
        <v>0</v>
      </c>
      <c r="L220" s="32">
        <v>0</v>
      </c>
      <c r="M220" s="63">
        <v>0</v>
      </c>
      <c r="N220" s="1"/>
    </row>
    <row r="221" spans="1:14" ht="16" hidden="1" customHeight="1" outlineLevel="1" x14ac:dyDescent="0.45">
      <c r="A221" s="29" t="s">
        <v>103</v>
      </c>
      <c r="B221" s="44">
        <v>26305918</v>
      </c>
      <c r="C221" s="71">
        <v>2409984</v>
      </c>
      <c r="D221" s="71">
        <v>0</v>
      </c>
      <c r="E221" s="64">
        <v>23895934</v>
      </c>
      <c r="F221" s="63">
        <v>23395934</v>
      </c>
      <c r="G221" s="63">
        <v>0</v>
      </c>
      <c r="H221" s="32">
        <v>0</v>
      </c>
      <c r="I221" s="32">
        <v>0</v>
      </c>
      <c r="J221" s="32">
        <v>0</v>
      </c>
      <c r="K221" s="32">
        <v>0</v>
      </c>
      <c r="L221" s="32">
        <v>500000</v>
      </c>
      <c r="M221" s="63">
        <v>0</v>
      </c>
      <c r="N221" s="1"/>
    </row>
    <row r="222" spans="1:14" s="1" customFormat="1" ht="16" hidden="1" customHeight="1" outlineLevel="1" collapsed="1" x14ac:dyDescent="0.45">
      <c r="A222" s="28" t="s">
        <v>104</v>
      </c>
      <c r="B222" s="43">
        <v>0</v>
      </c>
      <c r="C222" s="69">
        <v>-1865364600</v>
      </c>
      <c r="D222" s="69">
        <v>0</v>
      </c>
      <c r="E222" s="61">
        <v>1865364600</v>
      </c>
      <c r="F222" s="60">
        <v>1268867500</v>
      </c>
      <c r="G222" s="60">
        <v>0</v>
      </c>
      <c r="H222" s="70">
        <v>0</v>
      </c>
      <c r="I222" s="70">
        <v>0</v>
      </c>
      <c r="J222" s="70">
        <v>0</v>
      </c>
      <c r="K222" s="70">
        <v>0</v>
      </c>
      <c r="L222" s="70">
        <v>596497100</v>
      </c>
      <c r="M222" s="60">
        <v>0</v>
      </c>
    </row>
    <row r="223" spans="1:14" ht="16" hidden="1" customHeight="1" outlineLevel="1" x14ac:dyDescent="0.45">
      <c r="A223" s="29" t="s">
        <v>116</v>
      </c>
      <c r="B223" s="44">
        <v>46427884</v>
      </c>
      <c r="C223" s="71">
        <v>4000000</v>
      </c>
      <c r="D223" s="71">
        <v>4976364</v>
      </c>
      <c r="E223" s="64">
        <v>37451520</v>
      </c>
      <c r="F223" s="63">
        <v>4340000</v>
      </c>
      <c r="G223" s="63">
        <v>23645396</v>
      </c>
      <c r="H223" s="32">
        <v>0</v>
      </c>
      <c r="I223" s="32">
        <v>0</v>
      </c>
      <c r="J223" s="32">
        <v>0</v>
      </c>
      <c r="K223" s="32">
        <v>0</v>
      </c>
      <c r="L223" s="32">
        <v>28800</v>
      </c>
      <c r="M223" s="63">
        <v>9437324</v>
      </c>
      <c r="N223" s="1"/>
    </row>
    <row r="224" spans="1:14" ht="16" hidden="1" customHeight="1" outlineLevel="1" x14ac:dyDescent="0.45">
      <c r="A224" s="29" t="s">
        <v>105</v>
      </c>
      <c r="B224" s="44">
        <v>1153414024</v>
      </c>
      <c r="C224" s="71">
        <v>35609263</v>
      </c>
      <c r="D224" s="71">
        <v>0</v>
      </c>
      <c r="E224" s="64">
        <v>1117804761</v>
      </c>
      <c r="F224" s="63">
        <v>224046483.51657149</v>
      </c>
      <c r="G224" s="63">
        <v>1588381.4834285094</v>
      </c>
      <c r="H224" s="32">
        <v>714625530</v>
      </c>
      <c r="I224" s="72">
        <v>5753500</v>
      </c>
      <c r="J224" s="72">
        <v>0</v>
      </c>
      <c r="K224" s="72">
        <v>1272000</v>
      </c>
      <c r="L224" s="72">
        <v>168748430</v>
      </c>
      <c r="M224" s="63">
        <v>1770436</v>
      </c>
      <c r="N224" s="1"/>
    </row>
    <row r="225" spans="1:14" ht="16" hidden="1" customHeight="1" outlineLevel="1" x14ac:dyDescent="0.45">
      <c r="A225" s="29" t="s">
        <v>217</v>
      </c>
      <c r="B225" s="44">
        <v>0</v>
      </c>
      <c r="C225" s="71">
        <v>0</v>
      </c>
      <c r="D225" s="71">
        <v>0</v>
      </c>
      <c r="E225" s="64">
        <v>0</v>
      </c>
      <c r="F225" s="63">
        <v>0</v>
      </c>
      <c r="G225" s="63">
        <v>0</v>
      </c>
      <c r="H225" s="32">
        <v>0</v>
      </c>
      <c r="I225" s="32">
        <v>0</v>
      </c>
      <c r="J225" s="32">
        <v>0</v>
      </c>
      <c r="K225" s="32">
        <v>0</v>
      </c>
      <c r="L225" s="32">
        <v>0</v>
      </c>
      <c r="M225" s="63">
        <v>0</v>
      </c>
      <c r="N225" s="1"/>
    </row>
    <row r="226" spans="1:14" ht="16" hidden="1" customHeight="1" outlineLevel="1" x14ac:dyDescent="0.45">
      <c r="A226" s="29" t="s">
        <v>106</v>
      </c>
      <c r="B226" s="44">
        <v>21612800</v>
      </c>
      <c r="C226" s="71">
        <v>0</v>
      </c>
      <c r="D226" s="71">
        <v>0</v>
      </c>
      <c r="E226" s="64">
        <v>21612800</v>
      </c>
      <c r="F226" s="63">
        <v>0</v>
      </c>
      <c r="G226" s="63">
        <v>0</v>
      </c>
      <c r="H226" s="32">
        <v>0</v>
      </c>
      <c r="I226" s="32">
        <v>0</v>
      </c>
      <c r="J226" s="32">
        <v>0</v>
      </c>
      <c r="K226" s="32">
        <v>0</v>
      </c>
      <c r="L226" s="32">
        <v>21612800</v>
      </c>
      <c r="M226" s="63">
        <v>0</v>
      </c>
      <c r="N226" s="1"/>
    </row>
    <row r="227" spans="1:14" s="1" customFormat="1" ht="16" hidden="1" customHeight="1" outlineLevel="1" collapsed="1" x14ac:dyDescent="0.45">
      <c r="A227" s="28" t="s">
        <v>260</v>
      </c>
      <c r="B227" s="43">
        <v>0</v>
      </c>
      <c r="C227" s="69">
        <v>0</v>
      </c>
      <c r="D227" s="69">
        <v>0</v>
      </c>
      <c r="E227" s="61">
        <v>0</v>
      </c>
      <c r="F227" s="60">
        <v>0</v>
      </c>
      <c r="G227" s="60">
        <v>0</v>
      </c>
      <c r="H227" s="70">
        <v>0</v>
      </c>
      <c r="I227" s="70">
        <v>0</v>
      </c>
      <c r="J227" s="70">
        <v>0</v>
      </c>
      <c r="K227" s="70">
        <v>0</v>
      </c>
      <c r="L227" s="70">
        <v>0</v>
      </c>
      <c r="M227" s="60">
        <v>0</v>
      </c>
    </row>
    <row r="228" spans="1:14" s="1" customFormat="1" collapsed="1" x14ac:dyDescent="0.45">
      <c r="A228" s="28" t="s">
        <v>218</v>
      </c>
      <c r="B228" s="43">
        <v>0</v>
      </c>
      <c r="C228" s="69">
        <v>0</v>
      </c>
      <c r="D228" s="69">
        <v>0</v>
      </c>
      <c r="E228" s="61">
        <v>0</v>
      </c>
      <c r="F228" s="60">
        <v>0</v>
      </c>
      <c r="G228" s="60">
        <v>0</v>
      </c>
      <c r="H228" s="70">
        <v>0</v>
      </c>
      <c r="I228" s="70">
        <v>0</v>
      </c>
      <c r="J228" s="70">
        <v>0</v>
      </c>
      <c r="K228" s="70">
        <v>0</v>
      </c>
      <c r="L228" s="70">
        <v>0</v>
      </c>
      <c r="M228" s="60">
        <v>0</v>
      </c>
    </row>
    <row r="229" spans="1:14" s="1" customFormat="1" x14ac:dyDescent="0.45">
      <c r="A229" s="28" t="s">
        <v>107</v>
      </c>
      <c r="B229" s="43">
        <v>1584603599</v>
      </c>
      <c r="C229" s="69">
        <v>-8419912</v>
      </c>
      <c r="D229" s="69">
        <v>1957961</v>
      </c>
      <c r="E229" s="61">
        <v>1591065550</v>
      </c>
      <c r="F229" s="60">
        <v>0</v>
      </c>
      <c r="G229" s="60">
        <v>-90088</v>
      </c>
      <c r="H229" s="70">
        <v>62716369</v>
      </c>
      <c r="I229" s="70">
        <v>28150636.199999999</v>
      </c>
      <c r="J229" s="70">
        <v>1391218657.8</v>
      </c>
      <c r="K229" s="70">
        <v>100559975</v>
      </c>
      <c r="L229" s="70">
        <v>8510000</v>
      </c>
      <c r="M229" s="60">
        <v>0</v>
      </c>
    </row>
    <row r="230" spans="1:14" ht="16" hidden="1" customHeight="1" outlineLevel="1" x14ac:dyDescent="0.45">
      <c r="A230" s="29" t="s">
        <v>158</v>
      </c>
      <c r="B230" s="44">
        <v>0</v>
      </c>
      <c r="C230" s="71">
        <v>0</v>
      </c>
      <c r="D230" s="71">
        <v>0</v>
      </c>
      <c r="E230" s="64">
        <v>0</v>
      </c>
      <c r="F230" s="63">
        <v>0</v>
      </c>
      <c r="G230" s="63">
        <v>0</v>
      </c>
      <c r="H230" s="32">
        <v>0</v>
      </c>
      <c r="I230" s="32">
        <v>0</v>
      </c>
      <c r="J230" s="32">
        <v>0</v>
      </c>
      <c r="K230" s="32">
        <v>0</v>
      </c>
      <c r="L230" s="32">
        <v>0</v>
      </c>
      <c r="M230" s="63">
        <v>0</v>
      </c>
      <c r="N230" s="1"/>
    </row>
    <row r="231" spans="1:14" ht="16" hidden="1" customHeight="1" outlineLevel="1" x14ac:dyDescent="0.45">
      <c r="A231" s="29" t="s">
        <v>219</v>
      </c>
      <c r="B231" s="44">
        <v>0</v>
      </c>
      <c r="C231" s="71">
        <v>0</v>
      </c>
      <c r="D231" s="71">
        <v>0</v>
      </c>
      <c r="E231" s="64">
        <v>0</v>
      </c>
      <c r="F231" s="63">
        <v>0</v>
      </c>
      <c r="G231" s="63">
        <v>0</v>
      </c>
      <c r="H231" s="32">
        <v>0</v>
      </c>
      <c r="I231" s="32">
        <v>0</v>
      </c>
      <c r="J231" s="32">
        <v>0</v>
      </c>
      <c r="K231" s="32">
        <v>0</v>
      </c>
      <c r="L231" s="32">
        <v>0</v>
      </c>
      <c r="M231" s="63">
        <v>0</v>
      </c>
      <c r="N231" s="1"/>
    </row>
    <row r="232" spans="1:14" ht="16" hidden="1" customHeight="1" outlineLevel="1" x14ac:dyDescent="0.45">
      <c r="A232" s="29" t="s">
        <v>230</v>
      </c>
      <c r="B232" s="44">
        <v>1582645638</v>
      </c>
      <c r="C232" s="71">
        <v>0</v>
      </c>
      <c r="D232" s="71">
        <v>0</v>
      </c>
      <c r="E232" s="64">
        <v>1582645638</v>
      </c>
      <c r="F232" s="63">
        <v>0</v>
      </c>
      <c r="G232" s="63">
        <v>0</v>
      </c>
      <c r="H232" s="32">
        <v>62716369</v>
      </c>
      <c r="I232" s="32">
        <v>28150636.199999999</v>
      </c>
      <c r="J232" s="32">
        <v>1391218657.8</v>
      </c>
      <c r="K232" s="32">
        <v>100559975</v>
      </c>
      <c r="L232" s="32">
        <v>0</v>
      </c>
      <c r="M232" s="63">
        <v>0</v>
      </c>
      <c r="N232" s="1"/>
    </row>
    <row r="233" spans="1:14" ht="16" hidden="1" customHeight="1" outlineLevel="1" x14ac:dyDescent="0.45">
      <c r="A233" s="29" t="s">
        <v>220</v>
      </c>
      <c r="B233" s="44">
        <v>0</v>
      </c>
      <c r="C233" s="71">
        <v>0</v>
      </c>
      <c r="D233" s="71">
        <v>0</v>
      </c>
      <c r="E233" s="64">
        <v>0</v>
      </c>
      <c r="F233" s="63">
        <v>0</v>
      </c>
      <c r="G233" s="63">
        <v>0</v>
      </c>
      <c r="H233" s="32">
        <v>0</v>
      </c>
      <c r="I233" s="32">
        <v>0</v>
      </c>
      <c r="J233" s="32">
        <v>0</v>
      </c>
      <c r="K233" s="32">
        <v>0</v>
      </c>
      <c r="L233" s="32">
        <v>0</v>
      </c>
      <c r="M233" s="63">
        <v>0</v>
      </c>
      <c r="N233" s="1"/>
    </row>
    <row r="234" spans="1:14" s="1" customFormat="1" ht="16" hidden="1" customHeight="1" outlineLevel="1" collapsed="1" x14ac:dyDescent="0.45">
      <c r="A234" s="28" t="s">
        <v>108</v>
      </c>
      <c r="B234" s="44">
        <v>0</v>
      </c>
      <c r="C234" s="69">
        <v>-228094</v>
      </c>
      <c r="D234" s="69">
        <v>0</v>
      </c>
      <c r="E234" s="61">
        <v>228094</v>
      </c>
      <c r="F234" s="60">
        <v>0</v>
      </c>
      <c r="G234" s="60">
        <v>228094</v>
      </c>
      <c r="H234" s="70">
        <v>0</v>
      </c>
      <c r="I234" s="70">
        <v>0</v>
      </c>
      <c r="J234" s="70">
        <v>0</v>
      </c>
      <c r="K234" s="70">
        <v>0</v>
      </c>
      <c r="L234" s="70">
        <v>0</v>
      </c>
      <c r="M234" s="60">
        <v>0</v>
      </c>
    </row>
    <row r="235" spans="1:14" ht="16" hidden="1" customHeight="1" outlineLevel="1" x14ac:dyDescent="0.45">
      <c r="A235" s="29" t="s">
        <v>221</v>
      </c>
      <c r="B235" s="44">
        <v>0</v>
      </c>
      <c r="C235" s="71">
        <v>0</v>
      </c>
      <c r="D235" s="71">
        <v>0</v>
      </c>
      <c r="E235" s="64">
        <v>0</v>
      </c>
      <c r="F235" s="63">
        <v>0</v>
      </c>
      <c r="G235" s="63">
        <v>0</v>
      </c>
      <c r="H235" s="32">
        <v>0</v>
      </c>
      <c r="I235" s="32">
        <v>0</v>
      </c>
      <c r="J235" s="32">
        <v>0</v>
      </c>
      <c r="K235" s="32">
        <v>0</v>
      </c>
      <c r="L235" s="32">
        <v>0</v>
      </c>
      <c r="M235" s="63">
        <v>0</v>
      </c>
      <c r="N235" s="1"/>
    </row>
    <row r="236" spans="1:14" ht="16" hidden="1" customHeight="1" outlineLevel="1" x14ac:dyDescent="0.45">
      <c r="A236" s="29" t="s">
        <v>222</v>
      </c>
      <c r="B236" s="44">
        <v>1957961</v>
      </c>
      <c r="C236" s="71">
        <v>0</v>
      </c>
      <c r="D236" s="71">
        <v>1957961</v>
      </c>
      <c r="E236" s="64">
        <v>0</v>
      </c>
      <c r="F236" s="63">
        <v>0</v>
      </c>
      <c r="G236" s="63">
        <v>0</v>
      </c>
      <c r="H236" s="32">
        <v>0</v>
      </c>
      <c r="I236" s="32">
        <v>0</v>
      </c>
      <c r="J236" s="32">
        <v>0</v>
      </c>
      <c r="K236" s="32">
        <v>0</v>
      </c>
      <c r="L236" s="32">
        <v>0</v>
      </c>
      <c r="M236" s="63">
        <v>0</v>
      </c>
      <c r="N236" s="1"/>
    </row>
    <row r="237" spans="1:14" s="1" customFormat="1" ht="16" hidden="1" customHeight="1" outlineLevel="1" collapsed="1" x14ac:dyDescent="0.45">
      <c r="A237" s="28" t="s">
        <v>109</v>
      </c>
      <c r="B237" s="44">
        <v>0</v>
      </c>
      <c r="C237" s="69">
        <v>-8191818</v>
      </c>
      <c r="D237" s="69">
        <v>0</v>
      </c>
      <c r="E237" s="61">
        <v>8191818</v>
      </c>
      <c r="F237" s="60">
        <v>0</v>
      </c>
      <c r="G237" s="60">
        <v>-318182</v>
      </c>
      <c r="H237" s="70">
        <v>0</v>
      </c>
      <c r="I237" s="70">
        <v>0</v>
      </c>
      <c r="J237" s="70">
        <v>0</v>
      </c>
      <c r="K237" s="70">
        <v>0</v>
      </c>
      <c r="L237" s="70">
        <v>8510000</v>
      </c>
      <c r="M237" s="60">
        <v>0</v>
      </c>
    </row>
    <row r="238" spans="1:14" s="1" customFormat="1" ht="16" customHeight="1" collapsed="1" x14ac:dyDescent="0.45">
      <c r="A238" s="28" t="s">
        <v>110</v>
      </c>
      <c r="B238" s="44">
        <v>20810258</v>
      </c>
      <c r="C238" s="69">
        <v>18310258</v>
      </c>
      <c r="D238" s="69">
        <v>0</v>
      </c>
      <c r="E238" s="61">
        <v>2500000</v>
      </c>
      <c r="F238" s="60">
        <v>0</v>
      </c>
      <c r="G238" s="60">
        <v>0</v>
      </c>
      <c r="H238" s="70">
        <v>0</v>
      </c>
      <c r="I238" s="70">
        <v>0</v>
      </c>
      <c r="J238" s="70">
        <v>0</v>
      </c>
      <c r="K238" s="70">
        <v>0</v>
      </c>
      <c r="L238" s="70">
        <v>0</v>
      </c>
      <c r="M238" s="60">
        <v>2500000</v>
      </c>
    </row>
    <row r="239" spans="1:14" s="1" customFormat="1" collapsed="1" x14ac:dyDescent="0.45">
      <c r="A239" s="27" t="s">
        <v>231</v>
      </c>
      <c r="B239" s="42">
        <v>3421423873</v>
      </c>
      <c r="C239" s="73">
        <v>-3264707086</v>
      </c>
      <c r="D239" s="73">
        <v>-395780139</v>
      </c>
      <c r="E239" s="58">
        <v>7081911098</v>
      </c>
      <c r="F239" s="57">
        <v>5489229698.3048162</v>
      </c>
      <c r="G239" s="57">
        <v>1382081112.2947702</v>
      </c>
      <c r="H239" s="57">
        <v>205525162.40041322</v>
      </c>
      <c r="I239" s="57">
        <v>47977835.633438647</v>
      </c>
      <c r="J239" s="57">
        <v>66024343.643280506</v>
      </c>
      <c r="K239" s="57">
        <v>197495552.38506734</v>
      </c>
      <c r="L239" s="57">
        <v>-505123677.66178656</v>
      </c>
      <c r="M239" s="57">
        <v>198701071</v>
      </c>
    </row>
    <row r="240" spans="1:14" s="1" customFormat="1" x14ac:dyDescent="0.45">
      <c r="A240" s="28" t="s">
        <v>268</v>
      </c>
      <c r="B240" s="43">
        <v>745858165</v>
      </c>
      <c r="C240" s="69">
        <v>596937140</v>
      </c>
      <c r="D240" s="69">
        <v>0</v>
      </c>
      <c r="E240" s="61">
        <v>148921025</v>
      </c>
      <c r="F240" s="60">
        <v>0</v>
      </c>
      <c r="G240" s="60">
        <v>4215000</v>
      </c>
      <c r="H240" s="70">
        <v>0</v>
      </c>
      <c r="I240" s="70">
        <v>0</v>
      </c>
      <c r="J240" s="70">
        <v>0</v>
      </c>
      <c r="K240" s="70">
        <v>144706025</v>
      </c>
      <c r="L240" s="70">
        <v>0</v>
      </c>
      <c r="M240" s="70">
        <v>0</v>
      </c>
    </row>
    <row r="241" spans="1:14" ht="16" hidden="1" customHeight="1" outlineLevel="1" x14ac:dyDescent="0.45">
      <c r="A241" s="29" t="s">
        <v>159</v>
      </c>
      <c r="B241" s="44">
        <v>95389230</v>
      </c>
      <c r="C241" s="71">
        <v>95389230</v>
      </c>
      <c r="D241" s="71">
        <v>0</v>
      </c>
      <c r="E241" s="64">
        <v>0</v>
      </c>
      <c r="F241" s="63">
        <v>0</v>
      </c>
      <c r="G241" s="63">
        <v>0</v>
      </c>
      <c r="H241" s="32">
        <v>0</v>
      </c>
      <c r="I241" s="32">
        <v>0</v>
      </c>
      <c r="J241" s="32">
        <v>0</v>
      </c>
      <c r="K241" s="32">
        <v>0</v>
      </c>
      <c r="L241" s="32">
        <v>0</v>
      </c>
      <c r="M241" s="32">
        <v>0</v>
      </c>
      <c r="N241" s="1"/>
    </row>
    <row r="242" spans="1:14" ht="16" hidden="1" customHeight="1" outlineLevel="1" x14ac:dyDescent="0.45">
      <c r="A242" s="29" t="s">
        <v>160</v>
      </c>
      <c r="B242" s="44">
        <v>21464000</v>
      </c>
      <c r="C242" s="71">
        <v>21464000</v>
      </c>
      <c r="D242" s="71">
        <v>0</v>
      </c>
      <c r="E242" s="64">
        <v>0</v>
      </c>
      <c r="F242" s="63">
        <v>0</v>
      </c>
      <c r="G242" s="63">
        <v>0</v>
      </c>
      <c r="H242" s="32">
        <v>0</v>
      </c>
      <c r="I242" s="32">
        <v>0</v>
      </c>
      <c r="J242" s="32">
        <v>0</v>
      </c>
      <c r="K242" s="32">
        <v>0</v>
      </c>
      <c r="L242" s="32">
        <v>0</v>
      </c>
      <c r="M242" s="32">
        <v>0</v>
      </c>
      <c r="N242" s="1"/>
    </row>
    <row r="243" spans="1:14" ht="16" hidden="1" customHeight="1" outlineLevel="1" x14ac:dyDescent="0.45">
      <c r="A243" s="29" t="s">
        <v>258</v>
      </c>
      <c r="B243" s="44">
        <v>0</v>
      </c>
      <c r="C243" s="71">
        <v>0</v>
      </c>
      <c r="D243" s="71">
        <v>0</v>
      </c>
      <c r="E243" s="64">
        <v>0</v>
      </c>
      <c r="F243" s="63">
        <v>0</v>
      </c>
      <c r="G243" s="63">
        <v>0</v>
      </c>
      <c r="H243" s="32">
        <v>0</v>
      </c>
      <c r="I243" s="32">
        <v>0</v>
      </c>
      <c r="J243" s="32">
        <v>0</v>
      </c>
      <c r="K243" s="32">
        <v>0</v>
      </c>
      <c r="L243" s="32">
        <v>0</v>
      </c>
      <c r="M243" s="32">
        <v>0</v>
      </c>
      <c r="N243" s="1"/>
    </row>
    <row r="244" spans="1:14" ht="16" hidden="1" customHeight="1" outlineLevel="1" x14ac:dyDescent="0.45">
      <c r="A244" s="29" t="s">
        <v>223</v>
      </c>
      <c r="B244" s="44">
        <v>0</v>
      </c>
      <c r="C244" s="71">
        <v>0</v>
      </c>
      <c r="D244" s="71">
        <v>0</v>
      </c>
      <c r="E244" s="64">
        <v>0</v>
      </c>
      <c r="F244" s="63">
        <v>0</v>
      </c>
      <c r="G244" s="63">
        <v>0</v>
      </c>
      <c r="H244" s="32">
        <v>0</v>
      </c>
      <c r="I244" s="32">
        <v>0</v>
      </c>
      <c r="J244" s="32">
        <v>0</v>
      </c>
      <c r="K244" s="32">
        <v>0</v>
      </c>
      <c r="L244" s="32">
        <v>0</v>
      </c>
      <c r="M244" s="32">
        <v>0</v>
      </c>
      <c r="N244" s="1"/>
    </row>
    <row r="245" spans="1:14" s="3" customFormat="1" ht="16" hidden="1" customHeight="1" outlineLevel="1" x14ac:dyDescent="0.45">
      <c r="A245" s="33" t="s">
        <v>243</v>
      </c>
      <c r="B245" s="33">
        <v>0</v>
      </c>
      <c r="C245" s="71">
        <v>0</v>
      </c>
      <c r="D245" s="71">
        <v>0</v>
      </c>
      <c r="E245" s="64">
        <v>0</v>
      </c>
      <c r="F245" s="63">
        <v>0</v>
      </c>
      <c r="G245" s="63">
        <v>0</v>
      </c>
      <c r="H245" s="32">
        <v>0</v>
      </c>
      <c r="I245" s="32">
        <v>0</v>
      </c>
      <c r="J245" s="32">
        <v>0</v>
      </c>
      <c r="K245" s="32">
        <v>0</v>
      </c>
      <c r="L245" s="32">
        <v>0</v>
      </c>
      <c r="M245" s="32">
        <v>0</v>
      </c>
      <c r="N245" s="1"/>
    </row>
    <row r="246" spans="1:14" s="3" customFormat="1" ht="16" hidden="1" customHeight="1" outlineLevel="1" x14ac:dyDescent="0.45">
      <c r="A246" s="34" t="s">
        <v>264</v>
      </c>
      <c r="B246" s="33">
        <v>0</v>
      </c>
      <c r="C246" s="71">
        <v>0</v>
      </c>
      <c r="D246" s="71">
        <v>0</v>
      </c>
      <c r="E246" s="64">
        <v>0</v>
      </c>
      <c r="F246" s="63">
        <v>0</v>
      </c>
      <c r="G246" s="63">
        <v>0</v>
      </c>
      <c r="H246" s="32">
        <v>0</v>
      </c>
      <c r="I246" s="32">
        <v>0</v>
      </c>
      <c r="J246" s="32">
        <v>0</v>
      </c>
      <c r="K246" s="32">
        <v>0</v>
      </c>
      <c r="L246" s="32">
        <v>0</v>
      </c>
      <c r="M246" s="32">
        <v>0</v>
      </c>
      <c r="N246" s="1"/>
    </row>
    <row r="247" spans="1:14" s="3" customFormat="1" ht="16" hidden="1" customHeight="1" outlineLevel="1" x14ac:dyDescent="0.45">
      <c r="A247" s="109" t="s">
        <v>247</v>
      </c>
      <c r="B247" s="110">
        <v>144706025</v>
      </c>
      <c r="C247" s="71">
        <v>0</v>
      </c>
      <c r="D247" s="71">
        <v>0</v>
      </c>
      <c r="E247" s="64">
        <v>144706025</v>
      </c>
      <c r="F247" s="63">
        <v>0</v>
      </c>
      <c r="G247" s="63">
        <v>0</v>
      </c>
      <c r="H247" s="32">
        <v>0</v>
      </c>
      <c r="I247" s="32">
        <v>0</v>
      </c>
      <c r="J247" s="32">
        <v>0</v>
      </c>
      <c r="K247" s="32">
        <v>144706025</v>
      </c>
      <c r="L247" s="32">
        <v>0</v>
      </c>
      <c r="M247" s="32">
        <v>0</v>
      </c>
      <c r="N247" s="1"/>
    </row>
    <row r="248" spans="1:14" ht="16" hidden="1" customHeight="1" outlineLevel="1" collapsed="1" x14ac:dyDescent="0.45">
      <c r="A248" s="29" t="s">
        <v>161</v>
      </c>
      <c r="B248" s="44">
        <v>484298910</v>
      </c>
      <c r="C248" s="71">
        <v>480083910</v>
      </c>
      <c r="D248" s="71">
        <v>0</v>
      </c>
      <c r="E248" s="64">
        <v>4215000</v>
      </c>
      <c r="F248" s="63">
        <v>0</v>
      </c>
      <c r="G248" s="63">
        <v>4215000</v>
      </c>
      <c r="H248" s="32">
        <v>0</v>
      </c>
      <c r="I248" s="32">
        <v>0</v>
      </c>
      <c r="J248" s="32">
        <v>0</v>
      </c>
      <c r="K248" s="32">
        <v>0</v>
      </c>
      <c r="L248" s="32">
        <v>0</v>
      </c>
      <c r="M248" s="32">
        <v>0</v>
      </c>
      <c r="N248" s="1"/>
    </row>
    <row r="249" spans="1:14" ht="16" hidden="1" customHeight="1" outlineLevel="1" x14ac:dyDescent="0.45">
      <c r="A249" s="29" t="s">
        <v>224</v>
      </c>
      <c r="B249" s="44">
        <v>0</v>
      </c>
      <c r="C249" s="71">
        <v>0</v>
      </c>
      <c r="D249" s="71">
        <v>0</v>
      </c>
      <c r="E249" s="64">
        <v>0</v>
      </c>
      <c r="F249" s="63">
        <v>0</v>
      </c>
      <c r="G249" s="63">
        <v>0</v>
      </c>
      <c r="H249" s="32">
        <v>0</v>
      </c>
      <c r="I249" s="32">
        <v>0</v>
      </c>
      <c r="J249" s="32">
        <v>0</v>
      </c>
      <c r="K249" s="32">
        <v>0</v>
      </c>
      <c r="L249" s="32">
        <v>0</v>
      </c>
      <c r="M249" s="32">
        <v>0</v>
      </c>
      <c r="N249" s="1"/>
    </row>
    <row r="250" spans="1:14" s="1" customFormat="1" collapsed="1" x14ac:dyDescent="0.45">
      <c r="A250" s="28" t="s">
        <v>111</v>
      </c>
      <c r="B250" s="43">
        <v>189434510</v>
      </c>
      <c r="C250" s="69">
        <v>185452510</v>
      </c>
      <c r="D250" s="69">
        <v>0</v>
      </c>
      <c r="E250" s="61">
        <v>3982000</v>
      </c>
      <c r="F250" s="60">
        <v>0</v>
      </c>
      <c r="G250" s="60">
        <v>0</v>
      </c>
      <c r="H250" s="70">
        <v>0</v>
      </c>
      <c r="I250" s="70">
        <v>0</v>
      </c>
      <c r="J250" s="70">
        <v>0</v>
      </c>
      <c r="K250" s="70">
        <v>0</v>
      </c>
      <c r="L250" s="70">
        <v>0</v>
      </c>
      <c r="M250" s="70">
        <v>3982000</v>
      </c>
    </row>
    <row r="251" spans="1:14" ht="16" hidden="1" customHeight="1" outlineLevel="1" x14ac:dyDescent="0.45">
      <c r="A251" s="29" t="s">
        <v>162</v>
      </c>
      <c r="B251" s="44">
        <v>185452510</v>
      </c>
      <c r="C251" s="71">
        <v>185452510</v>
      </c>
      <c r="D251" s="71">
        <v>0</v>
      </c>
      <c r="E251" s="64">
        <v>0</v>
      </c>
      <c r="F251" s="63">
        <v>0</v>
      </c>
      <c r="G251" s="63">
        <v>0</v>
      </c>
      <c r="H251" s="32">
        <v>0</v>
      </c>
      <c r="I251" s="32">
        <v>0</v>
      </c>
      <c r="J251" s="32">
        <v>0</v>
      </c>
      <c r="K251" s="32">
        <v>0</v>
      </c>
      <c r="L251" s="32">
        <v>0</v>
      </c>
      <c r="M251" s="32">
        <v>0</v>
      </c>
      <c r="N251" s="1"/>
    </row>
    <row r="252" spans="1:14" ht="16" hidden="1" customHeight="1" outlineLevel="1" x14ac:dyDescent="0.45">
      <c r="A252" s="29" t="s">
        <v>251</v>
      </c>
      <c r="B252" s="44">
        <v>0</v>
      </c>
      <c r="C252" s="71">
        <v>0</v>
      </c>
      <c r="D252" s="71">
        <v>0</v>
      </c>
      <c r="E252" s="64">
        <v>0</v>
      </c>
      <c r="F252" s="63">
        <v>0</v>
      </c>
      <c r="G252" s="63">
        <v>0</v>
      </c>
      <c r="H252" s="32">
        <v>0</v>
      </c>
      <c r="I252" s="32">
        <v>0</v>
      </c>
      <c r="J252" s="32">
        <v>0</v>
      </c>
      <c r="K252" s="32">
        <v>0</v>
      </c>
      <c r="L252" s="32">
        <v>0</v>
      </c>
      <c r="M252" s="32">
        <v>0</v>
      </c>
      <c r="N252" s="1"/>
    </row>
    <row r="253" spans="1:14" ht="16" hidden="1" customHeight="1" outlineLevel="1" x14ac:dyDescent="0.45">
      <c r="A253" s="29" t="s">
        <v>314</v>
      </c>
      <c r="B253" s="44">
        <v>0</v>
      </c>
      <c r="C253" s="71">
        <v>0</v>
      </c>
      <c r="D253" s="71">
        <v>0</v>
      </c>
      <c r="E253" s="64">
        <v>0</v>
      </c>
      <c r="F253" s="63">
        <v>0</v>
      </c>
      <c r="G253" s="63">
        <v>0</v>
      </c>
      <c r="H253" s="32">
        <v>0</v>
      </c>
      <c r="I253" s="32">
        <v>0</v>
      </c>
      <c r="J253" s="32">
        <v>0</v>
      </c>
      <c r="K253" s="32">
        <v>0</v>
      </c>
      <c r="L253" s="32">
        <v>0</v>
      </c>
      <c r="M253" s="32">
        <v>0</v>
      </c>
      <c r="N253" s="1"/>
    </row>
    <row r="254" spans="1:14" ht="16" hidden="1" customHeight="1" outlineLevel="1" x14ac:dyDescent="0.45">
      <c r="A254" s="29" t="s">
        <v>225</v>
      </c>
      <c r="B254" s="44">
        <v>0</v>
      </c>
      <c r="C254" s="71">
        <v>0</v>
      </c>
      <c r="D254" s="71">
        <v>0</v>
      </c>
      <c r="E254" s="64">
        <v>0</v>
      </c>
      <c r="F254" s="63">
        <v>0</v>
      </c>
      <c r="G254" s="63">
        <v>0</v>
      </c>
      <c r="H254" s="32">
        <v>0</v>
      </c>
      <c r="I254" s="32">
        <v>0</v>
      </c>
      <c r="J254" s="32">
        <v>0</v>
      </c>
      <c r="K254" s="32">
        <v>0</v>
      </c>
      <c r="L254" s="32">
        <v>0</v>
      </c>
      <c r="M254" s="32">
        <v>0</v>
      </c>
      <c r="N254" s="1"/>
    </row>
    <row r="255" spans="1:14" ht="16" hidden="1" customHeight="1" outlineLevel="1" x14ac:dyDescent="0.45">
      <c r="A255" s="29" t="s">
        <v>226</v>
      </c>
      <c r="B255" s="44">
        <v>0</v>
      </c>
      <c r="C255" s="71">
        <v>0</v>
      </c>
      <c r="D255" s="71">
        <v>0</v>
      </c>
      <c r="E255" s="64">
        <v>0</v>
      </c>
      <c r="F255" s="63">
        <v>0</v>
      </c>
      <c r="G255" s="63">
        <v>0</v>
      </c>
      <c r="H255" s="32">
        <v>0</v>
      </c>
      <c r="I255" s="32">
        <v>0</v>
      </c>
      <c r="J255" s="32">
        <v>0</v>
      </c>
      <c r="K255" s="32">
        <v>0</v>
      </c>
      <c r="L255" s="32">
        <v>0</v>
      </c>
      <c r="M255" s="32">
        <v>0</v>
      </c>
      <c r="N255" s="1"/>
    </row>
    <row r="256" spans="1:14" ht="16" hidden="1" customHeight="1" outlineLevel="1" x14ac:dyDescent="0.45">
      <c r="A256" s="29" t="s">
        <v>163</v>
      </c>
      <c r="B256" s="44">
        <v>0</v>
      </c>
      <c r="C256" s="71">
        <v>0</v>
      </c>
      <c r="D256" s="71">
        <v>0</v>
      </c>
      <c r="E256" s="64">
        <v>0</v>
      </c>
      <c r="F256" s="63">
        <v>0</v>
      </c>
      <c r="G256" s="63">
        <v>0</v>
      </c>
      <c r="H256" s="32">
        <v>0</v>
      </c>
      <c r="I256" s="32">
        <v>0</v>
      </c>
      <c r="J256" s="32">
        <v>0</v>
      </c>
      <c r="K256" s="32">
        <v>0</v>
      </c>
      <c r="L256" s="32">
        <v>0</v>
      </c>
      <c r="M256" s="32">
        <v>0</v>
      </c>
      <c r="N256" s="1"/>
    </row>
    <row r="257" spans="1:14" ht="16" hidden="1" customHeight="1" outlineLevel="1" x14ac:dyDescent="0.45">
      <c r="A257" s="29" t="s">
        <v>164</v>
      </c>
      <c r="B257" s="44">
        <v>0</v>
      </c>
      <c r="C257" s="71">
        <v>0</v>
      </c>
      <c r="D257" s="71">
        <v>0</v>
      </c>
      <c r="E257" s="64">
        <v>0</v>
      </c>
      <c r="F257" s="63">
        <v>0</v>
      </c>
      <c r="G257" s="63">
        <v>0</v>
      </c>
      <c r="H257" s="32">
        <v>0</v>
      </c>
      <c r="I257" s="32">
        <v>0</v>
      </c>
      <c r="J257" s="32">
        <v>0</v>
      </c>
      <c r="K257" s="32">
        <v>0</v>
      </c>
      <c r="L257" s="32">
        <v>0</v>
      </c>
      <c r="M257" s="32">
        <v>0</v>
      </c>
      <c r="N257" s="1"/>
    </row>
    <row r="258" spans="1:14" ht="16" hidden="1" customHeight="1" outlineLevel="1" x14ac:dyDescent="0.45">
      <c r="A258" s="29" t="s">
        <v>265</v>
      </c>
      <c r="B258" s="44">
        <v>0</v>
      </c>
      <c r="C258" s="71">
        <v>0</v>
      </c>
      <c r="D258" s="71">
        <v>0</v>
      </c>
      <c r="E258" s="64">
        <v>0</v>
      </c>
      <c r="F258" s="63">
        <v>0</v>
      </c>
      <c r="G258" s="63">
        <v>0</v>
      </c>
      <c r="H258" s="32">
        <v>0</v>
      </c>
      <c r="I258" s="32">
        <v>0</v>
      </c>
      <c r="J258" s="32">
        <v>0</v>
      </c>
      <c r="K258" s="32">
        <v>0</v>
      </c>
      <c r="L258" s="32">
        <v>0</v>
      </c>
      <c r="M258" s="32">
        <v>0</v>
      </c>
      <c r="N258" s="1"/>
    </row>
    <row r="259" spans="1:14" ht="16" hidden="1" customHeight="1" outlineLevel="1" x14ac:dyDescent="0.45">
      <c r="A259" s="29" t="s">
        <v>165</v>
      </c>
      <c r="B259" s="44">
        <v>3982000</v>
      </c>
      <c r="C259" s="71">
        <v>0</v>
      </c>
      <c r="D259" s="71">
        <v>0</v>
      </c>
      <c r="E259" s="64">
        <v>3982000</v>
      </c>
      <c r="F259" s="63">
        <v>0</v>
      </c>
      <c r="G259" s="63">
        <v>0</v>
      </c>
      <c r="H259" s="32">
        <v>0</v>
      </c>
      <c r="I259" s="32">
        <v>0</v>
      </c>
      <c r="J259" s="32">
        <v>0</v>
      </c>
      <c r="K259" s="32">
        <v>0</v>
      </c>
      <c r="L259" s="32">
        <v>0</v>
      </c>
      <c r="M259" s="32">
        <v>3982000</v>
      </c>
      <c r="N259" s="1"/>
    </row>
    <row r="260" spans="1:14" s="1" customFormat="1" collapsed="1" x14ac:dyDescent="0.45">
      <c r="A260" s="74" t="s">
        <v>112</v>
      </c>
      <c r="B260" s="76">
        <v>0</v>
      </c>
      <c r="C260" s="76">
        <v>0</v>
      </c>
      <c r="D260" s="76">
        <v>0</v>
      </c>
      <c r="E260" s="77">
        <v>0</v>
      </c>
      <c r="F260" s="78">
        <v>0</v>
      </c>
      <c r="G260" s="78">
        <v>0</v>
      </c>
      <c r="H260" s="79">
        <v>0</v>
      </c>
      <c r="I260" s="79">
        <v>0</v>
      </c>
      <c r="J260" s="79">
        <v>0</v>
      </c>
      <c r="K260" s="79">
        <v>0</v>
      </c>
      <c r="L260" s="79">
        <v>0</v>
      </c>
      <c r="M260" s="79">
        <v>0</v>
      </c>
    </row>
    <row r="261" spans="1:14" s="1" customFormat="1" x14ac:dyDescent="0.45">
      <c r="A261" s="27" t="s">
        <v>232</v>
      </c>
      <c r="B261" s="42">
        <v>3977847528</v>
      </c>
      <c r="C261" s="73">
        <v>-2853222456</v>
      </c>
      <c r="D261" s="73">
        <v>-395780139</v>
      </c>
      <c r="E261" s="58">
        <v>7226850123</v>
      </c>
      <c r="F261" s="57">
        <v>5489229698.3048162</v>
      </c>
      <c r="G261" s="57">
        <v>1386296112.2947702</v>
      </c>
      <c r="H261" s="80">
        <v>205525162.40041322</v>
      </c>
      <c r="I261" s="80">
        <v>47977835.633438647</v>
      </c>
      <c r="J261" s="80">
        <v>66024343.643280506</v>
      </c>
      <c r="K261" s="80">
        <v>342201577.38506734</v>
      </c>
      <c r="L261" s="80">
        <v>-505123677.66178656</v>
      </c>
      <c r="M261" s="57">
        <v>194719071</v>
      </c>
    </row>
    <row r="262" spans="1:14" ht="16" hidden="1" customHeight="1" x14ac:dyDescent="0.45">
      <c r="A262" s="83"/>
      <c r="B262" s="35"/>
      <c r="C262" s="84"/>
      <c r="D262" s="36"/>
      <c r="E262" s="36"/>
      <c r="F262" s="85"/>
      <c r="G262" s="36"/>
      <c r="H262" s="36"/>
      <c r="I262" s="36"/>
      <c r="J262" s="36"/>
      <c r="K262" s="36"/>
      <c r="L262" s="85"/>
      <c r="M262" s="36"/>
    </row>
    <row r="263" spans="1:14" s="4" customFormat="1" ht="15" hidden="1" customHeight="1" x14ac:dyDescent="0.45">
      <c r="A263" s="86" t="s">
        <v>298</v>
      </c>
      <c r="B263" s="87"/>
      <c r="C263" s="87"/>
      <c r="D263" s="87"/>
      <c r="E263" s="88">
        <v>1</v>
      </c>
      <c r="F263" s="89">
        <v>0.47</v>
      </c>
      <c r="G263" s="89">
        <v>0.4</v>
      </c>
      <c r="H263" s="89">
        <v>0.05</v>
      </c>
      <c r="I263" s="89">
        <v>1.06E-2</v>
      </c>
      <c r="J263" s="89">
        <v>8.9999999999999993E-3</v>
      </c>
      <c r="K263" s="90">
        <v>2.0400000000000001E-2</v>
      </c>
      <c r="L263" s="90">
        <v>0.02</v>
      </c>
      <c r="M263" s="90">
        <v>0.02</v>
      </c>
    </row>
    <row r="264" spans="1:14" s="4" customFormat="1" ht="15" customHeight="1" x14ac:dyDescent="0.45">
      <c r="A264" s="91"/>
      <c r="B264" s="5"/>
      <c r="C264" s="5"/>
      <c r="D264" s="5"/>
      <c r="E264" s="92"/>
      <c r="F264" s="93"/>
      <c r="G264" s="92"/>
      <c r="H264" s="92"/>
      <c r="I264" s="92"/>
      <c r="J264" s="92"/>
      <c r="K264" s="94"/>
      <c r="L264" s="94"/>
      <c r="M264" s="92"/>
    </row>
    <row r="265" spans="1:14" s="4" customFormat="1" ht="15" customHeight="1" x14ac:dyDescent="0.45">
      <c r="A265" s="95" t="s">
        <v>315</v>
      </c>
      <c r="B265" s="96">
        <v>-395780139</v>
      </c>
      <c r="C265" s="96"/>
      <c r="D265" s="96"/>
      <c r="E265" s="96">
        <v>-395780138.99999988</v>
      </c>
      <c r="F265" s="96">
        <v>-186016665.32999998</v>
      </c>
      <c r="G265" s="96">
        <v>-158312055.59999999</v>
      </c>
      <c r="H265" s="96">
        <v>-19789006.949999999</v>
      </c>
      <c r="I265" s="96">
        <v>-4195269.4734000005</v>
      </c>
      <c r="J265" s="96">
        <v>-3562021.2509999997</v>
      </c>
      <c r="K265" s="96">
        <v>-8073914.8356000008</v>
      </c>
      <c r="L265" s="96">
        <v>-7915602.7800000003</v>
      </c>
      <c r="M265" s="96">
        <v>-7915602.7800000003</v>
      </c>
    </row>
    <row r="266" spans="1:14" s="4" customFormat="1" ht="15" customHeight="1" x14ac:dyDescent="0.45">
      <c r="A266" s="97" t="s">
        <v>316</v>
      </c>
      <c r="B266" s="98">
        <v>6686130959</v>
      </c>
      <c r="C266" s="98"/>
      <c r="D266" s="98"/>
      <c r="E266" s="98">
        <v>6686130958.999999</v>
      </c>
      <c r="F266" s="98">
        <v>5303213032.9748163</v>
      </c>
      <c r="G266" s="98">
        <v>1223769056.6947703</v>
      </c>
      <c r="H266" s="98">
        <v>185736155.45041323</v>
      </c>
      <c r="I266" s="98">
        <v>43782566.16003865</v>
      </c>
      <c r="J266" s="98">
        <v>62462322.392280504</v>
      </c>
      <c r="K266" s="98">
        <v>189421637.54946736</v>
      </c>
      <c r="L266" s="98">
        <v>-513039280.44178653</v>
      </c>
      <c r="M266" s="98">
        <v>190785468.22</v>
      </c>
    </row>
    <row r="267" spans="1:14" s="14" customFormat="1" ht="15" customHeight="1" x14ac:dyDescent="0.45">
      <c r="A267" s="35"/>
      <c r="B267" s="35"/>
      <c r="C267" s="36"/>
      <c r="D267" s="36"/>
      <c r="E267" s="36"/>
      <c r="F267" s="36"/>
      <c r="G267" s="36"/>
      <c r="H267" s="35"/>
      <c r="I267" s="35"/>
      <c r="J267" s="35"/>
      <c r="K267" s="35"/>
      <c r="L267" s="35"/>
      <c r="M267" s="36"/>
    </row>
    <row r="268" spans="1:14" ht="14" customHeight="1" x14ac:dyDescent="0.45">
      <c r="A268" s="95" t="s">
        <v>317</v>
      </c>
      <c r="B268" s="96">
        <v>-3264707086</v>
      </c>
      <c r="C268" s="96"/>
      <c r="D268" s="96"/>
      <c r="E268" s="96">
        <v>-3264707085.9999995</v>
      </c>
      <c r="F268" s="96">
        <v>-1534412330.4199998</v>
      </c>
      <c r="G268" s="96">
        <v>-1305882834.4000001</v>
      </c>
      <c r="H268" s="96">
        <v>-163235354.30000001</v>
      </c>
      <c r="I268" s="96">
        <v>-34605895.111599997</v>
      </c>
      <c r="J268" s="96">
        <v>-29382363.773999996</v>
      </c>
      <c r="K268" s="96">
        <v>-66600024.554400004</v>
      </c>
      <c r="L268" s="96">
        <v>-65294141.719999999</v>
      </c>
      <c r="M268" s="96">
        <v>-65294141.719999999</v>
      </c>
    </row>
    <row r="269" spans="1:14" s="4" customFormat="1" ht="15" customHeight="1" x14ac:dyDescent="0.45">
      <c r="A269" s="99" t="s">
        <v>318</v>
      </c>
      <c r="B269" s="100">
        <v>3421423873</v>
      </c>
      <c r="C269" s="100"/>
      <c r="D269" s="100"/>
      <c r="E269" s="100">
        <v>3421423872.9999995</v>
      </c>
      <c r="F269" s="100">
        <v>3768800702.5548162</v>
      </c>
      <c r="G269" s="100">
        <v>-82113777.705229759</v>
      </c>
      <c r="H269" s="100">
        <v>22500801.150413215</v>
      </c>
      <c r="I269" s="100">
        <v>9176671.0484386533</v>
      </c>
      <c r="J269" s="100">
        <v>33079958.618280508</v>
      </c>
      <c r="K269" s="100">
        <v>122821612.99506736</v>
      </c>
      <c r="L269" s="100">
        <v>-578333422.16178656</v>
      </c>
      <c r="M269" s="100">
        <v>125491326.5</v>
      </c>
    </row>
    <row r="270" spans="1:14" s="14" customFormat="1" ht="15" customHeight="1" x14ac:dyDescent="0.45">
      <c r="A270" s="35"/>
      <c r="B270" s="35"/>
      <c r="C270" s="36"/>
      <c r="D270" s="36"/>
      <c r="E270" s="36"/>
      <c r="F270" s="36"/>
      <c r="G270" s="101"/>
      <c r="H270" s="101"/>
      <c r="I270" s="101"/>
      <c r="J270" s="101"/>
      <c r="K270" s="101"/>
      <c r="L270" s="101"/>
      <c r="M270" s="101"/>
    </row>
    <row r="271" spans="1:14" x14ac:dyDescent="0.45">
      <c r="A271" s="102" t="s">
        <v>319</v>
      </c>
      <c r="B271" s="103">
        <v>3421423872.9999995</v>
      </c>
      <c r="C271" s="103"/>
      <c r="D271" s="103"/>
      <c r="E271" s="103">
        <v>3421423872.9999995</v>
      </c>
      <c r="F271" s="103">
        <v>3682712375.287816</v>
      </c>
      <c r="G271" s="103">
        <v>3974549.5617702454</v>
      </c>
      <c r="H271" s="103">
        <v>22500801.150413215</v>
      </c>
      <c r="I271" s="103">
        <v>9176671.0484386533</v>
      </c>
      <c r="J271" s="103">
        <v>33079958.618280508</v>
      </c>
      <c r="K271" s="103">
        <v>122821612.99506736</v>
      </c>
      <c r="L271" s="103">
        <v>-578333422.16178656</v>
      </c>
      <c r="M271" s="103">
        <v>125491326.5</v>
      </c>
    </row>
    <row r="272" spans="1:14" s="1" customFormat="1" x14ac:dyDescent="0.45">
      <c r="A272" s="104" t="s">
        <v>320</v>
      </c>
      <c r="B272" s="104">
        <v>86088327.267000005</v>
      </c>
      <c r="C272" s="36"/>
      <c r="D272" s="36"/>
      <c r="E272" s="101"/>
      <c r="F272" s="101"/>
      <c r="G272" s="101"/>
      <c r="H272" s="101"/>
      <c r="I272" s="101"/>
      <c r="J272" s="101"/>
      <c r="K272" s="101"/>
      <c r="L272" s="101"/>
      <c r="M272" s="101"/>
    </row>
    <row r="273" spans="1:13" ht="15.65" customHeight="1" x14ac:dyDescent="0.45">
      <c r="A273" s="105" t="s">
        <v>321</v>
      </c>
      <c r="B273" s="106">
        <v>189140069</v>
      </c>
      <c r="C273" s="36"/>
      <c r="D273" s="36"/>
      <c r="E273" s="36"/>
      <c r="F273" s="36"/>
      <c r="G273" s="36"/>
      <c r="H273" s="35"/>
      <c r="I273" s="35"/>
      <c r="J273" s="35"/>
      <c r="K273" s="35"/>
      <c r="L273" s="35"/>
      <c r="M273" s="35"/>
    </row>
    <row r="274" spans="1:13" ht="15.65" hidden="1" customHeight="1" x14ac:dyDescent="0.45">
      <c r="A274" s="37" t="s">
        <v>235</v>
      </c>
      <c r="B274" s="38">
        <f t="shared" ref="B274:M274" si="0">B28-B29-B30-B63-B70-B71-B73-B74-B115-B122-B126-B133-B136-B141-B142-B151-B156-B164-B171-B178-B181-B193-B199-B215-B217-B228-B229-B238</f>
        <v>0</v>
      </c>
      <c r="C274" s="38">
        <f t="shared" si="0"/>
        <v>-1.9073486328125E-6</v>
      </c>
      <c r="D274" s="38">
        <f t="shared" si="0"/>
        <v>0</v>
      </c>
      <c r="E274" s="38">
        <f t="shared" si="0"/>
        <v>1.9073486328125E-6</v>
      </c>
      <c r="F274" s="38">
        <f t="shared" si="0"/>
        <v>0</v>
      </c>
      <c r="G274" s="38">
        <f t="shared" si="0"/>
        <v>4.246830940246582E-7</v>
      </c>
      <c r="H274" s="38">
        <f t="shared" si="0"/>
        <v>2.384185791015625E-7</v>
      </c>
      <c r="I274" s="38">
        <f t="shared" si="0"/>
        <v>-3.7252902984619141E-9</v>
      </c>
      <c r="J274" s="38">
        <f t="shared" si="0"/>
        <v>0</v>
      </c>
      <c r="K274" s="38">
        <f t="shared" si="0"/>
        <v>0</v>
      </c>
      <c r="L274" s="38">
        <f t="shared" si="0"/>
        <v>-1.1920928955078125E-7</v>
      </c>
      <c r="M274" s="38">
        <f t="shared" si="0"/>
        <v>0</v>
      </c>
    </row>
    <row r="275" spans="1:13" s="4" customFormat="1" ht="15" hidden="1" customHeight="1" x14ac:dyDescent="0.45">
      <c r="A275" s="37" t="s">
        <v>236</v>
      </c>
      <c r="B275" s="38">
        <f t="shared" ref="B275:M275" si="1">B28-B29-SUM(B31:B62)-SUM(B64:B69)-B70-B72-B73-SUM(B75:B114)-SUM(B116:B121)-SUM(B123:B125)-SUM(B127:B132)-B134-SUM(B137:B140)-B141-SUM(B143:B150)-SUM(B152:B155)-SUM(B157:B163)-SUM(B165:B170)-SUM(B172:B177)-SUM(B179:B180)-SUM(B182:B192)-SUM(B194:B198)-SUM(B200:B214)-B216-SUM(B218:B227)-B228-SUM(B230:B237)-B238-B135</f>
        <v>0</v>
      </c>
      <c r="C275" s="38">
        <f t="shared" si="1"/>
        <v>-1.9073486328125E-6</v>
      </c>
      <c r="D275" s="38">
        <f t="shared" si="1"/>
        <v>0</v>
      </c>
      <c r="E275" s="38">
        <f t="shared" si="1"/>
        <v>1.9073486328125E-6</v>
      </c>
      <c r="F275" s="38">
        <f t="shared" si="1"/>
        <v>0</v>
      </c>
      <c r="G275" s="38">
        <f t="shared" si="1"/>
        <v>4.5448541641235352E-7</v>
      </c>
      <c r="H275" s="38">
        <f t="shared" si="1"/>
        <v>2.384185791015625E-7</v>
      </c>
      <c r="I275" s="38">
        <f t="shared" si="1"/>
        <v>-3.7252902984619141E-9</v>
      </c>
      <c r="J275" s="38">
        <f t="shared" si="1"/>
        <v>0</v>
      </c>
      <c r="K275" s="38">
        <f t="shared" si="1"/>
        <v>0</v>
      </c>
      <c r="L275" s="38">
        <f t="shared" si="1"/>
        <v>-1.1920928955078125E-7</v>
      </c>
      <c r="M275" s="38">
        <f t="shared" si="1"/>
        <v>0</v>
      </c>
    </row>
    <row r="276" spans="1:13" s="4" customFormat="1" ht="15" hidden="1" customHeight="1" x14ac:dyDescent="0.45">
      <c r="A276" s="37" t="s">
        <v>237</v>
      </c>
      <c r="B276" s="38">
        <f t="shared" ref="B276:M276" si="2">B3-B25-B28-B239</f>
        <v>0</v>
      </c>
      <c r="C276" s="38">
        <f t="shared" si="2"/>
        <v>0</v>
      </c>
      <c r="D276" s="38">
        <f t="shared" si="2"/>
        <v>0</v>
      </c>
      <c r="E276" s="38">
        <f t="shared" si="2"/>
        <v>0</v>
      </c>
      <c r="F276" s="38">
        <f t="shared" si="2"/>
        <v>0</v>
      </c>
      <c r="G276" s="38">
        <f t="shared" si="2"/>
        <v>0</v>
      </c>
      <c r="H276" s="38">
        <f t="shared" si="2"/>
        <v>0</v>
      </c>
      <c r="I276" s="38">
        <f t="shared" si="2"/>
        <v>0</v>
      </c>
      <c r="J276" s="38">
        <f t="shared" si="2"/>
        <v>0</v>
      </c>
      <c r="K276" s="38">
        <f t="shared" si="2"/>
        <v>0</v>
      </c>
      <c r="L276" s="38">
        <f t="shared" si="2"/>
        <v>0</v>
      </c>
      <c r="M276" s="38">
        <f t="shared" si="2"/>
        <v>0</v>
      </c>
    </row>
    <row r="277" spans="1:13" s="4" customFormat="1" ht="15" hidden="1" customHeight="1" x14ac:dyDescent="0.45">
      <c r="A277" s="37" t="s">
        <v>238</v>
      </c>
      <c r="B277" s="38">
        <f t="shared" ref="B277:M277" si="3">B239+B240-B250-B261-B260</f>
        <v>0</v>
      </c>
      <c r="C277" s="38">
        <f t="shared" si="3"/>
        <v>0</v>
      </c>
      <c r="D277" s="38">
        <f t="shared" si="3"/>
        <v>0</v>
      </c>
      <c r="E277" s="38">
        <f t="shared" si="3"/>
        <v>0</v>
      </c>
      <c r="F277" s="38">
        <f t="shared" si="3"/>
        <v>0</v>
      </c>
      <c r="G277" s="38">
        <f t="shared" si="3"/>
        <v>0</v>
      </c>
      <c r="H277" s="38">
        <f t="shared" si="3"/>
        <v>0</v>
      </c>
      <c r="I277" s="38">
        <f t="shared" si="3"/>
        <v>0</v>
      </c>
      <c r="J277" s="38">
        <f t="shared" si="3"/>
        <v>0</v>
      </c>
      <c r="K277" s="38">
        <f t="shared" si="3"/>
        <v>0</v>
      </c>
      <c r="L277" s="38">
        <f t="shared" si="3"/>
        <v>0</v>
      </c>
      <c r="M277" s="38">
        <f t="shared" si="3"/>
        <v>0</v>
      </c>
    </row>
    <row r="278" spans="1:13" s="4" customFormat="1" ht="15" hidden="1" customHeight="1" x14ac:dyDescent="0.45">
      <c r="A278" s="32" t="s">
        <v>244</v>
      </c>
      <c r="B278" s="32">
        <f t="shared" ref="B278:M278" si="4">B240-B241-B242-B244-B248-B249-B245-B247-B243-B246</f>
        <v>0</v>
      </c>
      <c r="C278" s="32">
        <f t="shared" si="4"/>
        <v>0</v>
      </c>
      <c r="D278" s="32">
        <f t="shared" si="4"/>
        <v>0</v>
      </c>
      <c r="E278" s="32">
        <f t="shared" si="4"/>
        <v>0</v>
      </c>
      <c r="F278" s="32">
        <f t="shared" si="4"/>
        <v>0</v>
      </c>
      <c r="G278" s="32">
        <f t="shared" si="4"/>
        <v>0</v>
      </c>
      <c r="H278" s="32">
        <f t="shared" si="4"/>
        <v>0</v>
      </c>
      <c r="I278" s="32">
        <f t="shared" si="4"/>
        <v>0</v>
      </c>
      <c r="J278" s="32">
        <f t="shared" si="4"/>
        <v>0</v>
      </c>
      <c r="K278" s="32">
        <f t="shared" si="4"/>
        <v>0</v>
      </c>
      <c r="L278" s="32">
        <f t="shared" si="4"/>
        <v>0</v>
      </c>
      <c r="M278" s="32">
        <f t="shared" si="4"/>
        <v>0</v>
      </c>
    </row>
    <row r="279" spans="1:13" ht="15.65" hidden="1" customHeight="1" x14ac:dyDescent="0.45">
      <c r="A279" s="32" t="s">
        <v>245</v>
      </c>
      <c r="B279" s="32">
        <f t="shared" ref="B279:M279" si="5">B250-B251-B254-B255-B256-B257-B259-B252-B253-B258</f>
        <v>0</v>
      </c>
      <c r="C279" s="32">
        <f t="shared" si="5"/>
        <v>0</v>
      </c>
      <c r="D279" s="32">
        <f t="shared" si="5"/>
        <v>0</v>
      </c>
      <c r="E279" s="32">
        <f t="shared" si="5"/>
        <v>0</v>
      </c>
      <c r="F279" s="32">
        <f t="shared" si="5"/>
        <v>0</v>
      </c>
      <c r="G279" s="32">
        <f t="shared" si="5"/>
        <v>0</v>
      </c>
      <c r="H279" s="32">
        <f t="shared" si="5"/>
        <v>0</v>
      </c>
      <c r="I279" s="32">
        <f t="shared" si="5"/>
        <v>0</v>
      </c>
      <c r="J279" s="32">
        <f t="shared" si="5"/>
        <v>0</v>
      </c>
      <c r="K279" s="32">
        <f t="shared" si="5"/>
        <v>0</v>
      </c>
      <c r="L279" s="32">
        <f t="shared" si="5"/>
        <v>0</v>
      </c>
      <c r="M279" s="32">
        <f t="shared" si="5"/>
        <v>0</v>
      </c>
    </row>
    <row r="280" spans="1:13" ht="15.65" hidden="1" customHeight="1" x14ac:dyDescent="0.45">
      <c r="A280" s="35"/>
      <c r="B280" s="35"/>
      <c r="C280" s="36"/>
      <c r="D280" s="36"/>
      <c r="E280" s="36"/>
      <c r="F280" s="36"/>
      <c r="G280" s="36"/>
      <c r="H280" s="35"/>
      <c r="I280" s="35"/>
      <c r="J280" s="35"/>
      <c r="K280" s="35"/>
      <c r="L280" s="35"/>
      <c r="M280" s="36"/>
    </row>
    <row r="281" spans="1:13" ht="15.65" hidden="1" customHeight="1" x14ac:dyDescent="0.45">
      <c r="A281" s="39" t="s">
        <v>239</v>
      </c>
      <c r="B281" s="38">
        <f>B4+B14+B21-B26-B53-B81-B131-B162-B168-B175-B189-B198-B210-B212-B218-B219-B221-B224-B230-B231-B232-B234-B235-B236-B227</f>
        <v>7020549936</v>
      </c>
      <c r="C281" s="38">
        <f>C4+C14+C21-C26-C53-C81-C131-C162-C168-C175-C189-C198-C210-C212-C219-C221-C224-C230-C231-C232-C235-C236</f>
        <v>-885788536</v>
      </c>
      <c r="D281" s="38"/>
      <c r="E281" s="38">
        <f>E4+E14+E21-E26-E53-E81-E131-E162-E168-E175-E189-E198-E210-E212-E218-E219-E221-E224-E230-E231-E232-E234-E235-E236-E227</f>
        <v>7421654760</v>
      </c>
      <c r="F281" s="38">
        <f>F4+F14+F21-F26-F53-F81-F131-F162-F168-F175-F189-F198-F210-F212-F218-F219-F221-F224-F230-F231-F232-F234-F235-F236-F227</f>
        <v>6667397012.4391642</v>
      </c>
      <c r="G281" s="38">
        <f>G4+G14+G21-G26-G53-G81-G131-G162-G168-G175-G189-G198-G210-G212-G218-G219-G221-G224-G230-G231-G232-G234-G235-G236-G227</f>
        <v>283007043.5608362</v>
      </c>
      <c r="H281" s="38">
        <f t="shared" ref="H281:L281" si="6">H4+H14+H21-H26-H53-H81-H131-H162-H168-H175-H189-H198-H210-H212-H218-H219-H221-H224-H230-H231-H232-H234-H235-H236-H227-H164-H215</f>
        <v>-433116747</v>
      </c>
      <c r="I281" s="38">
        <f t="shared" si="6"/>
        <v>27327296.920652363</v>
      </c>
      <c r="J281" s="38">
        <f t="shared" si="6"/>
        <v>4650194.8771538734</v>
      </c>
      <c r="K281" s="38">
        <f t="shared" si="6"/>
        <v>181929061.60595006</v>
      </c>
      <c r="L281" s="38">
        <f t="shared" si="6"/>
        <v>-144300442.4037562</v>
      </c>
      <c r="M281" s="38">
        <f>M4+M14+M21-M26-M53-M81-M131-M162-M168-M175-M189-M198-M210-M212-M218-M219-M221-M224-M230-M231-M232-M234-M235-M236-M227</f>
        <v>747721065</v>
      </c>
    </row>
    <row r="282" spans="1:13" s="4" customFormat="1" ht="15" hidden="1" customHeight="1" x14ac:dyDescent="0.45">
      <c r="A282" s="40" t="s">
        <v>240</v>
      </c>
      <c r="B282" s="38">
        <f>B18-B109-B163-B165-B170-B192-B222-B226-B237</f>
        <v>3307167494</v>
      </c>
      <c r="C282" s="38">
        <f>C18-C109-C163-C165-C170-C192-C226-C113</f>
        <v>54354826</v>
      </c>
      <c r="D282" s="38"/>
      <c r="E282" s="38">
        <f t="shared" ref="E282:M282" si="7">E18-E109-E163-E165-E170-E192-E222-E226-E237-E113</f>
        <v>1379256250</v>
      </c>
      <c r="F282" s="38">
        <f t="shared" si="7"/>
        <v>1106501342</v>
      </c>
      <c r="G282" s="38">
        <f t="shared" si="7"/>
        <v>-19105837</v>
      </c>
      <c r="H282" s="38">
        <f t="shared" si="7"/>
        <v>73377283</v>
      </c>
      <c r="I282" s="38">
        <f t="shared" si="7"/>
        <v>-170500</v>
      </c>
      <c r="J282" s="38">
        <f t="shared" si="7"/>
        <v>0</v>
      </c>
      <c r="K282" s="38">
        <f t="shared" si="7"/>
        <v>21868413</v>
      </c>
      <c r="L282" s="38">
        <f t="shared" si="7"/>
        <v>196785549</v>
      </c>
      <c r="M282" s="38">
        <f t="shared" si="7"/>
        <v>0</v>
      </c>
    </row>
    <row r="283" spans="1:13" s="4" customFormat="1" ht="15" hidden="1" customHeight="1" x14ac:dyDescent="0.45">
      <c r="A283" s="37" t="s">
        <v>241</v>
      </c>
      <c r="B283" s="41">
        <f>SUBTOTAL(9,B281:B282)</f>
        <v>10327717430</v>
      </c>
      <c r="C283" s="41">
        <f t="shared" ref="C283" si="8">SUBTOTAL(9,C281:C282)</f>
        <v>-831433710</v>
      </c>
      <c r="D283" s="41"/>
      <c r="E283" s="41">
        <f t="shared" ref="E283:L283" si="9">SUBTOTAL(9,E281:E282)</f>
        <v>8800911010</v>
      </c>
      <c r="F283" s="41">
        <f t="shared" si="9"/>
        <v>7773898354.4391642</v>
      </c>
      <c r="G283" s="41">
        <f>SUBTOTAL(9,G281:G282)</f>
        <v>263901206.5608362</v>
      </c>
      <c r="H283" s="41">
        <f>SUBTOTAL(9,H281:H282)</f>
        <v>-359739464</v>
      </c>
      <c r="I283" s="41">
        <f t="shared" si="9"/>
        <v>27156796.920652363</v>
      </c>
      <c r="J283" s="41">
        <f t="shared" si="9"/>
        <v>4650194.8771538734</v>
      </c>
      <c r="K283" s="41">
        <f t="shared" si="9"/>
        <v>203797474.60595006</v>
      </c>
      <c r="L283" s="41">
        <f t="shared" si="9"/>
        <v>52485106.596243799</v>
      </c>
      <c r="M283" s="41">
        <f>SUBTOTAL(9,M281:M282)</f>
        <v>747721065</v>
      </c>
    </row>
    <row r="284" spans="1:13" s="4" customFormat="1" ht="15" hidden="1" customHeight="1" x14ac:dyDescent="0.45">
      <c r="A284" s="9" t="s">
        <v>241</v>
      </c>
      <c r="B284" s="10">
        <f>SUBTOTAL(9,B282:B283)</f>
        <v>3307167494</v>
      </c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</row>
    <row r="285" spans="1:13" collapsed="1" x14ac:dyDescent="0.45">
      <c r="H285" s="3"/>
      <c r="I285" s="3"/>
      <c r="J285" s="3"/>
      <c r="K285" s="3"/>
      <c r="L285" s="3"/>
      <c r="M285" s="2"/>
    </row>
    <row r="286" spans="1:13" x14ac:dyDescent="0.45">
      <c r="E286" s="20"/>
      <c r="F286" s="20"/>
      <c r="G286" s="20"/>
      <c r="H286" s="20"/>
      <c r="M286" s="2"/>
    </row>
    <row r="287" spans="1:13" x14ac:dyDescent="0.45">
      <c r="H287" s="3"/>
      <c r="I287" s="3"/>
      <c r="J287" s="3"/>
      <c r="K287" s="3"/>
      <c r="L287" s="3"/>
    </row>
    <row r="288" spans="1:13" x14ac:dyDescent="0.45">
      <c r="B288" s="3"/>
      <c r="H288" s="3"/>
      <c r="I288" s="3"/>
      <c r="J288" s="3"/>
      <c r="K288" s="3"/>
      <c r="L288" s="3"/>
    </row>
    <row r="289" spans="8:12" x14ac:dyDescent="0.45">
      <c r="H289" s="3"/>
      <c r="I289" s="3"/>
      <c r="J289" s="3"/>
      <c r="K289" s="3"/>
      <c r="L289" s="3"/>
    </row>
    <row r="290" spans="8:12" x14ac:dyDescent="0.45">
      <c r="H290" s="3"/>
      <c r="I290" s="3"/>
      <c r="J290" s="3"/>
      <c r="K290" s="3"/>
      <c r="L290" s="3"/>
    </row>
    <row r="293" spans="8:12" x14ac:dyDescent="0.45">
      <c r="H293" s="3"/>
      <c r="I293" s="3"/>
      <c r="J293" s="3"/>
      <c r="K293" s="3"/>
      <c r="L293" s="3"/>
    </row>
    <row r="295" spans="8:12" x14ac:dyDescent="0.45">
      <c r="H295" s="3"/>
      <c r="I295" s="3"/>
      <c r="J295" s="3"/>
      <c r="K295" s="3"/>
      <c r="L295" s="3"/>
    </row>
  </sheetData>
  <mergeCells count="8">
    <mergeCell ref="I1:L1"/>
    <mergeCell ref="M1:M2"/>
    <mergeCell ref="A1:A2"/>
    <mergeCell ref="B1:B2"/>
    <mergeCell ref="C1:C2"/>
    <mergeCell ref="D1:D2"/>
    <mergeCell ref="E1:E2"/>
    <mergeCell ref="F1:H1"/>
  </mergeCells>
  <phoneticPr fontId="2" type="noConversion"/>
  <pageMargins left="0.75" right="0.75" top="1" bottom="1" header="0.5" footer="0.5"/>
  <pageSetup paperSize="8" scale="60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41F8D-CEB2-4BD8-BCFE-C716015B04E2}">
  <sheetPr>
    <tabColor rgb="FFFFC000"/>
    <pageSetUpPr fitToPage="1"/>
  </sheetPr>
  <dimension ref="A1:N295"/>
  <sheetViews>
    <sheetView showGridLines="0" zoomScale="85" zoomScaleNormal="85" zoomScaleSheetLayoutView="85" workbookViewId="0">
      <pane xSplit="2" ySplit="3" topLeftCell="C4" activePane="bottomRight" state="frozen"/>
      <selection activeCell="J2" sqref="J2:J253"/>
      <selection pane="topRight" activeCell="J2" sqref="J2:J253"/>
      <selection pane="bottomLeft" activeCell="J2" sqref="J2:J253"/>
      <selection pane="bottomRight" sqref="A1:A2"/>
    </sheetView>
  </sheetViews>
  <sheetFormatPr defaultColWidth="9.08984375" defaultRowHeight="16" outlineLevelRow="1" x14ac:dyDescent="0.45"/>
  <cols>
    <col min="1" max="1" width="36.36328125" style="2" customWidth="1"/>
    <col min="2" max="2" width="19.08984375" style="2" customWidth="1"/>
    <col min="3" max="7" width="19.08984375" style="3" customWidth="1"/>
    <col min="8" max="12" width="19.08984375" style="2" customWidth="1"/>
    <col min="13" max="13" width="19.08984375" style="3" customWidth="1"/>
    <col min="14" max="16384" width="9.08984375" style="2"/>
  </cols>
  <sheetData>
    <row r="1" spans="1:14" s="1" customFormat="1" ht="15.65" customHeight="1" x14ac:dyDescent="0.45">
      <c r="A1" s="208" t="s">
        <v>313</v>
      </c>
      <c r="B1" s="210" t="s">
        <v>233</v>
      </c>
      <c r="C1" s="210" t="s">
        <v>250</v>
      </c>
      <c r="D1" s="210" t="s">
        <v>288</v>
      </c>
      <c r="E1" s="212" t="s">
        <v>167</v>
      </c>
      <c r="F1" s="204" t="s">
        <v>289</v>
      </c>
      <c r="G1" s="205"/>
      <c r="H1" s="205"/>
      <c r="I1" s="202" t="s">
        <v>290</v>
      </c>
      <c r="J1" s="206"/>
      <c r="K1" s="206"/>
      <c r="L1" s="207"/>
      <c r="M1" s="202" t="s">
        <v>291</v>
      </c>
    </row>
    <row r="2" spans="1:14" s="1" customFormat="1" ht="15.65" customHeight="1" x14ac:dyDescent="0.45">
      <c r="A2" s="208"/>
      <c r="B2" s="211"/>
      <c r="C2" s="211"/>
      <c r="D2" s="211"/>
      <c r="E2" s="212"/>
      <c r="F2" s="114" t="s">
        <v>248</v>
      </c>
      <c r="G2" s="114" t="s">
        <v>242</v>
      </c>
      <c r="H2" s="26" t="s">
        <v>292</v>
      </c>
      <c r="I2" s="26" t="s">
        <v>168</v>
      </c>
      <c r="J2" s="26" t="s">
        <v>169</v>
      </c>
      <c r="K2" s="26" t="s">
        <v>294</v>
      </c>
      <c r="L2" s="26" t="s">
        <v>295</v>
      </c>
      <c r="M2" s="203"/>
    </row>
    <row r="3" spans="1:14" s="1" customFormat="1" ht="15.65" customHeight="1" x14ac:dyDescent="0.45">
      <c r="A3" s="27" t="s">
        <v>0</v>
      </c>
      <c r="B3" s="42">
        <v>54495947401</v>
      </c>
      <c r="C3" s="57">
        <v>-2980427431</v>
      </c>
      <c r="D3" s="57">
        <v>168272456</v>
      </c>
      <c r="E3" s="58">
        <v>57308102376</v>
      </c>
      <c r="F3" s="57">
        <v>20656492013.843391</v>
      </c>
      <c r="G3" s="57">
        <v>3850340434.1566105</v>
      </c>
      <c r="H3" s="59">
        <v>9858744567</v>
      </c>
      <c r="I3" s="59">
        <v>2075507661</v>
      </c>
      <c r="J3" s="59">
        <v>1028681981</v>
      </c>
      <c r="K3" s="59">
        <v>13637729821</v>
      </c>
      <c r="L3" s="57">
        <v>1444974760</v>
      </c>
      <c r="M3" s="57">
        <v>4755631138</v>
      </c>
    </row>
    <row r="4" spans="1:14" s="1" customFormat="1" x14ac:dyDescent="0.45">
      <c r="A4" s="28" t="s">
        <v>1</v>
      </c>
      <c r="B4" s="43">
        <v>31955447298</v>
      </c>
      <c r="C4" s="60">
        <v>26468146</v>
      </c>
      <c r="D4" s="60">
        <v>1374365</v>
      </c>
      <c r="E4" s="61">
        <v>31927604787</v>
      </c>
      <c r="F4" s="60">
        <v>8536572994</v>
      </c>
      <c r="G4" s="60">
        <v>200467623</v>
      </c>
      <c r="H4" s="62">
        <v>6137926928</v>
      </c>
      <c r="I4" s="62">
        <v>190887063</v>
      </c>
      <c r="J4" s="62">
        <v>14814177</v>
      </c>
      <c r="K4" s="62">
        <v>12327080064</v>
      </c>
      <c r="L4" s="62">
        <v>45255364</v>
      </c>
      <c r="M4" s="60">
        <v>4474600574</v>
      </c>
    </row>
    <row r="5" spans="1:14" s="1" customFormat="1" ht="16" hidden="1" customHeight="1" outlineLevel="1" x14ac:dyDescent="0.45">
      <c r="A5" s="29" t="s">
        <v>2</v>
      </c>
      <c r="B5" s="44">
        <v>16621449108</v>
      </c>
      <c r="C5" s="63">
        <v>5690200</v>
      </c>
      <c r="D5" s="63">
        <v>0</v>
      </c>
      <c r="E5" s="64">
        <v>16615758908</v>
      </c>
      <c r="F5" s="63">
        <v>16939135</v>
      </c>
      <c r="G5" s="63">
        <v>197714000</v>
      </c>
      <c r="H5" s="65">
        <v>769629803</v>
      </c>
      <c r="I5" s="65">
        <v>5493999</v>
      </c>
      <c r="J5" s="65">
        <v>6555000</v>
      </c>
      <c r="K5" s="65">
        <v>11547470079</v>
      </c>
      <c r="L5" s="65">
        <v>7000</v>
      </c>
      <c r="M5" s="63">
        <v>4071949892</v>
      </c>
    </row>
    <row r="6" spans="1:14" ht="16" hidden="1" customHeight="1" outlineLevel="1" x14ac:dyDescent="0.45">
      <c r="A6" s="29" t="s">
        <v>3</v>
      </c>
      <c r="B6" s="44">
        <v>0</v>
      </c>
      <c r="C6" s="63">
        <v>0</v>
      </c>
      <c r="D6" s="63">
        <v>0</v>
      </c>
      <c r="E6" s="64">
        <v>0</v>
      </c>
      <c r="F6" s="63">
        <v>0</v>
      </c>
      <c r="G6" s="63">
        <v>0</v>
      </c>
      <c r="H6" s="65">
        <v>0</v>
      </c>
      <c r="I6" s="65">
        <v>0</v>
      </c>
      <c r="J6" s="65">
        <v>0</v>
      </c>
      <c r="K6" s="65">
        <v>0</v>
      </c>
      <c r="L6" s="65">
        <v>0</v>
      </c>
      <c r="M6" s="63">
        <v>0</v>
      </c>
      <c r="N6" s="1"/>
    </row>
    <row r="7" spans="1:14" ht="16" hidden="1" customHeight="1" outlineLevel="1" x14ac:dyDescent="0.45">
      <c r="A7" s="29" t="s">
        <v>170</v>
      </c>
      <c r="B7" s="44">
        <v>0</v>
      </c>
      <c r="C7" s="63">
        <v>0</v>
      </c>
      <c r="D7" s="63">
        <v>0</v>
      </c>
      <c r="E7" s="64">
        <v>0</v>
      </c>
      <c r="F7" s="63">
        <v>0</v>
      </c>
      <c r="G7" s="63">
        <v>0</v>
      </c>
      <c r="H7" s="65">
        <v>0</v>
      </c>
      <c r="I7" s="65">
        <v>0</v>
      </c>
      <c r="J7" s="65">
        <v>0</v>
      </c>
      <c r="K7" s="65">
        <v>0</v>
      </c>
      <c r="L7" s="65">
        <v>0</v>
      </c>
      <c r="M7" s="63">
        <v>0</v>
      </c>
      <c r="N7" s="1"/>
    </row>
    <row r="8" spans="1:14" ht="16" hidden="1" customHeight="1" outlineLevel="1" x14ac:dyDescent="0.45">
      <c r="A8" s="29" t="s">
        <v>4</v>
      </c>
      <c r="B8" s="44">
        <v>14388036434</v>
      </c>
      <c r="C8" s="63">
        <v>20583946</v>
      </c>
      <c r="D8" s="63">
        <v>0</v>
      </c>
      <c r="E8" s="64">
        <v>14367452488</v>
      </c>
      <c r="F8" s="63">
        <v>8080629052</v>
      </c>
      <c r="G8" s="63">
        <v>2753623</v>
      </c>
      <c r="H8" s="65">
        <v>5276014309</v>
      </c>
      <c r="I8" s="65">
        <v>184448519</v>
      </c>
      <c r="J8" s="65">
        <v>2385000</v>
      </c>
      <c r="K8" s="65">
        <v>777701894</v>
      </c>
      <c r="L8" s="65">
        <v>43520091</v>
      </c>
      <c r="M8" s="63">
        <v>0</v>
      </c>
      <c r="N8" s="1"/>
    </row>
    <row r="9" spans="1:14" ht="16" hidden="1" customHeight="1" outlineLevel="1" x14ac:dyDescent="0.45">
      <c r="A9" s="29" t="s">
        <v>5</v>
      </c>
      <c r="B9" s="44">
        <v>230606743</v>
      </c>
      <c r="C9" s="63">
        <v>194000</v>
      </c>
      <c r="D9" s="63">
        <v>1374365</v>
      </c>
      <c r="E9" s="64">
        <v>229038378</v>
      </c>
      <c r="F9" s="63">
        <v>184019310</v>
      </c>
      <c r="G9" s="63">
        <v>0</v>
      </c>
      <c r="H9" s="65">
        <v>10404522</v>
      </c>
      <c r="I9" s="65">
        <v>860000</v>
      </c>
      <c r="J9" s="65">
        <v>0</v>
      </c>
      <c r="K9" s="65">
        <v>1217182</v>
      </c>
      <c r="L9" s="65">
        <v>1728273</v>
      </c>
      <c r="M9" s="63">
        <v>30809091</v>
      </c>
      <c r="N9" s="1"/>
    </row>
    <row r="10" spans="1:14" ht="16" hidden="1" customHeight="1" outlineLevel="1" x14ac:dyDescent="0.45">
      <c r="A10" s="29" t="s">
        <v>118</v>
      </c>
      <c r="B10" s="44">
        <v>24767813</v>
      </c>
      <c r="C10" s="63">
        <v>0</v>
      </c>
      <c r="D10" s="63">
        <v>0</v>
      </c>
      <c r="E10" s="64">
        <v>24767813</v>
      </c>
      <c r="F10" s="63">
        <v>0</v>
      </c>
      <c r="G10" s="63">
        <v>0</v>
      </c>
      <c r="H10" s="65">
        <v>18118182</v>
      </c>
      <c r="I10" s="65">
        <v>84545</v>
      </c>
      <c r="J10" s="65">
        <v>5874177</v>
      </c>
      <c r="K10" s="65">
        <v>690909</v>
      </c>
      <c r="L10" s="65">
        <v>0</v>
      </c>
      <c r="M10" s="63">
        <v>0</v>
      </c>
      <c r="N10" s="1"/>
    </row>
    <row r="11" spans="1:14" ht="16" hidden="1" customHeight="1" outlineLevel="1" x14ac:dyDescent="0.45">
      <c r="A11" s="29" t="s">
        <v>6</v>
      </c>
      <c r="B11" s="44">
        <v>318745609</v>
      </c>
      <c r="C11" s="63">
        <v>0</v>
      </c>
      <c r="D11" s="63">
        <v>0</v>
      </c>
      <c r="E11" s="64">
        <v>318745609</v>
      </c>
      <c r="F11" s="63">
        <v>254985497</v>
      </c>
      <c r="G11" s="63">
        <v>0</v>
      </c>
      <c r="H11" s="65">
        <v>63760112</v>
      </c>
      <c r="I11" s="65">
        <v>0</v>
      </c>
      <c r="J11" s="65">
        <v>0</v>
      </c>
      <c r="K11" s="65">
        <v>0</v>
      </c>
      <c r="L11" s="65">
        <v>0</v>
      </c>
      <c r="M11" s="63">
        <v>0</v>
      </c>
      <c r="N11" s="1"/>
    </row>
    <row r="12" spans="1:14" ht="16" hidden="1" customHeight="1" outlineLevel="1" x14ac:dyDescent="0.45">
      <c r="A12" s="29" t="s">
        <v>301</v>
      </c>
      <c r="B12" s="44">
        <v>371841591</v>
      </c>
      <c r="C12" s="63">
        <v>0</v>
      </c>
      <c r="D12" s="63">
        <v>0</v>
      </c>
      <c r="E12" s="64">
        <v>371841591</v>
      </c>
      <c r="F12" s="63">
        <v>0</v>
      </c>
      <c r="G12" s="63">
        <v>0</v>
      </c>
      <c r="H12" s="65">
        <v>0</v>
      </c>
      <c r="I12" s="65">
        <v>0</v>
      </c>
      <c r="J12" s="65">
        <v>0</v>
      </c>
      <c r="K12" s="65">
        <v>0</v>
      </c>
      <c r="L12" s="65">
        <v>0</v>
      </c>
      <c r="M12" s="63">
        <v>371841591</v>
      </c>
      <c r="N12" s="1"/>
    </row>
    <row r="13" spans="1:14" ht="16" customHeight="1" collapsed="1" x14ac:dyDescent="0.45">
      <c r="A13" s="28" t="s">
        <v>7</v>
      </c>
      <c r="B13" s="43">
        <v>22540500103</v>
      </c>
      <c r="C13" s="60">
        <v>-3006895577</v>
      </c>
      <c r="D13" s="60">
        <v>166898091</v>
      </c>
      <c r="E13" s="61">
        <v>25380497589</v>
      </c>
      <c r="F13" s="60">
        <v>12119919019.84339</v>
      </c>
      <c r="G13" s="60">
        <v>3649872811.1566105</v>
      </c>
      <c r="H13" s="62">
        <v>3720817639</v>
      </c>
      <c r="I13" s="62">
        <v>1884620598</v>
      </c>
      <c r="J13" s="62">
        <v>1013867804</v>
      </c>
      <c r="K13" s="62">
        <v>1310649757</v>
      </c>
      <c r="L13" s="62">
        <v>1399719396</v>
      </c>
      <c r="M13" s="60">
        <v>281030564</v>
      </c>
      <c r="N13" s="1"/>
    </row>
    <row r="14" spans="1:14" s="1" customFormat="1" ht="16" hidden="1" customHeight="1" outlineLevel="1" collapsed="1" x14ac:dyDescent="0.45">
      <c r="A14" s="24" t="s">
        <v>8</v>
      </c>
      <c r="B14" s="45">
        <v>11330735867</v>
      </c>
      <c r="C14" s="63">
        <v>-102267984</v>
      </c>
      <c r="D14" s="63">
        <v>0</v>
      </c>
      <c r="E14" s="64">
        <v>11433003851</v>
      </c>
      <c r="F14" s="63">
        <v>6763249463</v>
      </c>
      <c r="G14" s="63">
        <v>96304052</v>
      </c>
      <c r="H14" s="65">
        <v>2172113484</v>
      </c>
      <c r="I14" s="65">
        <v>568585814</v>
      </c>
      <c r="J14" s="65">
        <v>810049105</v>
      </c>
      <c r="K14" s="65">
        <v>750466068</v>
      </c>
      <c r="L14" s="65">
        <v>36062333</v>
      </c>
      <c r="M14" s="63">
        <v>236173532</v>
      </c>
    </row>
    <row r="15" spans="1:14" ht="16" hidden="1" customHeight="1" outlineLevel="1" x14ac:dyDescent="0.45">
      <c r="A15" s="29" t="s">
        <v>9</v>
      </c>
      <c r="B15" s="44">
        <v>412348352</v>
      </c>
      <c r="C15" s="63">
        <v>268479091</v>
      </c>
      <c r="D15" s="63">
        <v>-4690909</v>
      </c>
      <c r="E15" s="64">
        <v>148560170</v>
      </c>
      <c r="F15" s="63">
        <v>8917454</v>
      </c>
      <c r="G15" s="63">
        <v>1363636</v>
      </c>
      <c r="H15" s="65">
        <v>12343635</v>
      </c>
      <c r="I15" s="65">
        <v>0</v>
      </c>
      <c r="J15" s="65">
        <v>200913</v>
      </c>
      <c r="K15" s="65">
        <v>0</v>
      </c>
      <c r="L15" s="65">
        <v>110877500</v>
      </c>
      <c r="M15" s="63">
        <v>14857032</v>
      </c>
      <c r="N15" s="1"/>
    </row>
    <row r="16" spans="1:14" ht="16" hidden="1" customHeight="1" outlineLevel="1" x14ac:dyDescent="0.45">
      <c r="A16" s="29" t="s">
        <v>10</v>
      </c>
      <c r="B16" s="44">
        <v>5072882323</v>
      </c>
      <c r="C16" s="63">
        <v>446899709</v>
      </c>
      <c r="D16" s="63">
        <v>0</v>
      </c>
      <c r="E16" s="64">
        <v>4625982614</v>
      </c>
      <c r="F16" s="63">
        <v>2499448217.8433895</v>
      </c>
      <c r="G16" s="63">
        <v>1051177224.1566105</v>
      </c>
      <c r="H16" s="65">
        <v>502179337</v>
      </c>
      <c r="I16" s="65">
        <v>78612916</v>
      </c>
      <c r="J16" s="65">
        <v>122505150</v>
      </c>
      <c r="K16" s="65">
        <v>251166391</v>
      </c>
      <c r="L16" s="65">
        <v>120893378</v>
      </c>
      <c r="M16" s="63">
        <v>0</v>
      </c>
      <c r="N16" s="1"/>
    </row>
    <row r="17" spans="1:14" ht="16" hidden="1" customHeight="1" outlineLevel="1" x14ac:dyDescent="0.45">
      <c r="A17" s="29" t="s">
        <v>11</v>
      </c>
      <c r="B17" s="44">
        <v>75951674</v>
      </c>
      <c r="C17" s="63">
        <v>813682</v>
      </c>
      <c r="D17" s="63">
        <v>0</v>
      </c>
      <c r="E17" s="64">
        <v>75137992</v>
      </c>
      <c r="F17" s="63">
        <v>62709696</v>
      </c>
      <c r="G17" s="63">
        <v>2186802</v>
      </c>
      <c r="H17" s="65">
        <v>315903</v>
      </c>
      <c r="I17" s="65">
        <v>486000</v>
      </c>
      <c r="J17" s="65">
        <v>9222091</v>
      </c>
      <c r="K17" s="65">
        <v>217500</v>
      </c>
      <c r="L17" s="65">
        <v>0</v>
      </c>
      <c r="M17" s="63">
        <v>0</v>
      </c>
      <c r="N17" s="1"/>
    </row>
    <row r="18" spans="1:14" ht="16" hidden="1" customHeight="1" outlineLevel="1" x14ac:dyDescent="0.45">
      <c r="A18" s="30" t="s">
        <v>12</v>
      </c>
      <c r="B18" s="46">
        <v>2590703217</v>
      </c>
      <c r="C18" s="63">
        <v>-614244909</v>
      </c>
      <c r="D18" s="63">
        <v>0</v>
      </c>
      <c r="E18" s="64">
        <v>3204948126</v>
      </c>
      <c r="F18" s="63">
        <v>1996637600</v>
      </c>
      <c r="G18" s="63">
        <v>-1158903</v>
      </c>
      <c r="H18" s="65">
        <v>51998200</v>
      </c>
      <c r="I18" s="65">
        <v>8336368</v>
      </c>
      <c r="J18" s="65">
        <v>0</v>
      </c>
      <c r="K18" s="65">
        <v>17248676</v>
      </c>
      <c r="L18" s="65">
        <v>1131886185</v>
      </c>
      <c r="M18" s="63">
        <v>0</v>
      </c>
      <c r="N18" s="1"/>
    </row>
    <row r="19" spans="1:14" ht="16" hidden="1" customHeight="1" outlineLevel="1" x14ac:dyDescent="0.45">
      <c r="A19" s="29" t="s">
        <v>119</v>
      </c>
      <c r="B19" s="44">
        <v>-3009821414</v>
      </c>
      <c r="C19" s="63">
        <v>-3009821414</v>
      </c>
      <c r="D19" s="63">
        <v>0</v>
      </c>
      <c r="E19" s="64">
        <v>0</v>
      </c>
      <c r="F19" s="63">
        <v>0</v>
      </c>
      <c r="G19" s="63">
        <v>0</v>
      </c>
      <c r="H19" s="65">
        <v>0</v>
      </c>
      <c r="I19" s="65">
        <v>0</v>
      </c>
      <c r="J19" s="65">
        <v>0</v>
      </c>
      <c r="K19" s="65">
        <v>0</v>
      </c>
      <c r="L19" s="65">
        <v>0</v>
      </c>
      <c r="M19" s="63">
        <v>0</v>
      </c>
      <c r="N19" s="1"/>
    </row>
    <row r="20" spans="1:14" ht="16" hidden="1" customHeight="1" outlineLevel="1" x14ac:dyDescent="0.45">
      <c r="A20" s="29" t="s">
        <v>120</v>
      </c>
      <c r="B20" s="44">
        <v>0</v>
      </c>
      <c r="C20" s="63">
        <v>0</v>
      </c>
      <c r="D20" s="63">
        <v>0</v>
      </c>
      <c r="E20" s="64">
        <v>0</v>
      </c>
      <c r="F20" s="63">
        <v>0</v>
      </c>
      <c r="G20" s="63">
        <v>0</v>
      </c>
      <c r="H20" s="65">
        <v>0</v>
      </c>
      <c r="I20" s="65">
        <v>0</v>
      </c>
      <c r="J20" s="65">
        <v>0</v>
      </c>
      <c r="K20" s="65">
        <v>0</v>
      </c>
      <c r="L20" s="65">
        <v>0</v>
      </c>
      <c r="M20" s="63">
        <v>0</v>
      </c>
      <c r="N20" s="1"/>
    </row>
    <row r="21" spans="1:14" ht="16" hidden="1" customHeight="1" outlineLevel="1" x14ac:dyDescent="0.45">
      <c r="A21" s="24" t="s">
        <v>13</v>
      </c>
      <c r="B21" s="45">
        <v>1496159426</v>
      </c>
      <c r="C21" s="63">
        <v>420000</v>
      </c>
      <c r="D21" s="63">
        <v>0</v>
      </c>
      <c r="E21" s="64">
        <v>1495739426</v>
      </c>
      <c r="F21" s="63">
        <v>14564637</v>
      </c>
      <c r="G21" s="63">
        <v>0</v>
      </c>
      <c r="H21" s="65">
        <v>0</v>
      </c>
      <c r="I21" s="65">
        <v>1228599500</v>
      </c>
      <c r="J21" s="65">
        <v>3500000</v>
      </c>
      <c r="K21" s="65">
        <v>249075289</v>
      </c>
      <c r="L21" s="65">
        <v>0</v>
      </c>
      <c r="M21" s="63">
        <v>0</v>
      </c>
      <c r="N21" s="1"/>
    </row>
    <row r="22" spans="1:14" s="1" customFormat="1" ht="16" hidden="1" customHeight="1" outlineLevel="1" x14ac:dyDescent="0.45">
      <c r="A22" s="29" t="s">
        <v>121</v>
      </c>
      <c r="B22" s="44">
        <v>3794322458</v>
      </c>
      <c r="C22" s="63">
        <v>0</v>
      </c>
      <c r="D22" s="63">
        <v>171589000</v>
      </c>
      <c r="E22" s="64">
        <v>3622733458</v>
      </c>
      <c r="F22" s="63">
        <v>0</v>
      </c>
      <c r="G22" s="63">
        <v>2500000000</v>
      </c>
      <c r="H22" s="65">
        <v>981867080</v>
      </c>
      <c r="I22" s="65">
        <v>0</v>
      </c>
      <c r="J22" s="65">
        <v>68390545</v>
      </c>
      <c r="K22" s="65">
        <v>42475833</v>
      </c>
      <c r="L22" s="65">
        <v>0</v>
      </c>
      <c r="M22" s="63">
        <v>30000000</v>
      </c>
    </row>
    <row r="23" spans="1:14" ht="16" hidden="1" customHeight="1" outlineLevel="1" x14ac:dyDescent="0.45">
      <c r="A23" s="29" t="s">
        <v>249</v>
      </c>
      <c r="B23" s="44">
        <v>777218200</v>
      </c>
      <c r="C23" s="63">
        <v>2826248</v>
      </c>
      <c r="D23" s="63">
        <v>0</v>
      </c>
      <c r="E23" s="64">
        <v>774391952</v>
      </c>
      <c r="F23" s="63">
        <v>774391952</v>
      </c>
      <c r="G23" s="63">
        <v>0</v>
      </c>
      <c r="H23" s="65">
        <v>0</v>
      </c>
      <c r="I23" s="65">
        <v>0</v>
      </c>
      <c r="J23" s="65">
        <v>0</v>
      </c>
      <c r="K23" s="65">
        <v>0</v>
      </c>
      <c r="L23" s="65">
        <v>0</v>
      </c>
      <c r="M23" s="63">
        <v>0</v>
      </c>
      <c r="N23" s="1"/>
    </row>
    <row r="24" spans="1:14" ht="16" hidden="1" customHeight="1" outlineLevel="1" x14ac:dyDescent="0.45">
      <c r="A24" s="24" t="s">
        <v>287</v>
      </c>
      <c r="B24" s="45">
        <v>0</v>
      </c>
      <c r="C24" s="63">
        <v>0</v>
      </c>
      <c r="D24" s="63">
        <v>0</v>
      </c>
      <c r="E24" s="64">
        <v>0</v>
      </c>
      <c r="F24" s="63">
        <v>0</v>
      </c>
      <c r="G24" s="63">
        <v>0</v>
      </c>
      <c r="H24" s="65">
        <v>0</v>
      </c>
      <c r="I24" s="65">
        <v>0</v>
      </c>
      <c r="J24" s="65">
        <v>0</v>
      </c>
      <c r="K24" s="65">
        <v>0</v>
      </c>
      <c r="L24" s="65">
        <v>0</v>
      </c>
      <c r="M24" s="63">
        <v>0</v>
      </c>
      <c r="N24" s="1"/>
    </row>
    <row r="25" spans="1:14" ht="16" customHeight="1" collapsed="1" x14ac:dyDescent="0.45">
      <c r="A25" s="27" t="s">
        <v>14</v>
      </c>
      <c r="B25" s="42">
        <v>32479941639</v>
      </c>
      <c r="C25" s="57">
        <v>-2198702841</v>
      </c>
      <c r="D25" s="57">
        <v>0</v>
      </c>
      <c r="E25" s="58">
        <v>34678644480</v>
      </c>
      <c r="F25" s="58">
        <v>10346676482</v>
      </c>
      <c r="G25" s="58">
        <v>66324000</v>
      </c>
      <c r="H25" s="58">
        <v>6740911429</v>
      </c>
      <c r="I25" s="58">
        <v>1740342386</v>
      </c>
      <c r="J25" s="58">
        <v>-90899324</v>
      </c>
      <c r="K25" s="58">
        <v>12263984561</v>
      </c>
      <c r="L25" s="58">
        <v>59914451</v>
      </c>
      <c r="M25" s="58">
        <v>3551390495</v>
      </c>
      <c r="N25" s="1"/>
    </row>
    <row r="26" spans="1:14" s="1" customFormat="1" ht="16" hidden="1" customHeight="1" outlineLevel="1" collapsed="1" x14ac:dyDescent="0.45">
      <c r="A26" s="28" t="s">
        <v>15</v>
      </c>
      <c r="B26" s="43">
        <v>32479941639</v>
      </c>
      <c r="C26" s="60">
        <v>-2198702841</v>
      </c>
      <c r="D26" s="60">
        <v>0</v>
      </c>
      <c r="E26" s="61">
        <v>34678644480</v>
      </c>
      <c r="F26" s="60">
        <v>10346676482</v>
      </c>
      <c r="G26" s="60">
        <v>66324000</v>
      </c>
      <c r="H26" s="62">
        <v>6740911429</v>
      </c>
      <c r="I26" s="62">
        <v>1740342386</v>
      </c>
      <c r="J26" s="62">
        <v>-90899324</v>
      </c>
      <c r="K26" s="62">
        <v>12263984561</v>
      </c>
      <c r="L26" s="62">
        <v>59914451</v>
      </c>
      <c r="M26" s="60">
        <v>3551390495</v>
      </c>
    </row>
    <row r="27" spans="1:14" s="1" customFormat="1" ht="16" customHeight="1" collapsed="1" x14ac:dyDescent="0.45">
      <c r="A27" s="27" t="s">
        <v>16</v>
      </c>
      <c r="B27" s="42">
        <v>22016005762</v>
      </c>
      <c r="C27" s="57">
        <v>-781724590</v>
      </c>
      <c r="D27" s="57">
        <v>168272456</v>
      </c>
      <c r="E27" s="58">
        <v>22629457896</v>
      </c>
      <c r="F27" s="57">
        <v>10309815531.84339</v>
      </c>
      <c r="G27" s="57">
        <v>3784016434.1566105</v>
      </c>
      <c r="H27" s="59">
        <v>3117833138</v>
      </c>
      <c r="I27" s="59">
        <v>335165275</v>
      </c>
      <c r="J27" s="59">
        <v>1119581305</v>
      </c>
      <c r="K27" s="59">
        <v>1373745260</v>
      </c>
      <c r="L27" s="59">
        <v>1385060309</v>
      </c>
      <c r="M27" s="57">
        <v>1204240643</v>
      </c>
    </row>
    <row r="28" spans="1:14" s="1" customFormat="1" collapsed="1" x14ac:dyDescent="0.45">
      <c r="A28" s="27" t="s">
        <v>17</v>
      </c>
      <c r="B28" s="42">
        <v>19514809958</v>
      </c>
      <c r="C28" s="57">
        <v>-361909617</v>
      </c>
      <c r="D28" s="57">
        <v>590696878</v>
      </c>
      <c r="E28" s="58">
        <v>19286022697</v>
      </c>
      <c r="F28" s="57">
        <v>10066329752.969126</v>
      </c>
      <c r="G28" s="57">
        <v>2411965784.8214931</v>
      </c>
      <c r="H28" s="59">
        <v>2453705026.2093811</v>
      </c>
      <c r="I28" s="59">
        <v>218893932.28732762</v>
      </c>
      <c r="J28" s="59">
        <v>1003674511.966066</v>
      </c>
      <c r="K28" s="59">
        <v>908795799.71430552</v>
      </c>
      <c r="L28" s="59">
        <v>1631312921.0323009</v>
      </c>
      <c r="M28" s="57">
        <v>591344968</v>
      </c>
    </row>
    <row r="29" spans="1:14" s="1" customFormat="1" x14ac:dyDescent="0.45">
      <c r="A29" s="28" t="s">
        <v>18</v>
      </c>
      <c r="B29" s="43">
        <v>110145900</v>
      </c>
      <c r="C29" s="60">
        <v>35243320</v>
      </c>
      <c r="D29" s="60">
        <v>17206450</v>
      </c>
      <c r="E29" s="61">
        <v>57696130</v>
      </c>
      <c r="F29" s="60">
        <v>49401799.433517829</v>
      </c>
      <c r="G29" s="60">
        <v>8294330.5664821705</v>
      </c>
      <c r="H29" s="62">
        <v>0</v>
      </c>
      <c r="I29" s="62">
        <v>0</v>
      </c>
      <c r="J29" s="62">
        <v>0</v>
      </c>
      <c r="K29" s="62">
        <v>0</v>
      </c>
      <c r="L29" s="62">
        <v>0</v>
      </c>
      <c r="M29" s="60">
        <v>0</v>
      </c>
    </row>
    <row r="30" spans="1:14" s="1" customFormat="1" x14ac:dyDescent="0.45">
      <c r="A30" s="28" t="s">
        <v>19</v>
      </c>
      <c r="B30" s="43">
        <v>6443494100</v>
      </c>
      <c r="C30" s="66">
        <v>385211080</v>
      </c>
      <c r="D30" s="60">
        <v>176324050</v>
      </c>
      <c r="E30" s="61">
        <v>5881958970</v>
      </c>
      <c r="F30" s="60">
        <v>3494352070.0239534</v>
      </c>
      <c r="G30" s="60">
        <v>1153868025.8426743</v>
      </c>
      <c r="H30" s="62">
        <v>392647954.13337255</v>
      </c>
      <c r="I30" s="62">
        <v>47561086.236779973</v>
      </c>
      <c r="J30" s="62">
        <v>42206250.493616305</v>
      </c>
      <c r="K30" s="62">
        <v>188922200.16361058</v>
      </c>
      <c r="L30" s="62">
        <v>483614743.10599315</v>
      </c>
      <c r="M30" s="60">
        <v>78786640</v>
      </c>
    </row>
    <row r="31" spans="1:14" s="1" customFormat="1" ht="16" hidden="1" customHeight="1" outlineLevel="1" x14ac:dyDescent="0.45">
      <c r="A31" s="29" t="s">
        <v>20</v>
      </c>
      <c r="B31" s="44">
        <v>698815010</v>
      </c>
      <c r="C31" s="63">
        <v>171774810.00000012</v>
      </c>
      <c r="D31" s="63">
        <v>71404190</v>
      </c>
      <c r="E31" s="64">
        <v>455636009.99999988</v>
      </c>
      <c r="F31" s="63">
        <v>200354644.15334117</v>
      </c>
      <c r="G31" s="63">
        <v>98065597.513835147</v>
      </c>
      <c r="H31" s="65">
        <v>23746558.332823649</v>
      </c>
      <c r="I31" s="65">
        <v>7996479.0610321397</v>
      </c>
      <c r="J31" s="65">
        <v>7926509.2972942153</v>
      </c>
      <c r="K31" s="65">
        <v>17229540.241172243</v>
      </c>
      <c r="L31" s="65">
        <v>57955051.4005014</v>
      </c>
      <c r="M31" s="63">
        <v>42361630</v>
      </c>
    </row>
    <row r="32" spans="1:14" ht="16" hidden="1" customHeight="1" outlineLevel="1" x14ac:dyDescent="0.45">
      <c r="A32" s="29" t="s">
        <v>21</v>
      </c>
      <c r="B32" s="44">
        <v>128459670</v>
      </c>
      <c r="C32" s="63">
        <v>31794610.000000015</v>
      </c>
      <c r="D32" s="63">
        <v>13096600</v>
      </c>
      <c r="E32" s="64">
        <v>83568459.999999985</v>
      </c>
      <c r="F32" s="63">
        <v>36827343.350813605</v>
      </c>
      <c r="G32" s="63">
        <v>17392514.039472964</v>
      </c>
      <c r="H32" s="65">
        <v>4410292.6097134296</v>
      </c>
      <c r="I32" s="65">
        <v>1494592.9293302009</v>
      </c>
      <c r="J32" s="65">
        <v>1478707.4750467627</v>
      </c>
      <c r="K32" s="65">
        <v>3269319.4923410108</v>
      </c>
      <c r="L32" s="65">
        <v>10936420.103282025</v>
      </c>
      <c r="M32" s="63">
        <v>7759270</v>
      </c>
      <c r="N32" s="1"/>
    </row>
    <row r="33" spans="1:14" ht="16" hidden="1" customHeight="1" outlineLevel="1" x14ac:dyDescent="0.45">
      <c r="A33" s="29" t="s">
        <v>22</v>
      </c>
      <c r="B33" s="44">
        <v>33400000</v>
      </c>
      <c r="C33" s="63">
        <v>8300000</v>
      </c>
      <c r="D33" s="63">
        <v>2800000</v>
      </c>
      <c r="E33" s="64">
        <v>22300000</v>
      </c>
      <c r="F33" s="63">
        <v>8866737.0986953527</v>
      </c>
      <c r="G33" s="63">
        <v>3624212.8070878945</v>
      </c>
      <c r="H33" s="65">
        <v>1109050.0942167533</v>
      </c>
      <c r="I33" s="65">
        <v>548365.21863272507</v>
      </c>
      <c r="J33" s="65">
        <v>526031.5579243293</v>
      </c>
      <c r="K33" s="65">
        <v>1487946.5442286176</v>
      </c>
      <c r="L33" s="65">
        <v>4437656.6792143285</v>
      </c>
      <c r="M33" s="63">
        <v>1700000</v>
      </c>
      <c r="N33" s="1"/>
    </row>
    <row r="34" spans="1:14" ht="16" hidden="1" customHeight="1" outlineLevel="1" x14ac:dyDescent="0.45">
      <c r="A34" s="29" t="s">
        <v>171</v>
      </c>
      <c r="B34" s="44">
        <v>0</v>
      </c>
      <c r="C34" s="63">
        <v>0</v>
      </c>
      <c r="D34" s="63">
        <v>0</v>
      </c>
      <c r="E34" s="64">
        <v>0</v>
      </c>
      <c r="F34" s="63">
        <v>0</v>
      </c>
      <c r="G34" s="63">
        <v>0</v>
      </c>
      <c r="H34" s="65">
        <v>0</v>
      </c>
      <c r="I34" s="65">
        <v>0</v>
      </c>
      <c r="J34" s="65">
        <v>0</v>
      </c>
      <c r="K34" s="65">
        <v>0</v>
      </c>
      <c r="L34" s="65">
        <v>0</v>
      </c>
      <c r="M34" s="63">
        <v>0</v>
      </c>
      <c r="N34" s="1"/>
    </row>
    <row r="35" spans="1:14" ht="16" hidden="1" customHeight="1" outlineLevel="1" x14ac:dyDescent="0.45">
      <c r="A35" s="29" t="s">
        <v>23</v>
      </c>
      <c r="B35" s="44">
        <v>17193400</v>
      </c>
      <c r="C35" s="63">
        <v>2207010</v>
      </c>
      <c r="D35" s="63">
        <v>1188580</v>
      </c>
      <c r="E35" s="64">
        <v>13797810</v>
      </c>
      <c r="F35" s="63">
        <v>7566065.8614932569</v>
      </c>
      <c r="G35" s="63">
        <v>4212334.1385067431</v>
      </c>
      <c r="H35" s="65">
        <v>339900</v>
      </c>
      <c r="I35" s="65">
        <v>0</v>
      </c>
      <c r="J35" s="65">
        <v>0</v>
      </c>
      <c r="K35" s="65">
        <v>162570</v>
      </c>
      <c r="L35" s="65">
        <v>837110</v>
      </c>
      <c r="M35" s="63">
        <v>679830</v>
      </c>
      <c r="N35" s="1"/>
    </row>
    <row r="36" spans="1:14" ht="16" hidden="1" customHeight="1" outlineLevel="1" x14ac:dyDescent="0.45">
      <c r="A36" s="29" t="s">
        <v>24</v>
      </c>
      <c r="B36" s="44">
        <v>20842300</v>
      </c>
      <c r="C36" s="63">
        <v>6531860.0000000019</v>
      </c>
      <c r="D36" s="63">
        <v>1691790</v>
      </c>
      <c r="E36" s="64">
        <v>12618649.999999998</v>
      </c>
      <c r="F36" s="63">
        <v>4666830.9474359602</v>
      </c>
      <c r="G36" s="63">
        <v>2768909.3592336359</v>
      </c>
      <c r="H36" s="65">
        <v>1058419.6933304037</v>
      </c>
      <c r="I36" s="65">
        <v>250647.16429342938</v>
      </c>
      <c r="J36" s="65">
        <v>222572.95515223645</v>
      </c>
      <c r="K36" s="65">
        <v>1490476.9470433807</v>
      </c>
      <c r="L36" s="65">
        <v>566722.93351095368</v>
      </c>
      <c r="M36" s="63">
        <v>1594070</v>
      </c>
      <c r="N36" s="1"/>
    </row>
    <row r="37" spans="1:14" ht="16" hidden="1" customHeight="1" outlineLevel="1" x14ac:dyDescent="0.45">
      <c r="A37" s="29" t="s">
        <v>122</v>
      </c>
      <c r="B37" s="44">
        <v>326941060</v>
      </c>
      <c r="C37" s="63">
        <v>29162360</v>
      </c>
      <c r="D37" s="63">
        <v>0</v>
      </c>
      <c r="E37" s="64">
        <v>297778700</v>
      </c>
      <c r="F37" s="63">
        <v>23442670</v>
      </c>
      <c r="G37" s="63">
        <v>0</v>
      </c>
      <c r="H37" s="65">
        <v>265804820</v>
      </c>
      <c r="I37" s="65">
        <v>0</v>
      </c>
      <c r="J37" s="65">
        <v>0</v>
      </c>
      <c r="K37" s="65">
        <v>8531210</v>
      </c>
      <c r="L37" s="65">
        <v>0</v>
      </c>
      <c r="M37" s="63">
        <v>0</v>
      </c>
      <c r="N37" s="1"/>
    </row>
    <row r="38" spans="1:14" ht="16" hidden="1" customHeight="1" outlineLevel="1" x14ac:dyDescent="0.45">
      <c r="A38" s="29" t="s">
        <v>123</v>
      </c>
      <c r="B38" s="44">
        <v>54422590</v>
      </c>
      <c r="C38" s="63">
        <v>4574570</v>
      </c>
      <c r="D38" s="63">
        <v>0</v>
      </c>
      <c r="E38" s="64">
        <v>49848020</v>
      </c>
      <c r="F38" s="63">
        <v>3977030</v>
      </c>
      <c r="G38" s="63">
        <v>0</v>
      </c>
      <c r="H38" s="65">
        <v>44426050</v>
      </c>
      <c r="I38" s="65">
        <v>0</v>
      </c>
      <c r="J38" s="65">
        <v>0</v>
      </c>
      <c r="K38" s="65">
        <v>1444940</v>
      </c>
      <c r="L38" s="65">
        <v>0</v>
      </c>
      <c r="M38" s="63">
        <v>0</v>
      </c>
      <c r="N38" s="1"/>
    </row>
    <row r="39" spans="1:14" ht="16" hidden="1" customHeight="1" outlineLevel="1" x14ac:dyDescent="0.45">
      <c r="A39" s="29" t="s">
        <v>124</v>
      </c>
      <c r="B39" s="44">
        <v>1200000</v>
      </c>
      <c r="C39" s="63">
        <v>0</v>
      </c>
      <c r="D39" s="63">
        <v>0</v>
      </c>
      <c r="E39" s="64">
        <v>1200000</v>
      </c>
      <c r="F39" s="63">
        <v>0</v>
      </c>
      <c r="G39" s="63">
        <v>0</v>
      </c>
      <c r="H39" s="65">
        <v>1200000</v>
      </c>
      <c r="I39" s="65">
        <v>0</v>
      </c>
      <c r="J39" s="65">
        <v>0</v>
      </c>
      <c r="K39" s="65">
        <v>0</v>
      </c>
      <c r="L39" s="65">
        <v>0</v>
      </c>
      <c r="M39" s="63">
        <v>0</v>
      </c>
      <c r="N39" s="1"/>
    </row>
    <row r="40" spans="1:14" ht="16" hidden="1" customHeight="1" outlineLevel="1" x14ac:dyDescent="0.45">
      <c r="A40" s="29" t="s">
        <v>125</v>
      </c>
      <c r="B40" s="44">
        <v>0</v>
      </c>
      <c r="C40" s="63">
        <v>0</v>
      </c>
      <c r="D40" s="63">
        <v>0</v>
      </c>
      <c r="E40" s="64">
        <v>0</v>
      </c>
      <c r="F40" s="63">
        <v>0</v>
      </c>
      <c r="G40" s="63">
        <v>0</v>
      </c>
      <c r="H40" s="65">
        <v>0</v>
      </c>
      <c r="I40" s="65">
        <v>0</v>
      </c>
      <c r="J40" s="65">
        <v>0</v>
      </c>
      <c r="K40" s="65">
        <v>0</v>
      </c>
      <c r="L40" s="65">
        <v>0</v>
      </c>
      <c r="M40" s="63">
        <v>0</v>
      </c>
      <c r="N40" s="1"/>
    </row>
    <row r="41" spans="1:14" ht="16" hidden="1" customHeight="1" outlineLevel="1" x14ac:dyDescent="0.45">
      <c r="A41" s="29" t="s">
        <v>172</v>
      </c>
      <c r="B41" s="44">
        <v>171280</v>
      </c>
      <c r="C41" s="63">
        <v>0</v>
      </c>
      <c r="D41" s="63">
        <v>0</v>
      </c>
      <c r="E41" s="64">
        <v>171280</v>
      </c>
      <c r="F41" s="63">
        <v>171280</v>
      </c>
      <c r="G41" s="63">
        <v>0</v>
      </c>
      <c r="H41" s="65">
        <v>0</v>
      </c>
      <c r="I41" s="65">
        <v>0</v>
      </c>
      <c r="J41" s="65">
        <v>0</v>
      </c>
      <c r="K41" s="65">
        <v>0</v>
      </c>
      <c r="L41" s="65">
        <v>0</v>
      </c>
      <c r="M41" s="63">
        <v>0</v>
      </c>
      <c r="N41" s="1"/>
    </row>
    <row r="42" spans="1:14" ht="16" hidden="1" customHeight="1" outlineLevel="1" x14ac:dyDescent="0.45">
      <c r="A42" s="29" t="s">
        <v>173</v>
      </c>
      <c r="B42" s="44">
        <v>0</v>
      </c>
      <c r="C42" s="63">
        <v>0</v>
      </c>
      <c r="D42" s="63">
        <v>0</v>
      </c>
      <c r="E42" s="64">
        <v>0</v>
      </c>
      <c r="F42" s="63">
        <v>0</v>
      </c>
      <c r="G42" s="63">
        <v>0</v>
      </c>
      <c r="H42" s="65">
        <v>0</v>
      </c>
      <c r="I42" s="65">
        <v>0</v>
      </c>
      <c r="J42" s="65">
        <v>0</v>
      </c>
      <c r="K42" s="65">
        <v>0</v>
      </c>
      <c r="L42" s="65">
        <v>0</v>
      </c>
      <c r="M42" s="63">
        <v>0</v>
      </c>
      <c r="N42" s="1"/>
    </row>
    <row r="43" spans="1:14" ht="16" hidden="1" customHeight="1" outlineLevel="1" x14ac:dyDescent="0.45">
      <c r="A43" s="29" t="s">
        <v>25</v>
      </c>
      <c r="B43" s="44">
        <v>27745000</v>
      </c>
      <c r="C43" s="63">
        <v>7130000</v>
      </c>
      <c r="D43" s="63">
        <v>2790000</v>
      </c>
      <c r="E43" s="64">
        <v>17825000</v>
      </c>
      <c r="F43" s="63">
        <v>7984110.3629710302</v>
      </c>
      <c r="G43" s="63">
        <v>4093816.233740686</v>
      </c>
      <c r="H43" s="65">
        <v>1097073.4032882834</v>
      </c>
      <c r="I43" s="65">
        <v>254461.86349148027</v>
      </c>
      <c r="J43" s="65">
        <v>251989.20819876503</v>
      </c>
      <c r="K43" s="65">
        <v>552236.93882531126</v>
      </c>
      <c r="L43" s="65">
        <v>2041311.9894844436</v>
      </c>
      <c r="M43" s="63">
        <v>1550000</v>
      </c>
      <c r="N43" s="1"/>
    </row>
    <row r="44" spans="1:14" ht="16" hidden="1" customHeight="1" outlineLevel="1" x14ac:dyDescent="0.45">
      <c r="A44" s="29" t="s">
        <v>174</v>
      </c>
      <c r="B44" s="44">
        <v>0</v>
      </c>
      <c r="C44" s="63">
        <v>0</v>
      </c>
      <c r="D44" s="63">
        <v>0</v>
      </c>
      <c r="E44" s="64">
        <v>0</v>
      </c>
      <c r="F44" s="63">
        <v>0</v>
      </c>
      <c r="G44" s="63">
        <v>0</v>
      </c>
      <c r="H44" s="65">
        <v>0</v>
      </c>
      <c r="I44" s="65">
        <v>0</v>
      </c>
      <c r="J44" s="65">
        <v>0</v>
      </c>
      <c r="K44" s="65">
        <v>0</v>
      </c>
      <c r="L44" s="65">
        <v>0</v>
      </c>
      <c r="M44" s="63">
        <v>0</v>
      </c>
      <c r="N44" s="1"/>
    </row>
    <row r="45" spans="1:14" ht="16" hidden="1" customHeight="1" outlineLevel="1" x14ac:dyDescent="0.45">
      <c r="A45" s="29" t="s">
        <v>126</v>
      </c>
      <c r="B45" s="44">
        <v>23900000</v>
      </c>
      <c r="C45" s="63">
        <v>2200000</v>
      </c>
      <c r="D45" s="63">
        <v>0</v>
      </c>
      <c r="E45" s="64">
        <v>21700000</v>
      </c>
      <c r="F45" s="63">
        <v>1745000</v>
      </c>
      <c r="G45" s="63">
        <v>0</v>
      </c>
      <c r="H45" s="65">
        <v>19335000</v>
      </c>
      <c r="I45" s="65">
        <v>0</v>
      </c>
      <c r="J45" s="65">
        <v>0</v>
      </c>
      <c r="K45" s="65">
        <v>620000</v>
      </c>
      <c r="L45" s="65">
        <v>0</v>
      </c>
      <c r="M45" s="63">
        <v>0</v>
      </c>
      <c r="N45" s="1"/>
    </row>
    <row r="46" spans="1:14" ht="16" hidden="1" customHeight="1" outlineLevel="1" x14ac:dyDescent="0.45">
      <c r="A46" s="29" t="s">
        <v>175</v>
      </c>
      <c r="B46" s="44">
        <v>0</v>
      </c>
      <c r="C46" s="63">
        <v>0</v>
      </c>
      <c r="D46" s="63">
        <v>0</v>
      </c>
      <c r="E46" s="64">
        <v>0</v>
      </c>
      <c r="F46" s="63">
        <v>0</v>
      </c>
      <c r="G46" s="63">
        <v>0</v>
      </c>
      <c r="H46" s="65">
        <v>0</v>
      </c>
      <c r="I46" s="65">
        <v>0</v>
      </c>
      <c r="J46" s="65">
        <v>0</v>
      </c>
      <c r="K46" s="65">
        <v>0</v>
      </c>
      <c r="L46" s="65">
        <v>0</v>
      </c>
      <c r="M46" s="63">
        <v>0</v>
      </c>
      <c r="N46" s="1"/>
    </row>
    <row r="47" spans="1:14" ht="16" hidden="1" customHeight="1" outlineLevel="1" x14ac:dyDescent="0.45">
      <c r="A47" s="29" t="s">
        <v>176</v>
      </c>
      <c r="B47" s="44">
        <v>0</v>
      </c>
      <c r="C47" s="63">
        <v>0</v>
      </c>
      <c r="D47" s="63">
        <v>0</v>
      </c>
      <c r="E47" s="64">
        <v>0</v>
      </c>
      <c r="F47" s="63">
        <v>0</v>
      </c>
      <c r="G47" s="63">
        <v>0</v>
      </c>
      <c r="H47" s="65">
        <v>0</v>
      </c>
      <c r="I47" s="65">
        <v>0</v>
      </c>
      <c r="J47" s="65">
        <v>0</v>
      </c>
      <c r="K47" s="65">
        <v>0</v>
      </c>
      <c r="L47" s="65">
        <v>0</v>
      </c>
      <c r="M47" s="63">
        <v>0</v>
      </c>
      <c r="N47" s="1"/>
    </row>
    <row r="48" spans="1:14" ht="16" hidden="1" customHeight="1" outlineLevel="1" x14ac:dyDescent="0.45">
      <c r="A48" s="29" t="s">
        <v>26</v>
      </c>
      <c r="B48" s="44">
        <v>3942862620</v>
      </c>
      <c r="C48" s="63">
        <v>89313880</v>
      </c>
      <c r="D48" s="63">
        <v>66279340</v>
      </c>
      <c r="E48" s="64">
        <v>3787269400</v>
      </c>
      <c r="F48" s="63">
        <v>2490602733.5381641</v>
      </c>
      <c r="G48" s="63">
        <v>799828076.4618361</v>
      </c>
      <c r="H48" s="65">
        <v>22970400</v>
      </c>
      <c r="I48" s="65">
        <v>29524725</v>
      </c>
      <c r="J48" s="65">
        <v>25489765</v>
      </c>
      <c r="K48" s="65">
        <v>122402910</v>
      </c>
      <c r="L48" s="65">
        <v>278700000</v>
      </c>
      <c r="M48" s="63">
        <v>17750790</v>
      </c>
      <c r="N48" s="1"/>
    </row>
    <row r="49" spans="1:14" ht="16" hidden="1" customHeight="1" outlineLevel="1" x14ac:dyDescent="0.45">
      <c r="A49" s="29" t="s">
        <v>27</v>
      </c>
      <c r="B49" s="44">
        <v>667367670</v>
      </c>
      <c r="C49" s="63">
        <v>14016960</v>
      </c>
      <c r="D49" s="63">
        <v>11031240</v>
      </c>
      <c r="E49" s="64">
        <v>642319470</v>
      </c>
      <c r="F49" s="63">
        <v>423358101.62509936</v>
      </c>
      <c r="G49" s="63">
        <v>134567558.37490064</v>
      </c>
      <c r="H49" s="65">
        <v>4061170</v>
      </c>
      <c r="I49" s="65">
        <v>4781975</v>
      </c>
      <c r="J49" s="65">
        <v>4070675</v>
      </c>
      <c r="K49" s="65">
        <v>20781330</v>
      </c>
      <c r="L49" s="65">
        <v>47700080</v>
      </c>
      <c r="M49" s="63">
        <v>2998580</v>
      </c>
      <c r="N49" s="1"/>
    </row>
    <row r="50" spans="1:14" ht="16" hidden="1" customHeight="1" outlineLevel="1" x14ac:dyDescent="0.45">
      <c r="A50" s="29" t="s">
        <v>28</v>
      </c>
      <c r="B50" s="44">
        <v>128987190</v>
      </c>
      <c r="C50" s="63">
        <v>5687100</v>
      </c>
      <c r="D50" s="63">
        <v>600000</v>
      </c>
      <c r="E50" s="64">
        <v>122700090</v>
      </c>
      <c r="F50" s="63">
        <v>88200080</v>
      </c>
      <c r="G50" s="63">
        <v>24900000</v>
      </c>
      <c r="H50" s="65">
        <v>1200000</v>
      </c>
      <c r="I50" s="65">
        <v>604840</v>
      </c>
      <c r="J50" s="65">
        <v>450000</v>
      </c>
      <c r="K50" s="65">
        <v>2545170</v>
      </c>
      <c r="L50" s="65">
        <v>4800000</v>
      </c>
      <c r="M50" s="63">
        <v>0</v>
      </c>
      <c r="N50" s="1"/>
    </row>
    <row r="51" spans="1:14" ht="16" hidden="1" customHeight="1" outlineLevel="1" x14ac:dyDescent="0.45">
      <c r="A51" s="29" t="s">
        <v>29</v>
      </c>
      <c r="B51" s="44">
        <v>276865000</v>
      </c>
      <c r="C51" s="63">
        <v>5695000</v>
      </c>
      <c r="D51" s="63">
        <v>4495000</v>
      </c>
      <c r="E51" s="64">
        <v>266675000</v>
      </c>
      <c r="F51" s="63">
        <v>176876511.27683812</v>
      </c>
      <c r="G51" s="63">
        <v>55608488.723161884</v>
      </c>
      <c r="H51" s="65">
        <v>1550000</v>
      </c>
      <c r="I51" s="65">
        <v>2105000</v>
      </c>
      <c r="J51" s="65">
        <v>1790000</v>
      </c>
      <c r="K51" s="65">
        <v>8340000</v>
      </c>
      <c r="L51" s="65">
        <v>19165000</v>
      </c>
      <c r="M51" s="63">
        <v>1240000</v>
      </c>
      <c r="N51" s="1"/>
    </row>
    <row r="52" spans="1:14" ht="16" hidden="1" customHeight="1" outlineLevel="1" x14ac:dyDescent="0.45">
      <c r="A52" s="29" t="s">
        <v>127</v>
      </c>
      <c r="B52" s="44">
        <v>220000</v>
      </c>
      <c r="C52" s="63">
        <v>80000</v>
      </c>
      <c r="D52" s="63">
        <v>60000</v>
      </c>
      <c r="E52" s="64">
        <v>80000</v>
      </c>
      <c r="F52" s="63">
        <v>0</v>
      </c>
      <c r="G52" s="63">
        <v>0</v>
      </c>
      <c r="H52" s="65">
        <v>0</v>
      </c>
      <c r="I52" s="65">
        <v>0</v>
      </c>
      <c r="J52" s="65">
        <v>0</v>
      </c>
      <c r="K52" s="65">
        <v>0</v>
      </c>
      <c r="L52" s="65">
        <v>80000</v>
      </c>
      <c r="M52" s="63">
        <v>0</v>
      </c>
      <c r="N52" s="1"/>
    </row>
    <row r="53" spans="1:14" ht="16" hidden="1" customHeight="1" outlineLevel="1" x14ac:dyDescent="0.45">
      <c r="A53" s="29" t="s">
        <v>177</v>
      </c>
      <c r="B53" s="44">
        <v>0</v>
      </c>
      <c r="C53" s="63">
        <v>0</v>
      </c>
      <c r="D53" s="63">
        <v>0</v>
      </c>
      <c r="E53" s="64">
        <v>0</v>
      </c>
      <c r="F53" s="63">
        <v>0</v>
      </c>
      <c r="G53" s="63">
        <v>0</v>
      </c>
      <c r="H53" s="65">
        <v>0</v>
      </c>
      <c r="I53" s="65">
        <v>0</v>
      </c>
      <c r="J53" s="65">
        <v>0</v>
      </c>
      <c r="K53" s="65">
        <v>0</v>
      </c>
      <c r="L53" s="65">
        <v>0</v>
      </c>
      <c r="M53" s="63">
        <v>0</v>
      </c>
      <c r="N53" s="1"/>
    </row>
    <row r="54" spans="1:14" ht="16" hidden="1" customHeight="1" outlineLevel="1" x14ac:dyDescent="0.45">
      <c r="A54" s="29" t="s">
        <v>30</v>
      </c>
      <c r="B54" s="44">
        <v>8889740</v>
      </c>
      <c r="C54" s="63">
        <v>1172980</v>
      </c>
      <c r="D54" s="63">
        <v>0</v>
      </c>
      <c r="E54" s="64">
        <v>7716760</v>
      </c>
      <c r="F54" s="63">
        <v>6750370</v>
      </c>
      <c r="G54" s="63">
        <v>880750</v>
      </c>
      <c r="H54" s="65">
        <v>0</v>
      </c>
      <c r="I54" s="65">
        <v>0</v>
      </c>
      <c r="J54" s="65">
        <v>0</v>
      </c>
      <c r="K54" s="65">
        <v>0</v>
      </c>
      <c r="L54" s="65">
        <v>85640</v>
      </c>
      <c r="M54" s="63">
        <v>0</v>
      </c>
      <c r="N54" s="1"/>
    </row>
    <row r="55" spans="1:14" ht="16" hidden="1" customHeight="1" outlineLevel="1" x14ac:dyDescent="0.45">
      <c r="A55" s="29" t="s">
        <v>128</v>
      </c>
      <c r="B55" s="44">
        <v>54401760</v>
      </c>
      <c r="C55" s="63">
        <v>0</v>
      </c>
      <c r="D55" s="63">
        <v>0</v>
      </c>
      <c r="E55" s="64">
        <v>54401760</v>
      </c>
      <c r="F55" s="63">
        <v>0</v>
      </c>
      <c r="G55" s="63">
        <v>0</v>
      </c>
      <c r="H55" s="65">
        <v>0</v>
      </c>
      <c r="I55" s="65">
        <v>0</v>
      </c>
      <c r="J55" s="65">
        <v>0</v>
      </c>
      <c r="K55" s="65">
        <v>0</v>
      </c>
      <c r="L55" s="65">
        <v>54401760</v>
      </c>
      <c r="M55" s="63">
        <v>0</v>
      </c>
      <c r="N55" s="1"/>
    </row>
    <row r="56" spans="1:14" ht="16" hidden="1" customHeight="1" outlineLevel="1" x14ac:dyDescent="0.45">
      <c r="A56" s="29" t="s">
        <v>129</v>
      </c>
      <c r="B56" s="44">
        <v>1113300</v>
      </c>
      <c r="C56" s="63">
        <v>0</v>
      </c>
      <c r="D56" s="63">
        <v>0</v>
      </c>
      <c r="E56" s="64">
        <v>1113300</v>
      </c>
      <c r="F56" s="63">
        <v>0</v>
      </c>
      <c r="G56" s="63">
        <v>0</v>
      </c>
      <c r="H56" s="65">
        <v>0</v>
      </c>
      <c r="I56" s="65">
        <v>0</v>
      </c>
      <c r="J56" s="65">
        <v>0</v>
      </c>
      <c r="K56" s="65">
        <v>0</v>
      </c>
      <c r="L56" s="65">
        <v>1113300</v>
      </c>
      <c r="M56" s="63">
        <v>0</v>
      </c>
      <c r="N56" s="1"/>
    </row>
    <row r="57" spans="1:14" ht="16" hidden="1" customHeight="1" outlineLevel="1" x14ac:dyDescent="0.45">
      <c r="A57" s="29" t="s">
        <v>178</v>
      </c>
      <c r="B57" s="44">
        <v>0</v>
      </c>
      <c r="C57" s="63">
        <v>0</v>
      </c>
      <c r="D57" s="63">
        <v>0</v>
      </c>
      <c r="E57" s="64">
        <v>0</v>
      </c>
      <c r="F57" s="63">
        <v>0</v>
      </c>
      <c r="G57" s="63">
        <v>0</v>
      </c>
      <c r="H57" s="65">
        <v>0</v>
      </c>
      <c r="I57" s="65">
        <v>0</v>
      </c>
      <c r="J57" s="65">
        <v>0</v>
      </c>
      <c r="K57" s="65">
        <v>0</v>
      </c>
      <c r="L57" s="65">
        <v>0</v>
      </c>
      <c r="M57" s="63">
        <v>0</v>
      </c>
      <c r="N57" s="1"/>
    </row>
    <row r="58" spans="1:14" ht="16" hidden="1" customHeight="1" outlineLevel="1" x14ac:dyDescent="0.45">
      <c r="A58" s="29" t="s">
        <v>31</v>
      </c>
      <c r="B58" s="44">
        <v>20471770</v>
      </c>
      <c r="C58" s="63">
        <v>3669940</v>
      </c>
      <c r="D58" s="63">
        <v>387310</v>
      </c>
      <c r="E58" s="64">
        <v>16414520</v>
      </c>
      <c r="F58" s="63">
        <v>10392561.809101433</v>
      </c>
      <c r="G58" s="63">
        <v>5259418.1908985674</v>
      </c>
      <c r="H58" s="65">
        <v>339220</v>
      </c>
      <c r="I58" s="65">
        <v>0</v>
      </c>
      <c r="J58" s="65">
        <v>0</v>
      </c>
      <c r="K58" s="65">
        <v>64550</v>
      </c>
      <c r="L58" s="65">
        <v>206300</v>
      </c>
      <c r="M58" s="63">
        <v>152470</v>
      </c>
      <c r="N58" s="1"/>
    </row>
    <row r="59" spans="1:14" ht="16" hidden="1" customHeight="1" outlineLevel="1" x14ac:dyDescent="0.45">
      <c r="A59" s="29" t="s">
        <v>113</v>
      </c>
      <c r="B59" s="44">
        <v>0</v>
      </c>
      <c r="C59" s="63">
        <v>0</v>
      </c>
      <c r="D59" s="63">
        <v>0</v>
      </c>
      <c r="E59" s="64">
        <v>0</v>
      </c>
      <c r="F59" s="63">
        <v>0</v>
      </c>
      <c r="G59" s="63">
        <v>0</v>
      </c>
      <c r="H59" s="65">
        <v>0</v>
      </c>
      <c r="I59" s="65">
        <v>0</v>
      </c>
      <c r="J59" s="65">
        <v>0</v>
      </c>
      <c r="K59" s="65">
        <v>0</v>
      </c>
      <c r="L59" s="65">
        <v>0</v>
      </c>
      <c r="M59" s="63">
        <v>0</v>
      </c>
      <c r="N59" s="1"/>
    </row>
    <row r="60" spans="1:14" ht="16" hidden="1" customHeight="1" outlineLevel="1" x14ac:dyDescent="0.45">
      <c r="A60" s="29" t="s">
        <v>32</v>
      </c>
      <c r="B60" s="44">
        <v>9224740</v>
      </c>
      <c r="C60" s="63">
        <v>1900000</v>
      </c>
      <c r="D60" s="63">
        <v>500000</v>
      </c>
      <c r="E60" s="64">
        <v>6824740</v>
      </c>
      <c r="F60" s="63">
        <v>2570000</v>
      </c>
      <c r="G60" s="63">
        <v>2666350</v>
      </c>
      <c r="H60" s="65">
        <v>0</v>
      </c>
      <c r="I60" s="65">
        <v>0</v>
      </c>
      <c r="J60" s="65">
        <v>0</v>
      </c>
      <c r="K60" s="65">
        <v>0</v>
      </c>
      <c r="L60" s="65">
        <v>588390</v>
      </c>
      <c r="M60" s="63">
        <v>1000000</v>
      </c>
      <c r="N60" s="1"/>
    </row>
    <row r="61" spans="1:14" ht="16" hidden="1" customHeight="1" outlineLevel="1" x14ac:dyDescent="0.45">
      <c r="A61" s="24" t="s">
        <v>130</v>
      </c>
      <c r="B61" s="44">
        <v>0</v>
      </c>
      <c r="C61" s="63">
        <v>0</v>
      </c>
      <c r="D61" s="63">
        <v>0</v>
      </c>
      <c r="E61" s="64">
        <v>0</v>
      </c>
      <c r="F61" s="63">
        <v>0</v>
      </c>
      <c r="G61" s="63">
        <v>0</v>
      </c>
      <c r="H61" s="65">
        <v>0</v>
      </c>
      <c r="I61" s="65">
        <v>0</v>
      </c>
      <c r="J61" s="65">
        <v>0</v>
      </c>
      <c r="K61" s="65">
        <v>0</v>
      </c>
      <c r="L61" s="65">
        <v>0</v>
      </c>
      <c r="M61" s="63">
        <v>0</v>
      </c>
      <c r="N61" s="1"/>
    </row>
    <row r="62" spans="1:14" ht="16" hidden="1" customHeight="1" outlineLevel="1" x14ac:dyDescent="0.45">
      <c r="A62" s="29" t="s">
        <v>302</v>
      </c>
      <c r="B62" s="44">
        <v>0</v>
      </c>
      <c r="C62" s="63">
        <v>0</v>
      </c>
      <c r="D62" s="63">
        <v>0</v>
      </c>
      <c r="E62" s="64">
        <v>0</v>
      </c>
      <c r="F62" s="63">
        <v>0</v>
      </c>
      <c r="G62" s="63">
        <v>0</v>
      </c>
      <c r="H62" s="65">
        <v>0</v>
      </c>
      <c r="I62" s="65">
        <v>0</v>
      </c>
      <c r="J62" s="65">
        <v>0</v>
      </c>
      <c r="K62" s="65">
        <v>0</v>
      </c>
      <c r="L62" s="65">
        <v>0</v>
      </c>
      <c r="M62" s="63">
        <v>0</v>
      </c>
      <c r="N62" s="1"/>
    </row>
    <row r="63" spans="1:14" ht="16" customHeight="1" collapsed="1" x14ac:dyDescent="0.45">
      <c r="A63" s="28" t="s">
        <v>33</v>
      </c>
      <c r="B63" s="43">
        <v>936695364</v>
      </c>
      <c r="C63" s="60">
        <v>900824684</v>
      </c>
      <c r="D63" s="60">
        <v>0</v>
      </c>
      <c r="E63" s="61">
        <v>35870680</v>
      </c>
      <c r="F63" s="60">
        <v>1300000</v>
      </c>
      <c r="G63" s="60">
        <v>0</v>
      </c>
      <c r="H63" s="62">
        <v>27100680</v>
      </c>
      <c r="I63" s="62">
        <v>0</v>
      </c>
      <c r="J63" s="62">
        <v>0</v>
      </c>
      <c r="K63" s="62">
        <v>870000</v>
      </c>
      <c r="L63" s="62">
        <v>6600000</v>
      </c>
      <c r="M63" s="60">
        <v>0</v>
      </c>
      <c r="N63" s="1"/>
    </row>
    <row r="64" spans="1:14" s="1" customFormat="1" ht="16" hidden="1" customHeight="1" outlineLevel="1" collapsed="1" x14ac:dyDescent="0.45">
      <c r="A64" s="29" t="s">
        <v>34</v>
      </c>
      <c r="B64" s="44">
        <v>111799000</v>
      </c>
      <c r="C64" s="63">
        <v>111799000</v>
      </c>
      <c r="D64" s="63">
        <v>0</v>
      </c>
      <c r="E64" s="64">
        <v>0</v>
      </c>
      <c r="F64" s="63">
        <v>0</v>
      </c>
      <c r="G64" s="63">
        <v>0</v>
      </c>
      <c r="H64" s="65">
        <v>0</v>
      </c>
      <c r="I64" s="65">
        <v>0</v>
      </c>
      <c r="J64" s="65">
        <v>0</v>
      </c>
      <c r="K64" s="65">
        <v>0</v>
      </c>
      <c r="L64" s="65">
        <v>0</v>
      </c>
      <c r="M64" s="63">
        <v>0</v>
      </c>
    </row>
    <row r="65" spans="1:14" ht="16" hidden="1" customHeight="1" outlineLevel="1" x14ac:dyDescent="0.45">
      <c r="A65" s="29" t="s">
        <v>179</v>
      </c>
      <c r="B65" s="44">
        <v>184797144</v>
      </c>
      <c r="C65" s="63">
        <v>184797144</v>
      </c>
      <c r="D65" s="63">
        <v>0</v>
      </c>
      <c r="E65" s="64">
        <v>0</v>
      </c>
      <c r="F65" s="63">
        <v>0</v>
      </c>
      <c r="G65" s="63">
        <v>0</v>
      </c>
      <c r="H65" s="65">
        <v>0</v>
      </c>
      <c r="I65" s="65">
        <v>0</v>
      </c>
      <c r="J65" s="65">
        <v>0</v>
      </c>
      <c r="K65" s="65">
        <v>0</v>
      </c>
      <c r="L65" s="65">
        <v>0</v>
      </c>
      <c r="M65" s="63">
        <v>0</v>
      </c>
      <c r="N65" s="1"/>
    </row>
    <row r="66" spans="1:14" ht="16" hidden="1" customHeight="1" outlineLevel="1" x14ac:dyDescent="0.45">
      <c r="A66" s="29" t="s">
        <v>180</v>
      </c>
      <c r="B66" s="44">
        <v>0</v>
      </c>
      <c r="C66" s="63">
        <v>0</v>
      </c>
      <c r="D66" s="63">
        <v>0</v>
      </c>
      <c r="E66" s="64">
        <v>0</v>
      </c>
      <c r="F66" s="63">
        <v>0</v>
      </c>
      <c r="G66" s="63">
        <v>0</v>
      </c>
      <c r="H66" s="65">
        <v>0</v>
      </c>
      <c r="I66" s="65">
        <v>0</v>
      </c>
      <c r="J66" s="65">
        <v>0</v>
      </c>
      <c r="K66" s="65">
        <v>0</v>
      </c>
      <c r="L66" s="65">
        <v>0</v>
      </c>
      <c r="M66" s="63">
        <v>0</v>
      </c>
      <c r="N66" s="1"/>
    </row>
    <row r="67" spans="1:14" ht="16" hidden="1" customHeight="1" outlineLevel="1" x14ac:dyDescent="0.45">
      <c r="A67" s="29" t="s">
        <v>131</v>
      </c>
      <c r="B67" s="44">
        <v>31675220</v>
      </c>
      <c r="C67" s="63">
        <v>2404540</v>
      </c>
      <c r="D67" s="63">
        <v>0</v>
      </c>
      <c r="E67" s="64">
        <v>29270680</v>
      </c>
      <c r="F67" s="63">
        <v>1300000</v>
      </c>
      <c r="G67" s="63">
        <v>0</v>
      </c>
      <c r="H67" s="65">
        <v>27100680</v>
      </c>
      <c r="I67" s="65">
        <v>0</v>
      </c>
      <c r="J67" s="65">
        <v>0</v>
      </c>
      <c r="K67" s="65">
        <v>870000</v>
      </c>
      <c r="L67" s="65">
        <v>0</v>
      </c>
      <c r="M67" s="63">
        <v>0</v>
      </c>
      <c r="N67" s="1"/>
    </row>
    <row r="68" spans="1:14" ht="16" hidden="1" customHeight="1" outlineLevel="1" x14ac:dyDescent="0.45">
      <c r="A68" s="29" t="s">
        <v>35</v>
      </c>
      <c r="B68" s="44">
        <v>601824000</v>
      </c>
      <c r="C68" s="63">
        <v>601824000</v>
      </c>
      <c r="D68" s="63">
        <v>0</v>
      </c>
      <c r="E68" s="64">
        <v>0</v>
      </c>
      <c r="F68" s="63">
        <v>0</v>
      </c>
      <c r="G68" s="63">
        <v>0</v>
      </c>
      <c r="H68" s="65">
        <v>0</v>
      </c>
      <c r="I68" s="65">
        <v>0</v>
      </c>
      <c r="J68" s="65">
        <v>0</v>
      </c>
      <c r="K68" s="65">
        <v>0</v>
      </c>
      <c r="L68" s="65">
        <v>0</v>
      </c>
      <c r="M68" s="63">
        <v>0</v>
      </c>
      <c r="N68" s="1"/>
    </row>
    <row r="69" spans="1:14" ht="16" hidden="1" customHeight="1" outlineLevel="1" x14ac:dyDescent="0.45">
      <c r="A69" s="29" t="s">
        <v>132</v>
      </c>
      <c r="B69" s="44">
        <v>6600000</v>
      </c>
      <c r="C69" s="63">
        <v>0</v>
      </c>
      <c r="D69" s="63">
        <v>0</v>
      </c>
      <c r="E69" s="64">
        <v>6600000</v>
      </c>
      <c r="F69" s="63">
        <v>0</v>
      </c>
      <c r="G69" s="63">
        <v>0</v>
      </c>
      <c r="H69" s="65">
        <v>0</v>
      </c>
      <c r="I69" s="65">
        <v>0</v>
      </c>
      <c r="J69" s="65">
        <v>0</v>
      </c>
      <c r="K69" s="65">
        <v>0</v>
      </c>
      <c r="L69" s="65">
        <v>6600000</v>
      </c>
      <c r="M69" s="63">
        <v>0</v>
      </c>
      <c r="N69" s="1"/>
    </row>
    <row r="70" spans="1:14" ht="16" customHeight="1" collapsed="1" x14ac:dyDescent="0.45">
      <c r="A70" s="28" t="s">
        <v>133</v>
      </c>
      <c r="B70" s="43">
        <v>5405360</v>
      </c>
      <c r="C70" s="60">
        <v>0</v>
      </c>
      <c r="D70" s="60">
        <v>0</v>
      </c>
      <c r="E70" s="61">
        <v>5405360</v>
      </c>
      <c r="F70" s="60">
        <v>0</v>
      </c>
      <c r="G70" s="60">
        <v>0</v>
      </c>
      <c r="H70" s="62">
        <v>0</v>
      </c>
      <c r="I70" s="62">
        <v>3464840</v>
      </c>
      <c r="J70" s="62">
        <v>0</v>
      </c>
      <c r="K70" s="62">
        <v>1940520</v>
      </c>
      <c r="L70" s="62">
        <v>0</v>
      </c>
      <c r="M70" s="60">
        <v>0</v>
      </c>
      <c r="N70" s="1"/>
    </row>
    <row r="71" spans="1:14" s="1" customFormat="1" collapsed="1" x14ac:dyDescent="0.45">
      <c r="A71" s="28" t="s">
        <v>36</v>
      </c>
      <c r="B71" s="43">
        <v>743627707</v>
      </c>
      <c r="C71" s="60">
        <v>49064756</v>
      </c>
      <c r="D71" s="60">
        <v>19462202</v>
      </c>
      <c r="E71" s="61">
        <v>675100749</v>
      </c>
      <c r="F71" s="60">
        <v>416476259.7551024</v>
      </c>
      <c r="G71" s="60">
        <v>128407138.31807522</v>
      </c>
      <c r="H71" s="62">
        <v>36894489.926822416</v>
      </c>
      <c r="I71" s="62">
        <v>4778334.0490442365</v>
      </c>
      <c r="J71" s="62">
        <v>3861870.5498926356</v>
      </c>
      <c r="K71" s="62">
        <v>18101816.622136503</v>
      </c>
      <c r="L71" s="62">
        <v>58967482.778926626</v>
      </c>
      <c r="M71" s="60">
        <v>7613357</v>
      </c>
    </row>
    <row r="72" spans="1:14" s="1" customFormat="1" ht="16" hidden="1" customHeight="1" outlineLevel="1" x14ac:dyDescent="0.45">
      <c r="A72" s="29" t="s">
        <v>37</v>
      </c>
      <c r="B72" s="44">
        <v>743627707</v>
      </c>
      <c r="C72" s="63">
        <v>49064756</v>
      </c>
      <c r="D72" s="63">
        <v>19462202</v>
      </c>
      <c r="E72" s="64">
        <v>675100749</v>
      </c>
      <c r="F72" s="63">
        <v>416476259.7551024</v>
      </c>
      <c r="G72" s="63">
        <v>128407138.31807522</v>
      </c>
      <c r="H72" s="65">
        <v>36894489.926822416</v>
      </c>
      <c r="I72" s="65">
        <v>4778334.0490442365</v>
      </c>
      <c r="J72" s="65">
        <v>3861870.5498926356</v>
      </c>
      <c r="K72" s="65">
        <v>18101816.622136503</v>
      </c>
      <c r="L72" s="65">
        <v>58967482.778926626</v>
      </c>
      <c r="M72" s="63">
        <v>7613357</v>
      </c>
    </row>
    <row r="73" spans="1:14" ht="16" customHeight="1" collapsed="1" x14ac:dyDescent="0.45">
      <c r="A73" s="28" t="s">
        <v>181</v>
      </c>
      <c r="B73" s="43">
        <v>21243053</v>
      </c>
      <c r="C73" s="60">
        <v>3743053</v>
      </c>
      <c r="D73" s="60">
        <v>500000</v>
      </c>
      <c r="E73" s="61">
        <v>17000000</v>
      </c>
      <c r="F73" s="60">
        <v>12360425.712234642</v>
      </c>
      <c r="G73" s="60">
        <v>2139574.2877653586</v>
      </c>
      <c r="H73" s="62">
        <v>0</v>
      </c>
      <c r="I73" s="62">
        <v>0</v>
      </c>
      <c r="J73" s="62">
        <v>0</v>
      </c>
      <c r="K73" s="62">
        <v>0</v>
      </c>
      <c r="L73" s="62">
        <v>2500000</v>
      </c>
      <c r="M73" s="60">
        <v>0</v>
      </c>
      <c r="N73" s="1"/>
    </row>
    <row r="74" spans="1:14" s="1" customFormat="1" collapsed="1" x14ac:dyDescent="0.45">
      <c r="A74" s="28" t="s">
        <v>38</v>
      </c>
      <c r="B74" s="43">
        <v>4013868769</v>
      </c>
      <c r="C74" s="60">
        <v>281514064.99999952</v>
      </c>
      <c r="D74" s="60">
        <v>60133438</v>
      </c>
      <c r="E74" s="61">
        <v>3672221266.0000005</v>
      </c>
      <c r="F74" s="60">
        <v>2370875318.2258701</v>
      </c>
      <c r="G74" s="60">
        <v>581443696.99620092</v>
      </c>
      <c r="H74" s="62">
        <v>265630785.77792913</v>
      </c>
      <c r="I74" s="62">
        <v>19453943.556112781</v>
      </c>
      <c r="J74" s="62">
        <v>16367638.069271648</v>
      </c>
      <c r="K74" s="62">
        <v>89035912.324413195</v>
      </c>
      <c r="L74" s="62">
        <v>308322142.05020237</v>
      </c>
      <c r="M74" s="60">
        <v>21091829</v>
      </c>
    </row>
    <row r="75" spans="1:14" s="1" customFormat="1" ht="16" hidden="1" customHeight="1" outlineLevel="1" x14ac:dyDescent="0.45">
      <c r="A75" s="29" t="s">
        <v>39</v>
      </c>
      <c r="B75" s="44">
        <v>2000000</v>
      </c>
      <c r="C75" s="63">
        <v>2.3283064365386963E-10</v>
      </c>
      <c r="D75" s="63">
        <v>0</v>
      </c>
      <c r="E75" s="64">
        <v>1999999.9999999998</v>
      </c>
      <c r="F75" s="63">
        <v>1831539.0767166684</v>
      </c>
      <c r="G75" s="63">
        <v>168460.92328333142</v>
      </c>
      <c r="H75" s="65">
        <v>0</v>
      </c>
      <c r="I75" s="65">
        <v>0</v>
      </c>
      <c r="J75" s="65">
        <v>0</v>
      </c>
      <c r="K75" s="65">
        <v>0</v>
      </c>
      <c r="L75" s="65">
        <v>0</v>
      </c>
      <c r="M75" s="63">
        <v>0</v>
      </c>
    </row>
    <row r="76" spans="1:14" ht="16" hidden="1" customHeight="1" outlineLevel="1" x14ac:dyDescent="0.45">
      <c r="A76" s="29" t="s">
        <v>40</v>
      </c>
      <c r="B76" s="44">
        <v>66816320</v>
      </c>
      <c r="C76" s="63">
        <v>3612032</v>
      </c>
      <c r="D76" s="63">
        <v>1613752</v>
      </c>
      <c r="E76" s="64">
        <v>61590536</v>
      </c>
      <c r="F76" s="63">
        <v>37874657.896654695</v>
      </c>
      <c r="G76" s="63">
        <v>10964292.970871389</v>
      </c>
      <c r="H76" s="65">
        <v>4413996.1324739121</v>
      </c>
      <c r="I76" s="65">
        <v>452321.40304897068</v>
      </c>
      <c r="J76" s="65">
        <v>363060.17569725064</v>
      </c>
      <c r="K76" s="65">
        <v>1780809.3175228499</v>
      </c>
      <c r="L76" s="65">
        <v>5089944.1037309291</v>
      </c>
      <c r="M76" s="63">
        <v>651454</v>
      </c>
      <c r="N76" s="1"/>
    </row>
    <row r="77" spans="1:14" ht="16" hidden="1" customHeight="1" outlineLevel="1" x14ac:dyDescent="0.45">
      <c r="A77" s="29" t="s">
        <v>41</v>
      </c>
      <c r="B77" s="44">
        <v>376321710</v>
      </c>
      <c r="C77" s="63">
        <v>24829809.99999994</v>
      </c>
      <c r="D77" s="63">
        <v>9849080</v>
      </c>
      <c r="E77" s="64">
        <v>341642820.00000006</v>
      </c>
      <c r="F77" s="63">
        <v>210762802.94810677</v>
      </c>
      <c r="G77" s="63">
        <v>64981969.304246083</v>
      </c>
      <c r="H77" s="65">
        <v>18670897.747647155</v>
      </c>
      <c r="I77" s="65">
        <v>2418132.9894961873</v>
      </c>
      <c r="J77" s="65">
        <v>1954345.5338068909</v>
      </c>
      <c r="K77" s="65">
        <v>9160641.4046579953</v>
      </c>
      <c r="L77" s="65">
        <v>29841200.072038926</v>
      </c>
      <c r="M77" s="63">
        <v>3852830</v>
      </c>
      <c r="N77" s="1"/>
    </row>
    <row r="78" spans="1:14" ht="16" hidden="1" customHeight="1" outlineLevel="1" x14ac:dyDescent="0.45">
      <c r="A78" s="29" t="s">
        <v>42</v>
      </c>
      <c r="B78" s="44">
        <v>336299970</v>
      </c>
      <c r="C78" s="63">
        <v>17956560</v>
      </c>
      <c r="D78" s="63">
        <v>8146300</v>
      </c>
      <c r="E78" s="64">
        <v>310197110</v>
      </c>
      <c r="F78" s="63">
        <v>191438790.94924104</v>
      </c>
      <c r="G78" s="63">
        <v>59155512.08028803</v>
      </c>
      <c r="H78" s="65">
        <v>18891656.970470913</v>
      </c>
      <c r="I78" s="65">
        <v>2242805.073538126</v>
      </c>
      <c r="J78" s="65">
        <v>1961095.8300412071</v>
      </c>
      <c r="K78" s="65">
        <v>9100556.6842893399</v>
      </c>
      <c r="L78" s="65">
        <v>24189892.412131328</v>
      </c>
      <c r="M78" s="63">
        <v>3216800</v>
      </c>
      <c r="N78" s="1"/>
    </row>
    <row r="79" spans="1:14" ht="16" hidden="1" customHeight="1" outlineLevel="1" x14ac:dyDescent="0.45">
      <c r="A79" s="29" t="s">
        <v>43</v>
      </c>
      <c r="B79" s="44">
        <v>154841590</v>
      </c>
      <c r="C79" s="63">
        <v>7974154</v>
      </c>
      <c r="D79" s="63">
        <v>3749866</v>
      </c>
      <c r="E79" s="64">
        <v>143117570</v>
      </c>
      <c r="F79" s="63">
        <v>88009127.464865997</v>
      </c>
      <c r="G79" s="63">
        <v>25477663.070017122</v>
      </c>
      <c r="H79" s="65">
        <v>10256776.465116879</v>
      </c>
      <c r="I79" s="65">
        <v>1051056.4181446687</v>
      </c>
      <c r="J79" s="65">
        <v>843641.28481339884</v>
      </c>
      <c r="K79" s="65">
        <v>4138050.8813446094</v>
      </c>
      <c r="L79" s="65">
        <v>11827473.415697323</v>
      </c>
      <c r="M79" s="63">
        <v>1513781</v>
      </c>
      <c r="N79" s="1"/>
    </row>
    <row r="80" spans="1:14" ht="16" hidden="1" customHeight="1" outlineLevel="1" x14ac:dyDescent="0.45">
      <c r="A80" s="29" t="s">
        <v>134</v>
      </c>
      <c r="B80" s="44">
        <v>0</v>
      </c>
      <c r="C80" s="63">
        <v>0</v>
      </c>
      <c r="D80" s="63">
        <v>0</v>
      </c>
      <c r="E80" s="64">
        <v>0</v>
      </c>
      <c r="F80" s="63">
        <v>0</v>
      </c>
      <c r="G80" s="63">
        <v>0</v>
      </c>
      <c r="H80" s="65">
        <v>0</v>
      </c>
      <c r="I80" s="65">
        <v>0</v>
      </c>
      <c r="J80" s="65">
        <v>0</v>
      </c>
      <c r="K80" s="65">
        <v>0</v>
      </c>
      <c r="L80" s="65">
        <v>0</v>
      </c>
      <c r="M80" s="63">
        <v>0</v>
      </c>
      <c r="N80" s="1"/>
    </row>
    <row r="81" spans="1:14" ht="16" hidden="1" customHeight="1" outlineLevel="1" x14ac:dyDescent="0.45">
      <c r="A81" s="24" t="s">
        <v>44</v>
      </c>
      <c r="B81" s="45">
        <v>1133465766</v>
      </c>
      <c r="C81" s="63">
        <v>9894150</v>
      </c>
      <c r="D81" s="63">
        <v>500000</v>
      </c>
      <c r="E81" s="64">
        <v>1123071616</v>
      </c>
      <c r="F81" s="63">
        <v>876462966</v>
      </c>
      <c r="G81" s="63">
        <v>76470000</v>
      </c>
      <c r="H81" s="65">
        <v>131375650</v>
      </c>
      <c r="I81" s="65">
        <v>4862807.9509445699</v>
      </c>
      <c r="J81" s="65">
        <v>3172401.8313684966</v>
      </c>
      <c r="K81" s="65">
        <v>26416415.556516759</v>
      </c>
      <c r="L81" s="65">
        <v>4311374.6611701744</v>
      </c>
      <c r="M81" s="63">
        <v>0</v>
      </c>
      <c r="N81" s="1"/>
    </row>
    <row r="82" spans="1:14" ht="16" hidden="1" customHeight="1" outlineLevel="1" x14ac:dyDescent="0.45">
      <c r="A82" s="29" t="s">
        <v>45</v>
      </c>
      <c r="B82" s="44">
        <v>45540000</v>
      </c>
      <c r="C82" s="63">
        <v>3130000</v>
      </c>
      <c r="D82" s="63">
        <v>5720000</v>
      </c>
      <c r="E82" s="64">
        <v>36690000</v>
      </c>
      <c r="F82" s="63">
        <v>19181147.220706642</v>
      </c>
      <c r="G82" s="63">
        <v>9508852.7792933602</v>
      </c>
      <c r="H82" s="65">
        <v>2200000</v>
      </c>
      <c r="I82" s="65">
        <v>125000</v>
      </c>
      <c r="J82" s="65">
        <v>125000</v>
      </c>
      <c r="K82" s="65">
        <v>1000000</v>
      </c>
      <c r="L82" s="65">
        <v>3300000</v>
      </c>
      <c r="M82" s="63">
        <v>1250000</v>
      </c>
      <c r="N82" s="1"/>
    </row>
    <row r="83" spans="1:14" ht="16" hidden="1" customHeight="1" outlineLevel="1" x14ac:dyDescent="0.45">
      <c r="A83" s="29" t="s">
        <v>46</v>
      </c>
      <c r="B83" s="44">
        <v>132168336</v>
      </c>
      <c r="C83" s="63">
        <v>131398336</v>
      </c>
      <c r="D83" s="63">
        <v>0</v>
      </c>
      <c r="E83" s="64">
        <v>770000</v>
      </c>
      <c r="F83" s="63">
        <v>674569.49733281322</v>
      </c>
      <c r="G83" s="63">
        <v>95430.502667186782</v>
      </c>
      <c r="H83" s="65">
        <v>0</v>
      </c>
      <c r="I83" s="65">
        <v>0</v>
      </c>
      <c r="J83" s="65">
        <v>0</v>
      </c>
      <c r="K83" s="65">
        <v>0</v>
      </c>
      <c r="L83" s="65">
        <v>0</v>
      </c>
      <c r="M83" s="63">
        <v>0</v>
      </c>
      <c r="N83" s="1"/>
    </row>
    <row r="84" spans="1:14" ht="16" hidden="1" customHeight="1" outlineLevel="1" x14ac:dyDescent="0.45">
      <c r="A84" s="29" t="s">
        <v>47</v>
      </c>
      <c r="B84" s="44">
        <v>1606636</v>
      </c>
      <c r="C84" s="63">
        <v>-7400527</v>
      </c>
      <c r="D84" s="63">
        <v>0</v>
      </c>
      <c r="E84" s="64">
        <v>9007163</v>
      </c>
      <c r="F84" s="63">
        <v>7381304.1868841723</v>
      </c>
      <c r="G84" s="63">
        <v>1406949.8131158273</v>
      </c>
      <c r="H84" s="65">
        <v>27182</v>
      </c>
      <c r="I84" s="65">
        <v>0</v>
      </c>
      <c r="J84" s="65">
        <v>0</v>
      </c>
      <c r="K84" s="65">
        <v>82909</v>
      </c>
      <c r="L84" s="65">
        <v>41454</v>
      </c>
      <c r="M84" s="63">
        <v>67364</v>
      </c>
      <c r="N84" s="1"/>
    </row>
    <row r="85" spans="1:14" ht="16" hidden="1" customHeight="1" outlineLevel="1" x14ac:dyDescent="0.45">
      <c r="A85" s="29" t="s">
        <v>246</v>
      </c>
      <c r="B85" s="44">
        <v>11400000</v>
      </c>
      <c r="C85" s="63">
        <v>0</v>
      </c>
      <c r="D85" s="63">
        <v>0</v>
      </c>
      <c r="E85" s="64">
        <v>11400000</v>
      </c>
      <c r="F85" s="63">
        <v>8900000</v>
      </c>
      <c r="G85" s="63">
        <v>0</v>
      </c>
      <c r="H85" s="65">
        <v>0</v>
      </c>
      <c r="I85" s="65">
        <v>0</v>
      </c>
      <c r="J85" s="65">
        <v>0</v>
      </c>
      <c r="K85" s="65">
        <v>0</v>
      </c>
      <c r="L85" s="65">
        <v>2500000</v>
      </c>
      <c r="M85" s="63">
        <v>0</v>
      </c>
      <c r="N85" s="1"/>
    </row>
    <row r="86" spans="1:14" ht="16" hidden="1" customHeight="1" outlineLevel="1" x14ac:dyDescent="0.45">
      <c r="A86" s="29" t="s">
        <v>48</v>
      </c>
      <c r="B86" s="44">
        <v>43089720</v>
      </c>
      <c r="C86" s="63">
        <v>3775660</v>
      </c>
      <c r="D86" s="63">
        <v>1938440</v>
      </c>
      <c r="E86" s="64">
        <v>37375620</v>
      </c>
      <c r="F86" s="63">
        <v>22779550.729470231</v>
      </c>
      <c r="G86" s="63">
        <v>7056249.2705297675</v>
      </c>
      <c r="H86" s="65">
        <v>2520780</v>
      </c>
      <c r="I86" s="65">
        <v>30925</v>
      </c>
      <c r="J86" s="65">
        <v>30925</v>
      </c>
      <c r="K86" s="65">
        <v>1704520</v>
      </c>
      <c r="L86" s="65">
        <v>2263070</v>
      </c>
      <c r="M86" s="63">
        <v>989600</v>
      </c>
      <c r="N86" s="1"/>
    </row>
    <row r="87" spans="1:14" ht="16" hidden="1" customHeight="1" outlineLevel="1" x14ac:dyDescent="0.45">
      <c r="A87" s="29" t="s">
        <v>49</v>
      </c>
      <c r="B87" s="44">
        <v>10363900</v>
      </c>
      <c r="C87" s="63">
        <v>1000000</v>
      </c>
      <c r="D87" s="63">
        <v>0</v>
      </c>
      <c r="E87" s="64">
        <v>9363900</v>
      </c>
      <c r="F87" s="63">
        <v>6789300</v>
      </c>
      <c r="G87" s="63">
        <v>1071000</v>
      </c>
      <c r="H87" s="65">
        <v>636300</v>
      </c>
      <c r="I87" s="65">
        <v>12500</v>
      </c>
      <c r="J87" s="65">
        <v>12500</v>
      </c>
      <c r="K87" s="65">
        <v>842300</v>
      </c>
      <c r="L87" s="65">
        <v>0</v>
      </c>
      <c r="M87" s="63">
        <v>0</v>
      </c>
      <c r="N87" s="1"/>
    </row>
    <row r="88" spans="1:14" ht="16" hidden="1" customHeight="1" outlineLevel="1" x14ac:dyDescent="0.45">
      <c r="A88" s="29" t="s">
        <v>182</v>
      </c>
      <c r="B88" s="44">
        <v>0</v>
      </c>
      <c r="C88" s="63">
        <v>0</v>
      </c>
      <c r="D88" s="63">
        <v>0</v>
      </c>
      <c r="E88" s="64">
        <v>0</v>
      </c>
      <c r="F88" s="63">
        <v>0</v>
      </c>
      <c r="G88" s="63">
        <v>0</v>
      </c>
      <c r="H88" s="65">
        <v>0</v>
      </c>
      <c r="I88" s="65">
        <v>0</v>
      </c>
      <c r="J88" s="65">
        <v>0</v>
      </c>
      <c r="K88" s="65">
        <v>0</v>
      </c>
      <c r="L88" s="65">
        <v>0</v>
      </c>
      <c r="M88" s="63">
        <v>0</v>
      </c>
      <c r="N88" s="1"/>
    </row>
    <row r="89" spans="1:14" ht="16" hidden="1" customHeight="1" outlineLevel="1" x14ac:dyDescent="0.45">
      <c r="A89" s="29" t="s">
        <v>50</v>
      </c>
      <c r="B89" s="44">
        <v>3600000</v>
      </c>
      <c r="C89" s="63">
        <v>2300000</v>
      </c>
      <c r="D89" s="63">
        <v>200000</v>
      </c>
      <c r="E89" s="64">
        <v>1100000</v>
      </c>
      <c r="F89" s="63">
        <v>100000</v>
      </c>
      <c r="G89" s="63">
        <v>1000000</v>
      </c>
      <c r="H89" s="65">
        <v>0</v>
      </c>
      <c r="I89" s="65">
        <v>0</v>
      </c>
      <c r="J89" s="65">
        <v>0</v>
      </c>
      <c r="K89" s="65">
        <v>0</v>
      </c>
      <c r="L89" s="65">
        <v>0</v>
      </c>
      <c r="M89" s="63">
        <v>0</v>
      </c>
      <c r="N89" s="1"/>
    </row>
    <row r="90" spans="1:14" ht="16" hidden="1" customHeight="1" outlineLevel="1" x14ac:dyDescent="0.45">
      <c r="A90" s="29" t="s">
        <v>183</v>
      </c>
      <c r="B90" s="44">
        <v>500000</v>
      </c>
      <c r="C90" s="63">
        <v>0</v>
      </c>
      <c r="D90" s="63">
        <v>0</v>
      </c>
      <c r="E90" s="64">
        <v>500000</v>
      </c>
      <c r="F90" s="63">
        <v>0</v>
      </c>
      <c r="G90" s="63">
        <v>0</v>
      </c>
      <c r="H90" s="65">
        <v>500000</v>
      </c>
      <c r="I90" s="65">
        <v>0</v>
      </c>
      <c r="J90" s="65">
        <v>0</v>
      </c>
      <c r="K90" s="65">
        <v>0</v>
      </c>
      <c r="L90" s="65">
        <v>0</v>
      </c>
      <c r="M90" s="63">
        <v>0</v>
      </c>
      <c r="N90" s="1"/>
    </row>
    <row r="91" spans="1:14" ht="16" hidden="1" customHeight="1" outlineLevel="1" x14ac:dyDescent="0.45">
      <c r="A91" s="29" t="s">
        <v>51</v>
      </c>
      <c r="B91" s="44">
        <v>22100000</v>
      </c>
      <c r="C91" s="63">
        <v>0</v>
      </c>
      <c r="D91" s="63">
        <v>100000</v>
      </c>
      <c r="E91" s="64">
        <v>22000000</v>
      </c>
      <c r="F91" s="63">
        <v>17159126.702279564</v>
      </c>
      <c r="G91" s="63">
        <v>3740873.2977204355</v>
      </c>
      <c r="H91" s="65">
        <v>0</v>
      </c>
      <c r="I91" s="65">
        <v>0</v>
      </c>
      <c r="J91" s="65">
        <v>0</v>
      </c>
      <c r="K91" s="65">
        <v>0</v>
      </c>
      <c r="L91" s="65">
        <v>1100000</v>
      </c>
      <c r="M91" s="63">
        <v>0</v>
      </c>
      <c r="N91" s="1"/>
    </row>
    <row r="92" spans="1:14" ht="16" hidden="1" customHeight="1" outlineLevel="1" x14ac:dyDescent="0.45">
      <c r="A92" s="31" t="s">
        <v>303</v>
      </c>
      <c r="B92" s="47">
        <v>0</v>
      </c>
      <c r="C92" s="63">
        <v>0</v>
      </c>
      <c r="D92" s="63">
        <v>0</v>
      </c>
      <c r="E92" s="64">
        <v>0</v>
      </c>
      <c r="F92" s="63">
        <v>0</v>
      </c>
      <c r="G92" s="63">
        <v>0</v>
      </c>
      <c r="H92" s="65">
        <v>0</v>
      </c>
      <c r="I92" s="65">
        <v>0</v>
      </c>
      <c r="J92" s="65">
        <v>0</v>
      </c>
      <c r="K92" s="65">
        <v>0</v>
      </c>
      <c r="L92" s="65">
        <v>0</v>
      </c>
      <c r="M92" s="63">
        <v>0</v>
      </c>
      <c r="N92" s="1"/>
    </row>
    <row r="93" spans="1:14" ht="16" hidden="1" customHeight="1" outlineLevel="1" x14ac:dyDescent="0.45">
      <c r="A93" s="29" t="s">
        <v>184</v>
      </c>
      <c r="B93" s="44">
        <v>16200000</v>
      </c>
      <c r="C93" s="63">
        <v>4500000</v>
      </c>
      <c r="D93" s="63">
        <v>1950000</v>
      </c>
      <c r="E93" s="64">
        <v>9750000</v>
      </c>
      <c r="F93" s="63">
        <v>3761880.7638106025</v>
      </c>
      <c r="G93" s="63">
        <v>1938119.2361893975</v>
      </c>
      <c r="H93" s="65">
        <v>600000</v>
      </c>
      <c r="I93" s="65">
        <v>375000</v>
      </c>
      <c r="J93" s="65">
        <v>375000</v>
      </c>
      <c r="K93" s="65">
        <v>300000</v>
      </c>
      <c r="L93" s="65">
        <v>2100000</v>
      </c>
      <c r="M93" s="63">
        <v>300000</v>
      </c>
      <c r="N93" s="1"/>
    </row>
    <row r="94" spans="1:14" ht="16" hidden="1" customHeight="1" outlineLevel="1" x14ac:dyDescent="0.45">
      <c r="A94" s="31" t="s">
        <v>185</v>
      </c>
      <c r="B94" s="47">
        <v>2400000</v>
      </c>
      <c r="C94" s="63">
        <v>600000</v>
      </c>
      <c r="D94" s="63">
        <v>0</v>
      </c>
      <c r="E94" s="64">
        <v>1800000</v>
      </c>
      <c r="F94" s="63">
        <v>0</v>
      </c>
      <c r="G94" s="63">
        <v>0</v>
      </c>
      <c r="H94" s="65">
        <v>1650000</v>
      </c>
      <c r="I94" s="65">
        <v>0</v>
      </c>
      <c r="J94" s="65">
        <v>0</v>
      </c>
      <c r="K94" s="65">
        <v>150000</v>
      </c>
      <c r="L94" s="65">
        <v>0</v>
      </c>
      <c r="M94" s="63">
        <v>0</v>
      </c>
      <c r="N94" s="1"/>
    </row>
    <row r="95" spans="1:14" ht="16" hidden="1" customHeight="1" outlineLevel="1" x14ac:dyDescent="0.45">
      <c r="A95" s="29" t="s">
        <v>186</v>
      </c>
      <c r="B95" s="44">
        <v>50650000</v>
      </c>
      <c r="C95" s="63">
        <v>2750000</v>
      </c>
      <c r="D95" s="63">
        <v>2250000</v>
      </c>
      <c r="E95" s="64">
        <v>45650000</v>
      </c>
      <c r="F95" s="63">
        <v>23439654.001265738</v>
      </c>
      <c r="G95" s="63">
        <v>14160345.998734262</v>
      </c>
      <c r="H95" s="65">
        <v>450000</v>
      </c>
      <c r="I95" s="65">
        <v>375000</v>
      </c>
      <c r="J95" s="65">
        <v>675000</v>
      </c>
      <c r="K95" s="65">
        <v>1900000</v>
      </c>
      <c r="L95" s="65">
        <v>4650000</v>
      </c>
      <c r="M95" s="63">
        <v>0</v>
      </c>
      <c r="N95" s="1"/>
    </row>
    <row r="96" spans="1:14" ht="16" hidden="1" customHeight="1" outlineLevel="1" x14ac:dyDescent="0.45">
      <c r="A96" s="31" t="s">
        <v>304</v>
      </c>
      <c r="B96" s="47">
        <v>0</v>
      </c>
      <c r="C96" s="63">
        <v>0</v>
      </c>
      <c r="D96" s="63">
        <v>0</v>
      </c>
      <c r="E96" s="64">
        <v>0</v>
      </c>
      <c r="F96" s="63">
        <v>0</v>
      </c>
      <c r="G96" s="63">
        <v>0</v>
      </c>
      <c r="H96" s="65">
        <v>0</v>
      </c>
      <c r="I96" s="65">
        <v>0</v>
      </c>
      <c r="J96" s="65">
        <v>0</v>
      </c>
      <c r="K96" s="65">
        <v>0</v>
      </c>
      <c r="L96" s="65">
        <v>0</v>
      </c>
      <c r="M96" s="63">
        <v>0</v>
      </c>
      <c r="N96" s="1"/>
    </row>
    <row r="97" spans="1:14" ht="16" hidden="1" customHeight="1" outlineLevel="1" x14ac:dyDescent="0.45">
      <c r="A97" s="29" t="s">
        <v>135</v>
      </c>
      <c r="B97" s="44">
        <v>0</v>
      </c>
      <c r="C97" s="63">
        <v>0</v>
      </c>
      <c r="D97" s="63">
        <v>0</v>
      </c>
      <c r="E97" s="64">
        <v>0</v>
      </c>
      <c r="F97" s="63">
        <v>0</v>
      </c>
      <c r="G97" s="63">
        <v>0</v>
      </c>
      <c r="H97" s="65">
        <v>0</v>
      </c>
      <c r="I97" s="65">
        <v>0</v>
      </c>
      <c r="J97" s="65">
        <v>0</v>
      </c>
      <c r="K97" s="65">
        <v>0</v>
      </c>
      <c r="L97" s="65">
        <v>0</v>
      </c>
      <c r="M97" s="63">
        <v>0</v>
      </c>
      <c r="N97" s="1"/>
    </row>
    <row r="98" spans="1:14" ht="16" hidden="1" customHeight="1" outlineLevel="1" x14ac:dyDescent="0.45">
      <c r="A98" s="29" t="s">
        <v>52</v>
      </c>
      <c r="B98" s="44">
        <v>2147500</v>
      </c>
      <c r="C98" s="63">
        <v>0</v>
      </c>
      <c r="D98" s="63">
        <v>0</v>
      </c>
      <c r="E98" s="64">
        <v>2147500</v>
      </c>
      <c r="F98" s="63">
        <v>0</v>
      </c>
      <c r="G98" s="63">
        <v>547500</v>
      </c>
      <c r="H98" s="65">
        <v>0</v>
      </c>
      <c r="I98" s="65">
        <v>0</v>
      </c>
      <c r="J98" s="65">
        <v>0</v>
      </c>
      <c r="K98" s="65">
        <v>0</v>
      </c>
      <c r="L98" s="65">
        <v>1600000</v>
      </c>
      <c r="M98" s="63">
        <v>0</v>
      </c>
      <c r="N98" s="1"/>
    </row>
    <row r="99" spans="1:14" ht="16" hidden="1" customHeight="1" outlineLevel="1" x14ac:dyDescent="0.45">
      <c r="A99" s="31" t="s">
        <v>187</v>
      </c>
      <c r="B99" s="47">
        <v>0</v>
      </c>
      <c r="C99" s="63">
        <v>0</v>
      </c>
      <c r="D99" s="63">
        <v>0</v>
      </c>
      <c r="E99" s="64">
        <v>0</v>
      </c>
      <c r="F99" s="63">
        <v>0</v>
      </c>
      <c r="G99" s="63">
        <v>0</v>
      </c>
      <c r="H99" s="65">
        <v>0</v>
      </c>
      <c r="I99" s="65">
        <v>0</v>
      </c>
      <c r="J99" s="65">
        <v>0</v>
      </c>
      <c r="K99" s="65">
        <v>0</v>
      </c>
      <c r="L99" s="65">
        <v>0</v>
      </c>
      <c r="M99" s="63">
        <v>0</v>
      </c>
      <c r="N99" s="1"/>
    </row>
    <row r="100" spans="1:14" ht="16" hidden="1" customHeight="1" outlineLevel="1" x14ac:dyDescent="0.45">
      <c r="A100" s="24" t="s">
        <v>114</v>
      </c>
      <c r="B100" s="44">
        <v>800000</v>
      </c>
      <c r="C100" s="63">
        <v>0</v>
      </c>
      <c r="D100" s="63">
        <v>0</v>
      </c>
      <c r="E100" s="64">
        <v>800000</v>
      </c>
      <c r="F100" s="63">
        <v>800000</v>
      </c>
      <c r="G100" s="63">
        <v>0</v>
      </c>
      <c r="H100" s="65">
        <v>0</v>
      </c>
      <c r="I100" s="65">
        <v>0</v>
      </c>
      <c r="J100" s="65">
        <v>0</v>
      </c>
      <c r="K100" s="65">
        <v>0</v>
      </c>
      <c r="L100" s="65">
        <v>0</v>
      </c>
      <c r="M100" s="63">
        <v>0</v>
      </c>
      <c r="N100" s="1"/>
    </row>
    <row r="101" spans="1:14" ht="16" hidden="1" customHeight="1" outlineLevel="1" x14ac:dyDescent="0.45">
      <c r="A101" s="29" t="s">
        <v>188</v>
      </c>
      <c r="B101" s="44">
        <v>0</v>
      </c>
      <c r="C101" s="63">
        <v>0</v>
      </c>
      <c r="D101" s="63">
        <v>0</v>
      </c>
      <c r="E101" s="64">
        <v>0</v>
      </c>
      <c r="F101" s="63">
        <v>0</v>
      </c>
      <c r="G101" s="63">
        <v>0</v>
      </c>
      <c r="H101" s="65">
        <v>0</v>
      </c>
      <c r="I101" s="65">
        <v>0</v>
      </c>
      <c r="J101" s="65">
        <v>0</v>
      </c>
      <c r="K101" s="65">
        <v>0</v>
      </c>
      <c r="L101" s="65">
        <v>0</v>
      </c>
      <c r="M101" s="63">
        <v>0</v>
      </c>
      <c r="N101" s="1"/>
    </row>
    <row r="102" spans="1:14" ht="16" hidden="1" customHeight="1" outlineLevel="1" x14ac:dyDescent="0.45">
      <c r="A102" s="29" t="s">
        <v>259</v>
      </c>
      <c r="B102" s="44">
        <v>0</v>
      </c>
      <c r="C102" s="63">
        <v>0</v>
      </c>
      <c r="D102" s="63">
        <v>0</v>
      </c>
      <c r="E102" s="64">
        <v>0</v>
      </c>
      <c r="F102" s="63">
        <v>0</v>
      </c>
      <c r="G102" s="63">
        <v>0</v>
      </c>
      <c r="H102" s="65">
        <v>0</v>
      </c>
      <c r="I102" s="65">
        <v>0</v>
      </c>
      <c r="J102" s="65">
        <v>0</v>
      </c>
      <c r="K102" s="65">
        <v>0</v>
      </c>
      <c r="L102" s="65">
        <v>0</v>
      </c>
      <c r="M102" s="63">
        <v>0</v>
      </c>
      <c r="N102" s="1"/>
    </row>
    <row r="103" spans="1:14" ht="16" hidden="1" customHeight="1" outlineLevel="1" x14ac:dyDescent="0.45">
      <c r="A103" s="29" t="s">
        <v>189</v>
      </c>
      <c r="B103" s="44">
        <v>0</v>
      </c>
      <c r="C103" s="63">
        <v>0</v>
      </c>
      <c r="D103" s="63">
        <v>0</v>
      </c>
      <c r="E103" s="64">
        <v>0</v>
      </c>
      <c r="F103" s="63">
        <v>0</v>
      </c>
      <c r="G103" s="63">
        <v>0</v>
      </c>
      <c r="H103" s="65">
        <v>0</v>
      </c>
      <c r="I103" s="65">
        <v>0</v>
      </c>
      <c r="J103" s="65">
        <v>0</v>
      </c>
      <c r="K103" s="65">
        <v>0</v>
      </c>
      <c r="L103" s="65">
        <v>0</v>
      </c>
      <c r="M103" s="63">
        <v>0</v>
      </c>
      <c r="N103" s="1"/>
    </row>
    <row r="104" spans="1:14" ht="16" hidden="1" customHeight="1" outlineLevel="1" x14ac:dyDescent="0.45">
      <c r="A104" s="29" t="s">
        <v>115</v>
      </c>
      <c r="B104" s="44">
        <v>0</v>
      </c>
      <c r="C104" s="63">
        <v>0</v>
      </c>
      <c r="D104" s="63">
        <v>0</v>
      </c>
      <c r="E104" s="64">
        <v>0</v>
      </c>
      <c r="F104" s="63">
        <v>0</v>
      </c>
      <c r="G104" s="63">
        <v>0</v>
      </c>
      <c r="H104" s="65">
        <v>0</v>
      </c>
      <c r="I104" s="65">
        <v>0</v>
      </c>
      <c r="J104" s="65">
        <v>0</v>
      </c>
      <c r="K104" s="65">
        <v>0</v>
      </c>
      <c r="L104" s="65">
        <v>0</v>
      </c>
      <c r="M104" s="63">
        <v>0</v>
      </c>
      <c r="N104" s="1"/>
    </row>
    <row r="105" spans="1:14" ht="16" hidden="1" customHeight="1" outlineLevel="1" x14ac:dyDescent="0.45">
      <c r="A105" s="29" t="s">
        <v>53</v>
      </c>
      <c r="B105" s="44">
        <v>1068050000</v>
      </c>
      <c r="C105" s="63">
        <v>47000000</v>
      </c>
      <c r="D105" s="63">
        <v>23750000</v>
      </c>
      <c r="E105" s="64">
        <v>997300000</v>
      </c>
      <c r="F105" s="63">
        <v>601378829.23746228</v>
      </c>
      <c r="G105" s="63">
        <v>189182224.30031738</v>
      </c>
      <c r="H105" s="65">
        <v>73088946.462220266</v>
      </c>
      <c r="I105" s="65">
        <v>7320844.7209402593</v>
      </c>
      <c r="J105" s="65">
        <v>6812868.4135444034</v>
      </c>
      <c r="K105" s="65">
        <v>31531409.480081648</v>
      </c>
      <c r="L105" s="65">
        <v>78784877.385433689</v>
      </c>
      <c r="M105" s="63">
        <v>9200000</v>
      </c>
      <c r="N105" s="1"/>
    </row>
    <row r="106" spans="1:14" ht="16" hidden="1" customHeight="1" outlineLevel="1" x14ac:dyDescent="0.45">
      <c r="A106" s="29" t="s">
        <v>54</v>
      </c>
      <c r="B106" s="44">
        <v>3767280</v>
      </c>
      <c r="C106" s="63">
        <v>100000</v>
      </c>
      <c r="D106" s="63">
        <v>226000</v>
      </c>
      <c r="E106" s="64">
        <v>3441280</v>
      </c>
      <c r="F106" s="63">
        <v>1990026.5510726916</v>
      </c>
      <c r="G106" s="63">
        <v>843253.44892730832</v>
      </c>
      <c r="H106" s="65">
        <v>278600</v>
      </c>
      <c r="I106" s="65">
        <v>41800</v>
      </c>
      <c r="J106" s="65">
        <v>41800</v>
      </c>
      <c r="K106" s="65">
        <v>177800</v>
      </c>
      <c r="L106" s="65">
        <v>68000</v>
      </c>
      <c r="M106" s="63">
        <v>0</v>
      </c>
      <c r="N106" s="1"/>
    </row>
    <row r="107" spans="1:14" ht="16" hidden="1" customHeight="1" outlineLevel="1" x14ac:dyDescent="0.45">
      <c r="A107" s="29" t="s">
        <v>55</v>
      </c>
      <c r="B107" s="44">
        <v>1774900</v>
      </c>
      <c r="C107" s="63">
        <v>164900</v>
      </c>
      <c r="D107" s="63">
        <v>140000</v>
      </c>
      <c r="E107" s="64">
        <v>1470000</v>
      </c>
      <c r="F107" s="63">
        <v>910000</v>
      </c>
      <c r="G107" s="63">
        <v>420000</v>
      </c>
      <c r="H107" s="65">
        <v>70000</v>
      </c>
      <c r="I107" s="65">
        <v>0</v>
      </c>
      <c r="J107" s="65">
        <v>0</v>
      </c>
      <c r="K107" s="65">
        <v>70000</v>
      </c>
      <c r="L107" s="65">
        <v>0</v>
      </c>
      <c r="M107" s="63">
        <v>0</v>
      </c>
      <c r="N107" s="1"/>
    </row>
    <row r="108" spans="1:14" ht="16" hidden="1" customHeight="1" outlineLevel="1" x14ac:dyDescent="0.45">
      <c r="A108" s="29" t="s">
        <v>190</v>
      </c>
      <c r="B108" s="44">
        <v>0</v>
      </c>
      <c r="C108" s="63">
        <v>0</v>
      </c>
      <c r="D108" s="63">
        <v>0</v>
      </c>
      <c r="E108" s="64">
        <v>0</v>
      </c>
      <c r="F108" s="63">
        <v>0</v>
      </c>
      <c r="G108" s="63">
        <v>0</v>
      </c>
      <c r="H108" s="65">
        <v>0</v>
      </c>
      <c r="I108" s="65">
        <v>0</v>
      </c>
      <c r="J108" s="65">
        <v>0</v>
      </c>
      <c r="K108" s="65">
        <v>0</v>
      </c>
      <c r="L108" s="65">
        <v>0</v>
      </c>
      <c r="M108" s="63">
        <v>0</v>
      </c>
      <c r="N108" s="1"/>
    </row>
    <row r="109" spans="1:14" ht="16" hidden="1" customHeight="1" outlineLevel="1" x14ac:dyDescent="0.45">
      <c r="A109" s="30" t="s">
        <v>56</v>
      </c>
      <c r="B109" s="46">
        <v>501693401</v>
      </c>
      <c r="C109" s="63">
        <v>1657250</v>
      </c>
      <c r="D109" s="63">
        <v>0</v>
      </c>
      <c r="E109" s="64">
        <v>500036151</v>
      </c>
      <c r="F109" s="63">
        <v>249250045</v>
      </c>
      <c r="G109" s="63">
        <v>113255000</v>
      </c>
      <c r="H109" s="65">
        <v>0</v>
      </c>
      <c r="I109" s="65">
        <v>145750</v>
      </c>
      <c r="J109" s="65">
        <v>0</v>
      </c>
      <c r="K109" s="65">
        <v>680500</v>
      </c>
      <c r="L109" s="65">
        <v>136654856</v>
      </c>
      <c r="M109" s="63">
        <v>50000</v>
      </c>
      <c r="N109" s="1"/>
    </row>
    <row r="110" spans="1:14" ht="16" hidden="1" customHeight="1" outlineLevel="1" x14ac:dyDescent="0.45">
      <c r="A110" s="29" t="s">
        <v>305</v>
      </c>
      <c r="B110" s="44">
        <v>0</v>
      </c>
      <c r="C110" s="63">
        <v>0</v>
      </c>
      <c r="D110" s="63">
        <v>0</v>
      </c>
      <c r="E110" s="64">
        <v>0</v>
      </c>
      <c r="F110" s="63">
        <v>0</v>
      </c>
      <c r="G110" s="63">
        <v>0</v>
      </c>
      <c r="H110" s="65">
        <v>0</v>
      </c>
      <c r="I110" s="65">
        <v>0</v>
      </c>
      <c r="J110" s="65">
        <v>0</v>
      </c>
      <c r="K110" s="65">
        <v>0</v>
      </c>
      <c r="L110" s="65">
        <v>0</v>
      </c>
      <c r="M110" s="63">
        <v>0</v>
      </c>
      <c r="N110" s="1"/>
    </row>
    <row r="111" spans="1:14" ht="16" hidden="1" customHeight="1" outlineLevel="1" x14ac:dyDescent="0.45">
      <c r="A111" s="29" t="s">
        <v>253</v>
      </c>
      <c r="B111" s="44">
        <v>0</v>
      </c>
      <c r="C111" s="63">
        <v>0</v>
      </c>
      <c r="D111" s="63">
        <v>0</v>
      </c>
      <c r="E111" s="64">
        <v>0</v>
      </c>
      <c r="F111" s="63">
        <v>0</v>
      </c>
      <c r="G111" s="63">
        <v>0</v>
      </c>
      <c r="H111" s="65">
        <v>0</v>
      </c>
      <c r="I111" s="65">
        <v>0</v>
      </c>
      <c r="J111" s="65">
        <v>0</v>
      </c>
      <c r="K111" s="65">
        <v>0</v>
      </c>
      <c r="L111" s="65">
        <v>0</v>
      </c>
      <c r="M111" s="63">
        <v>0</v>
      </c>
      <c r="N111" s="1"/>
    </row>
    <row r="112" spans="1:14" ht="16" hidden="1" customHeight="1" outlineLevel="1" x14ac:dyDescent="0.45">
      <c r="A112" s="29" t="s">
        <v>255</v>
      </c>
      <c r="B112" s="44">
        <v>0</v>
      </c>
      <c r="C112" s="63">
        <v>0</v>
      </c>
      <c r="D112" s="63">
        <v>0</v>
      </c>
      <c r="E112" s="64">
        <v>0</v>
      </c>
      <c r="F112" s="63">
        <v>0</v>
      </c>
      <c r="G112" s="63">
        <v>0</v>
      </c>
      <c r="H112" s="65">
        <v>0</v>
      </c>
      <c r="I112" s="65">
        <v>0</v>
      </c>
      <c r="J112" s="65">
        <v>0</v>
      </c>
      <c r="K112" s="65">
        <v>0</v>
      </c>
      <c r="L112" s="65">
        <v>0</v>
      </c>
      <c r="M112" s="63">
        <v>0</v>
      </c>
      <c r="N112" s="1"/>
    </row>
    <row r="113" spans="1:14" ht="16" hidden="1" customHeight="1" outlineLevel="1" x14ac:dyDescent="0.45">
      <c r="A113" s="29" t="s">
        <v>254</v>
      </c>
      <c r="B113" s="44">
        <v>0</v>
      </c>
      <c r="C113" s="63">
        <v>0</v>
      </c>
      <c r="D113" s="63">
        <v>0</v>
      </c>
      <c r="E113" s="64">
        <v>0</v>
      </c>
      <c r="F113" s="63">
        <v>0</v>
      </c>
      <c r="G113" s="63">
        <v>0</v>
      </c>
      <c r="H113" s="65">
        <v>0</v>
      </c>
      <c r="I113" s="65">
        <v>0</v>
      </c>
      <c r="J113" s="65">
        <v>0</v>
      </c>
      <c r="K113" s="65">
        <v>0</v>
      </c>
      <c r="L113" s="65">
        <v>0</v>
      </c>
      <c r="M113" s="63">
        <v>0</v>
      </c>
      <c r="N113" s="1"/>
    </row>
    <row r="114" spans="1:14" ht="16" hidden="1" customHeight="1" outlineLevel="1" x14ac:dyDescent="0.45">
      <c r="A114" s="29" t="s">
        <v>269</v>
      </c>
      <c r="B114" s="44">
        <v>26271740</v>
      </c>
      <c r="C114" s="63">
        <v>26271740</v>
      </c>
      <c r="D114" s="63">
        <v>0</v>
      </c>
      <c r="E114" s="64">
        <v>0</v>
      </c>
      <c r="F114" s="63">
        <v>0</v>
      </c>
      <c r="G114" s="63">
        <v>0</v>
      </c>
      <c r="H114" s="65">
        <v>0</v>
      </c>
      <c r="I114" s="65">
        <v>0</v>
      </c>
      <c r="J114" s="65">
        <v>0</v>
      </c>
      <c r="K114" s="65">
        <v>0</v>
      </c>
      <c r="L114" s="65">
        <v>0</v>
      </c>
      <c r="M114" s="63">
        <v>0</v>
      </c>
      <c r="N114" s="1"/>
    </row>
    <row r="115" spans="1:14" ht="16" customHeight="1" collapsed="1" x14ac:dyDescent="0.45">
      <c r="A115" s="28" t="s">
        <v>57</v>
      </c>
      <c r="B115" s="43">
        <v>54730980</v>
      </c>
      <c r="C115" s="60">
        <v>10217431</v>
      </c>
      <c r="D115" s="60">
        <v>4238500</v>
      </c>
      <c r="E115" s="61">
        <v>40275049</v>
      </c>
      <c r="F115" s="60">
        <v>26323215.195457671</v>
      </c>
      <c r="G115" s="60">
        <v>5624663.8045423282</v>
      </c>
      <c r="H115" s="62">
        <v>753250</v>
      </c>
      <c r="I115" s="62">
        <v>367500</v>
      </c>
      <c r="J115" s="62">
        <v>302500</v>
      </c>
      <c r="K115" s="62">
        <v>1125300</v>
      </c>
      <c r="L115" s="62">
        <v>4572420</v>
      </c>
      <c r="M115" s="60">
        <v>1206200</v>
      </c>
      <c r="N115" s="1"/>
    </row>
    <row r="116" spans="1:14" s="1" customFormat="1" ht="16" hidden="1" customHeight="1" outlineLevel="1" collapsed="1" x14ac:dyDescent="0.45">
      <c r="A116" s="29" t="s">
        <v>58</v>
      </c>
      <c r="B116" s="44">
        <v>33612560</v>
      </c>
      <c r="C116" s="63">
        <v>3583901</v>
      </c>
      <c r="D116" s="63">
        <v>1443800</v>
      </c>
      <c r="E116" s="64">
        <v>28584859</v>
      </c>
      <c r="F116" s="63">
        <v>21894756.102431647</v>
      </c>
      <c r="G116" s="63">
        <v>2952602.8975683507</v>
      </c>
      <c r="H116" s="65">
        <v>34000</v>
      </c>
      <c r="I116" s="65">
        <v>65000</v>
      </c>
      <c r="J116" s="65">
        <v>0</v>
      </c>
      <c r="K116" s="65">
        <v>638400</v>
      </c>
      <c r="L116" s="65">
        <v>2984900</v>
      </c>
      <c r="M116" s="63">
        <v>15200</v>
      </c>
    </row>
    <row r="117" spans="1:14" ht="16" hidden="1" customHeight="1" outlineLevel="1" x14ac:dyDescent="0.45">
      <c r="A117" s="29" t="s">
        <v>266</v>
      </c>
      <c r="B117" s="44">
        <v>231100</v>
      </c>
      <c r="C117" s="63">
        <v>66100</v>
      </c>
      <c r="D117" s="63">
        <v>0</v>
      </c>
      <c r="E117" s="64">
        <v>165000</v>
      </c>
      <c r="F117" s="63">
        <v>133797.38944318864</v>
      </c>
      <c r="G117" s="63">
        <v>31202.61055681136</v>
      </c>
      <c r="H117" s="65">
        <v>0</v>
      </c>
      <c r="I117" s="65">
        <v>0</v>
      </c>
      <c r="J117" s="65">
        <v>0</v>
      </c>
      <c r="K117" s="65">
        <v>0</v>
      </c>
      <c r="L117" s="65">
        <v>0</v>
      </c>
      <c r="M117" s="63">
        <v>0</v>
      </c>
      <c r="N117" s="1"/>
    </row>
    <row r="118" spans="1:14" ht="16" hidden="1" customHeight="1" outlineLevel="1" x14ac:dyDescent="0.45">
      <c r="A118" s="29" t="s">
        <v>296</v>
      </c>
      <c r="B118" s="44">
        <v>0</v>
      </c>
      <c r="C118" s="63">
        <v>0</v>
      </c>
      <c r="D118" s="63">
        <v>0</v>
      </c>
      <c r="E118" s="64">
        <v>0</v>
      </c>
      <c r="F118" s="63">
        <v>0</v>
      </c>
      <c r="G118" s="63">
        <v>0</v>
      </c>
      <c r="H118" s="65">
        <v>0</v>
      </c>
      <c r="I118" s="65">
        <v>0</v>
      </c>
      <c r="J118" s="65">
        <v>0</v>
      </c>
      <c r="K118" s="65">
        <v>0</v>
      </c>
      <c r="L118" s="65">
        <v>0</v>
      </c>
      <c r="M118" s="63">
        <v>0</v>
      </c>
      <c r="N118" s="1"/>
    </row>
    <row r="119" spans="1:14" ht="16" hidden="1" customHeight="1" outlineLevel="1" x14ac:dyDescent="0.45">
      <c r="A119" s="29" t="s">
        <v>270</v>
      </c>
      <c r="B119" s="44">
        <v>8362620</v>
      </c>
      <c r="C119" s="63">
        <v>1408400</v>
      </c>
      <c r="D119" s="63">
        <v>207000</v>
      </c>
      <c r="E119" s="64">
        <v>6747220</v>
      </c>
      <c r="F119" s="63">
        <v>3494661.7035828335</v>
      </c>
      <c r="G119" s="63">
        <v>2340858.2964171665</v>
      </c>
      <c r="H119" s="65">
        <v>35000</v>
      </c>
      <c r="I119" s="65">
        <v>102500</v>
      </c>
      <c r="J119" s="65">
        <v>102500</v>
      </c>
      <c r="K119" s="65">
        <v>93000</v>
      </c>
      <c r="L119" s="65">
        <v>387700</v>
      </c>
      <c r="M119" s="63">
        <v>191000</v>
      </c>
      <c r="N119" s="1"/>
    </row>
    <row r="120" spans="1:14" ht="16" hidden="1" customHeight="1" outlineLevel="1" x14ac:dyDescent="0.45">
      <c r="A120" s="29" t="s">
        <v>271</v>
      </c>
      <c r="B120" s="44">
        <v>1729530</v>
      </c>
      <c r="C120" s="63">
        <v>1729530</v>
      </c>
      <c r="D120" s="63">
        <v>0</v>
      </c>
      <c r="E120" s="64">
        <v>0</v>
      </c>
      <c r="F120" s="63">
        <v>0</v>
      </c>
      <c r="G120" s="63">
        <v>0</v>
      </c>
      <c r="H120" s="65">
        <v>0</v>
      </c>
      <c r="I120" s="65">
        <v>0</v>
      </c>
      <c r="J120" s="65">
        <v>0</v>
      </c>
      <c r="K120" s="65">
        <v>0</v>
      </c>
      <c r="L120" s="65">
        <v>0</v>
      </c>
      <c r="M120" s="63">
        <v>0</v>
      </c>
      <c r="N120" s="1"/>
    </row>
    <row r="121" spans="1:14" ht="16" hidden="1" customHeight="1" outlineLevel="1" x14ac:dyDescent="0.45">
      <c r="A121" s="29" t="s">
        <v>297</v>
      </c>
      <c r="B121" s="44">
        <v>10795170</v>
      </c>
      <c r="C121" s="63">
        <v>3429500</v>
      </c>
      <c r="D121" s="63">
        <v>2587700</v>
      </c>
      <c r="E121" s="64">
        <v>4777970</v>
      </c>
      <c r="F121" s="63">
        <v>800000</v>
      </c>
      <c r="G121" s="63">
        <v>300000</v>
      </c>
      <c r="H121" s="65">
        <v>684250</v>
      </c>
      <c r="I121" s="65">
        <v>200000</v>
      </c>
      <c r="J121" s="65">
        <v>200000</v>
      </c>
      <c r="K121" s="65">
        <v>393900</v>
      </c>
      <c r="L121" s="65">
        <v>1199820</v>
      </c>
      <c r="M121" s="63">
        <v>1000000</v>
      </c>
      <c r="N121" s="1"/>
    </row>
    <row r="122" spans="1:14" s="1" customFormat="1" collapsed="1" x14ac:dyDescent="0.45">
      <c r="A122" s="28" t="s">
        <v>136</v>
      </c>
      <c r="B122" s="43">
        <v>18410200</v>
      </c>
      <c r="C122" s="60">
        <v>17410200</v>
      </c>
      <c r="D122" s="60">
        <v>0</v>
      </c>
      <c r="E122" s="61">
        <v>1000000</v>
      </c>
      <c r="F122" s="60">
        <v>591647.17130976531</v>
      </c>
      <c r="G122" s="60">
        <v>108352.82869023472</v>
      </c>
      <c r="H122" s="62">
        <v>0</v>
      </c>
      <c r="I122" s="62">
        <v>0</v>
      </c>
      <c r="J122" s="62">
        <v>0</v>
      </c>
      <c r="K122" s="62">
        <v>0</v>
      </c>
      <c r="L122" s="62">
        <v>0</v>
      </c>
      <c r="M122" s="60">
        <v>300000</v>
      </c>
    </row>
    <row r="123" spans="1:14" ht="16" hidden="1" customHeight="1" outlineLevel="1" x14ac:dyDescent="0.45">
      <c r="A123" s="29" t="s">
        <v>137</v>
      </c>
      <c r="B123" s="44">
        <v>0</v>
      </c>
      <c r="C123" s="63">
        <v>0</v>
      </c>
      <c r="D123" s="63">
        <v>0</v>
      </c>
      <c r="E123" s="64">
        <v>0</v>
      </c>
      <c r="F123" s="63">
        <v>0</v>
      </c>
      <c r="G123" s="63">
        <v>0</v>
      </c>
      <c r="H123" s="65">
        <v>0</v>
      </c>
      <c r="I123" s="65">
        <v>0</v>
      </c>
      <c r="J123" s="65">
        <v>0</v>
      </c>
      <c r="K123" s="65">
        <v>0</v>
      </c>
      <c r="L123" s="65">
        <v>0</v>
      </c>
      <c r="M123" s="63">
        <v>0</v>
      </c>
      <c r="N123" s="1"/>
    </row>
    <row r="124" spans="1:14" ht="16" hidden="1" customHeight="1" outlineLevel="1" x14ac:dyDescent="0.45">
      <c r="A124" s="29" t="s">
        <v>191</v>
      </c>
      <c r="B124" s="44">
        <v>0</v>
      </c>
      <c r="C124" s="63">
        <v>0</v>
      </c>
      <c r="D124" s="63">
        <v>0</v>
      </c>
      <c r="E124" s="64">
        <v>0</v>
      </c>
      <c r="F124" s="63">
        <v>0</v>
      </c>
      <c r="G124" s="63">
        <v>0</v>
      </c>
      <c r="H124" s="65">
        <v>0</v>
      </c>
      <c r="I124" s="65">
        <v>0</v>
      </c>
      <c r="J124" s="65">
        <v>0</v>
      </c>
      <c r="K124" s="65">
        <v>0</v>
      </c>
      <c r="L124" s="65">
        <v>0</v>
      </c>
      <c r="M124" s="63">
        <v>0</v>
      </c>
      <c r="N124" s="1"/>
    </row>
    <row r="125" spans="1:14" ht="16" hidden="1" customHeight="1" outlineLevel="1" x14ac:dyDescent="0.45">
      <c r="A125" s="29" t="s">
        <v>138</v>
      </c>
      <c r="B125" s="44">
        <v>18410200</v>
      </c>
      <c r="C125" s="63">
        <v>17410200</v>
      </c>
      <c r="D125" s="63">
        <v>0</v>
      </c>
      <c r="E125" s="64">
        <v>1000000</v>
      </c>
      <c r="F125" s="63">
        <v>591647.17130976531</v>
      </c>
      <c r="G125" s="63">
        <v>108352.82869023472</v>
      </c>
      <c r="H125" s="65">
        <v>0</v>
      </c>
      <c r="I125" s="65">
        <v>0</v>
      </c>
      <c r="J125" s="65">
        <v>0</v>
      </c>
      <c r="K125" s="65">
        <v>0</v>
      </c>
      <c r="L125" s="65">
        <v>0</v>
      </c>
      <c r="M125" s="63">
        <v>300000</v>
      </c>
      <c r="N125" s="1"/>
    </row>
    <row r="126" spans="1:14" s="1" customFormat="1" collapsed="1" x14ac:dyDescent="0.45">
      <c r="A126" s="28" t="s">
        <v>59</v>
      </c>
      <c r="B126" s="43">
        <v>78955468</v>
      </c>
      <c r="C126" s="60">
        <v>31243810</v>
      </c>
      <c r="D126" s="60">
        <v>1360875</v>
      </c>
      <c r="E126" s="61">
        <v>46350783</v>
      </c>
      <c r="F126" s="60">
        <v>13709001.920938089</v>
      </c>
      <c r="G126" s="60">
        <v>8601175.0790619105</v>
      </c>
      <c r="H126" s="62">
        <v>8768899</v>
      </c>
      <c r="I126" s="62">
        <v>405264.5</v>
      </c>
      <c r="J126" s="62">
        <v>12239604.5</v>
      </c>
      <c r="K126" s="62">
        <v>1476392</v>
      </c>
      <c r="L126" s="62">
        <v>283982</v>
      </c>
      <c r="M126" s="60">
        <v>866464</v>
      </c>
    </row>
    <row r="127" spans="1:14" ht="16" hidden="1" customHeight="1" outlineLevel="1" x14ac:dyDescent="0.45">
      <c r="A127" s="29" t="s">
        <v>60</v>
      </c>
      <c r="B127" s="44">
        <v>32092845</v>
      </c>
      <c r="C127" s="63">
        <v>12878632</v>
      </c>
      <c r="D127" s="63">
        <v>757709</v>
      </c>
      <c r="E127" s="64">
        <v>18456504</v>
      </c>
      <c r="F127" s="63">
        <v>9335778.420982426</v>
      </c>
      <c r="G127" s="63">
        <v>7852128.579017573</v>
      </c>
      <c r="H127" s="65">
        <v>756878</v>
      </c>
      <c r="I127" s="65">
        <v>0</v>
      </c>
      <c r="J127" s="65">
        <v>0</v>
      </c>
      <c r="K127" s="65">
        <v>388846</v>
      </c>
      <c r="L127" s="65">
        <v>68872</v>
      </c>
      <c r="M127" s="63">
        <v>54001</v>
      </c>
      <c r="N127" s="1"/>
    </row>
    <row r="128" spans="1:14" ht="16" hidden="1" customHeight="1" outlineLevel="1" x14ac:dyDescent="0.45">
      <c r="A128" s="29" t="s">
        <v>61</v>
      </c>
      <c r="B128" s="44">
        <v>26470213</v>
      </c>
      <c r="C128" s="63">
        <v>11166464</v>
      </c>
      <c r="D128" s="63">
        <v>0</v>
      </c>
      <c r="E128" s="64">
        <v>15303749</v>
      </c>
      <c r="F128" s="63">
        <v>0</v>
      </c>
      <c r="G128" s="63">
        <v>0</v>
      </c>
      <c r="H128" s="65">
        <v>2817972</v>
      </c>
      <c r="I128" s="65">
        <v>0</v>
      </c>
      <c r="J128" s="65">
        <v>11767180</v>
      </c>
      <c r="K128" s="65">
        <v>173297</v>
      </c>
      <c r="L128" s="65">
        <v>0</v>
      </c>
      <c r="M128" s="63">
        <v>545300</v>
      </c>
      <c r="N128" s="1"/>
    </row>
    <row r="129" spans="1:14" ht="16" hidden="1" customHeight="1" outlineLevel="1" x14ac:dyDescent="0.45">
      <c r="A129" s="29" t="s">
        <v>62</v>
      </c>
      <c r="B129" s="44">
        <v>14691600</v>
      </c>
      <c r="C129" s="63">
        <v>7135354</v>
      </c>
      <c r="D129" s="63">
        <v>555606</v>
      </c>
      <c r="E129" s="64">
        <v>7000640</v>
      </c>
      <c r="F129" s="63">
        <v>0</v>
      </c>
      <c r="G129" s="63">
        <v>0</v>
      </c>
      <c r="H129" s="65">
        <v>5148619</v>
      </c>
      <c r="I129" s="65">
        <v>388924.5</v>
      </c>
      <c r="J129" s="65">
        <v>388924.5</v>
      </c>
      <c r="K129" s="65">
        <v>814889</v>
      </c>
      <c r="L129" s="65">
        <v>0</v>
      </c>
      <c r="M129" s="63">
        <v>259283</v>
      </c>
      <c r="N129" s="1"/>
    </row>
    <row r="130" spans="1:14" ht="16" hidden="1" customHeight="1" outlineLevel="1" x14ac:dyDescent="0.45">
      <c r="A130" s="29" t="s">
        <v>63</v>
      </c>
      <c r="B130" s="44">
        <v>5700810</v>
      </c>
      <c r="C130" s="63">
        <v>63360</v>
      </c>
      <c r="D130" s="63">
        <v>47560</v>
      </c>
      <c r="E130" s="64">
        <v>5589890</v>
      </c>
      <c r="F130" s="63">
        <v>4373223.4999556635</v>
      </c>
      <c r="G130" s="63">
        <v>749046.50004433678</v>
      </c>
      <c r="H130" s="65">
        <v>45430</v>
      </c>
      <c r="I130" s="65">
        <v>16340</v>
      </c>
      <c r="J130" s="65">
        <v>83500</v>
      </c>
      <c r="K130" s="65">
        <v>99360</v>
      </c>
      <c r="L130" s="65">
        <v>215110</v>
      </c>
      <c r="M130" s="63">
        <v>7880</v>
      </c>
      <c r="N130" s="1"/>
    </row>
    <row r="131" spans="1:14" ht="16" hidden="1" customHeight="1" outlineLevel="1" x14ac:dyDescent="0.45">
      <c r="A131" s="24" t="s">
        <v>192</v>
      </c>
      <c r="B131" s="45">
        <v>0</v>
      </c>
      <c r="C131" s="63">
        <v>0</v>
      </c>
      <c r="D131" s="63">
        <v>0</v>
      </c>
      <c r="E131" s="64">
        <v>0</v>
      </c>
      <c r="F131" s="63">
        <v>0</v>
      </c>
      <c r="G131" s="63">
        <v>0</v>
      </c>
      <c r="H131" s="65">
        <v>0</v>
      </c>
      <c r="I131" s="65">
        <v>0</v>
      </c>
      <c r="J131" s="65">
        <v>0</v>
      </c>
      <c r="K131" s="65">
        <v>0</v>
      </c>
      <c r="L131" s="65">
        <v>0</v>
      </c>
      <c r="M131" s="63">
        <v>0</v>
      </c>
      <c r="N131" s="1"/>
    </row>
    <row r="132" spans="1:14" ht="16" hidden="1" customHeight="1" outlineLevel="1" x14ac:dyDescent="0.45">
      <c r="A132" s="29" t="s">
        <v>193</v>
      </c>
      <c r="B132" s="44">
        <v>0</v>
      </c>
      <c r="C132" s="63">
        <v>0</v>
      </c>
      <c r="D132" s="63">
        <v>0</v>
      </c>
      <c r="E132" s="64">
        <v>0</v>
      </c>
      <c r="F132" s="63">
        <v>0</v>
      </c>
      <c r="G132" s="63">
        <v>0</v>
      </c>
      <c r="H132" s="65">
        <v>0</v>
      </c>
      <c r="I132" s="65">
        <v>0</v>
      </c>
      <c r="J132" s="65">
        <v>0</v>
      </c>
      <c r="K132" s="65">
        <v>0</v>
      </c>
      <c r="L132" s="65">
        <v>0</v>
      </c>
      <c r="M132" s="63">
        <v>0</v>
      </c>
      <c r="N132" s="1"/>
    </row>
    <row r="133" spans="1:14" s="1" customFormat="1" collapsed="1" x14ac:dyDescent="0.45">
      <c r="A133" s="28" t="s">
        <v>64</v>
      </c>
      <c r="B133" s="43">
        <v>57015319</v>
      </c>
      <c r="C133" s="60">
        <v>650889</v>
      </c>
      <c r="D133" s="60">
        <v>0</v>
      </c>
      <c r="E133" s="61">
        <v>56364430</v>
      </c>
      <c r="F133" s="60">
        <v>52318362.378546581</v>
      </c>
      <c r="G133" s="60">
        <v>3771718.6214534184</v>
      </c>
      <c r="H133" s="62">
        <v>0</v>
      </c>
      <c r="I133" s="62">
        <v>0</v>
      </c>
      <c r="J133" s="62">
        <v>0</v>
      </c>
      <c r="K133" s="62">
        <v>11400</v>
      </c>
      <c r="L133" s="62">
        <v>0</v>
      </c>
      <c r="M133" s="60">
        <v>262949</v>
      </c>
    </row>
    <row r="134" spans="1:14" ht="16" hidden="1" customHeight="1" outlineLevel="1" x14ac:dyDescent="0.45">
      <c r="A134" s="29" t="s">
        <v>65</v>
      </c>
      <c r="B134" s="44">
        <v>57015319</v>
      </c>
      <c r="C134" s="63">
        <v>650889</v>
      </c>
      <c r="D134" s="63">
        <v>0</v>
      </c>
      <c r="E134" s="64">
        <v>56364430</v>
      </c>
      <c r="F134" s="63">
        <v>52318362.378546581</v>
      </c>
      <c r="G134" s="63">
        <v>3771718.6214534184</v>
      </c>
      <c r="H134" s="65">
        <v>0</v>
      </c>
      <c r="I134" s="65">
        <v>0</v>
      </c>
      <c r="J134" s="65">
        <v>0</v>
      </c>
      <c r="K134" s="65">
        <v>11400</v>
      </c>
      <c r="L134" s="65">
        <v>0</v>
      </c>
      <c r="M134" s="63">
        <v>262949</v>
      </c>
      <c r="N134" s="1"/>
    </row>
    <row r="135" spans="1:14" ht="16" hidden="1" customHeight="1" outlineLevel="1" x14ac:dyDescent="0.45">
      <c r="A135" s="29" t="s">
        <v>261</v>
      </c>
      <c r="B135" s="44">
        <v>0</v>
      </c>
      <c r="C135" s="63">
        <v>0</v>
      </c>
      <c r="D135" s="63">
        <v>0</v>
      </c>
      <c r="E135" s="64">
        <v>0</v>
      </c>
      <c r="F135" s="63">
        <v>0</v>
      </c>
      <c r="G135" s="63">
        <v>0</v>
      </c>
      <c r="H135" s="65">
        <v>0</v>
      </c>
      <c r="I135" s="65">
        <v>0</v>
      </c>
      <c r="J135" s="65">
        <v>0</v>
      </c>
      <c r="K135" s="65">
        <v>0</v>
      </c>
      <c r="L135" s="65">
        <v>0</v>
      </c>
      <c r="M135" s="63">
        <v>0</v>
      </c>
      <c r="N135" s="1"/>
    </row>
    <row r="136" spans="1:14" s="1" customFormat="1" collapsed="1" x14ac:dyDescent="0.45">
      <c r="A136" s="28" t="s">
        <v>139</v>
      </c>
      <c r="B136" s="43">
        <v>11700330</v>
      </c>
      <c r="C136" s="60">
        <v>11660150</v>
      </c>
      <c r="D136" s="60">
        <v>0</v>
      </c>
      <c r="E136" s="61">
        <v>40180</v>
      </c>
      <c r="F136" s="60">
        <v>40180</v>
      </c>
      <c r="G136" s="60">
        <v>0</v>
      </c>
      <c r="H136" s="62">
        <v>0</v>
      </c>
      <c r="I136" s="62">
        <v>0</v>
      </c>
      <c r="J136" s="62">
        <v>0</v>
      </c>
      <c r="K136" s="62">
        <v>0</v>
      </c>
      <c r="L136" s="62">
        <v>0</v>
      </c>
      <c r="M136" s="60">
        <v>0</v>
      </c>
    </row>
    <row r="137" spans="1:14" ht="16" hidden="1" customHeight="1" outlineLevel="1" x14ac:dyDescent="0.45">
      <c r="A137" s="29" t="s">
        <v>140</v>
      </c>
      <c r="B137" s="43">
        <v>0</v>
      </c>
      <c r="C137" s="60">
        <v>0</v>
      </c>
      <c r="D137" s="60">
        <v>0</v>
      </c>
      <c r="E137" s="64">
        <v>0</v>
      </c>
      <c r="F137" s="63">
        <v>0</v>
      </c>
      <c r="G137" s="63">
        <v>0</v>
      </c>
      <c r="H137" s="65">
        <v>0</v>
      </c>
      <c r="I137" s="65">
        <v>0</v>
      </c>
      <c r="J137" s="65">
        <v>0</v>
      </c>
      <c r="K137" s="65">
        <v>0</v>
      </c>
      <c r="L137" s="65">
        <v>0</v>
      </c>
      <c r="M137" s="63">
        <v>0</v>
      </c>
      <c r="N137" s="1"/>
    </row>
    <row r="138" spans="1:14" ht="16" hidden="1" customHeight="1" outlineLevel="1" x14ac:dyDescent="0.45">
      <c r="A138" s="29" t="s">
        <v>194</v>
      </c>
      <c r="B138" s="43">
        <v>70000</v>
      </c>
      <c r="C138" s="60">
        <v>70000</v>
      </c>
      <c r="D138" s="60">
        <v>0</v>
      </c>
      <c r="E138" s="64">
        <v>0</v>
      </c>
      <c r="F138" s="63">
        <v>0</v>
      </c>
      <c r="G138" s="63">
        <v>0</v>
      </c>
      <c r="H138" s="65">
        <v>0</v>
      </c>
      <c r="I138" s="65">
        <v>0</v>
      </c>
      <c r="J138" s="65">
        <v>0</v>
      </c>
      <c r="K138" s="65">
        <v>0</v>
      </c>
      <c r="L138" s="65">
        <v>0</v>
      </c>
      <c r="M138" s="63">
        <v>0</v>
      </c>
      <c r="N138" s="1"/>
    </row>
    <row r="139" spans="1:14" ht="16" hidden="1" customHeight="1" outlineLevel="1" x14ac:dyDescent="0.45">
      <c r="A139" s="29" t="s">
        <v>195</v>
      </c>
      <c r="B139" s="44">
        <v>40180</v>
      </c>
      <c r="C139" s="63">
        <v>0</v>
      </c>
      <c r="D139" s="63">
        <v>0</v>
      </c>
      <c r="E139" s="64">
        <v>40180</v>
      </c>
      <c r="F139" s="63">
        <v>40180</v>
      </c>
      <c r="G139" s="63">
        <v>0</v>
      </c>
      <c r="H139" s="65">
        <v>0</v>
      </c>
      <c r="I139" s="65">
        <v>0</v>
      </c>
      <c r="J139" s="65">
        <v>0</v>
      </c>
      <c r="K139" s="65">
        <v>0</v>
      </c>
      <c r="L139" s="65">
        <v>0</v>
      </c>
      <c r="M139" s="63">
        <v>0</v>
      </c>
      <c r="N139" s="1"/>
    </row>
    <row r="140" spans="1:14" ht="16" hidden="1" customHeight="1" outlineLevel="1" x14ac:dyDescent="0.45">
      <c r="A140" s="29" t="s">
        <v>141</v>
      </c>
      <c r="B140" s="44">
        <v>11590150</v>
      </c>
      <c r="C140" s="63">
        <v>11590150</v>
      </c>
      <c r="D140" s="63">
        <v>0</v>
      </c>
      <c r="E140" s="64">
        <v>0</v>
      </c>
      <c r="F140" s="63">
        <v>0</v>
      </c>
      <c r="G140" s="63">
        <v>0</v>
      </c>
      <c r="H140" s="65">
        <v>0</v>
      </c>
      <c r="I140" s="65">
        <v>0</v>
      </c>
      <c r="J140" s="65">
        <v>0</v>
      </c>
      <c r="K140" s="65">
        <v>0</v>
      </c>
      <c r="L140" s="65">
        <v>0</v>
      </c>
      <c r="M140" s="63">
        <v>0</v>
      </c>
      <c r="N140" s="1"/>
    </row>
    <row r="141" spans="1:14" s="1" customFormat="1" collapsed="1" x14ac:dyDescent="0.45">
      <c r="A141" s="28" t="s">
        <v>66</v>
      </c>
      <c r="B141" s="43">
        <v>1429215954</v>
      </c>
      <c r="C141" s="66">
        <v>1385821545</v>
      </c>
      <c r="D141" s="66">
        <v>0</v>
      </c>
      <c r="E141" s="61">
        <v>43394409</v>
      </c>
      <c r="F141" s="60">
        <v>11277986.635812879</v>
      </c>
      <c r="G141" s="60">
        <v>3116423.3641871205</v>
      </c>
      <c r="H141" s="62">
        <v>0</v>
      </c>
      <c r="I141" s="62">
        <v>0</v>
      </c>
      <c r="J141" s="62">
        <v>0</v>
      </c>
      <c r="K141" s="62">
        <v>0</v>
      </c>
      <c r="L141" s="62">
        <v>0</v>
      </c>
      <c r="M141" s="60">
        <v>28999999</v>
      </c>
    </row>
    <row r="142" spans="1:14" s="1" customFormat="1" x14ac:dyDescent="0.45">
      <c r="A142" s="28" t="s">
        <v>67</v>
      </c>
      <c r="B142" s="43">
        <v>-709251307</v>
      </c>
      <c r="C142" s="66">
        <v>-1383106684</v>
      </c>
      <c r="D142" s="66">
        <v>33287260</v>
      </c>
      <c r="E142" s="61">
        <v>640568117</v>
      </c>
      <c r="F142" s="60">
        <v>257375427.28880548</v>
      </c>
      <c r="G142" s="60">
        <v>247134160.71119452</v>
      </c>
      <c r="H142" s="62">
        <v>54788767</v>
      </c>
      <c r="I142" s="62">
        <v>4641485</v>
      </c>
      <c r="J142" s="62">
        <v>4641485</v>
      </c>
      <c r="K142" s="62">
        <v>27564411</v>
      </c>
      <c r="L142" s="62">
        <v>27509021</v>
      </c>
      <c r="M142" s="60">
        <v>16913360</v>
      </c>
    </row>
    <row r="143" spans="1:14" ht="16" hidden="1" customHeight="1" outlineLevel="1" x14ac:dyDescent="0.45">
      <c r="A143" s="29" t="s">
        <v>68</v>
      </c>
      <c r="B143" s="44">
        <v>171750682</v>
      </c>
      <c r="C143" s="67">
        <v>11064646</v>
      </c>
      <c r="D143" s="67">
        <v>1323430</v>
      </c>
      <c r="E143" s="64">
        <v>159362606</v>
      </c>
      <c r="F143" s="63">
        <v>23891773.772210848</v>
      </c>
      <c r="G143" s="63">
        <v>118357226.22778915</v>
      </c>
      <c r="H143" s="65">
        <v>0</v>
      </c>
      <c r="I143" s="65">
        <v>0</v>
      </c>
      <c r="J143" s="65">
        <v>0</v>
      </c>
      <c r="K143" s="65">
        <v>539000</v>
      </c>
      <c r="L143" s="65">
        <v>16574606</v>
      </c>
      <c r="M143" s="63">
        <v>0</v>
      </c>
      <c r="N143" s="1"/>
    </row>
    <row r="144" spans="1:14" ht="16" hidden="1" customHeight="1" outlineLevel="1" x14ac:dyDescent="0.45">
      <c r="A144" s="29" t="s">
        <v>196</v>
      </c>
      <c r="B144" s="44">
        <v>-1555448090</v>
      </c>
      <c r="C144" s="67">
        <v>-1555448090</v>
      </c>
      <c r="D144" s="67">
        <v>0</v>
      </c>
      <c r="E144" s="64">
        <v>0</v>
      </c>
      <c r="F144" s="63">
        <v>0</v>
      </c>
      <c r="G144" s="63">
        <v>0</v>
      </c>
      <c r="H144" s="65">
        <v>0</v>
      </c>
      <c r="I144" s="65">
        <v>0</v>
      </c>
      <c r="J144" s="65">
        <v>0</v>
      </c>
      <c r="K144" s="65">
        <v>0</v>
      </c>
      <c r="L144" s="65">
        <v>0</v>
      </c>
      <c r="M144" s="63">
        <v>0</v>
      </c>
      <c r="N144" s="1"/>
    </row>
    <row r="145" spans="1:14" ht="16" hidden="1" customHeight="1" outlineLevel="1" x14ac:dyDescent="0.45">
      <c r="A145" s="29" t="s">
        <v>69</v>
      </c>
      <c r="B145" s="44">
        <v>341747261</v>
      </c>
      <c r="C145" s="67">
        <v>52223064</v>
      </c>
      <c r="D145" s="67">
        <v>18500280</v>
      </c>
      <c r="E145" s="64">
        <v>271023917</v>
      </c>
      <c r="F145" s="63">
        <v>87133569.033436015</v>
      </c>
      <c r="G145" s="63">
        <v>94076537.966563985</v>
      </c>
      <c r="H145" s="65">
        <v>39275668</v>
      </c>
      <c r="I145" s="65">
        <v>2976135.5</v>
      </c>
      <c r="J145" s="65">
        <v>2976135.5</v>
      </c>
      <c r="K145" s="65">
        <v>21912811</v>
      </c>
      <c r="L145" s="65">
        <v>7212060</v>
      </c>
      <c r="M145" s="63">
        <v>15461000</v>
      </c>
      <c r="N145" s="1"/>
    </row>
    <row r="146" spans="1:14" ht="16" hidden="1" customHeight="1" outlineLevel="1" x14ac:dyDescent="0.45">
      <c r="A146" s="29" t="s">
        <v>70</v>
      </c>
      <c r="B146" s="44">
        <v>252467940</v>
      </c>
      <c r="C146" s="67">
        <v>29931596</v>
      </c>
      <c r="D146" s="67">
        <v>12354750</v>
      </c>
      <c r="E146" s="64">
        <v>210181594</v>
      </c>
      <c r="F146" s="63">
        <v>146350084.48315862</v>
      </c>
      <c r="G146" s="63">
        <v>34700396.516841382</v>
      </c>
      <c r="H146" s="65">
        <v>15513099</v>
      </c>
      <c r="I146" s="65">
        <v>1665349.5</v>
      </c>
      <c r="J146" s="65">
        <v>1665349.5</v>
      </c>
      <c r="K146" s="65">
        <v>5112600</v>
      </c>
      <c r="L146" s="65">
        <v>3722355</v>
      </c>
      <c r="M146" s="63">
        <v>1452360</v>
      </c>
      <c r="N146" s="1"/>
    </row>
    <row r="147" spans="1:14" ht="16" hidden="1" customHeight="1" outlineLevel="1" x14ac:dyDescent="0.45">
      <c r="A147" s="29" t="s">
        <v>142</v>
      </c>
      <c r="B147" s="44">
        <v>80230900</v>
      </c>
      <c r="C147" s="63">
        <v>79122100</v>
      </c>
      <c r="D147" s="63">
        <v>1108800</v>
      </c>
      <c r="E147" s="64">
        <v>0</v>
      </c>
      <c r="F147" s="63">
        <v>0</v>
      </c>
      <c r="G147" s="63">
        <v>0</v>
      </c>
      <c r="H147" s="65">
        <v>0</v>
      </c>
      <c r="I147" s="65">
        <v>0</v>
      </c>
      <c r="J147" s="65">
        <v>0</v>
      </c>
      <c r="K147" s="65">
        <v>0</v>
      </c>
      <c r="L147" s="65">
        <v>0</v>
      </c>
      <c r="M147" s="63">
        <v>0</v>
      </c>
      <c r="N147" s="1"/>
    </row>
    <row r="148" spans="1:14" ht="16" hidden="1" customHeight="1" outlineLevel="1" x14ac:dyDescent="0.45">
      <c r="A148" s="29" t="s">
        <v>197</v>
      </c>
      <c r="B148" s="44">
        <v>0</v>
      </c>
      <c r="C148" s="63">
        <v>0</v>
      </c>
      <c r="D148" s="63">
        <v>0</v>
      </c>
      <c r="E148" s="64">
        <v>0</v>
      </c>
      <c r="F148" s="63">
        <v>0</v>
      </c>
      <c r="G148" s="63">
        <v>0</v>
      </c>
      <c r="H148" s="65">
        <v>0</v>
      </c>
      <c r="I148" s="65">
        <v>0</v>
      </c>
      <c r="J148" s="65">
        <v>0</v>
      </c>
      <c r="K148" s="65">
        <v>0</v>
      </c>
      <c r="L148" s="65">
        <v>0</v>
      </c>
      <c r="M148" s="63">
        <v>0</v>
      </c>
      <c r="N148" s="1"/>
    </row>
    <row r="149" spans="1:14" ht="16" hidden="1" customHeight="1" outlineLevel="1" x14ac:dyDescent="0.45">
      <c r="A149" s="29" t="s">
        <v>262</v>
      </c>
      <c r="B149" s="44">
        <v>0</v>
      </c>
      <c r="C149" s="63">
        <v>0</v>
      </c>
      <c r="D149" s="63">
        <v>0</v>
      </c>
      <c r="E149" s="64">
        <v>0</v>
      </c>
      <c r="F149" s="63">
        <v>0</v>
      </c>
      <c r="G149" s="63">
        <v>0</v>
      </c>
      <c r="H149" s="65">
        <v>0</v>
      </c>
      <c r="I149" s="65">
        <v>0</v>
      </c>
      <c r="J149" s="65">
        <v>0</v>
      </c>
      <c r="K149" s="65">
        <v>0</v>
      </c>
      <c r="L149" s="65">
        <v>0</v>
      </c>
      <c r="M149" s="63">
        <v>0</v>
      </c>
      <c r="N149" s="1"/>
    </row>
    <row r="150" spans="1:14" ht="16" hidden="1" customHeight="1" outlineLevel="1" x14ac:dyDescent="0.45">
      <c r="A150" s="29" t="s">
        <v>263</v>
      </c>
      <c r="B150" s="44">
        <v>0</v>
      </c>
      <c r="C150" s="63">
        <v>0</v>
      </c>
      <c r="D150" s="63">
        <v>0</v>
      </c>
      <c r="E150" s="64">
        <v>0</v>
      </c>
      <c r="F150" s="63">
        <v>0</v>
      </c>
      <c r="G150" s="63">
        <v>0</v>
      </c>
      <c r="H150" s="65">
        <v>0</v>
      </c>
      <c r="I150" s="65">
        <v>0</v>
      </c>
      <c r="J150" s="65">
        <v>0</v>
      </c>
      <c r="K150" s="65">
        <v>0</v>
      </c>
      <c r="L150" s="65">
        <v>0</v>
      </c>
      <c r="M150" s="63">
        <v>0</v>
      </c>
      <c r="N150" s="1"/>
    </row>
    <row r="151" spans="1:14" s="1" customFormat="1" collapsed="1" x14ac:dyDescent="0.45">
      <c r="A151" s="28" t="s">
        <v>71</v>
      </c>
      <c r="B151" s="43">
        <v>68209176</v>
      </c>
      <c r="C151" s="60">
        <v>68209176</v>
      </c>
      <c r="D151" s="60">
        <v>0</v>
      </c>
      <c r="E151" s="61">
        <v>0</v>
      </c>
      <c r="F151" s="60">
        <v>0</v>
      </c>
      <c r="G151" s="60">
        <v>0</v>
      </c>
      <c r="H151" s="62">
        <v>0</v>
      </c>
      <c r="I151" s="62">
        <v>0</v>
      </c>
      <c r="J151" s="62">
        <v>0</v>
      </c>
      <c r="K151" s="62">
        <v>0</v>
      </c>
      <c r="L151" s="62">
        <v>0</v>
      </c>
      <c r="M151" s="60">
        <v>0</v>
      </c>
    </row>
    <row r="152" spans="1:14" ht="16" hidden="1" customHeight="1" outlineLevel="1" x14ac:dyDescent="0.45">
      <c r="A152" s="29" t="s">
        <v>143</v>
      </c>
      <c r="B152" s="44">
        <v>6240</v>
      </c>
      <c r="C152" s="63">
        <v>6240</v>
      </c>
      <c r="D152" s="63">
        <v>0</v>
      </c>
      <c r="E152" s="64">
        <v>0</v>
      </c>
      <c r="F152" s="63">
        <v>0</v>
      </c>
      <c r="G152" s="63">
        <v>0</v>
      </c>
      <c r="H152" s="65">
        <v>0</v>
      </c>
      <c r="I152" s="65">
        <v>0</v>
      </c>
      <c r="J152" s="65">
        <v>0</v>
      </c>
      <c r="K152" s="65">
        <v>0</v>
      </c>
      <c r="L152" s="65">
        <v>0</v>
      </c>
      <c r="M152" s="63">
        <v>0</v>
      </c>
      <c r="N152" s="1"/>
    </row>
    <row r="153" spans="1:14" ht="16" hidden="1" customHeight="1" outlineLevel="1" x14ac:dyDescent="0.45">
      <c r="A153" s="29" t="s">
        <v>72</v>
      </c>
      <c r="B153" s="44">
        <v>13654961</v>
      </c>
      <c r="C153" s="63">
        <v>13654961</v>
      </c>
      <c r="D153" s="63">
        <v>0</v>
      </c>
      <c r="E153" s="64">
        <v>0</v>
      </c>
      <c r="F153" s="63">
        <v>0</v>
      </c>
      <c r="G153" s="63">
        <v>0</v>
      </c>
      <c r="H153" s="65">
        <v>0</v>
      </c>
      <c r="I153" s="65">
        <v>0</v>
      </c>
      <c r="J153" s="65">
        <v>0</v>
      </c>
      <c r="K153" s="65">
        <v>0</v>
      </c>
      <c r="L153" s="65">
        <v>0</v>
      </c>
      <c r="M153" s="63">
        <v>0</v>
      </c>
      <c r="N153" s="1"/>
    </row>
    <row r="154" spans="1:14" ht="16" hidden="1" customHeight="1" outlineLevel="1" x14ac:dyDescent="0.45">
      <c r="A154" s="29" t="s">
        <v>144</v>
      </c>
      <c r="B154" s="44">
        <v>54547975</v>
      </c>
      <c r="C154" s="63">
        <v>54547975</v>
      </c>
      <c r="D154" s="63">
        <v>0</v>
      </c>
      <c r="E154" s="64">
        <v>0</v>
      </c>
      <c r="F154" s="63">
        <v>0</v>
      </c>
      <c r="G154" s="63">
        <v>0</v>
      </c>
      <c r="H154" s="65">
        <v>0</v>
      </c>
      <c r="I154" s="65">
        <v>0</v>
      </c>
      <c r="J154" s="65">
        <v>0</v>
      </c>
      <c r="K154" s="65">
        <v>0</v>
      </c>
      <c r="L154" s="65">
        <v>0</v>
      </c>
      <c r="M154" s="63">
        <v>0</v>
      </c>
      <c r="N154" s="1"/>
    </row>
    <row r="155" spans="1:14" ht="16" hidden="1" customHeight="1" outlineLevel="1" x14ac:dyDescent="0.45">
      <c r="A155" s="29" t="s">
        <v>145</v>
      </c>
      <c r="B155" s="44">
        <v>0</v>
      </c>
      <c r="C155" s="63">
        <v>0</v>
      </c>
      <c r="D155" s="63">
        <v>0</v>
      </c>
      <c r="E155" s="64">
        <v>0</v>
      </c>
      <c r="F155" s="63">
        <v>0</v>
      </c>
      <c r="G155" s="63">
        <v>0</v>
      </c>
      <c r="H155" s="65">
        <v>0</v>
      </c>
      <c r="I155" s="65">
        <v>0</v>
      </c>
      <c r="J155" s="65">
        <v>0</v>
      </c>
      <c r="K155" s="65">
        <v>0</v>
      </c>
      <c r="L155" s="65">
        <v>0</v>
      </c>
      <c r="M155" s="63">
        <v>0</v>
      </c>
      <c r="N155" s="1"/>
    </row>
    <row r="156" spans="1:14" s="1" customFormat="1" collapsed="1" x14ac:dyDescent="0.45">
      <c r="A156" s="28" t="s">
        <v>73</v>
      </c>
      <c r="B156" s="43">
        <v>99325541</v>
      </c>
      <c r="C156" s="60">
        <v>8803490.9999999851</v>
      </c>
      <c r="D156" s="60">
        <v>1636510</v>
      </c>
      <c r="E156" s="61">
        <v>88885540.000000015</v>
      </c>
      <c r="F156" s="60">
        <v>15120157.169511428</v>
      </c>
      <c r="G156" s="60">
        <v>46693335.09596803</v>
      </c>
      <c r="H156" s="62">
        <v>690825.7345205436</v>
      </c>
      <c r="I156" s="62">
        <v>443537.8883761036</v>
      </c>
      <c r="J156" s="62">
        <v>837647.36541776138</v>
      </c>
      <c r="K156" s="62">
        <v>3527086.7920326595</v>
      </c>
      <c r="L156" s="62">
        <v>21424649.954173476</v>
      </c>
      <c r="M156" s="60">
        <v>148300</v>
      </c>
    </row>
    <row r="157" spans="1:14" ht="16" hidden="1" customHeight="1" outlineLevel="1" x14ac:dyDescent="0.45">
      <c r="A157" s="29" t="s">
        <v>74</v>
      </c>
      <c r="B157" s="44">
        <v>27824770</v>
      </c>
      <c r="C157" s="63">
        <v>4610230</v>
      </c>
      <c r="D157" s="63">
        <v>129190</v>
      </c>
      <c r="E157" s="64">
        <v>23085350</v>
      </c>
      <c r="F157" s="63">
        <v>6141884.5298592513</v>
      </c>
      <c r="G157" s="63">
        <v>12714800.470140748</v>
      </c>
      <c r="H157" s="65">
        <v>18000</v>
      </c>
      <c r="I157" s="65">
        <v>158200</v>
      </c>
      <c r="J157" s="65">
        <v>343700</v>
      </c>
      <c r="K157" s="65">
        <v>628300</v>
      </c>
      <c r="L157" s="65">
        <v>2932165</v>
      </c>
      <c r="M157" s="63">
        <v>148300</v>
      </c>
      <c r="N157" s="1"/>
    </row>
    <row r="158" spans="1:14" ht="16" hidden="1" customHeight="1" outlineLevel="1" x14ac:dyDescent="0.45">
      <c r="A158" s="29" t="s">
        <v>75</v>
      </c>
      <c r="B158" s="44">
        <v>9765619</v>
      </c>
      <c r="C158" s="63">
        <v>2529566.9999999991</v>
      </c>
      <c r="D158" s="63">
        <v>1424320</v>
      </c>
      <c r="E158" s="64">
        <v>5811732.0000000009</v>
      </c>
      <c r="F158" s="63">
        <v>2895438.9309000243</v>
      </c>
      <c r="G158" s="63">
        <v>768267.33457943215</v>
      </c>
      <c r="H158" s="65">
        <v>672825.7345205436</v>
      </c>
      <c r="I158" s="65">
        <v>285337.8883761036</v>
      </c>
      <c r="J158" s="65">
        <v>493947.36541776132</v>
      </c>
      <c r="K158" s="65">
        <v>412563.79203265964</v>
      </c>
      <c r="L158" s="65">
        <v>283350.95417347545</v>
      </c>
      <c r="M158" s="63">
        <v>0</v>
      </c>
      <c r="N158" s="1"/>
    </row>
    <row r="159" spans="1:14" ht="16" hidden="1" customHeight="1" outlineLevel="1" x14ac:dyDescent="0.45">
      <c r="A159" s="29" t="s">
        <v>76</v>
      </c>
      <c r="B159" s="44">
        <v>19737874</v>
      </c>
      <c r="C159" s="63">
        <v>439864</v>
      </c>
      <c r="D159" s="63">
        <v>83000</v>
      </c>
      <c r="E159" s="64">
        <v>19215010</v>
      </c>
      <c r="F159" s="63">
        <v>1802263</v>
      </c>
      <c r="G159" s="63">
        <v>1528750</v>
      </c>
      <c r="H159" s="65">
        <v>0</v>
      </c>
      <c r="I159" s="65">
        <v>0</v>
      </c>
      <c r="J159" s="65">
        <v>0</v>
      </c>
      <c r="K159" s="65">
        <v>2180251</v>
      </c>
      <c r="L159" s="65">
        <v>13703746</v>
      </c>
      <c r="M159" s="63">
        <v>0</v>
      </c>
      <c r="N159" s="1"/>
    </row>
    <row r="160" spans="1:14" ht="16" hidden="1" customHeight="1" outlineLevel="1" x14ac:dyDescent="0.45">
      <c r="A160" s="29" t="s">
        <v>77</v>
      </c>
      <c r="B160" s="44">
        <v>41997278</v>
      </c>
      <c r="C160" s="63">
        <v>1223830</v>
      </c>
      <c r="D160" s="63">
        <v>0</v>
      </c>
      <c r="E160" s="64">
        <v>40773448</v>
      </c>
      <c r="F160" s="63">
        <v>4280570.7087521525</v>
      </c>
      <c r="G160" s="63">
        <v>31681517.291247848</v>
      </c>
      <c r="H160" s="65">
        <v>0</v>
      </c>
      <c r="I160" s="65">
        <v>0</v>
      </c>
      <c r="J160" s="65">
        <v>0</v>
      </c>
      <c r="K160" s="65">
        <v>305972</v>
      </c>
      <c r="L160" s="65">
        <v>4505388</v>
      </c>
      <c r="M160" s="63">
        <v>0</v>
      </c>
      <c r="N160" s="1"/>
    </row>
    <row r="161" spans="1:14" ht="16" hidden="1" customHeight="1" outlineLevel="1" x14ac:dyDescent="0.45">
      <c r="A161" s="29" t="s">
        <v>198</v>
      </c>
      <c r="B161" s="44">
        <v>0</v>
      </c>
      <c r="C161" s="63">
        <v>0</v>
      </c>
      <c r="D161" s="63">
        <v>0</v>
      </c>
      <c r="E161" s="64">
        <v>0</v>
      </c>
      <c r="F161" s="63">
        <v>0</v>
      </c>
      <c r="G161" s="63">
        <v>0</v>
      </c>
      <c r="H161" s="65">
        <v>0</v>
      </c>
      <c r="I161" s="65">
        <v>0</v>
      </c>
      <c r="J161" s="65">
        <v>0</v>
      </c>
      <c r="K161" s="65">
        <v>0</v>
      </c>
      <c r="L161" s="65">
        <v>0</v>
      </c>
      <c r="M161" s="63">
        <v>0</v>
      </c>
      <c r="N161" s="1"/>
    </row>
    <row r="162" spans="1:14" ht="16" hidden="1" customHeight="1" outlineLevel="1" x14ac:dyDescent="0.45">
      <c r="A162" s="24" t="s">
        <v>199</v>
      </c>
      <c r="B162" s="45">
        <v>0</v>
      </c>
      <c r="C162" s="63">
        <v>0</v>
      </c>
      <c r="D162" s="63">
        <v>0</v>
      </c>
      <c r="E162" s="64">
        <v>0</v>
      </c>
      <c r="F162" s="63">
        <v>0</v>
      </c>
      <c r="G162" s="63">
        <v>0</v>
      </c>
      <c r="H162" s="65">
        <v>0</v>
      </c>
      <c r="I162" s="65">
        <v>0</v>
      </c>
      <c r="J162" s="65">
        <v>0</v>
      </c>
      <c r="K162" s="65">
        <v>0</v>
      </c>
      <c r="L162" s="65">
        <v>0</v>
      </c>
      <c r="M162" s="63">
        <v>0</v>
      </c>
      <c r="N162" s="1"/>
    </row>
    <row r="163" spans="1:14" ht="16" hidden="1" customHeight="1" outlineLevel="1" x14ac:dyDescent="0.45">
      <c r="A163" s="30" t="s">
        <v>200</v>
      </c>
      <c r="B163" s="46">
        <v>0</v>
      </c>
      <c r="C163" s="63">
        <v>0</v>
      </c>
      <c r="D163" s="63">
        <v>0</v>
      </c>
      <c r="E163" s="64">
        <v>0</v>
      </c>
      <c r="F163" s="63">
        <v>0</v>
      </c>
      <c r="G163" s="63">
        <v>0</v>
      </c>
      <c r="H163" s="65">
        <v>0</v>
      </c>
      <c r="I163" s="65">
        <v>0</v>
      </c>
      <c r="J163" s="65">
        <v>0</v>
      </c>
      <c r="K163" s="65">
        <v>0</v>
      </c>
      <c r="L163" s="65">
        <v>0</v>
      </c>
      <c r="M163" s="63">
        <v>0</v>
      </c>
      <c r="N163" s="1"/>
    </row>
    <row r="164" spans="1:14" s="1" customFormat="1" collapsed="1" x14ac:dyDescent="0.45">
      <c r="A164" s="28" t="s">
        <v>78</v>
      </c>
      <c r="B164" s="43">
        <v>323199739</v>
      </c>
      <c r="C164" s="60">
        <v>2355500</v>
      </c>
      <c r="D164" s="60">
        <v>105295087</v>
      </c>
      <c r="E164" s="61">
        <v>215549152</v>
      </c>
      <c r="F164" s="60">
        <v>83455690</v>
      </c>
      <c r="G164" s="60">
        <v>82193156</v>
      </c>
      <c r="H164" s="62">
        <v>35045954</v>
      </c>
      <c r="I164" s="62">
        <v>1346976</v>
      </c>
      <c r="J164" s="62">
        <v>1346976</v>
      </c>
      <c r="K164" s="62">
        <v>4495172</v>
      </c>
      <c r="L164" s="62">
        <v>0</v>
      </c>
      <c r="M164" s="60">
        <v>7665228</v>
      </c>
    </row>
    <row r="165" spans="1:14" ht="16" hidden="1" customHeight="1" outlineLevel="1" x14ac:dyDescent="0.45">
      <c r="A165" s="30" t="s">
        <v>201</v>
      </c>
      <c r="B165" s="46">
        <v>0</v>
      </c>
      <c r="C165" s="63">
        <v>0</v>
      </c>
      <c r="D165" s="63">
        <v>0</v>
      </c>
      <c r="E165" s="64">
        <v>0</v>
      </c>
      <c r="F165" s="63">
        <v>0</v>
      </c>
      <c r="G165" s="63">
        <v>0</v>
      </c>
      <c r="H165" s="65">
        <v>0</v>
      </c>
      <c r="I165" s="65">
        <v>0</v>
      </c>
      <c r="J165" s="65">
        <v>0</v>
      </c>
      <c r="K165" s="65">
        <v>0</v>
      </c>
      <c r="L165" s="65">
        <v>0</v>
      </c>
      <c r="M165" s="63">
        <v>0</v>
      </c>
      <c r="N165" s="1"/>
    </row>
    <row r="166" spans="1:14" ht="16" hidden="1" customHeight="1" outlineLevel="1" x14ac:dyDescent="0.45">
      <c r="A166" s="29" t="s">
        <v>79</v>
      </c>
      <c r="B166" s="44">
        <v>323199739</v>
      </c>
      <c r="C166" s="63">
        <v>2355500</v>
      </c>
      <c r="D166" s="63">
        <v>105295087</v>
      </c>
      <c r="E166" s="64">
        <v>215549152</v>
      </c>
      <c r="F166" s="63">
        <v>83455690</v>
      </c>
      <c r="G166" s="63">
        <v>82193156</v>
      </c>
      <c r="H166" s="65">
        <v>35045954</v>
      </c>
      <c r="I166" s="65">
        <v>1346976</v>
      </c>
      <c r="J166" s="65">
        <v>1346976</v>
      </c>
      <c r="K166" s="65">
        <v>4495172</v>
      </c>
      <c r="L166" s="65">
        <v>0</v>
      </c>
      <c r="M166" s="63">
        <v>7665228</v>
      </c>
      <c r="N166" s="1"/>
    </row>
    <row r="167" spans="1:14" ht="16" hidden="1" customHeight="1" outlineLevel="1" x14ac:dyDescent="0.45">
      <c r="A167" s="29" t="s">
        <v>202</v>
      </c>
      <c r="B167" s="44">
        <v>0</v>
      </c>
      <c r="C167" s="63">
        <v>0</v>
      </c>
      <c r="D167" s="63">
        <v>0</v>
      </c>
      <c r="E167" s="64">
        <v>0</v>
      </c>
      <c r="F167" s="63">
        <v>0</v>
      </c>
      <c r="G167" s="63">
        <v>0</v>
      </c>
      <c r="H167" s="65">
        <v>0</v>
      </c>
      <c r="I167" s="65">
        <v>0</v>
      </c>
      <c r="J167" s="65">
        <v>0</v>
      </c>
      <c r="K167" s="65">
        <v>0</v>
      </c>
      <c r="L167" s="65">
        <v>0</v>
      </c>
      <c r="M167" s="63">
        <v>0</v>
      </c>
      <c r="N167" s="1"/>
    </row>
    <row r="168" spans="1:14" ht="16" hidden="1" customHeight="1" outlineLevel="1" x14ac:dyDescent="0.45">
      <c r="A168" s="29" t="s">
        <v>203</v>
      </c>
      <c r="B168" s="44">
        <v>0</v>
      </c>
      <c r="C168" s="63">
        <v>0</v>
      </c>
      <c r="D168" s="63">
        <v>0</v>
      </c>
      <c r="E168" s="64">
        <v>0</v>
      </c>
      <c r="F168" s="63">
        <v>0</v>
      </c>
      <c r="G168" s="63">
        <v>0</v>
      </c>
      <c r="H168" s="65">
        <v>0</v>
      </c>
      <c r="I168" s="65">
        <v>0</v>
      </c>
      <c r="J168" s="65">
        <v>0</v>
      </c>
      <c r="K168" s="65">
        <v>0</v>
      </c>
      <c r="L168" s="65">
        <v>0</v>
      </c>
      <c r="M168" s="63">
        <v>0</v>
      </c>
      <c r="N168" s="1"/>
    </row>
    <row r="169" spans="1:14" ht="16" hidden="1" customHeight="1" outlineLevel="1" x14ac:dyDescent="0.45">
      <c r="A169" s="29" t="s">
        <v>204</v>
      </c>
      <c r="B169" s="44">
        <v>0</v>
      </c>
      <c r="C169" s="63">
        <v>0</v>
      </c>
      <c r="D169" s="63">
        <v>0</v>
      </c>
      <c r="E169" s="64">
        <v>0</v>
      </c>
      <c r="F169" s="63">
        <v>0</v>
      </c>
      <c r="G169" s="63">
        <v>0</v>
      </c>
      <c r="H169" s="65">
        <v>0</v>
      </c>
      <c r="I169" s="65">
        <v>0</v>
      </c>
      <c r="J169" s="65">
        <v>0</v>
      </c>
      <c r="K169" s="65">
        <v>0</v>
      </c>
      <c r="L169" s="65">
        <v>0</v>
      </c>
      <c r="M169" s="63">
        <v>0</v>
      </c>
      <c r="N169" s="1"/>
    </row>
    <row r="170" spans="1:14" ht="16" hidden="1" customHeight="1" outlineLevel="1" x14ac:dyDescent="0.45">
      <c r="A170" s="30" t="s">
        <v>205</v>
      </c>
      <c r="B170" s="46">
        <v>0</v>
      </c>
      <c r="C170" s="63">
        <v>0</v>
      </c>
      <c r="D170" s="63">
        <v>0</v>
      </c>
      <c r="E170" s="64">
        <v>0</v>
      </c>
      <c r="F170" s="63">
        <v>0</v>
      </c>
      <c r="G170" s="63">
        <v>0</v>
      </c>
      <c r="H170" s="65">
        <v>0</v>
      </c>
      <c r="I170" s="65">
        <v>0</v>
      </c>
      <c r="J170" s="65">
        <v>0</v>
      </c>
      <c r="K170" s="65">
        <v>0</v>
      </c>
      <c r="L170" s="65">
        <v>0</v>
      </c>
      <c r="M170" s="63">
        <v>0</v>
      </c>
      <c r="N170" s="1"/>
    </row>
    <row r="171" spans="1:14" s="1" customFormat="1" ht="16" hidden="1" customHeight="1" outlineLevel="1" collapsed="1" x14ac:dyDescent="0.45">
      <c r="A171" s="28" t="s">
        <v>80</v>
      </c>
      <c r="B171" s="43">
        <v>28030896</v>
      </c>
      <c r="C171" s="60">
        <v>23733891</v>
      </c>
      <c r="D171" s="60">
        <v>58710</v>
      </c>
      <c r="E171" s="61">
        <v>4238295</v>
      </c>
      <c r="F171" s="60">
        <v>1806963</v>
      </c>
      <c r="G171" s="60">
        <v>1967332</v>
      </c>
      <c r="H171" s="62">
        <v>450000</v>
      </c>
      <c r="I171" s="62">
        <v>0</v>
      </c>
      <c r="J171" s="62">
        <v>0</v>
      </c>
      <c r="K171" s="62">
        <v>0</v>
      </c>
      <c r="L171" s="62">
        <v>0</v>
      </c>
      <c r="M171" s="60">
        <v>14000</v>
      </c>
    </row>
    <row r="172" spans="1:14" ht="16" hidden="1" customHeight="1" outlineLevel="1" x14ac:dyDescent="0.45">
      <c r="A172" s="29" t="s">
        <v>81</v>
      </c>
      <c r="B172" s="44">
        <v>3717867</v>
      </c>
      <c r="C172" s="63">
        <v>1563862</v>
      </c>
      <c r="D172" s="63">
        <v>-501290</v>
      </c>
      <c r="E172" s="64">
        <v>2655295</v>
      </c>
      <c r="F172" s="63">
        <v>1187963</v>
      </c>
      <c r="G172" s="63">
        <v>1467332</v>
      </c>
      <c r="H172" s="65">
        <v>0</v>
      </c>
      <c r="I172" s="65">
        <v>0</v>
      </c>
      <c r="J172" s="65">
        <v>0</v>
      </c>
      <c r="K172" s="65">
        <v>0</v>
      </c>
      <c r="L172" s="65">
        <v>0</v>
      </c>
      <c r="M172" s="63">
        <v>0</v>
      </c>
      <c r="N172" s="1"/>
    </row>
    <row r="173" spans="1:14" ht="16" hidden="1" customHeight="1" outlineLevel="1" x14ac:dyDescent="0.45">
      <c r="A173" s="29" t="s">
        <v>206</v>
      </c>
      <c r="B173" s="44">
        <v>11465456</v>
      </c>
      <c r="C173" s="63">
        <v>10905456</v>
      </c>
      <c r="D173" s="63">
        <v>560000</v>
      </c>
      <c r="E173" s="64">
        <v>0</v>
      </c>
      <c r="F173" s="63">
        <v>0</v>
      </c>
      <c r="G173" s="63">
        <v>0</v>
      </c>
      <c r="H173" s="65">
        <v>0</v>
      </c>
      <c r="I173" s="65">
        <v>0</v>
      </c>
      <c r="J173" s="65">
        <v>0</v>
      </c>
      <c r="K173" s="65">
        <v>0</v>
      </c>
      <c r="L173" s="65">
        <v>0</v>
      </c>
      <c r="M173" s="63">
        <v>0</v>
      </c>
      <c r="N173" s="1"/>
    </row>
    <row r="174" spans="1:14" ht="16" hidden="1" customHeight="1" outlineLevel="1" x14ac:dyDescent="0.45">
      <c r="A174" s="29" t="s">
        <v>82</v>
      </c>
      <c r="B174" s="44">
        <v>12847573</v>
      </c>
      <c r="C174" s="63">
        <v>11264573</v>
      </c>
      <c r="D174" s="63">
        <v>0</v>
      </c>
      <c r="E174" s="64">
        <v>1583000</v>
      </c>
      <c r="F174" s="63">
        <v>619000</v>
      </c>
      <c r="G174" s="63">
        <v>500000</v>
      </c>
      <c r="H174" s="65">
        <v>450000</v>
      </c>
      <c r="I174" s="65">
        <v>0</v>
      </c>
      <c r="J174" s="65">
        <v>0</v>
      </c>
      <c r="K174" s="65">
        <v>0</v>
      </c>
      <c r="L174" s="65">
        <v>0</v>
      </c>
      <c r="M174" s="63">
        <v>14000</v>
      </c>
      <c r="N174" s="1"/>
    </row>
    <row r="175" spans="1:14" ht="16" hidden="1" customHeight="1" outlineLevel="1" x14ac:dyDescent="0.45">
      <c r="A175" s="29" t="s">
        <v>207</v>
      </c>
      <c r="B175" s="44">
        <v>0</v>
      </c>
      <c r="C175" s="63">
        <v>0</v>
      </c>
      <c r="D175" s="63">
        <v>0</v>
      </c>
      <c r="E175" s="64">
        <v>0</v>
      </c>
      <c r="F175" s="63">
        <v>0</v>
      </c>
      <c r="G175" s="63">
        <v>0</v>
      </c>
      <c r="H175" s="65">
        <v>0</v>
      </c>
      <c r="I175" s="65">
        <v>0</v>
      </c>
      <c r="J175" s="65">
        <v>0</v>
      </c>
      <c r="K175" s="65">
        <v>0</v>
      </c>
      <c r="L175" s="65">
        <v>0</v>
      </c>
      <c r="M175" s="63">
        <v>0</v>
      </c>
      <c r="N175" s="1"/>
    </row>
    <row r="176" spans="1:14" ht="16" hidden="1" customHeight="1" outlineLevel="1" x14ac:dyDescent="0.45">
      <c r="A176" s="29" t="s">
        <v>256</v>
      </c>
      <c r="B176" s="44">
        <v>0</v>
      </c>
      <c r="C176" s="63">
        <v>0</v>
      </c>
      <c r="D176" s="63">
        <v>0</v>
      </c>
      <c r="E176" s="64">
        <v>0</v>
      </c>
      <c r="F176" s="63">
        <v>0</v>
      </c>
      <c r="G176" s="63">
        <v>0</v>
      </c>
      <c r="H176" s="65">
        <v>0</v>
      </c>
      <c r="I176" s="65">
        <v>0</v>
      </c>
      <c r="J176" s="65">
        <v>0</v>
      </c>
      <c r="K176" s="65">
        <v>0</v>
      </c>
      <c r="L176" s="65">
        <v>0</v>
      </c>
      <c r="M176" s="63">
        <v>0</v>
      </c>
      <c r="N176" s="1"/>
    </row>
    <row r="177" spans="1:14" ht="16" hidden="1" customHeight="1" outlineLevel="1" x14ac:dyDescent="0.45">
      <c r="A177" s="29" t="s">
        <v>208</v>
      </c>
      <c r="B177" s="44">
        <v>0</v>
      </c>
      <c r="C177" s="63">
        <v>0</v>
      </c>
      <c r="D177" s="63">
        <v>0</v>
      </c>
      <c r="E177" s="64">
        <v>0</v>
      </c>
      <c r="F177" s="63">
        <v>0</v>
      </c>
      <c r="G177" s="63">
        <v>0</v>
      </c>
      <c r="H177" s="65">
        <v>0</v>
      </c>
      <c r="I177" s="65">
        <v>0</v>
      </c>
      <c r="J177" s="65">
        <v>0</v>
      </c>
      <c r="K177" s="65">
        <v>0</v>
      </c>
      <c r="L177" s="65">
        <v>0</v>
      </c>
      <c r="M177" s="63">
        <v>0</v>
      </c>
      <c r="N177" s="1"/>
    </row>
    <row r="178" spans="1:14" s="1" customFormat="1" collapsed="1" x14ac:dyDescent="0.45">
      <c r="A178" s="28" t="s">
        <v>146</v>
      </c>
      <c r="B178" s="43">
        <v>20455</v>
      </c>
      <c r="C178" s="60">
        <v>20455</v>
      </c>
      <c r="D178" s="60">
        <v>0</v>
      </c>
      <c r="E178" s="61">
        <v>0</v>
      </c>
      <c r="F178" s="60">
        <v>0</v>
      </c>
      <c r="G178" s="60">
        <v>0</v>
      </c>
      <c r="H178" s="62">
        <v>0</v>
      </c>
      <c r="I178" s="62">
        <v>0</v>
      </c>
      <c r="J178" s="62">
        <v>0</v>
      </c>
      <c r="K178" s="62">
        <v>0</v>
      </c>
      <c r="L178" s="62">
        <v>0</v>
      </c>
      <c r="M178" s="60">
        <v>0</v>
      </c>
    </row>
    <row r="179" spans="1:14" ht="16" hidden="1" customHeight="1" outlineLevel="1" x14ac:dyDescent="0.45">
      <c r="A179" s="29" t="s">
        <v>147</v>
      </c>
      <c r="B179" s="44">
        <v>20455</v>
      </c>
      <c r="C179" s="63">
        <v>20455</v>
      </c>
      <c r="D179" s="63">
        <v>0</v>
      </c>
      <c r="E179" s="64">
        <v>0</v>
      </c>
      <c r="F179" s="63">
        <v>0</v>
      </c>
      <c r="G179" s="63">
        <v>0</v>
      </c>
      <c r="H179" s="65">
        <v>0</v>
      </c>
      <c r="I179" s="65">
        <v>0</v>
      </c>
      <c r="J179" s="65">
        <v>0</v>
      </c>
      <c r="K179" s="65">
        <v>0</v>
      </c>
      <c r="L179" s="65">
        <v>0</v>
      </c>
      <c r="M179" s="63">
        <v>0</v>
      </c>
      <c r="N179" s="1"/>
    </row>
    <row r="180" spans="1:14" ht="16" hidden="1" customHeight="1" outlineLevel="1" x14ac:dyDescent="0.45">
      <c r="A180" s="29" t="s">
        <v>148</v>
      </c>
      <c r="B180" s="43">
        <v>0</v>
      </c>
      <c r="C180" s="63">
        <v>0</v>
      </c>
      <c r="D180" s="63">
        <v>0</v>
      </c>
      <c r="E180" s="64">
        <v>0</v>
      </c>
      <c r="F180" s="63">
        <v>0</v>
      </c>
      <c r="G180" s="63">
        <v>0</v>
      </c>
      <c r="H180" s="65">
        <v>0</v>
      </c>
      <c r="I180" s="65">
        <v>0</v>
      </c>
      <c r="J180" s="65">
        <v>0</v>
      </c>
      <c r="K180" s="65">
        <v>0</v>
      </c>
      <c r="L180" s="65">
        <v>0</v>
      </c>
      <c r="M180" s="63">
        <v>0</v>
      </c>
      <c r="N180" s="1"/>
    </row>
    <row r="181" spans="1:14" s="1" customFormat="1" collapsed="1" x14ac:dyDescent="0.45">
      <c r="A181" s="28" t="s">
        <v>83</v>
      </c>
      <c r="B181" s="43">
        <v>475696227</v>
      </c>
      <c r="C181" s="60">
        <v>93164863</v>
      </c>
      <c r="D181" s="60">
        <v>19370071</v>
      </c>
      <c r="E181" s="61">
        <v>363161293</v>
      </c>
      <c r="F181" s="60">
        <v>205420053.60953379</v>
      </c>
      <c r="G181" s="60">
        <v>80911273.75372991</v>
      </c>
      <c r="H181" s="60">
        <v>17006061.636736322</v>
      </c>
      <c r="I181" s="60">
        <v>2183257.5570145184</v>
      </c>
      <c r="J181" s="60">
        <v>2144003.4878676818</v>
      </c>
      <c r="K181" s="60">
        <v>8893780.8121125363</v>
      </c>
      <c r="L181" s="60">
        <v>40190845.143005267</v>
      </c>
      <c r="M181" s="60">
        <v>6412017</v>
      </c>
    </row>
    <row r="182" spans="1:14" s="1" customFormat="1" ht="16" hidden="1" customHeight="1" outlineLevel="1" x14ac:dyDescent="0.45">
      <c r="A182" s="29" t="s">
        <v>84</v>
      </c>
      <c r="B182" s="44">
        <v>59713389</v>
      </c>
      <c r="C182" s="63">
        <v>1517422</v>
      </c>
      <c r="D182" s="63">
        <v>370092</v>
      </c>
      <c r="E182" s="64">
        <v>57825875</v>
      </c>
      <c r="F182" s="63">
        <v>38512303</v>
      </c>
      <c r="G182" s="63">
        <v>10340044</v>
      </c>
      <c r="H182" s="63">
        <v>3529769</v>
      </c>
      <c r="I182" s="63">
        <v>223584</v>
      </c>
      <c r="J182" s="63">
        <v>153307</v>
      </c>
      <c r="K182" s="63">
        <v>1535263</v>
      </c>
      <c r="L182" s="63">
        <v>3425489</v>
      </c>
      <c r="M182" s="63">
        <v>106116</v>
      </c>
    </row>
    <row r="183" spans="1:14" ht="16" hidden="1" customHeight="1" outlineLevel="1" x14ac:dyDescent="0.45">
      <c r="A183" s="29" t="s">
        <v>149</v>
      </c>
      <c r="B183" s="44">
        <v>2187837</v>
      </c>
      <c r="C183" s="63">
        <v>2187837</v>
      </c>
      <c r="D183" s="63">
        <v>0</v>
      </c>
      <c r="E183" s="64">
        <v>0</v>
      </c>
      <c r="F183" s="63">
        <v>0</v>
      </c>
      <c r="G183" s="63">
        <v>0</v>
      </c>
      <c r="H183" s="63">
        <v>0</v>
      </c>
      <c r="I183" s="63">
        <v>0</v>
      </c>
      <c r="J183" s="63">
        <v>0</v>
      </c>
      <c r="K183" s="63">
        <v>0</v>
      </c>
      <c r="L183" s="63">
        <v>0</v>
      </c>
      <c r="M183" s="63">
        <v>0</v>
      </c>
      <c r="N183" s="1"/>
    </row>
    <row r="184" spans="1:14" ht="16" hidden="1" customHeight="1" outlineLevel="1" x14ac:dyDescent="0.45">
      <c r="A184" s="29" t="s">
        <v>85</v>
      </c>
      <c r="B184" s="44">
        <v>36698997</v>
      </c>
      <c r="C184" s="63">
        <v>9073183.9999999963</v>
      </c>
      <c r="D184" s="63">
        <v>4110085</v>
      </c>
      <c r="E184" s="64">
        <v>23515728.000000004</v>
      </c>
      <c r="F184" s="63">
        <v>14496314.537668679</v>
      </c>
      <c r="G184" s="63">
        <v>4023458.8255949975</v>
      </c>
      <c r="H184" s="63">
        <v>590984.63673632429</v>
      </c>
      <c r="I184" s="63">
        <v>198348.05701451865</v>
      </c>
      <c r="J184" s="63">
        <v>186353.98786768183</v>
      </c>
      <c r="K184" s="63">
        <v>423158.81211253686</v>
      </c>
      <c r="L184" s="63">
        <v>3053112.1430052626</v>
      </c>
      <c r="M184" s="63">
        <v>543997</v>
      </c>
      <c r="N184" s="1"/>
    </row>
    <row r="185" spans="1:14" ht="16" hidden="1" customHeight="1" outlineLevel="1" x14ac:dyDescent="0.45">
      <c r="A185" s="29" t="s">
        <v>86</v>
      </c>
      <c r="B185" s="44">
        <v>7130230</v>
      </c>
      <c r="C185" s="63">
        <v>1199103</v>
      </c>
      <c r="D185" s="63">
        <v>0</v>
      </c>
      <c r="E185" s="64">
        <v>5931127</v>
      </c>
      <c r="F185" s="63">
        <v>4143565</v>
      </c>
      <c r="G185" s="63">
        <v>1787562</v>
      </c>
      <c r="H185" s="63">
        <v>0</v>
      </c>
      <c r="I185" s="63">
        <v>0</v>
      </c>
      <c r="J185" s="63">
        <v>0</v>
      </c>
      <c r="K185" s="63">
        <v>0</v>
      </c>
      <c r="L185" s="63">
        <v>0</v>
      </c>
      <c r="M185" s="63">
        <v>0</v>
      </c>
      <c r="N185" s="1"/>
    </row>
    <row r="186" spans="1:14" ht="16" hidden="1" customHeight="1" outlineLevel="1" x14ac:dyDescent="0.45">
      <c r="A186" s="29" t="s">
        <v>150</v>
      </c>
      <c r="B186" s="44">
        <v>8483733</v>
      </c>
      <c r="C186" s="63">
        <v>1210638</v>
      </c>
      <c r="D186" s="63">
        <v>0</v>
      </c>
      <c r="E186" s="64">
        <v>7273095</v>
      </c>
      <c r="F186" s="63">
        <v>6797815.0468102666</v>
      </c>
      <c r="G186" s="63">
        <v>248006.95318973338</v>
      </c>
      <c r="H186" s="63">
        <v>0</v>
      </c>
      <c r="I186" s="63">
        <v>0</v>
      </c>
      <c r="J186" s="63">
        <v>0</v>
      </c>
      <c r="K186" s="63">
        <v>0</v>
      </c>
      <c r="L186" s="63">
        <v>227273</v>
      </c>
      <c r="M186" s="63">
        <v>0</v>
      </c>
      <c r="N186" s="1"/>
    </row>
    <row r="187" spans="1:14" s="1" customFormat="1" ht="16" hidden="1" customHeight="1" outlineLevel="1" x14ac:dyDescent="0.45">
      <c r="A187" s="29" t="s">
        <v>87</v>
      </c>
      <c r="B187" s="44">
        <v>17743128</v>
      </c>
      <c r="C187" s="63">
        <v>1012823</v>
      </c>
      <c r="D187" s="63">
        <v>0</v>
      </c>
      <c r="E187" s="64">
        <v>16730305</v>
      </c>
      <c r="F187" s="63">
        <v>11950540</v>
      </c>
      <c r="G187" s="63">
        <v>2997427</v>
      </c>
      <c r="H187" s="63">
        <v>999418</v>
      </c>
      <c r="I187" s="63">
        <v>0</v>
      </c>
      <c r="J187" s="63">
        <v>0</v>
      </c>
      <c r="K187" s="63">
        <v>328373</v>
      </c>
      <c r="L187" s="63">
        <v>454547</v>
      </c>
      <c r="M187" s="63">
        <v>0</v>
      </c>
    </row>
    <row r="188" spans="1:14" ht="16" hidden="1" customHeight="1" outlineLevel="1" x14ac:dyDescent="0.45">
      <c r="A188" s="29" t="s">
        <v>88</v>
      </c>
      <c r="B188" s="44">
        <v>171933051</v>
      </c>
      <c r="C188" s="63">
        <v>67479881</v>
      </c>
      <c r="D188" s="63">
        <v>14691618</v>
      </c>
      <c r="E188" s="64">
        <v>89761552</v>
      </c>
      <c r="F188" s="63">
        <v>13830700.464064974</v>
      </c>
      <c r="G188" s="63">
        <v>48665081.535935029</v>
      </c>
      <c r="H188" s="63">
        <v>11586799</v>
      </c>
      <c r="I188" s="63">
        <v>814327.5</v>
      </c>
      <c r="J188" s="63">
        <v>814327.5</v>
      </c>
      <c r="K188" s="63">
        <v>3485104</v>
      </c>
      <c r="L188" s="63">
        <v>4823126</v>
      </c>
      <c r="M188" s="63">
        <v>5742086</v>
      </c>
      <c r="N188" s="1"/>
    </row>
    <row r="189" spans="1:14" ht="16" hidden="1" customHeight="1" outlineLevel="1" x14ac:dyDescent="0.45">
      <c r="A189" s="24" t="s">
        <v>89</v>
      </c>
      <c r="B189" s="45">
        <v>168879071</v>
      </c>
      <c r="C189" s="63">
        <v>9283883</v>
      </c>
      <c r="D189" s="63">
        <v>0</v>
      </c>
      <c r="E189" s="64">
        <v>159595188</v>
      </c>
      <c r="F189" s="63">
        <v>114412347.56098986</v>
      </c>
      <c r="G189" s="63">
        <v>11991074.439010147</v>
      </c>
      <c r="H189" s="63">
        <v>0</v>
      </c>
      <c r="I189" s="63">
        <v>946998</v>
      </c>
      <c r="J189" s="63">
        <v>990015</v>
      </c>
      <c r="K189" s="63">
        <v>3121882</v>
      </c>
      <c r="L189" s="63">
        <v>28113053</v>
      </c>
      <c r="M189" s="63">
        <v>19818</v>
      </c>
      <c r="N189" s="1"/>
    </row>
    <row r="190" spans="1:14" ht="16" hidden="1" customHeight="1" outlineLevel="1" x14ac:dyDescent="0.45">
      <c r="A190" s="29" t="s">
        <v>209</v>
      </c>
      <c r="B190" s="44">
        <v>0</v>
      </c>
      <c r="C190" s="63">
        <v>0</v>
      </c>
      <c r="D190" s="63">
        <v>0</v>
      </c>
      <c r="E190" s="64">
        <v>0</v>
      </c>
      <c r="F190" s="63">
        <v>0</v>
      </c>
      <c r="G190" s="63">
        <v>0</v>
      </c>
      <c r="H190" s="63">
        <v>0</v>
      </c>
      <c r="I190" s="63">
        <v>0</v>
      </c>
      <c r="J190" s="63">
        <v>0</v>
      </c>
      <c r="K190" s="63">
        <v>0</v>
      </c>
      <c r="L190" s="63">
        <v>0</v>
      </c>
      <c r="M190" s="63">
        <v>0</v>
      </c>
      <c r="N190" s="1"/>
    </row>
    <row r="191" spans="1:14" ht="16" hidden="1" customHeight="1" outlineLevel="1" x14ac:dyDescent="0.45">
      <c r="A191" s="29" t="s">
        <v>90</v>
      </c>
      <c r="B191" s="44">
        <v>2926791</v>
      </c>
      <c r="C191" s="63">
        <v>200092</v>
      </c>
      <c r="D191" s="63">
        <v>198276</v>
      </c>
      <c r="E191" s="64">
        <v>2528423</v>
      </c>
      <c r="F191" s="63">
        <v>1276468</v>
      </c>
      <c r="G191" s="63">
        <v>858619</v>
      </c>
      <c r="H191" s="63">
        <v>299091</v>
      </c>
      <c r="I191" s="63">
        <v>0</v>
      </c>
      <c r="J191" s="63">
        <v>0</v>
      </c>
      <c r="K191" s="63">
        <v>0</v>
      </c>
      <c r="L191" s="63">
        <v>94245</v>
      </c>
      <c r="M191" s="63">
        <v>0</v>
      </c>
      <c r="N191" s="1"/>
    </row>
    <row r="192" spans="1:14" ht="16" hidden="1" customHeight="1" outlineLevel="1" x14ac:dyDescent="0.45">
      <c r="A192" s="30" t="s">
        <v>151</v>
      </c>
      <c r="B192" s="46">
        <v>0</v>
      </c>
      <c r="C192" s="63">
        <v>0</v>
      </c>
      <c r="D192" s="63">
        <v>0</v>
      </c>
      <c r="E192" s="64">
        <v>0</v>
      </c>
      <c r="F192" s="63">
        <v>0</v>
      </c>
      <c r="G192" s="63">
        <v>0</v>
      </c>
      <c r="H192" s="63">
        <v>0</v>
      </c>
      <c r="I192" s="63">
        <v>0</v>
      </c>
      <c r="J192" s="63">
        <v>0</v>
      </c>
      <c r="K192" s="63">
        <v>0</v>
      </c>
      <c r="L192" s="63">
        <v>0</v>
      </c>
      <c r="M192" s="63">
        <v>0</v>
      </c>
      <c r="N192" s="1"/>
    </row>
    <row r="193" spans="1:14" s="1" customFormat="1" collapsed="1" x14ac:dyDescent="0.45">
      <c r="A193" s="28" t="s">
        <v>91</v>
      </c>
      <c r="B193" s="43">
        <v>145324742</v>
      </c>
      <c r="C193" s="60">
        <v>18774881</v>
      </c>
      <c r="D193" s="60">
        <v>1564447</v>
      </c>
      <c r="E193" s="61">
        <v>124985414</v>
      </c>
      <c r="F193" s="60">
        <v>103212095.37313274</v>
      </c>
      <c r="G193" s="60">
        <v>6750007.6268672571</v>
      </c>
      <c r="H193" s="60">
        <v>10243520</v>
      </c>
      <c r="I193" s="60">
        <v>130952.5</v>
      </c>
      <c r="J193" s="60">
        <v>114042.5</v>
      </c>
      <c r="K193" s="60">
        <v>633030</v>
      </c>
      <c r="L193" s="60">
        <v>2023421</v>
      </c>
      <c r="M193" s="60">
        <v>1878345</v>
      </c>
    </row>
    <row r="194" spans="1:14" ht="16" hidden="1" customHeight="1" outlineLevel="1" x14ac:dyDescent="0.45">
      <c r="A194" s="29" t="s">
        <v>92</v>
      </c>
      <c r="B194" s="44">
        <v>35809417</v>
      </c>
      <c r="C194" s="63">
        <v>5838918</v>
      </c>
      <c r="D194" s="63">
        <v>223690</v>
      </c>
      <c r="E194" s="64">
        <v>29746809</v>
      </c>
      <c r="F194" s="63">
        <v>24303198.720146641</v>
      </c>
      <c r="G194" s="63">
        <v>3785820.2798533593</v>
      </c>
      <c r="H194" s="63">
        <v>392210</v>
      </c>
      <c r="I194" s="63">
        <v>54312.5</v>
      </c>
      <c r="J194" s="63">
        <v>54312.5</v>
      </c>
      <c r="K194" s="63">
        <v>434315</v>
      </c>
      <c r="L194" s="63">
        <v>722640</v>
      </c>
      <c r="M194" s="63">
        <v>0</v>
      </c>
      <c r="N194" s="1"/>
    </row>
    <row r="195" spans="1:14" ht="16" hidden="1" customHeight="1" outlineLevel="1" x14ac:dyDescent="0.45">
      <c r="A195" s="29" t="s">
        <v>93</v>
      </c>
      <c r="B195" s="44">
        <v>86835947</v>
      </c>
      <c r="C195" s="63">
        <v>11427155</v>
      </c>
      <c r="D195" s="63">
        <v>5388</v>
      </c>
      <c r="E195" s="64">
        <v>75403404</v>
      </c>
      <c r="F195" s="63">
        <v>64837792</v>
      </c>
      <c r="G195" s="63">
        <v>550000</v>
      </c>
      <c r="H195" s="63">
        <v>9734074</v>
      </c>
      <c r="I195" s="63">
        <v>59730</v>
      </c>
      <c r="J195" s="63">
        <v>59730</v>
      </c>
      <c r="K195" s="63">
        <v>162078</v>
      </c>
      <c r="L195" s="63">
        <v>0</v>
      </c>
      <c r="M195" s="63">
        <v>0</v>
      </c>
      <c r="N195" s="1"/>
    </row>
    <row r="196" spans="1:14" ht="16" hidden="1" customHeight="1" outlineLevel="1" x14ac:dyDescent="0.45">
      <c r="A196" s="29" t="s">
        <v>94</v>
      </c>
      <c r="B196" s="44">
        <v>22679378</v>
      </c>
      <c r="C196" s="63">
        <v>1508808</v>
      </c>
      <c r="D196" s="63">
        <v>1335369</v>
      </c>
      <c r="E196" s="64">
        <v>19835201</v>
      </c>
      <c r="F196" s="63">
        <v>14071104.652986102</v>
      </c>
      <c r="G196" s="63">
        <v>2414187.3470138973</v>
      </c>
      <c r="H196" s="63">
        <v>117236</v>
      </c>
      <c r="I196" s="63">
        <v>16910</v>
      </c>
      <c r="J196" s="63">
        <v>0</v>
      </c>
      <c r="K196" s="63">
        <v>36637</v>
      </c>
      <c r="L196" s="63">
        <v>1300781</v>
      </c>
      <c r="M196" s="63">
        <v>1878345</v>
      </c>
      <c r="N196" s="1"/>
    </row>
    <row r="197" spans="1:14" ht="16" hidden="1" customHeight="1" outlineLevel="1" x14ac:dyDescent="0.45">
      <c r="A197" s="29" t="s">
        <v>210</v>
      </c>
      <c r="B197" s="44">
        <v>0</v>
      </c>
      <c r="C197" s="63">
        <v>0</v>
      </c>
      <c r="D197" s="63">
        <v>0</v>
      </c>
      <c r="E197" s="64">
        <v>0</v>
      </c>
      <c r="F197" s="63">
        <v>0</v>
      </c>
      <c r="G197" s="63">
        <v>0</v>
      </c>
      <c r="H197" s="63">
        <v>0</v>
      </c>
      <c r="I197" s="63">
        <v>0</v>
      </c>
      <c r="J197" s="63">
        <v>0</v>
      </c>
      <c r="K197" s="63">
        <v>0</v>
      </c>
      <c r="L197" s="63">
        <v>0</v>
      </c>
      <c r="M197" s="63">
        <v>0</v>
      </c>
      <c r="N197" s="1"/>
    </row>
    <row r="198" spans="1:14" s="1" customFormat="1" ht="16" hidden="1" customHeight="1" outlineLevel="1" x14ac:dyDescent="0.45">
      <c r="A198" s="24" t="s">
        <v>211</v>
      </c>
      <c r="B198" s="45">
        <v>0</v>
      </c>
      <c r="C198" s="63">
        <v>0</v>
      </c>
      <c r="D198" s="63">
        <v>0</v>
      </c>
      <c r="E198" s="64">
        <v>0</v>
      </c>
      <c r="F198" s="63">
        <v>0</v>
      </c>
      <c r="G198" s="63">
        <v>0</v>
      </c>
      <c r="H198" s="63">
        <v>0</v>
      </c>
      <c r="I198" s="63">
        <v>0</v>
      </c>
      <c r="J198" s="63">
        <v>0</v>
      </c>
      <c r="K198" s="63">
        <v>0</v>
      </c>
      <c r="L198" s="63">
        <v>0</v>
      </c>
      <c r="M198" s="63">
        <v>0</v>
      </c>
    </row>
    <row r="199" spans="1:14" s="1" customFormat="1" collapsed="1" x14ac:dyDescent="0.45">
      <c r="A199" s="28" t="s">
        <v>95</v>
      </c>
      <c r="B199" s="43">
        <v>1664012511</v>
      </c>
      <c r="C199" s="69">
        <v>638653351</v>
      </c>
      <c r="D199" s="69">
        <v>135783642</v>
      </c>
      <c r="E199" s="61">
        <v>889575518</v>
      </c>
      <c r="F199" s="60">
        <v>85549770.631141722</v>
      </c>
      <c r="G199" s="60">
        <v>14938477.368858274</v>
      </c>
      <c r="H199" s="70">
        <v>367603940</v>
      </c>
      <c r="I199" s="70">
        <v>1525512</v>
      </c>
      <c r="J199" s="70">
        <v>1496512</v>
      </c>
      <c r="K199" s="70">
        <v>8077228</v>
      </c>
      <c r="L199" s="70">
        <v>5511299</v>
      </c>
      <c r="M199" s="60">
        <v>404872779</v>
      </c>
    </row>
    <row r="200" spans="1:14" ht="16" hidden="1" customHeight="1" outlineLevel="1" x14ac:dyDescent="0.45">
      <c r="A200" s="29" t="s">
        <v>152</v>
      </c>
      <c r="B200" s="44">
        <v>269315582</v>
      </c>
      <c r="C200" s="71">
        <v>269315582</v>
      </c>
      <c r="D200" s="71">
        <v>0</v>
      </c>
      <c r="E200" s="64">
        <v>0</v>
      </c>
      <c r="F200" s="63">
        <v>0</v>
      </c>
      <c r="G200" s="63">
        <v>0</v>
      </c>
      <c r="H200" s="32">
        <v>0</v>
      </c>
      <c r="I200" s="32">
        <v>0</v>
      </c>
      <c r="J200" s="32">
        <v>0</v>
      </c>
      <c r="K200" s="32">
        <v>0</v>
      </c>
      <c r="L200" s="32">
        <v>0</v>
      </c>
      <c r="M200" s="63">
        <v>0</v>
      </c>
      <c r="N200" s="1"/>
    </row>
    <row r="201" spans="1:14" ht="16" hidden="1" customHeight="1" outlineLevel="1" x14ac:dyDescent="0.45">
      <c r="A201" s="29" t="s">
        <v>153</v>
      </c>
      <c r="B201" s="44">
        <v>498620598</v>
      </c>
      <c r="C201" s="71">
        <v>3098361</v>
      </c>
      <c r="D201" s="71">
        <v>4982896</v>
      </c>
      <c r="E201" s="64">
        <v>490539341</v>
      </c>
      <c r="F201" s="63">
        <v>2371492.5262847133</v>
      </c>
      <c r="G201" s="63">
        <v>4985523.4737152867</v>
      </c>
      <c r="H201" s="32">
        <v>130293619</v>
      </c>
      <c r="I201" s="32">
        <v>136823.5</v>
      </c>
      <c r="J201" s="32">
        <v>107823.5</v>
      </c>
      <c r="K201" s="32">
        <v>2758824</v>
      </c>
      <c r="L201" s="32">
        <v>5383299</v>
      </c>
      <c r="M201" s="63">
        <v>344501936</v>
      </c>
      <c r="N201" s="1"/>
    </row>
    <row r="202" spans="1:14" ht="16" hidden="1" customHeight="1" outlineLevel="1" x14ac:dyDescent="0.45">
      <c r="A202" s="29" t="s">
        <v>117</v>
      </c>
      <c r="B202" s="44">
        <v>61118130</v>
      </c>
      <c r="C202" s="71">
        <v>61118130</v>
      </c>
      <c r="D202" s="71">
        <v>0</v>
      </c>
      <c r="E202" s="64">
        <v>0</v>
      </c>
      <c r="F202" s="63">
        <v>0</v>
      </c>
      <c r="G202" s="63">
        <v>0</v>
      </c>
      <c r="H202" s="32">
        <v>0</v>
      </c>
      <c r="I202" s="32">
        <v>0</v>
      </c>
      <c r="J202" s="32">
        <v>0</v>
      </c>
      <c r="K202" s="32">
        <v>0</v>
      </c>
      <c r="L202" s="32">
        <v>0</v>
      </c>
      <c r="M202" s="63">
        <v>0</v>
      </c>
      <c r="N202" s="1"/>
    </row>
    <row r="203" spans="1:14" ht="16" hidden="1" customHeight="1" outlineLevel="1" x14ac:dyDescent="0.45">
      <c r="A203" s="29" t="s">
        <v>154</v>
      </c>
      <c r="B203" s="44">
        <v>-33950</v>
      </c>
      <c r="C203" s="71">
        <v>-48578</v>
      </c>
      <c r="D203" s="71">
        <v>14628</v>
      </c>
      <c r="E203" s="64">
        <v>0</v>
      </c>
      <c r="F203" s="63">
        <v>0</v>
      </c>
      <c r="G203" s="63">
        <v>0</v>
      </c>
      <c r="H203" s="32">
        <v>0</v>
      </c>
      <c r="I203" s="32">
        <v>0</v>
      </c>
      <c r="J203" s="32">
        <v>0</v>
      </c>
      <c r="K203" s="32">
        <v>0</v>
      </c>
      <c r="L203" s="32">
        <v>0</v>
      </c>
      <c r="M203" s="63">
        <v>0</v>
      </c>
      <c r="N203" s="1"/>
    </row>
    <row r="204" spans="1:14" ht="16" hidden="1" customHeight="1" outlineLevel="1" x14ac:dyDescent="0.45">
      <c r="A204" s="29" t="s">
        <v>96</v>
      </c>
      <c r="B204" s="44">
        <v>24271856</v>
      </c>
      <c r="C204" s="71">
        <v>952000</v>
      </c>
      <c r="D204" s="71">
        <v>1074000</v>
      </c>
      <c r="E204" s="64">
        <v>22245856</v>
      </c>
      <c r="F204" s="63">
        <v>18862627.057287209</v>
      </c>
      <c r="G204" s="63">
        <v>3062228.9427127913</v>
      </c>
      <c r="H204" s="32">
        <v>0</v>
      </c>
      <c r="I204" s="32">
        <v>0</v>
      </c>
      <c r="J204" s="32">
        <v>0</v>
      </c>
      <c r="K204" s="32">
        <v>123000</v>
      </c>
      <c r="L204" s="32">
        <v>128000</v>
      </c>
      <c r="M204" s="63">
        <v>70000</v>
      </c>
      <c r="N204" s="1"/>
    </row>
    <row r="205" spans="1:14" ht="16" hidden="1" customHeight="1" outlineLevel="1" x14ac:dyDescent="0.45">
      <c r="A205" s="29" t="s">
        <v>97</v>
      </c>
      <c r="B205" s="44">
        <v>65100</v>
      </c>
      <c r="C205" s="71">
        <v>15500</v>
      </c>
      <c r="D205" s="71">
        <v>0</v>
      </c>
      <c r="E205" s="64">
        <v>49600</v>
      </c>
      <c r="F205" s="63">
        <v>49600</v>
      </c>
      <c r="G205" s="63">
        <v>0</v>
      </c>
      <c r="H205" s="32">
        <v>0</v>
      </c>
      <c r="I205" s="32">
        <v>0</v>
      </c>
      <c r="J205" s="32">
        <v>0</v>
      </c>
      <c r="K205" s="32">
        <v>0</v>
      </c>
      <c r="L205" s="32">
        <v>0</v>
      </c>
      <c r="M205" s="63">
        <v>0</v>
      </c>
      <c r="N205" s="1"/>
    </row>
    <row r="206" spans="1:14" ht="16" hidden="1" customHeight="1" outlineLevel="1" x14ac:dyDescent="0.45">
      <c r="A206" s="29" t="s">
        <v>98</v>
      </c>
      <c r="B206" s="44">
        <v>237972096</v>
      </c>
      <c r="C206" s="71">
        <v>202943190</v>
      </c>
      <c r="D206" s="71">
        <v>22990000</v>
      </c>
      <c r="E206" s="64">
        <v>12038906</v>
      </c>
      <c r="F206" s="63">
        <v>9188906</v>
      </c>
      <c r="G206" s="63">
        <v>0</v>
      </c>
      <c r="H206" s="32">
        <v>0</v>
      </c>
      <c r="I206" s="32">
        <v>0</v>
      </c>
      <c r="J206" s="32">
        <v>0</v>
      </c>
      <c r="K206" s="32">
        <v>0</v>
      </c>
      <c r="L206" s="32">
        <v>0</v>
      </c>
      <c r="M206" s="63">
        <v>2850000</v>
      </c>
      <c r="N206" s="1"/>
    </row>
    <row r="207" spans="1:14" ht="16" hidden="1" customHeight="1" outlineLevel="1" x14ac:dyDescent="0.45">
      <c r="A207" s="29" t="s">
        <v>99</v>
      </c>
      <c r="B207" s="44">
        <v>301051856</v>
      </c>
      <c r="C207" s="71">
        <v>71595613</v>
      </c>
      <c r="D207" s="71">
        <v>0</v>
      </c>
      <c r="E207" s="64">
        <v>229456243</v>
      </c>
      <c r="F207" s="63">
        <v>30126284.968520053</v>
      </c>
      <c r="G207" s="63">
        <v>2914915.0314799477</v>
      </c>
      <c r="H207" s="32">
        <v>138796300</v>
      </c>
      <c r="I207" s="32">
        <v>0</v>
      </c>
      <c r="J207" s="32">
        <v>0</v>
      </c>
      <c r="K207" s="32">
        <v>167900</v>
      </c>
      <c r="L207" s="32">
        <v>0</v>
      </c>
      <c r="M207" s="63">
        <v>57450843</v>
      </c>
      <c r="N207" s="1"/>
    </row>
    <row r="208" spans="1:14" ht="16" hidden="1" customHeight="1" outlineLevel="1" x14ac:dyDescent="0.45">
      <c r="A208" s="29" t="s">
        <v>155</v>
      </c>
      <c r="B208" s="44">
        <v>5641533</v>
      </c>
      <c r="C208" s="71">
        <v>5641533</v>
      </c>
      <c r="D208" s="71">
        <v>0</v>
      </c>
      <c r="E208" s="64">
        <v>0</v>
      </c>
      <c r="F208" s="63">
        <v>0</v>
      </c>
      <c r="G208" s="63">
        <v>0</v>
      </c>
      <c r="H208" s="32">
        <v>0</v>
      </c>
      <c r="I208" s="32">
        <v>0</v>
      </c>
      <c r="J208" s="32">
        <v>0</v>
      </c>
      <c r="K208" s="32">
        <v>0</v>
      </c>
      <c r="L208" s="32">
        <v>0</v>
      </c>
      <c r="M208" s="63">
        <v>0</v>
      </c>
      <c r="N208" s="1"/>
    </row>
    <row r="209" spans="1:14" ht="16" hidden="1" customHeight="1" outlineLevel="1" x14ac:dyDescent="0.45">
      <c r="A209" s="29" t="s">
        <v>100</v>
      </c>
      <c r="B209" s="44">
        <v>265989710</v>
      </c>
      <c r="C209" s="71">
        <v>24022020</v>
      </c>
      <c r="D209" s="71">
        <v>106722118</v>
      </c>
      <c r="E209" s="64">
        <v>135245572</v>
      </c>
      <c r="F209" s="63">
        <v>24950860.079049751</v>
      </c>
      <c r="G209" s="63">
        <v>3975809.9209502493</v>
      </c>
      <c r="H209" s="32">
        <v>98514021</v>
      </c>
      <c r="I209" s="32">
        <v>1388688.5</v>
      </c>
      <c r="J209" s="32">
        <v>1388688.5</v>
      </c>
      <c r="K209" s="32">
        <v>5027504</v>
      </c>
      <c r="L209" s="32">
        <v>0</v>
      </c>
      <c r="M209" s="63">
        <v>0</v>
      </c>
      <c r="N209" s="1"/>
    </row>
    <row r="210" spans="1:14" ht="16" hidden="1" customHeight="1" outlineLevel="1" x14ac:dyDescent="0.45">
      <c r="A210" s="24" t="s">
        <v>212</v>
      </c>
      <c r="B210" s="45">
        <v>0</v>
      </c>
      <c r="C210" s="71">
        <v>0</v>
      </c>
      <c r="D210" s="71">
        <v>0</v>
      </c>
      <c r="E210" s="64">
        <v>0</v>
      </c>
      <c r="F210" s="63">
        <v>0</v>
      </c>
      <c r="G210" s="63">
        <v>0</v>
      </c>
      <c r="H210" s="32">
        <v>0</v>
      </c>
      <c r="I210" s="32">
        <v>0</v>
      </c>
      <c r="J210" s="32">
        <v>0</v>
      </c>
      <c r="K210" s="32">
        <v>0</v>
      </c>
      <c r="L210" s="32">
        <v>0</v>
      </c>
      <c r="M210" s="63">
        <v>0</v>
      </c>
      <c r="N210" s="1"/>
    </row>
    <row r="211" spans="1:14" ht="16" hidden="1" customHeight="1" outlineLevel="1" x14ac:dyDescent="0.45">
      <c r="A211" s="29" t="s">
        <v>213</v>
      </c>
      <c r="B211" s="44">
        <v>0</v>
      </c>
      <c r="C211" s="71">
        <v>0</v>
      </c>
      <c r="D211" s="71">
        <v>0</v>
      </c>
      <c r="E211" s="64">
        <v>0</v>
      </c>
      <c r="F211" s="63">
        <v>0</v>
      </c>
      <c r="G211" s="63">
        <v>0</v>
      </c>
      <c r="H211" s="32">
        <v>0</v>
      </c>
      <c r="I211" s="32">
        <v>0</v>
      </c>
      <c r="J211" s="32">
        <v>0</v>
      </c>
      <c r="K211" s="32">
        <v>0</v>
      </c>
      <c r="L211" s="32">
        <v>0</v>
      </c>
      <c r="M211" s="63">
        <v>0</v>
      </c>
      <c r="N211" s="1"/>
    </row>
    <row r="212" spans="1:14" ht="16" hidden="1" customHeight="1" outlineLevel="1" x14ac:dyDescent="0.45">
      <c r="A212" s="24" t="s">
        <v>214</v>
      </c>
      <c r="B212" s="45">
        <v>0</v>
      </c>
      <c r="C212" s="71">
        <v>0</v>
      </c>
      <c r="D212" s="71">
        <v>0</v>
      </c>
      <c r="E212" s="64">
        <v>0</v>
      </c>
      <c r="F212" s="63">
        <v>0</v>
      </c>
      <c r="G212" s="63">
        <v>0</v>
      </c>
      <c r="H212" s="32">
        <v>0</v>
      </c>
      <c r="I212" s="32">
        <v>0</v>
      </c>
      <c r="J212" s="32">
        <v>0</v>
      </c>
      <c r="K212" s="32">
        <v>0</v>
      </c>
      <c r="L212" s="32">
        <v>0</v>
      </c>
      <c r="M212" s="63">
        <v>0</v>
      </c>
      <c r="N212" s="1"/>
    </row>
    <row r="213" spans="1:14" ht="16" hidden="1" customHeight="1" outlineLevel="1" x14ac:dyDescent="0.45">
      <c r="A213" s="29" t="s">
        <v>215</v>
      </c>
      <c r="B213" s="44">
        <v>0</v>
      </c>
      <c r="C213" s="71">
        <v>0</v>
      </c>
      <c r="D213" s="71">
        <v>0</v>
      </c>
      <c r="E213" s="64">
        <v>0</v>
      </c>
      <c r="F213" s="63">
        <v>0</v>
      </c>
      <c r="G213" s="63">
        <v>0</v>
      </c>
      <c r="H213" s="32">
        <v>0</v>
      </c>
      <c r="I213" s="32">
        <v>0</v>
      </c>
      <c r="J213" s="32">
        <v>0</v>
      </c>
      <c r="K213" s="32">
        <v>0</v>
      </c>
      <c r="L213" s="32">
        <v>0</v>
      </c>
      <c r="M213" s="63">
        <v>0</v>
      </c>
      <c r="N213" s="1"/>
    </row>
    <row r="214" spans="1:14" ht="16" hidden="1" customHeight="1" outlineLevel="1" x14ac:dyDescent="0.45">
      <c r="A214" s="29" t="s">
        <v>257</v>
      </c>
      <c r="B214" s="44">
        <v>0</v>
      </c>
      <c r="C214" s="71">
        <v>0</v>
      </c>
      <c r="D214" s="71">
        <v>0</v>
      </c>
      <c r="E214" s="64">
        <v>0</v>
      </c>
      <c r="F214" s="63">
        <v>0</v>
      </c>
      <c r="G214" s="63">
        <v>0</v>
      </c>
      <c r="H214" s="32">
        <v>0</v>
      </c>
      <c r="I214" s="32">
        <v>0</v>
      </c>
      <c r="J214" s="32">
        <v>0</v>
      </c>
      <c r="K214" s="32">
        <v>0</v>
      </c>
      <c r="L214" s="32">
        <v>0</v>
      </c>
      <c r="M214" s="63">
        <v>0</v>
      </c>
      <c r="N214" s="1"/>
    </row>
    <row r="215" spans="1:14" s="1" customFormat="1" collapsed="1" x14ac:dyDescent="0.45">
      <c r="A215" s="28" t="s">
        <v>156</v>
      </c>
      <c r="B215" s="43">
        <v>39037000</v>
      </c>
      <c r="C215" s="69">
        <v>7000000</v>
      </c>
      <c r="D215" s="69">
        <v>0</v>
      </c>
      <c r="E215" s="61">
        <v>32037000</v>
      </c>
      <c r="F215" s="60">
        <v>0</v>
      </c>
      <c r="G215" s="60">
        <v>0</v>
      </c>
      <c r="H215" s="70">
        <v>32037000</v>
      </c>
      <c r="I215" s="70">
        <v>0</v>
      </c>
      <c r="J215" s="70">
        <v>0</v>
      </c>
      <c r="K215" s="70">
        <v>0</v>
      </c>
      <c r="L215" s="70">
        <v>0</v>
      </c>
      <c r="M215" s="60">
        <v>0</v>
      </c>
    </row>
    <row r="216" spans="1:14" ht="16" hidden="1" customHeight="1" outlineLevel="1" x14ac:dyDescent="0.45">
      <c r="A216" s="29" t="s">
        <v>157</v>
      </c>
      <c r="B216" s="44">
        <v>39037000</v>
      </c>
      <c r="C216" s="71">
        <v>7000000</v>
      </c>
      <c r="D216" s="71">
        <v>0</v>
      </c>
      <c r="E216" s="64">
        <v>32037000</v>
      </c>
      <c r="F216" s="63">
        <v>0</v>
      </c>
      <c r="G216" s="63">
        <v>0</v>
      </c>
      <c r="H216" s="32">
        <v>32037000</v>
      </c>
      <c r="I216" s="32">
        <v>0</v>
      </c>
      <c r="J216" s="32">
        <v>0</v>
      </c>
      <c r="K216" s="32">
        <v>0</v>
      </c>
      <c r="L216" s="32">
        <v>0</v>
      </c>
      <c r="M216" s="63">
        <v>0</v>
      </c>
      <c r="N216" s="1"/>
    </row>
    <row r="217" spans="1:14" s="1" customFormat="1" collapsed="1" x14ac:dyDescent="0.45">
      <c r="A217" s="28" t="s">
        <v>101</v>
      </c>
      <c r="B217" s="43">
        <v>1847992875</v>
      </c>
      <c r="C217" s="69">
        <v>-2968409858</v>
      </c>
      <c r="D217" s="69">
        <v>14275636</v>
      </c>
      <c r="E217" s="61">
        <v>4802127097</v>
      </c>
      <c r="F217" s="60">
        <v>2865463329.4442577</v>
      </c>
      <c r="G217" s="60">
        <v>39676837.555742487</v>
      </c>
      <c r="H217" s="70">
        <v>1188269633</v>
      </c>
      <c r="I217" s="70">
        <v>2141060</v>
      </c>
      <c r="J217" s="70">
        <v>490120</v>
      </c>
      <c r="K217" s="70">
        <v>30177520</v>
      </c>
      <c r="L217" s="70">
        <v>664095096</v>
      </c>
      <c r="M217" s="60">
        <v>11813501</v>
      </c>
    </row>
    <row r="218" spans="1:14" s="1" customFormat="1" ht="16" hidden="1" customHeight="1" outlineLevel="1" x14ac:dyDescent="0.45">
      <c r="A218" s="28" t="s">
        <v>166</v>
      </c>
      <c r="B218" s="43">
        <v>0</v>
      </c>
      <c r="C218" s="69">
        <v>-402829460</v>
      </c>
      <c r="D218" s="69">
        <v>0</v>
      </c>
      <c r="E218" s="61">
        <v>402829460</v>
      </c>
      <c r="F218" s="60">
        <v>358903030</v>
      </c>
      <c r="G218" s="60">
        <v>0</v>
      </c>
      <c r="H218" s="70">
        <v>7329700</v>
      </c>
      <c r="I218" s="70">
        <v>783560</v>
      </c>
      <c r="J218" s="70">
        <v>132620</v>
      </c>
      <c r="K218" s="70">
        <v>28281520</v>
      </c>
      <c r="L218" s="70">
        <v>7399030</v>
      </c>
      <c r="M218" s="60">
        <v>0</v>
      </c>
    </row>
    <row r="219" spans="1:14" ht="16" hidden="1" customHeight="1" outlineLevel="1" x14ac:dyDescent="0.45">
      <c r="A219" s="29" t="s">
        <v>216</v>
      </c>
      <c r="B219" s="44">
        <v>0</v>
      </c>
      <c r="C219" s="71">
        <v>0</v>
      </c>
      <c r="D219" s="71">
        <v>0</v>
      </c>
      <c r="E219" s="64">
        <v>0</v>
      </c>
      <c r="F219" s="63">
        <v>0</v>
      </c>
      <c r="G219" s="63">
        <v>0</v>
      </c>
      <c r="H219" s="32">
        <v>0</v>
      </c>
      <c r="I219" s="32">
        <v>0</v>
      </c>
      <c r="J219" s="32">
        <v>0</v>
      </c>
      <c r="K219" s="32">
        <v>0</v>
      </c>
      <c r="L219" s="32">
        <v>0</v>
      </c>
      <c r="M219" s="63">
        <v>0</v>
      </c>
      <c r="N219" s="1"/>
    </row>
    <row r="220" spans="1:14" ht="16" hidden="1" customHeight="1" outlineLevel="1" x14ac:dyDescent="0.45">
      <c r="A220" s="29" t="s">
        <v>102</v>
      </c>
      <c r="B220" s="44">
        <v>3752007</v>
      </c>
      <c r="C220" s="71">
        <v>0</v>
      </c>
      <c r="D220" s="71">
        <v>0</v>
      </c>
      <c r="E220" s="64">
        <v>3752007</v>
      </c>
      <c r="F220" s="63">
        <v>0</v>
      </c>
      <c r="G220" s="63">
        <v>3752007</v>
      </c>
      <c r="H220" s="32">
        <v>0</v>
      </c>
      <c r="I220" s="32">
        <v>0</v>
      </c>
      <c r="J220" s="32">
        <v>0</v>
      </c>
      <c r="K220" s="32">
        <v>0</v>
      </c>
      <c r="L220" s="32">
        <v>0</v>
      </c>
      <c r="M220" s="63">
        <v>0</v>
      </c>
      <c r="N220" s="1"/>
    </row>
    <row r="221" spans="1:14" ht="16" hidden="1" customHeight="1" outlineLevel="1" x14ac:dyDescent="0.45">
      <c r="A221" s="29" t="s">
        <v>103</v>
      </c>
      <c r="B221" s="44">
        <v>11050241</v>
      </c>
      <c r="C221" s="71">
        <v>955976</v>
      </c>
      <c r="D221" s="71">
        <v>0</v>
      </c>
      <c r="E221" s="64">
        <v>10094265</v>
      </c>
      <c r="F221" s="63">
        <v>10094265</v>
      </c>
      <c r="G221" s="63">
        <v>0</v>
      </c>
      <c r="H221" s="32">
        <v>0</v>
      </c>
      <c r="I221" s="32">
        <v>0</v>
      </c>
      <c r="J221" s="32">
        <v>0</v>
      </c>
      <c r="K221" s="32">
        <v>0</v>
      </c>
      <c r="L221" s="32">
        <v>0</v>
      </c>
      <c r="M221" s="63">
        <v>0</v>
      </c>
      <c r="N221" s="1"/>
    </row>
    <row r="222" spans="1:14" s="1" customFormat="1" ht="16" hidden="1" customHeight="1" outlineLevel="1" collapsed="1" x14ac:dyDescent="0.45">
      <c r="A222" s="28" t="s">
        <v>104</v>
      </c>
      <c r="B222" s="43">
        <v>0</v>
      </c>
      <c r="C222" s="69">
        <v>-2596342800</v>
      </c>
      <c r="D222" s="69">
        <v>0</v>
      </c>
      <c r="E222" s="61">
        <v>2596342800</v>
      </c>
      <c r="F222" s="60">
        <v>2053957000</v>
      </c>
      <c r="G222" s="60">
        <v>0</v>
      </c>
      <c r="H222" s="70">
        <v>0</v>
      </c>
      <c r="I222" s="70">
        <v>0</v>
      </c>
      <c r="J222" s="70">
        <v>0</v>
      </c>
      <c r="K222" s="70">
        <v>0</v>
      </c>
      <c r="L222" s="70">
        <v>542385800</v>
      </c>
      <c r="M222" s="60">
        <v>0</v>
      </c>
    </row>
    <row r="223" spans="1:14" ht="16" hidden="1" customHeight="1" outlineLevel="1" x14ac:dyDescent="0.45">
      <c r="A223" s="29" t="s">
        <v>116</v>
      </c>
      <c r="B223" s="44">
        <v>135186508</v>
      </c>
      <c r="C223" s="71">
        <v>0</v>
      </c>
      <c r="D223" s="71">
        <v>4992000</v>
      </c>
      <c r="E223" s="64">
        <v>130194508</v>
      </c>
      <c r="F223" s="63">
        <v>81572840</v>
      </c>
      <c r="G223" s="63">
        <v>35178668</v>
      </c>
      <c r="H223" s="32">
        <v>0</v>
      </c>
      <c r="I223" s="32">
        <v>1000000</v>
      </c>
      <c r="J223" s="32">
        <v>0</v>
      </c>
      <c r="K223" s="32">
        <v>0</v>
      </c>
      <c r="L223" s="32">
        <v>629499</v>
      </c>
      <c r="M223" s="63">
        <v>11813501</v>
      </c>
      <c r="N223" s="1"/>
    </row>
    <row r="224" spans="1:14" ht="16" hidden="1" customHeight="1" outlineLevel="1" x14ac:dyDescent="0.45">
      <c r="A224" s="29" t="s">
        <v>105</v>
      </c>
      <c r="B224" s="44">
        <v>1695604119</v>
      </c>
      <c r="C224" s="71">
        <v>29806426</v>
      </c>
      <c r="D224" s="71">
        <v>9283636</v>
      </c>
      <c r="E224" s="64">
        <v>1656514057</v>
      </c>
      <c r="F224" s="63">
        <v>360936194.4442575</v>
      </c>
      <c r="G224" s="63">
        <v>746162.55574248254</v>
      </c>
      <c r="H224" s="32">
        <v>1180939933</v>
      </c>
      <c r="I224" s="72">
        <v>357500</v>
      </c>
      <c r="J224" s="72">
        <v>357500</v>
      </c>
      <c r="K224" s="72">
        <v>1896000</v>
      </c>
      <c r="L224" s="72">
        <v>111280767</v>
      </c>
      <c r="M224" s="63">
        <v>0</v>
      </c>
      <c r="N224" s="1"/>
    </row>
    <row r="225" spans="1:14" ht="16" hidden="1" customHeight="1" outlineLevel="1" x14ac:dyDescent="0.45">
      <c r="A225" s="29" t="s">
        <v>217</v>
      </c>
      <c r="B225" s="44">
        <v>0</v>
      </c>
      <c r="C225" s="71">
        <v>0</v>
      </c>
      <c r="D225" s="71">
        <v>0</v>
      </c>
      <c r="E225" s="64">
        <v>0</v>
      </c>
      <c r="F225" s="63">
        <v>0</v>
      </c>
      <c r="G225" s="63">
        <v>0</v>
      </c>
      <c r="H225" s="32">
        <v>0</v>
      </c>
      <c r="I225" s="32">
        <v>0</v>
      </c>
      <c r="J225" s="32">
        <v>0</v>
      </c>
      <c r="K225" s="32">
        <v>0</v>
      </c>
      <c r="L225" s="32">
        <v>0</v>
      </c>
      <c r="M225" s="63">
        <v>0</v>
      </c>
      <c r="N225" s="1"/>
    </row>
    <row r="226" spans="1:14" ht="16" hidden="1" customHeight="1" outlineLevel="1" x14ac:dyDescent="0.45">
      <c r="A226" s="29" t="s">
        <v>106</v>
      </c>
      <c r="B226" s="44">
        <v>2400000</v>
      </c>
      <c r="C226" s="71">
        <v>0</v>
      </c>
      <c r="D226" s="71">
        <v>0</v>
      </c>
      <c r="E226" s="64">
        <v>2400000</v>
      </c>
      <c r="F226" s="63">
        <v>0</v>
      </c>
      <c r="G226" s="63">
        <v>0</v>
      </c>
      <c r="H226" s="32">
        <v>0</v>
      </c>
      <c r="I226" s="32">
        <v>0</v>
      </c>
      <c r="J226" s="32">
        <v>0</v>
      </c>
      <c r="K226" s="32">
        <v>0</v>
      </c>
      <c r="L226" s="32">
        <v>2400000</v>
      </c>
      <c r="M226" s="63">
        <v>0</v>
      </c>
      <c r="N226" s="1"/>
    </row>
    <row r="227" spans="1:14" s="1" customFormat="1" ht="16" hidden="1" customHeight="1" outlineLevel="1" collapsed="1" x14ac:dyDescent="0.45">
      <c r="A227" s="28" t="s">
        <v>306</v>
      </c>
      <c r="B227" s="43">
        <v>0</v>
      </c>
      <c r="C227" s="69">
        <v>0</v>
      </c>
      <c r="D227" s="69">
        <v>0</v>
      </c>
      <c r="E227" s="61">
        <v>0</v>
      </c>
      <c r="F227" s="60">
        <v>0</v>
      </c>
      <c r="G227" s="60">
        <v>0</v>
      </c>
      <c r="H227" s="70">
        <v>0</v>
      </c>
      <c r="I227" s="70">
        <v>0</v>
      </c>
      <c r="J227" s="70">
        <v>0</v>
      </c>
      <c r="K227" s="70">
        <v>0</v>
      </c>
      <c r="L227" s="70">
        <v>0</v>
      </c>
      <c r="M227" s="60">
        <v>0</v>
      </c>
    </row>
    <row r="228" spans="1:14" s="1" customFormat="1" collapsed="1" x14ac:dyDescent="0.45">
      <c r="A228" s="28" t="s">
        <v>218</v>
      </c>
      <c r="B228" s="43">
        <v>0</v>
      </c>
      <c r="C228" s="69">
        <v>0</v>
      </c>
      <c r="D228" s="69">
        <v>0</v>
      </c>
      <c r="E228" s="61">
        <v>0</v>
      </c>
      <c r="F228" s="60">
        <v>0</v>
      </c>
      <c r="G228" s="60">
        <v>0</v>
      </c>
      <c r="H228" s="70">
        <v>0</v>
      </c>
      <c r="I228" s="70">
        <v>0</v>
      </c>
      <c r="J228" s="70">
        <v>0</v>
      </c>
      <c r="K228" s="70">
        <v>0</v>
      </c>
      <c r="L228" s="70">
        <v>0</v>
      </c>
      <c r="M228" s="60">
        <v>0</v>
      </c>
    </row>
    <row r="229" spans="1:14" s="1" customFormat="1" x14ac:dyDescent="0.45">
      <c r="A229" s="28" t="s">
        <v>107</v>
      </c>
      <c r="B229" s="43">
        <v>1587893341</v>
      </c>
      <c r="C229" s="69">
        <v>-2023924</v>
      </c>
      <c r="D229" s="69">
        <v>200000</v>
      </c>
      <c r="E229" s="61">
        <v>1589717265</v>
      </c>
      <c r="F229" s="60">
        <v>-100000</v>
      </c>
      <c r="G229" s="60">
        <v>-3673895</v>
      </c>
      <c r="H229" s="70">
        <v>15773266</v>
      </c>
      <c r="I229" s="70">
        <v>130450183</v>
      </c>
      <c r="J229" s="70">
        <v>917625862</v>
      </c>
      <c r="K229" s="70">
        <v>523944030</v>
      </c>
      <c r="L229" s="70">
        <v>5697819</v>
      </c>
      <c r="M229" s="60">
        <v>0</v>
      </c>
    </row>
    <row r="230" spans="1:14" ht="16" hidden="1" customHeight="1" outlineLevel="1" x14ac:dyDescent="0.45">
      <c r="A230" s="29" t="s">
        <v>158</v>
      </c>
      <c r="B230" s="44">
        <v>0</v>
      </c>
      <c r="C230" s="71">
        <v>0</v>
      </c>
      <c r="D230" s="71">
        <v>0</v>
      </c>
      <c r="E230" s="64">
        <v>0</v>
      </c>
      <c r="F230" s="63">
        <v>0</v>
      </c>
      <c r="G230" s="63">
        <v>0</v>
      </c>
      <c r="H230" s="32">
        <v>0</v>
      </c>
      <c r="I230" s="32">
        <v>0</v>
      </c>
      <c r="J230" s="32">
        <v>0</v>
      </c>
      <c r="K230" s="32">
        <v>0</v>
      </c>
      <c r="L230" s="32">
        <v>0</v>
      </c>
      <c r="M230" s="63">
        <v>0</v>
      </c>
      <c r="N230" s="1"/>
    </row>
    <row r="231" spans="1:14" ht="16" hidden="1" customHeight="1" outlineLevel="1" x14ac:dyDescent="0.45">
      <c r="A231" s="29" t="s">
        <v>219</v>
      </c>
      <c r="B231" s="44">
        <v>0</v>
      </c>
      <c r="C231" s="71">
        <v>0</v>
      </c>
      <c r="D231" s="71">
        <v>0</v>
      </c>
      <c r="E231" s="64">
        <v>0</v>
      </c>
      <c r="F231" s="63">
        <v>0</v>
      </c>
      <c r="G231" s="63">
        <v>0</v>
      </c>
      <c r="H231" s="32">
        <v>0</v>
      </c>
      <c r="I231" s="32">
        <v>0</v>
      </c>
      <c r="J231" s="32">
        <v>0</v>
      </c>
      <c r="K231" s="32">
        <v>0</v>
      </c>
      <c r="L231" s="32">
        <v>0</v>
      </c>
      <c r="M231" s="63">
        <v>0</v>
      </c>
      <c r="N231" s="1"/>
    </row>
    <row r="232" spans="1:14" ht="16" hidden="1" customHeight="1" outlineLevel="1" x14ac:dyDescent="0.45">
      <c r="A232" s="29" t="s">
        <v>307</v>
      </c>
      <c r="B232" s="44">
        <v>1587793341</v>
      </c>
      <c r="C232" s="71">
        <v>0</v>
      </c>
      <c r="D232" s="71">
        <v>0</v>
      </c>
      <c r="E232" s="64">
        <v>1587793341</v>
      </c>
      <c r="F232" s="63">
        <v>0</v>
      </c>
      <c r="G232" s="63">
        <v>0</v>
      </c>
      <c r="H232" s="32">
        <v>15773266</v>
      </c>
      <c r="I232" s="32">
        <v>130450183</v>
      </c>
      <c r="J232" s="32">
        <v>917625862</v>
      </c>
      <c r="K232" s="32">
        <v>523944030</v>
      </c>
      <c r="L232" s="32">
        <v>0</v>
      </c>
      <c r="M232" s="63">
        <v>0</v>
      </c>
      <c r="N232" s="1"/>
    </row>
    <row r="233" spans="1:14" ht="16" hidden="1" customHeight="1" outlineLevel="1" x14ac:dyDescent="0.45">
      <c r="A233" s="29" t="s">
        <v>220</v>
      </c>
      <c r="B233" s="44">
        <v>0</v>
      </c>
      <c r="C233" s="71">
        <v>0</v>
      </c>
      <c r="D233" s="71">
        <v>0</v>
      </c>
      <c r="E233" s="64">
        <v>0</v>
      </c>
      <c r="F233" s="63">
        <v>0</v>
      </c>
      <c r="G233" s="63">
        <v>0</v>
      </c>
      <c r="H233" s="32">
        <v>0</v>
      </c>
      <c r="I233" s="32">
        <v>0</v>
      </c>
      <c r="J233" s="32">
        <v>0</v>
      </c>
      <c r="K233" s="32">
        <v>0</v>
      </c>
      <c r="L233" s="32">
        <v>0</v>
      </c>
      <c r="M233" s="63">
        <v>0</v>
      </c>
      <c r="N233" s="1"/>
    </row>
    <row r="234" spans="1:14" s="1" customFormat="1" ht="16" hidden="1" customHeight="1" outlineLevel="1" collapsed="1" x14ac:dyDescent="0.45">
      <c r="A234" s="28" t="s">
        <v>108</v>
      </c>
      <c r="B234" s="44">
        <v>0</v>
      </c>
      <c r="C234" s="69">
        <v>3123895</v>
      </c>
      <c r="D234" s="69">
        <v>0</v>
      </c>
      <c r="E234" s="61">
        <v>-3123895</v>
      </c>
      <c r="F234" s="60">
        <v>0</v>
      </c>
      <c r="G234" s="60">
        <v>-3123895</v>
      </c>
      <c r="H234" s="70">
        <v>0</v>
      </c>
      <c r="I234" s="70">
        <v>0</v>
      </c>
      <c r="J234" s="70">
        <v>0</v>
      </c>
      <c r="K234" s="70">
        <v>0</v>
      </c>
      <c r="L234" s="70">
        <v>0</v>
      </c>
      <c r="M234" s="60">
        <v>0</v>
      </c>
    </row>
    <row r="235" spans="1:14" ht="16" hidden="1" customHeight="1" outlineLevel="1" x14ac:dyDescent="0.45">
      <c r="A235" s="29" t="s">
        <v>221</v>
      </c>
      <c r="B235" s="44">
        <v>0</v>
      </c>
      <c r="C235" s="71">
        <v>0</v>
      </c>
      <c r="D235" s="71">
        <v>0</v>
      </c>
      <c r="E235" s="64">
        <v>0</v>
      </c>
      <c r="F235" s="63">
        <v>0</v>
      </c>
      <c r="G235" s="63">
        <v>0</v>
      </c>
      <c r="H235" s="32">
        <v>0</v>
      </c>
      <c r="I235" s="32">
        <v>0</v>
      </c>
      <c r="J235" s="32">
        <v>0</v>
      </c>
      <c r="K235" s="32">
        <v>0</v>
      </c>
      <c r="L235" s="32">
        <v>0</v>
      </c>
      <c r="M235" s="63">
        <v>0</v>
      </c>
      <c r="N235" s="1"/>
    </row>
    <row r="236" spans="1:14" ht="16" hidden="1" customHeight="1" outlineLevel="1" x14ac:dyDescent="0.45">
      <c r="A236" s="29" t="s">
        <v>222</v>
      </c>
      <c r="B236" s="44">
        <v>100000</v>
      </c>
      <c r="C236" s="71">
        <v>0</v>
      </c>
      <c r="D236" s="71">
        <v>200000</v>
      </c>
      <c r="E236" s="64">
        <v>-100000</v>
      </c>
      <c r="F236" s="63">
        <v>-100000</v>
      </c>
      <c r="G236" s="63">
        <v>0</v>
      </c>
      <c r="H236" s="32">
        <v>0</v>
      </c>
      <c r="I236" s="32">
        <v>0</v>
      </c>
      <c r="J236" s="32">
        <v>0</v>
      </c>
      <c r="K236" s="32">
        <v>0</v>
      </c>
      <c r="L236" s="32">
        <v>0</v>
      </c>
      <c r="M236" s="63">
        <v>0</v>
      </c>
      <c r="N236" s="1"/>
    </row>
    <row r="237" spans="1:14" s="1" customFormat="1" ht="16" hidden="1" customHeight="1" outlineLevel="1" collapsed="1" x14ac:dyDescent="0.45">
      <c r="A237" s="28" t="s">
        <v>109</v>
      </c>
      <c r="B237" s="44">
        <v>0</v>
      </c>
      <c r="C237" s="69">
        <v>-5147819</v>
      </c>
      <c r="D237" s="69">
        <v>0</v>
      </c>
      <c r="E237" s="61">
        <v>5147819</v>
      </c>
      <c r="F237" s="60">
        <v>0</v>
      </c>
      <c r="G237" s="60">
        <v>-550000</v>
      </c>
      <c r="H237" s="70">
        <v>0</v>
      </c>
      <c r="I237" s="70">
        <v>0</v>
      </c>
      <c r="J237" s="70">
        <v>0</v>
      </c>
      <c r="K237" s="70">
        <v>0</v>
      </c>
      <c r="L237" s="70">
        <v>5697819</v>
      </c>
      <c r="M237" s="60">
        <v>0</v>
      </c>
    </row>
    <row r="238" spans="1:14" s="1" customFormat="1" ht="16" customHeight="1" collapsed="1" x14ac:dyDescent="0.45">
      <c r="A238" s="28" t="s">
        <v>110</v>
      </c>
      <c r="B238" s="44">
        <v>20810258</v>
      </c>
      <c r="C238" s="69">
        <v>18310258</v>
      </c>
      <c r="D238" s="69">
        <v>0</v>
      </c>
      <c r="E238" s="61">
        <v>2500000</v>
      </c>
      <c r="F238" s="60">
        <v>0</v>
      </c>
      <c r="G238" s="60">
        <v>0</v>
      </c>
      <c r="H238" s="70">
        <v>0</v>
      </c>
      <c r="I238" s="70">
        <v>0</v>
      </c>
      <c r="J238" s="70">
        <v>0</v>
      </c>
      <c r="K238" s="70">
        <v>0</v>
      </c>
      <c r="L238" s="70">
        <v>0</v>
      </c>
      <c r="M238" s="60">
        <v>2500000</v>
      </c>
    </row>
    <row r="239" spans="1:14" s="1" customFormat="1" collapsed="1" x14ac:dyDescent="0.45">
      <c r="A239" s="27" t="s">
        <v>308</v>
      </c>
      <c r="B239" s="42">
        <v>2501195804</v>
      </c>
      <c r="C239" s="73">
        <v>-419814973</v>
      </c>
      <c r="D239" s="73">
        <v>-422424422</v>
      </c>
      <c r="E239" s="58">
        <v>3343435199</v>
      </c>
      <c r="F239" s="57">
        <v>243485778.87426376</v>
      </c>
      <c r="G239" s="57">
        <v>1372050649.3351173</v>
      </c>
      <c r="H239" s="57">
        <v>664128111.79061902</v>
      </c>
      <c r="I239" s="57">
        <v>116271342.71267238</v>
      </c>
      <c r="J239" s="57">
        <v>115906793.033934</v>
      </c>
      <c r="K239" s="57">
        <v>464949460.28569448</v>
      </c>
      <c r="L239" s="57">
        <v>-246252612.03230089</v>
      </c>
      <c r="M239" s="57">
        <v>612895675</v>
      </c>
    </row>
    <row r="240" spans="1:14" s="1" customFormat="1" x14ac:dyDescent="0.45">
      <c r="A240" s="28" t="s">
        <v>309</v>
      </c>
      <c r="B240" s="43">
        <v>2824236196</v>
      </c>
      <c r="C240" s="69">
        <v>2820761196</v>
      </c>
      <c r="D240" s="69">
        <v>0</v>
      </c>
      <c r="E240" s="61">
        <v>3475000</v>
      </c>
      <c r="F240" s="60">
        <v>0</v>
      </c>
      <c r="G240" s="60">
        <v>3475000</v>
      </c>
      <c r="H240" s="70">
        <v>0</v>
      </c>
      <c r="I240" s="70">
        <v>0</v>
      </c>
      <c r="J240" s="70">
        <v>0</v>
      </c>
      <c r="K240" s="70">
        <v>0</v>
      </c>
      <c r="L240" s="70">
        <v>0</v>
      </c>
      <c r="M240" s="70">
        <v>0</v>
      </c>
    </row>
    <row r="241" spans="1:14" ht="16" hidden="1" customHeight="1" outlineLevel="1" x14ac:dyDescent="0.45">
      <c r="A241" s="29" t="s">
        <v>159</v>
      </c>
      <c r="B241" s="44">
        <v>221582025</v>
      </c>
      <c r="C241" s="71">
        <v>221582025</v>
      </c>
      <c r="D241" s="71">
        <v>0</v>
      </c>
      <c r="E241" s="64">
        <v>0</v>
      </c>
      <c r="F241" s="63">
        <v>0</v>
      </c>
      <c r="G241" s="63">
        <v>0</v>
      </c>
      <c r="H241" s="32">
        <v>0</v>
      </c>
      <c r="I241" s="32">
        <v>0</v>
      </c>
      <c r="J241" s="32">
        <v>0</v>
      </c>
      <c r="K241" s="32">
        <v>0</v>
      </c>
      <c r="L241" s="32">
        <v>0</v>
      </c>
      <c r="M241" s="32">
        <v>0</v>
      </c>
      <c r="N241" s="1"/>
    </row>
    <row r="242" spans="1:14" ht="16" hidden="1" customHeight="1" outlineLevel="1" x14ac:dyDescent="0.45">
      <c r="A242" s="29" t="s">
        <v>160</v>
      </c>
      <c r="B242" s="44">
        <v>2508000</v>
      </c>
      <c r="C242" s="71">
        <v>2508000</v>
      </c>
      <c r="D242" s="71">
        <v>0</v>
      </c>
      <c r="E242" s="64">
        <v>0</v>
      </c>
      <c r="F242" s="63">
        <v>0</v>
      </c>
      <c r="G242" s="63">
        <v>0</v>
      </c>
      <c r="H242" s="32">
        <v>0</v>
      </c>
      <c r="I242" s="32">
        <v>0</v>
      </c>
      <c r="J242" s="32">
        <v>0</v>
      </c>
      <c r="K242" s="32">
        <v>0</v>
      </c>
      <c r="L242" s="32">
        <v>0</v>
      </c>
      <c r="M242" s="32">
        <v>0</v>
      </c>
      <c r="N242" s="1"/>
    </row>
    <row r="243" spans="1:14" ht="16" hidden="1" customHeight="1" outlineLevel="1" x14ac:dyDescent="0.45">
      <c r="A243" s="29" t="s">
        <v>258</v>
      </c>
      <c r="B243" s="44">
        <v>3188500000</v>
      </c>
      <c r="C243" s="71">
        <v>3188500000</v>
      </c>
      <c r="D243" s="71">
        <v>0</v>
      </c>
      <c r="E243" s="64">
        <v>0</v>
      </c>
      <c r="F243" s="63">
        <v>0</v>
      </c>
      <c r="G243" s="63">
        <v>0</v>
      </c>
      <c r="H243" s="32">
        <v>0</v>
      </c>
      <c r="I243" s="32">
        <v>0</v>
      </c>
      <c r="J243" s="32">
        <v>0</v>
      </c>
      <c r="K243" s="32">
        <v>0</v>
      </c>
      <c r="L243" s="32">
        <v>0</v>
      </c>
      <c r="M243" s="32">
        <v>0</v>
      </c>
      <c r="N243" s="1"/>
    </row>
    <row r="244" spans="1:14" ht="16" hidden="1" customHeight="1" outlineLevel="1" x14ac:dyDescent="0.45">
      <c r="A244" s="29" t="s">
        <v>223</v>
      </c>
      <c r="B244" s="44">
        <v>0</v>
      </c>
      <c r="C244" s="71">
        <v>0</v>
      </c>
      <c r="D244" s="71">
        <v>0</v>
      </c>
      <c r="E244" s="64">
        <v>0</v>
      </c>
      <c r="F244" s="63">
        <v>0</v>
      </c>
      <c r="G244" s="63">
        <v>0</v>
      </c>
      <c r="H244" s="32">
        <v>0</v>
      </c>
      <c r="I244" s="32">
        <v>0</v>
      </c>
      <c r="J244" s="32">
        <v>0</v>
      </c>
      <c r="K244" s="32">
        <v>0</v>
      </c>
      <c r="L244" s="32">
        <v>0</v>
      </c>
      <c r="M244" s="32">
        <v>0</v>
      </c>
      <c r="N244" s="1"/>
    </row>
    <row r="245" spans="1:14" s="3" customFormat="1" ht="16" hidden="1" customHeight="1" outlineLevel="1" x14ac:dyDescent="0.45">
      <c r="A245" s="33" t="s">
        <v>243</v>
      </c>
      <c r="B245" s="33">
        <v>701844</v>
      </c>
      <c r="C245" s="71">
        <v>701844</v>
      </c>
      <c r="D245" s="71">
        <v>0</v>
      </c>
      <c r="E245" s="64">
        <v>0</v>
      </c>
      <c r="F245" s="63">
        <v>0</v>
      </c>
      <c r="G245" s="63">
        <v>0</v>
      </c>
      <c r="H245" s="32">
        <v>0</v>
      </c>
      <c r="I245" s="32">
        <v>0</v>
      </c>
      <c r="J245" s="32">
        <v>0</v>
      </c>
      <c r="K245" s="32">
        <v>0</v>
      </c>
      <c r="L245" s="32">
        <v>0</v>
      </c>
      <c r="M245" s="32">
        <v>0</v>
      </c>
      <c r="N245" s="1"/>
    </row>
    <row r="246" spans="1:14" s="3" customFormat="1" ht="16" hidden="1" customHeight="1" outlineLevel="1" x14ac:dyDescent="0.45">
      <c r="A246" s="34" t="s">
        <v>264</v>
      </c>
      <c r="B246" s="33">
        <v>-447824648</v>
      </c>
      <c r="C246" s="71">
        <v>-447824648</v>
      </c>
      <c r="D246" s="71">
        <v>0</v>
      </c>
      <c r="E246" s="64">
        <v>0</v>
      </c>
      <c r="F246" s="63">
        <v>0</v>
      </c>
      <c r="G246" s="63">
        <v>0</v>
      </c>
      <c r="H246" s="32">
        <v>0</v>
      </c>
      <c r="I246" s="32">
        <v>0</v>
      </c>
      <c r="J246" s="32">
        <v>0</v>
      </c>
      <c r="K246" s="32">
        <v>0</v>
      </c>
      <c r="L246" s="32">
        <v>0</v>
      </c>
      <c r="M246" s="32">
        <v>0</v>
      </c>
      <c r="N246" s="1"/>
    </row>
    <row r="247" spans="1:14" s="3" customFormat="1" ht="16" hidden="1" customHeight="1" outlineLevel="1" x14ac:dyDescent="0.45">
      <c r="A247" s="109" t="s">
        <v>247</v>
      </c>
      <c r="B247" s="110">
        <v>-144706025</v>
      </c>
      <c r="C247" s="71">
        <v>-144706025</v>
      </c>
      <c r="D247" s="71">
        <v>0</v>
      </c>
      <c r="E247" s="64">
        <v>0</v>
      </c>
      <c r="F247" s="63">
        <v>0</v>
      </c>
      <c r="G247" s="63">
        <v>0</v>
      </c>
      <c r="H247" s="32">
        <v>0</v>
      </c>
      <c r="I247" s="32">
        <v>0</v>
      </c>
      <c r="J247" s="32">
        <v>0</v>
      </c>
      <c r="K247" s="32">
        <v>0</v>
      </c>
      <c r="L247" s="32">
        <v>0</v>
      </c>
      <c r="M247" s="32">
        <v>0</v>
      </c>
      <c r="N247" s="1"/>
    </row>
    <row r="248" spans="1:14" ht="16" hidden="1" customHeight="1" outlineLevel="1" collapsed="1" x14ac:dyDescent="0.45">
      <c r="A248" s="29" t="s">
        <v>161</v>
      </c>
      <c r="B248" s="44">
        <v>3475000</v>
      </c>
      <c r="C248" s="71">
        <v>0</v>
      </c>
      <c r="D248" s="71">
        <v>0</v>
      </c>
      <c r="E248" s="64">
        <v>3475000</v>
      </c>
      <c r="F248" s="63">
        <v>0</v>
      </c>
      <c r="G248" s="63">
        <v>3475000</v>
      </c>
      <c r="H248" s="32">
        <v>0</v>
      </c>
      <c r="I248" s="32">
        <v>0</v>
      </c>
      <c r="J248" s="32">
        <v>0</v>
      </c>
      <c r="K248" s="32">
        <v>0</v>
      </c>
      <c r="L248" s="32">
        <v>0</v>
      </c>
      <c r="M248" s="32">
        <v>0</v>
      </c>
      <c r="N248" s="1"/>
    </row>
    <row r="249" spans="1:14" ht="16" hidden="1" customHeight="1" outlineLevel="1" x14ac:dyDescent="0.45">
      <c r="A249" s="29" t="s">
        <v>224</v>
      </c>
      <c r="B249" s="44">
        <v>0</v>
      </c>
      <c r="C249" s="71">
        <v>0</v>
      </c>
      <c r="D249" s="71">
        <v>0</v>
      </c>
      <c r="E249" s="64">
        <v>0</v>
      </c>
      <c r="F249" s="63">
        <v>0</v>
      </c>
      <c r="G249" s="63">
        <v>0</v>
      </c>
      <c r="H249" s="32">
        <v>0</v>
      </c>
      <c r="I249" s="32">
        <v>0</v>
      </c>
      <c r="J249" s="32">
        <v>0</v>
      </c>
      <c r="K249" s="32">
        <v>0</v>
      </c>
      <c r="L249" s="32">
        <v>0</v>
      </c>
      <c r="M249" s="32">
        <v>0</v>
      </c>
      <c r="N249" s="1"/>
    </row>
    <row r="250" spans="1:14" s="1" customFormat="1" collapsed="1" x14ac:dyDescent="0.45">
      <c r="A250" s="28" t="s">
        <v>111</v>
      </c>
      <c r="B250" s="43">
        <v>3230891117</v>
      </c>
      <c r="C250" s="69">
        <v>3230891117</v>
      </c>
      <c r="D250" s="69">
        <v>0</v>
      </c>
      <c r="E250" s="61">
        <v>0</v>
      </c>
      <c r="F250" s="60">
        <v>0</v>
      </c>
      <c r="G250" s="60">
        <v>0</v>
      </c>
      <c r="H250" s="70">
        <v>0</v>
      </c>
      <c r="I250" s="70">
        <v>0</v>
      </c>
      <c r="J250" s="70">
        <v>0</v>
      </c>
      <c r="K250" s="70">
        <v>0</v>
      </c>
      <c r="L250" s="70">
        <v>0</v>
      </c>
      <c r="M250" s="70">
        <v>0</v>
      </c>
    </row>
    <row r="251" spans="1:14" ht="16" hidden="1" customHeight="1" outlineLevel="1" x14ac:dyDescent="0.45">
      <c r="A251" s="29" t="s">
        <v>162</v>
      </c>
      <c r="B251" s="44">
        <v>449284572</v>
      </c>
      <c r="C251" s="71">
        <v>449284572</v>
      </c>
      <c r="D251" s="71">
        <v>0</v>
      </c>
      <c r="E251" s="64">
        <v>0</v>
      </c>
      <c r="F251" s="63">
        <v>0</v>
      </c>
      <c r="G251" s="63">
        <v>0</v>
      </c>
      <c r="H251" s="32">
        <v>0</v>
      </c>
      <c r="I251" s="32">
        <v>0</v>
      </c>
      <c r="J251" s="32">
        <v>0</v>
      </c>
      <c r="K251" s="32">
        <v>0</v>
      </c>
      <c r="L251" s="32">
        <v>0</v>
      </c>
      <c r="M251" s="32">
        <v>0</v>
      </c>
      <c r="N251" s="1"/>
    </row>
    <row r="252" spans="1:14" ht="16" hidden="1" customHeight="1" outlineLevel="1" x14ac:dyDescent="0.45">
      <c r="A252" s="29" t="s">
        <v>251</v>
      </c>
      <c r="B252" s="44">
        <v>-665000000</v>
      </c>
      <c r="C252" s="71">
        <v>-665000000</v>
      </c>
      <c r="D252" s="71">
        <v>0</v>
      </c>
      <c r="E252" s="64">
        <v>0</v>
      </c>
      <c r="F252" s="63">
        <v>0</v>
      </c>
      <c r="G252" s="63">
        <v>0</v>
      </c>
      <c r="H252" s="32">
        <v>0</v>
      </c>
      <c r="I252" s="32">
        <v>0</v>
      </c>
      <c r="J252" s="32">
        <v>0</v>
      </c>
      <c r="K252" s="32">
        <v>0</v>
      </c>
      <c r="L252" s="32">
        <v>0</v>
      </c>
      <c r="M252" s="32">
        <v>0</v>
      </c>
      <c r="N252" s="1"/>
    </row>
    <row r="253" spans="1:14" ht="16" hidden="1" customHeight="1" outlineLevel="1" x14ac:dyDescent="0.45">
      <c r="A253" s="29" t="s">
        <v>310</v>
      </c>
      <c r="B253" s="44">
        <v>3446606545</v>
      </c>
      <c r="C253" s="71">
        <v>3446606545</v>
      </c>
      <c r="D253" s="71">
        <v>0</v>
      </c>
      <c r="E253" s="64">
        <v>0</v>
      </c>
      <c r="F253" s="63">
        <v>0</v>
      </c>
      <c r="G253" s="63">
        <v>0</v>
      </c>
      <c r="H253" s="32">
        <v>0</v>
      </c>
      <c r="I253" s="32">
        <v>0</v>
      </c>
      <c r="J253" s="32">
        <v>0</v>
      </c>
      <c r="K253" s="32">
        <v>0</v>
      </c>
      <c r="L253" s="32">
        <v>0</v>
      </c>
      <c r="M253" s="32">
        <v>0</v>
      </c>
      <c r="N253" s="1"/>
    </row>
    <row r="254" spans="1:14" ht="16" hidden="1" customHeight="1" outlineLevel="1" x14ac:dyDescent="0.45">
      <c r="A254" s="29" t="s">
        <v>225</v>
      </c>
      <c r="B254" s="44">
        <v>0</v>
      </c>
      <c r="C254" s="71">
        <v>0</v>
      </c>
      <c r="D254" s="71">
        <v>0</v>
      </c>
      <c r="E254" s="64">
        <v>0</v>
      </c>
      <c r="F254" s="63">
        <v>0</v>
      </c>
      <c r="G254" s="63">
        <v>0</v>
      </c>
      <c r="H254" s="32">
        <v>0</v>
      </c>
      <c r="I254" s="32">
        <v>0</v>
      </c>
      <c r="J254" s="32">
        <v>0</v>
      </c>
      <c r="K254" s="32">
        <v>0</v>
      </c>
      <c r="L254" s="32">
        <v>0</v>
      </c>
      <c r="M254" s="32">
        <v>0</v>
      </c>
      <c r="N254" s="1"/>
    </row>
    <row r="255" spans="1:14" ht="16" hidden="1" customHeight="1" outlineLevel="1" x14ac:dyDescent="0.45">
      <c r="A255" s="29" t="s">
        <v>226</v>
      </c>
      <c r="B255" s="44">
        <v>0</v>
      </c>
      <c r="C255" s="71">
        <v>0</v>
      </c>
      <c r="D255" s="71">
        <v>0</v>
      </c>
      <c r="E255" s="64">
        <v>0</v>
      </c>
      <c r="F255" s="63">
        <v>0</v>
      </c>
      <c r="G255" s="63">
        <v>0</v>
      </c>
      <c r="H255" s="32">
        <v>0</v>
      </c>
      <c r="I255" s="32">
        <v>0</v>
      </c>
      <c r="J255" s="32">
        <v>0</v>
      </c>
      <c r="K255" s="32">
        <v>0</v>
      </c>
      <c r="L255" s="32">
        <v>0</v>
      </c>
      <c r="M255" s="32">
        <v>0</v>
      </c>
      <c r="N255" s="1"/>
    </row>
    <row r="256" spans="1:14" ht="16" hidden="1" customHeight="1" outlineLevel="1" x14ac:dyDescent="0.45">
      <c r="A256" s="29" t="s">
        <v>163</v>
      </c>
      <c r="B256" s="44">
        <v>0</v>
      </c>
      <c r="C256" s="71">
        <v>0</v>
      </c>
      <c r="D256" s="71">
        <v>0</v>
      </c>
      <c r="E256" s="64">
        <v>0</v>
      </c>
      <c r="F256" s="63">
        <v>0</v>
      </c>
      <c r="G256" s="63">
        <v>0</v>
      </c>
      <c r="H256" s="32">
        <v>0</v>
      </c>
      <c r="I256" s="32">
        <v>0</v>
      </c>
      <c r="J256" s="32">
        <v>0</v>
      </c>
      <c r="K256" s="32">
        <v>0</v>
      </c>
      <c r="L256" s="32">
        <v>0</v>
      </c>
      <c r="M256" s="32">
        <v>0</v>
      </c>
      <c r="N256" s="1"/>
    </row>
    <row r="257" spans="1:14" ht="16" hidden="1" customHeight="1" outlineLevel="1" x14ac:dyDescent="0.45">
      <c r="A257" s="29" t="s">
        <v>164</v>
      </c>
      <c r="B257" s="44">
        <v>0</v>
      </c>
      <c r="C257" s="71">
        <v>0</v>
      </c>
      <c r="D257" s="71">
        <v>0</v>
      </c>
      <c r="E257" s="64">
        <v>0</v>
      </c>
      <c r="F257" s="63">
        <v>0</v>
      </c>
      <c r="G257" s="63">
        <v>0</v>
      </c>
      <c r="H257" s="32">
        <v>0</v>
      </c>
      <c r="I257" s="32">
        <v>0</v>
      </c>
      <c r="J257" s="32">
        <v>0</v>
      </c>
      <c r="K257" s="32">
        <v>0</v>
      </c>
      <c r="L257" s="32">
        <v>0</v>
      </c>
      <c r="M257" s="32">
        <v>0</v>
      </c>
      <c r="N257" s="1"/>
    </row>
    <row r="258" spans="1:14" ht="16" hidden="1" customHeight="1" outlineLevel="1" x14ac:dyDescent="0.45">
      <c r="A258" s="29" t="s">
        <v>265</v>
      </c>
      <c r="B258" s="44">
        <v>0</v>
      </c>
      <c r="C258" s="71">
        <v>0</v>
      </c>
      <c r="D258" s="71">
        <v>0</v>
      </c>
      <c r="E258" s="64">
        <v>0</v>
      </c>
      <c r="F258" s="63">
        <v>0</v>
      </c>
      <c r="G258" s="63">
        <v>0</v>
      </c>
      <c r="H258" s="32">
        <v>0</v>
      </c>
      <c r="I258" s="32">
        <v>0</v>
      </c>
      <c r="J258" s="32">
        <v>0</v>
      </c>
      <c r="K258" s="32">
        <v>0</v>
      </c>
      <c r="L258" s="32">
        <v>0</v>
      </c>
      <c r="M258" s="32">
        <v>0</v>
      </c>
      <c r="N258" s="1"/>
    </row>
    <row r="259" spans="1:14" ht="16" hidden="1" customHeight="1" outlineLevel="1" x14ac:dyDescent="0.45">
      <c r="A259" s="29" t="s">
        <v>165</v>
      </c>
      <c r="B259" s="44">
        <v>0</v>
      </c>
      <c r="C259" s="71">
        <v>0</v>
      </c>
      <c r="D259" s="71">
        <v>0</v>
      </c>
      <c r="E259" s="64">
        <v>0</v>
      </c>
      <c r="F259" s="63">
        <v>0</v>
      </c>
      <c r="G259" s="63">
        <v>0</v>
      </c>
      <c r="H259" s="32">
        <v>0</v>
      </c>
      <c r="I259" s="32">
        <v>0</v>
      </c>
      <c r="J259" s="32">
        <v>0</v>
      </c>
      <c r="K259" s="32">
        <v>0</v>
      </c>
      <c r="L259" s="32">
        <v>0</v>
      </c>
      <c r="M259" s="32">
        <v>0</v>
      </c>
      <c r="N259" s="1"/>
    </row>
    <row r="260" spans="1:14" s="1" customFormat="1" collapsed="1" x14ac:dyDescent="0.45">
      <c r="A260" s="74" t="s">
        <v>112</v>
      </c>
      <c r="B260" s="76">
        <v>1757544990</v>
      </c>
      <c r="C260" s="76">
        <v>1757544990</v>
      </c>
      <c r="D260" s="76">
        <v>0</v>
      </c>
      <c r="E260" s="77">
        <v>0</v>
      </c>
      <c r="F260" s="78">
        <v>0</v>
      </c>
      <c r="G260" s="78">
        <v>0</v>
      </c>
      <c r="H260" s="79">
        <v>0</v>
      </c>
      <c r="I260" s="79">
        <v>0</v>
      </c>
      <c r="J260" s="79">
        <v>0</v>
      </c>
      <c r="K260" s="79">
        <v>0</v>
      </c>
      <c r="L260" s="79">
        <v>0</v>
      </c>
      <c r="M260" s="79">
        <v>0</v>
      </c>
    </row>
    <row r="261" spans="1:14" s="1" customFormat="1" x14ac:dyDescent="0.45">
      <c r="A261" s="27" t="s">
        <v>311</v>
      </c>
      <c r="B261" s="42">
        <v>336995893</v>
      </c>
      <c r="C261" s="73">
        <v>-2587489884</v>
      </c>
      <c r="D261" s="73">
        <v>-422424422</v>
      </c>
      <c r="E261" s="58">
        <v>3346910199</v>
      </c>
      <c r="F261" s="57">
        <v>243485778.87426376</v>
      </c>
      <c r="G261" s="57">
        <v>1375525649.3351173</v>
      </c>
      <c r="H261" s="80">
        <v>664128111.79061902</v>
      </c>
      <c r="I261" s="80">
        <v>116271342.71267238</v>
      </c>
      <c r="J261" s="80">
        <v>115906793.033934</v>
      </c>
      <c r="K261" s="80">
        <v>464949460.28569448</v>
      </c>
      <c r="L261" s="80">
        <v>-246252612.03230089</v>
      </c>
      <c r="M261" s="57">
        <v>612895675</v>
      </c>
    </row>
    <row r="262" spans="1:14" ht="16" hidden="1" customHeight="1" x14ac:dyDescent="0.45">
      <c r="A262" s="83"/>
      <c r="B262" s="35"/>
      <c r="C262" s="84"/>
      <c r="D262" s="36"/>
      <c r="E262" s="36"/>
      <c r="F262" s="85"/>
      <c r="G262" s="36"/>
      <c r="H262" s="36"/>
      <c r="I262" s="36"/>
      <c r="J262" s="36"/>
      <c r="K262" s="36"/>
      <c r="L262" s="85"/>
      <c r="M262" s="36"/>
    </row>
    <row r="263" spans="1:14" s="4" customFormat="1" ht="15" hidden="1" customHeight="1" x14ac:dyDescent="0.45">
      <c r="A263" s="86" t="s">
        <v>298</v>
      </c>
      <c r="B263" s="87"/>
      <c r="C263" s="87"/>
      <c r="D263" s="87"/>
      <c r="E263" s="88">
        <v>1</v>
      </c>
      <c r="F263" s="89">
        <v>0.47</v>
      </c>
      <c r="G263" s="89">
        <v>0.4</v>
      </c>
      <c r="H263" s="89">
        <v>0.05</v>
      </c>
      <c r="I263" s="89">
        <v>1.06E-2</v>
      </c>
      <c r="J263" s="89">
        <v>8.9999999999999993E-3</v>
      </c>
      <c r="K263" s="90">
        <v>2.0400000000000001E-2</v>
      </c>
      <c r="L263" s="90">
        <v>0.02</v>
      </c>
      <c r="M263" s="90">
        <v>0.02</v>
      </c>
    </row>
    <row r="264" spans="1:14" s="4" customFormat="1" ht="15" customHeight="1" x14ac:dyDescent="0.45">
      <c r="A264" s="91"/>
      <c r="B264" s="5"/>
      <c r="C264" s="5"/>
      <c r="D264" s="5"/>
      <c r="E264" s="92"/>
      <c r="F264" s="93"/>
      <c r="G264" s="92"/>
      <c r="H264" s="92"/>
      <c r="I264" s="92"/>
      <c r="J264" s="92"/>
      <c r="K264" s="94"/>
      <c r="L264" s="94"/>
      <c r="M264" s="92"/>
    </row>
    <row r="265" spans="1:14" s="4" customFormat="1" ht="15" customHeight="1" x14ac:dyDescent="0.45">
      <c r="A265" s="95" t="s">
        <v>315</v>
      </c>
      <c r="B265" s="96">
        <v>-422424422</v>
      </c>
      <c r="C265" s="96"/>
      <c r="D265" s="96"/>
      <c r="E265" s="96">
        <v>-422424422</v>
      </c>
      <c r="F265" s="96">
        <v>-198539478.34</v>
      </c>
      <c r="G265" s="96">
        <v>-168969768.80000001</v>
      </c>
      <c r="H265" s="96">
        <v>-21121221.100000001</v>
      </c>
      <c r="I265" s="96">
        <v>-4477698.8732000003</v>
      </c>
      <c r="J265" s="96">
        <v>-3801819.7979999995</v>
      </c>
      <c r="K265" s="96">
        <v>-8617458.2088000011</v>
      </c>
      <c r="L265" s="96">
        <v>-8448488.4399999995</v>
      </c>
      <c r="M265" s="96">
        <v>-8448488.4399999995</v>
      </c>
    </row>
    <row r="266" spans="1:14" s="4" customFormat="1" ht="15" customHeight="1" x14ac:dyDescent="0.45">
      <c r="A266" s="97" t="s">
        <v>316</v>
      </c>
      <c r="B266" s="98">
        <v>2921010777</v>
      </c>
      <c r="C266" s="98"/>
      <c r="D266" s="98"/>
      <c r="E266" s="98">
        <v>2921010777</v>
      </c>
      <c r="F266" s="98">
        <v>44946300.53426376</v>
      </c>
      <c r="G266" s="98">
        <v>1203080880.5351174</v>
      </c>
      <c r="H266" s="98">
        <v>643006890.69061899</v>
      </c>
      <c r="I266" s="98">
        <v>111793643.83947238</v>
      </c>
      <c r="J266" s="98">
        <v>112104973.235934</v>
      </c>
      <c r="K266" s="98">
        <v>456332002.07689446</v>
      </c>
      <c r="L266" s="98">
        <v>-254701100.47230089</v>
      </c>
      <c r="M266" s="98">
        <v>604447186.55999994</v>
      </c>
    </row>
    <row r="267" spans="1:14" s="14" customFormat="1" ht="15" customHeight="1" x14ac:dyDescent="0.45">
      <c r="A267" s="35"/>
      <c r="B267" s="35"/>
      <c r="C267" s="36"/>
      <c r="D267" s="36"/>
      <c r="E267" s="36"/>
      <c r="F267" s="36"/>
      <c r="G267" s="36"/>
      <c r="H267" s="35"/>
      <c r="I267" s="35"/>
      <c r="J267" s="35"/>
      <c r="K267" s="35"/>
      <c r="L267" s="35"/>
      <c r="M267" s="36"/>
    </row>
    <row r="268" spans="1:14" ht="14" customHeight="1" x14ac:dyDescent="0.45">
      <c r="A268" s="95" t="s">
        <v>317</v>
      </c>
      <c r="B268" s="96">
        <v>-419814973</v>
      </c>
      <c r="C268" s="96"/>
      <c r="D268" s="96"/>
      <c r="E268" s="96">
        <v>-419814972.99999994</v>
      </c>
      <c r="F268" s="96">
        <v>-197313037.31</v>
      </c>
      <c r="G268" s="96">
        <v>-167925989.20000002</v>
      </c>
      <c r="H268" s="96">
        <v>-20990748.650000002</v>
      </c>
      <c r="I268" s="96">
        <v>-4450038.7138</v>
      </c>
      <c r="J268" s="96">
        <v>-3778334.7569999998</v>
      </c>
      <c r="K268" s="96">
        <v>-8564225.4492000006</v>
      </c>
      <c r="L268" s="96">
        <v>-8396299.4600000009</v>
      </c>
      <c r="M268" s="96">
        <v>-8396299.4600000009</v>
      </c>
    </row>
    <row r="269" spans="1:14" s="4" customFormat="1" ht="15" customHeight="1" x14ac:dyDescent="0.45">
      <c r="A269" s="99" t="s">
        <v>318</v>
      </c>
      <c r="B269" s="100">
        <v>2501195804</v>
      </c>
      <c r="C269" s="100"/>
      <c r="D269" s="100"/>
      <c r="E269" s="100">
        <v>2501195804</v>
      </c>
      <c r="F269" s="100">
        <v>-152366736.77573624</v>
      </c>
      <c r="G269" s="100">
        <v>1035154891.3351173</v>
      </c>
      <c r="H269" s="100">
        <v>622016142.04061902</v>
      </c>
      <c r="I269" s="100">
        <v>107343605.12567239</v>
      </c>
      <c r="J269" s="100">
        <v>108326638.478934</v>
      </c>
      <c r="K269" s="100">
        <v>447767776.62769449</v>
      </c>
      <c r="L269" s="100">
        <v>-263097399.9323009</v>
      </c>
      <c r="M269" s="100">
        <v>596050887.0999999</v>
      </c>
    </row>
    <row r="270" spans="1:14" s="14" customFormat="1" ht="15" customHeight="1" x14ac:dyDescent="0.45">
      <c r="A270" s="35"/>
      <c r="B270" s="35"/>
      <c r="C270" s="36"/>
      <c r="D270" s="36"/>
      <c r="E270" s="36"/>
      <c r="F270" s="36"/>
      <c r="G270" s="101"/>
      <c r="H270" s="101"/>
      <c r="I270" s="101"/>
      <c r="J270" s="101"/>
      <c r="K270" s="101"/>
      <c r="L270" s="101"/>
      <c r="M270" s="101"/>
    </row>
    <row r="271" spans="1:14" x14ac:dyDescent="0.45">
      <c r="A271" s="102" t="s">
        <v>319</v>
      </c>
      <c r="B271" s="103">
        <v>2501195804</v>
      </c>
      <c r="C271" s="103"/>
      <c r="D271" s="103"/>
      <c r="E271" s="103">
        <v>2501195804</v>
      </c>
      <c r="F271" s="103">
        <v>-228992416.77573624</v>
      </c>
      <c r="G271" s="103">
        <v>1111780571.3351173</v>
      </c>
      <c r="H271" s="103">
        <v>622016142.04061902</v>
      </c>
      <c r="I271" s="103">
        <v>107343605.12567239</v>
      </c>
      <c r="J271" s="103">
        <v>108326638.478934</v>
      </c>
      <c r="K271" s="103">
        <v>447767776.62769449</v>
      </c>
      <c r="L271" s="103">
        <v>-263097399.9323009</v>
      </c>
      <c r="M271" s="103">
        <v>596050887.0999999</v>
      </c>
    </row>
    <row r="272" spans="1:14" s="1" customFormat="1" x14ac:dyDescent="0.45">
      <c r="A272" s="104" t="s">
        <v>320</v>
      </c>
      <c r="B272" s="104">
        <v>76625680</v>
      </c>
      <c r="C272" s="36"/>
      <c r="D272" s="36"/>
      <c r="E272" s="101"/>
      <c r="F272" s="101"/>
      <c r="G272" s="101"/>
      <c r="H272" s="101"/>
      <c r="I272" s="101"/>
      <c r="J272" s="101"/>
      <c r="K272" s="101"/>
      <c r="L272" s="101"/>
      <c r="M272" s="101"/>
    </row>
    <row r="273" spans="1:13" ht="15.65" customHeight="1" x14ac:dyDescent="0.45">
      <c r="A273" s="105" t="s">
        <v>321</v>
      </c>
      <c r="B273" s="106">
        <v>218254111</v>
      </c>
      <c r="C273" s="36"/>
      <c r="D273" s="36"/>
      <c r="E273" s="36"/>
      <c r="F273" s="36"/>
      <c r="G273" s="36"/>
      <c r="H273" s="35"/>
      <c r="I273" s="35"/>
      <c r="J273" s="35"/>
      <c r="K273" s="35"/>
      <c r="L273" s="35"/>
      <c r="M273" s="35"/>
    </row>
    <row r="274" spans="1:13" ht="15.65" hidden="1" customHeight="1" x14ac:dyDescent="0.45">
      <c r="A274" s="37" t="s">
        <v>235</v>
      </c>
      <c r="B274" s="38">
        <f t="shared" ref="B274:M274" si="0">B28-B29-B30-B63-B70-B71-B73-B74-B115-B122-B126-B133-B136-B141-B142-B151-B156-B164-B171-B178-B181-B193-B199-B215-B217-B228-B229-B238</f>
        <v>0</v>
      </c>
      <c r="C274" s="38">
        <f t="shared" si="0"/>
        <v>4.76837158203125E-7</v>
      </c>
      <c r="D274" s="38">
        <f t="shared" si="0"/>
        <v>0</v>
      </c>
      <c r="E274" s="38">
        <f t="shared" si="0"/>
        <v>0</v>
      </c>
      <c r="F274" s="38">
        <f t="shared" si="0"/>
        <v>4.76837158203125E-7</v>
      </c>
      <c r="G274" s="38">
        <f t="shared" si="0"/>
        <v>0</v>
      </c>
      <c r="H274" s="38">
        <f t="shared" si="0"/>
        <v>2.384185791015625E-7</v>
      </c>
      <c r="I274" s="38">
        <f t="shared" si="0"/>
        <v>0</v>
      </c>
      <c r="J274" s="38">
        <f t="shared" si="0"/>
        <v>-1.1920928955078125E-7</v>
      </c>
      <c r="K274" s="38">
        <f t="shared" si="0"/>
        <v>0</v>
      </c>
      <c r="L274" s="38">
        <f t="shared" si="0"/>
        <v>0</v>
      </c>
      <c r="M274" s="38">
        <f t="shared" si="0"/>
        <v>0</v>
      </c>
    </row>
    <row r="275" spans="1:13" s="4" customFormat="1" ht="15" hidden="1" customHeight="1" x14ac:dyDescent="0.45">
      <c r="A275" s="37" t="s">
        <v>236</v>
      </c>
      <c r="B275" s="38">
        <f t="shared" ref="B275:M275" si="1">B28-B29-SUM(B31:B62)-SUM(B64:B69)-B70-B72-B73-SUM(B75:B114)-SUM(B116:B121)-SUM(B123:B125)-SUM(B127:B132)-B134-SUM(B137:B140)-B141-SUM(B143:B150)-SUM(B152:B155)-SUM(B157:B163)-SUM(B165:B170)-SUM(B172:B177)-SUM(B179:B180)-SUM(B182:B192)-SUM(B194:B198)-SUM(B200:B214)-B216-SUM(B218:B227)-B228-SUM(B230:B237)-B238-B135</f>
        <v>0</v>
      </c>
      <c r="C275" s="38">
        <f t="shared" si="1"/>
        <v>0</v>
      </c>
      <c r="D275" s="38">
        <f t="shared" si="1"/>
        <v>0</v>
      </c>
      <c r="E275" s="38">
        <f t="shared" si="1"/>
        <v>0</v>
      </c>
      <c r="F275" s="38">
        <f t="shared" si="1"/>
        <v>4.76837158203125E-7</v>
      </c>
      <c r="G275" s="38">
        <f t="shared" si="1"/>
        <v>-1.1175870895385742E-7</v>
      </c>
      <c r="H275" s="38">
        <f t="shared" si="1"/>
        <v>2.384185791015625E-7</v>
      </c>
      <c r="I275" s="38">
        <f t="shared" si="1"/>
        <v>0</v>
      </c>
      <c r="J275" s="38">
        <f t="shared" si="1"/>
        <v>-1.1920928955078125E-7</v>
      </c>
      <c r="K275" s="38">
        <f t="shared" si="1"/>
        <v>0</v>
      </c>
      <c r="L275" s="38">
        <f t="shared" si="1"/>
        <v>0</v>
      </c>
      <c r="M275" s="38">
        <f t="shared" si="1"/>
        <v>0</v>
      </c>
    </row>
    <row r="276" spans="1:13" s="4" customFormat="1" ht="15" hidden="1" customHeight="1" x14ac:dyDescent="0.45">
      <c r="A276" s="37" t="s">
        <v>237</v>
      </c>
      <c r="B276" s="38">
        <f t="shared" ref="B276:M276" si="2">B3-B25-B28-B239</f>
        <v>0</v>
      </c>
      <c r="C276" s="38">
        <f t="shared" si="2"/>
        <v>0</v>
      </c>
      <c r="D276" s="38">
        <f t="shared" si="2"/>
        <v>0</v>
      </c>
      <c r="E276" s="38">
        <f t="shared" si="2"/>
        <v>0</v>
      </c>
      <c r="F276" s="38">
        <f t="shared" si="2"/>
        <v>1.9073486328125E-6</v>
      </c>
      <c r="G276" s="38">
        <f t="shared" si="2"/>
        <v>0</v>
      </c>
      <c r="H276" s="38">
        <f t="shared" si="2"/>
        <v>0</v>
      </c>
      <c r="I276" s="38">
        <f t="shared" si="2"/>
        <v>0</v>
      </c>
      <c r="J276" s="38">
        <f t="shared" si="2"/>
        <v>0</v>
      </c>
      <c r="K276" s="38">
        <f t="shared" si="2"/>
        <v>0</v>
      </c>
      <c r="L276" s="38">
        <f t="shared" si="2"/>
        <v>0</v>
      </c>
      <c r="M276" s="38">
        <f t="shared" si="2"/>
        <v>0</v>
      </c>
    </row>
    <row r="277" spans="1:13" s="4" customFormat="1" ht="15" hidden="1" customHeight="1" x14ac:dyDescent="0.45">
      <c r="A277" s="37" t="s">
        <v>238</v>
      </c>
      <c r="B277" s="38">
        <f t="shared" ref="B277:M277" si="3">B239+B240-B250-B261-B260</f>
        <v>0</v>
      </c>
      <c r="C277" s="38">
        <f t="shared" si="3"/>
        <v>0</v>
      </c>
      <c r="D277" s="38">
        <f t="shared" si="3"/>
        <v>0</v>
      </c>
      <c r="E277" s="38">
        <f t="shared" si="3"/>
        <v>0</v>
      </c>
      <c r="F277" s="38">
        <f t="shared" si="3"/>
        <v>0</v>
      </c>
      <c r="G277" s="38">
        <f t="shared" si="3"/>
        <v>0</v>
      </c>
      <c r="H277" s="38">
        <f t="shared" si="3"/>
        <v>0</v>
      </c>
      <c r="I277" s="38">
        <f t="shared" si="3"/>
        <v>0</v>
      </c>
      <c r="J277" s="38">
        <f t="shared" si="3"/>
        <v>0</v>
      </c>
      <c r="K277" s="38">
        <f t="shared" si="3"/>
        <v>0</v>
      </c>
      <c r="L277" s="38">
        <f t="shared" si="3"/>
        <v>0</v>
      </c>
      <c r="M277" s="38">
        <f t="shared" si="3"/>
        <v>0</v>
      </c>
    </row>
    <row r="278" spans="1:13" s="4" customFormat="1" ht="15" hidden="1" customHeight="1" x14ac:dyDescent="0.45">
      <c r="A278" s="32" t="s">
        <v>244</v>
      </c>
      <c r="B278" s="32">
        <f t="shared" ref="B278:M278" si="4">B240-B241-B242-B244-B248-B249-B245-B247-B243-B246</f>
        <v>0</v>
      </c>
      <c r="C278" s="32">
        <f t="shared" si="4"/>
        <v>0</v>
      </c>
      <c r="D278" s="32">
        <f t="shared" si="4"/>
        <v>0</v>
      </c>
      <c r="E278" s="32">
        <f t="shared" si="4"/>
        <v>0</v>
      </c>
      <c r="F278" s="32">
        <f t="shared" si="4"/>
        <v>0</v>
      </c>
      <c r="G278" s="32">
        <f t="shared" si="4"/>
        <v>0</v>
      </c>
      <c r="H278" s="32">
        <f t="shared" si="4"/>
        <v>0</v>
      </c>
      <c r="I278" s="32">
        <f t="shared" si="4"/>
        <v>0</v>
      </c>
      <c r="J278" s="32">
        <f t="shared" si="4"/>
        <v>0</v>
      </c>
      <c r="K278" s="32">
        <f t="shared" si="4"/>
        <v>0</v>
      </c>
      <c r="L278" s="32">
        <f t="shared" si="4"/>
        <v>0</v>
      </c>
      <c r="M278" s="32">
        <f t="shared" si="4"/>
        <v>0</v>
      </c>
    </row>
    <row r="279" spans="1:13" ht="15.65" hidden="1" customHeight="1" x14ac:dyDescent="0.45">
      <c r="A279" s="32" t="s">
        <v>245</v>
      </c>
      <c r="B279" s="32">
        <f t="shared" ref="B279:M279" si="5">B250-B251-B254-B255-B256-B257-B259-B252-B253-B258</f>
        <v>0</v>
      </c>
      <c r="C279" s="32">
        <f t="shared" si="5"/>
        <v>0</v>
      </c>
      <c r="D279" s="32">
        <f t="shared" si="5"/>
        <v>0</v>
      </c>
      <c r="E279" s="32">
        <f t="shared" si="5"/>
        <v>0</v>
      </c>
      <c r="F279" s="32">
        <f t="shared" si="5"/>
        <v>0</v>
      </c>
      <c r="G279" s="32">
        <f t="shared" si="5"/>
        <v>0</v>
      </c>
      <c r="H279" s="32">
        <f t="shared" si="5"/>
        <v>0</v>
      </c>
      <c r="I279" s="32">
        <f t="shared" si="5"/>
        <v>0</v>
      </c>
      <c r="J279" s="32">
        <f t="shared" si="5"/>
        <v>0</v>
      </c>
      <c r="K279" s="32">
        <f t="shared" si="5"/>
        <v>0</v>
      </c>
      <c r="L279" s="32">
        <f t="shared" si="5"/>
        <v>0</v>
      </c>
      <c r="M279" s="32">
        <f t="shared" si="5"/>
        <v>0</v>
      </c>
    </row>
    <row r="280" spans="1:13" ht="15.65" hidden="1" customHeight="1" x14ac:dyDescent="0.45">
      <c r="A280" s="35"/>
      <c r="B280" s="35"/>
      <c r="C280" s="36"/>
      <c r="D280" s="36"/>
      <c r="E280" s="36"/>
      <c r="F280" s="36"/>
      <c r="G280" s="36"/>
      <c r="H280" s="35"/>
      <c r="I280" s="35"/>
      <c r="J280" s="35"/>
      <c r="K280" s="35"/>
      <c r="L280" s="35"/>
      <c r="M280" s="36"/>
    </row>
    <row r="281" spans="1:13" ht="15.65" hidden="1" customHeight="1" x14ac:dyDescent="0.45">
      <c r="A281" s="39" t="s">
        <v>239</v>
      </c>
      <c r="B281" s="38">
        <f>B4+B14+B21-B26-B53-B81-B131-B162-B168-B175-B189-B198-B210-B212-B218-B219-B221-B224-B230-B231-B232-B234-B235-B236-B227</f>
        <v>7705508414</v>
      </c>
      <c r="C281" s="38">
        <f>C4+C14+C21-C26-C53-C81-C131-C162-C168-C175-C189-C198-C210-C212-C219-C221-C224-C230-C231-C232-C235-C236</f>
        <v>2073382568</v>
      </c>
      <c r="D281" s="38"/>
      <c r="E281" s="38">
        <f>E4+E14+E21-E26-E53-E81-E131-E162-E168-E175-E189-E198-E210-E212-E218-E219-E221-E224-E230-E231-E232-E234-E235-E236-E227</f>
        <v>5241029552</v>
      </c>
      <c r="F281" s="38">
        <f>F4+F14+F21-F26-F53-F81-F131-F162-F168-F175-F189-F198-F210-F212-F218-F219-F221-F224-F230-F231-F232-F234-F235-F236-F227</f>
        <v>3247001808.9947529</v>
      </c>
      <c r="G281" s="38">
        <f>G4+G14+G21-G26-G53-G81-G131-G162-G168-G175-G189-G198-G210-G212-G218-G219-G221-G224-G230-G231-G232-G234-G235-G236-G227</f>
        <v>144364333.00524738</v>
      </c>
      <c r="H281" s="38">
        <f t="shared" ref="H281:L281" si="6">H4+H14+H21-H26-H53-H81-H131-H162-H168-H175-H189-H198-H210-H212-H218-H219-H221-H224-H230-H231-H232-H234-H235-H236-H227-H164-H215</f>
        <v>166627480</v>
      </c>
      <c r="I281" s="38">
        <f t="shared" si="6"/>
        <v>108981966.04905543</v>
      </c>
      <c r="J281" s="38">
        <f t="shared" si="6"/>
        <v>-4362768.8313684464</v>
      </c>
      <c r="K281" s="38">
        <f t="shared" si="6"/>
        <v>474481840.44348323</v>
      </c>
      <c r="L281" s="38">
        <f t="shared" si="6"/>
        <v>-129700978.66117017</v>
      </c>
      <c r="M281" s="38">
        <f>M4+M14+M21-M26-M53-M81-M131-M162-M168-M175-M189-M198-M210-M212-M218-M219-M221-M224-M230-M231-M232-M234-M235-M236-M227</f>
        <v>1159363793</v>
      </c>
    </row>
    <row r="282" spans="1:13" s="4" customFormat="1" ht="15" hidden="1" customHeight="1" x14ac:dyDescent="0.45">
      <c r="A282" s="40" t="s">
        <v>240</v>
      </c>
      <c r="B282" s="38">
        <f>B18-B109-B163-B165-B170-B192-B222-B226-B237</f>
        <v>2086609816</v>
      </c>
      <c r="C282" s="38">
        <f>C18-C109-C163-C165-C170-C192-C226-C113</f>
        <v>-615902159</v>
      </c>
      <c r="D282" s="38"/>
      <c r="E282" s="38">
        <f t="shared" ref="E282:M282" si="7">E18-E109-E163-E165-E170-E192-E222-E226-E237-E113</f>
        <v>101021356</v>
      </c>
      <c r="F282" s="38">
        <f t="shared" si="7"/>
        <v>-306569445</v>
      </c>
      <c r="G282" s="38">
        <f t="shared" si="7"/>
        <v>-113863903</v>
      </c>
      <c r="H282" s="38">
        <f t="shared" si="7"/>
        <v>51998200</v>
      </c>
      <c r="I282" s="38">
        <f t="shared" si="7"/>
        <v>8190618</v>
      </c>
      <c r="J282" s="38">
        <f t="shared" si="7"/>
        <v>0</v>
      </c>
      <c r="K282" s="38">
        <f t="shared" si="7"/>
        <v>16568176</v>
      </c>
      <c r="L282" s="38">
        <f t="shared" si="7"/>
        <v>444747710</v>
      </c>
      <c r="M282" s="38">
        <f t="shared" si="7"/>
        <v>-50000</v>
      </c>
    </row>
    <row r="283" spans="1:13" s="4" customFormat="1" ht="15" hidden="1" customHeight="1" x14ac:dyDescent="0.45">
      <c r="A283" s="37" t="s">
        <v>241</v>
      </c>
      <c r="B283" s="41">
        <f>SUBTOTAL(9,B281:B282)</f>
        <v>9792118230</v>
      </c>
      <c r="C283" s="41">
        <f t="shared" ref="C283" si="8">SUBTOTAL(9,C281:C282)</f>
        <v>1457480409</v>
      </c>
      <c r="D283" s="41"/>
      <c r="E283" s="41">
        <f t="shared" ref="E283:L283" si="9">SUBTOTAL(9,E281:E282)</f>
        <v>5342050908</v>
      </c>
      <c r="F283" s="41">
        <f t="shared" si="9"/>
        <v>2940432363.9947529</v>
      </c>
      <c r="G283" s="41">
        <f>SUBTOTAL(9,G281:G282)</f>
        <v>30500430.005247384</v>
      </c>
      <c r="H283" s="41">
        <f>SUBTOTAL(9,H281:H282)</f>
        <v>218625680</v>
      </c>
      <c r="I283" s="41">
        <f t="shared" si="9"/>
        <v>117172584.04905543</v>
      </c>
      <c r="J283" s="41">
        <f t="shared" si="9"/>
        <v>-4362768.8313684464</v>
      </c>
      <c r="K283" s="41">
        <f t="shared" si="9"/>
        <v>491050016.44348323</v>
      </c>
      <c r="L283" s="41">
        <f t="shared" si="9"/>
        <v>315046731.33882982</v>
      </c>
      <c r="M283" s="41">
        <f>SUBTOTAL(9,M281:M282)</f>
        <v>1159313793</v>
      </c>
    </row>
    <row r="284" spans="1:13" s="4" customFormat="1" ht="15" hidden="1" customHeight="1" x14ac:dyDescent="0.45">
      <c r="A284" s="9" t="s">
        <v>241</v>
      </c>
      <c r="B284" s="10">
        <f>SUBTOTAL(9,B282:B283)</f>
        <v>2086609816</v>
      </c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</row>
    <row r="285" spans="1:13" collapsed="1" x14ac:dyDescent="0.45">
      <c r="H285" s="3"/>
      <c r="I285" s="3"/>
      <c r="J285" s="3"/>
      <c r="K285" s="3"/>
      <c r="L285" s="3"/>
      <c r="M285" s="2"/>
    </row>
    <row r="286" spans="1:13" x14ac:dyDescent="0.45">
      <c r="E286" s="20"/>
      <c r="F286" s="20"/>
      <c r="G286" s="20"/>
      <c r="H286" s="20"/>
      <c r="M286" s="2"/>
    </row>
    <row r="287" spans="1:13" x14ac:dyDescent="0.45">
      <c r="H287" s="3"/>
      <c r="I287" s="3"/>
      <c r="J287" s="3"/>
      <c r="K287" s="3"/>
      <c r="L287" s="3"/>
    </row>
    <row r="288" spans="1:13" x14ac:dyDescent="0.45">
      <c r="B288" s="3"/>
      <c r="H288" s="3"/>
      <c r="I288" s="3"/>
      <c r="J288" s="3"/>
      <c r="K288" s="3"/>
      <c r="L288" s="3"/>
    </row>
    <row r="289" spans="8:12" x14ac:dyDescent="0.45">
      <c r="H289" s="3"/>
      <c r="I289" s="3"/>
      <c r="J289" s="3"/>
      <c r="K289" s="3"/>
      <c r="L289" s="3"/>
    </row>
    <row r="290" spans="8:12" x14ac:dyDescent="0.45">
      <c r="H290" s="3"/>
      <c r="I290" s="3"/>
      <c r="J290" s="3"/>
      <c r="K290" s="3"/>
      <c r="L290" s="3"/>
    </row>
    <row r="293" spans="8:12" x14ac:dyDescent="0.45">
      <c r="H293" s="3"/>
      <c r="I293" s="3"/>
      <c r="J293" s="3"/>
      <c r="K293" s="3"/>
      <c r="L293" s="3"/>
    </row>
    <row r="295" spans="8:12" x14ac:dyDescent="0.45">
      <c r="H295" s="3"/>
      <c r="I295" s="3"/>
      <c r="J295" s="3"/>
      <c r="K295" s="3"/>
      <c r="L295" s="3"/>
    </row>
  </sheetData>
  <mergeCells count="8">
    <mergeCell ref="I1:L1"/>
    <mergeCell ref="M1:M2"/>
    <mergeCell ref="A1:A2"/>
    <mergeCell ref="B1:B2"/>
    <mergeCell ref="C1:C2"/>
    <mergeCell ref="D1:D2"/>
    <mergeCell ref="E1:E2"/>
    <mergeCell ref="F1:H1"/>
  </mergeCells>
  <phoneticPr fontId="2" type="noConversion"/>
  <pageMargins left="0.75" right="0.75" top="1" bottom="1" header="0.5" footer="0.5"/>
  <pageSetup paperSize="8" scale="60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21AAE-40DC-442C-8D26-C36A2726EEB6}">
  <sheetPr>
    <tabColor rgb="FFFFC000"/>
    <pageSetUpPr fitToPage="1"/>
  </sheetPr>
  <dimension ref="A1:N295"/>
  <sheetViews>
    <sheetView showGridLines="0" zoomScale="85" zoomScaleNormal="85" zoomScaleSheetLayoutView="85" workbookViewId="0">
      <pane xSplit="2" ySplit="3" topLeftCell="C4" activePane="bottomRight" state="frozen"/>
      <selection activeCell="J2" sqref="J2:J253"/>
      <selection pane="topRight" activeCell="J2" sqref="J2:J253"/>
      <selection pane="bottomLeft" activeCell="J2" sqref="J2:J253"/>
      <selection pane="bottomRight" sqref="A1:A2"/>
    </sheetView>
  </sheetViews>
  <sheetFormatPr defaultColWidth="9.08984375" defaultRowHeight="16" outlineLevelRow="1" x14ac:dyDescent="0.45"/>
  <cols>
    <col min="1" max="1" width="36.36328125" style="2" customWidth="1"/>
    <col min="2" max="2" width="19.08984375" style="2" customWidth="1"/>
    <col min="3" max="7" width="19.08984375" style="3" customWidth="1"/>
    <col min="8" max="12" width="19.08984375" style="2" customWidth="1"/>
    <col min="13" max="13" width="19.08984375" style="3" customWidth="1"/>
    <col min="14" max="16384" width="9.08984375" style="2"/>
  </cols>
  <sheetData>
    <row r="1" spans="1:14" s="1" customFormat="1" ht="15.65" customHeight="1" x14ac:dyDescent="0.45">
      <c r="A1" s="213" t="s">
        <v>313</v>
      </c>
      <c r="B1" s="210" t="s">
        <v>233</v>
      </c>
      <c r="C1" s="210" t="s">
        <v>250</v>
      </c>
      <c r="D1" s="210" t="s">
        <v>288</v>
      </c>
      <c r="E1" s="210" t="s">
        <v>167</v>
      </c>
      <c r="F1" s="204" t="s">
        <v>289</v>
      </c>
      <c r="G1" s="205"/>
      <c r="H1" s="212"/>
      <c r="I1" s="204" t="s">
        <v>290</v>
      </c>
      <c r="J1" s="205"/>
      <c r="K1" s="205"/>
      <c r="L1" s="212"/>
      <c r="M1" s="202" t="s">
        <v>291</v>
      </c>
    </row>
    <row r="2" spans="1:14" s="1" customFormat="1" ht="15.65" customHeight="1" x14ac:dyDescent="0.45">
      <c r="A2" s="214"/>
      <c r="B2" s="211"/>
      <c r="C2" s="211"/>
      <c r="D2" s="211"/>
      <c r="E2" s="211"/>
      <c r="F2" s="115" t="s">
        <v>248</v>
      </c>
      <c r="G2" s="115" t="s">
        <v>242</v>
      </c>
      <c r="H2" s="26" t="s">
        <v>365</v>
      </c>
      <c r="I2" s="26" t="s">
        <v>168</v>
      </c>
      <c r="J2" s="26" t="s">
        <v>169</v>
      </c>
      <c r="K2" s="26" t="s">
        <v>294</v>
      </c>
      <c r="L2" s="26" t="s">
        <v>295</v>
      </c>
      <c r="M2" s="203"/>
    </row>
    <row r="3" spans="1:14" s="1" customFormat="1" ht="15.65" customHeight="1" x14ac:dyDescent="0.45">
      <c r="A3" s="27" t="s">
        <v>0</v>
      </c>
      <c r="B3" s="42">
        <v>81020837570</v>
      </c>
      <c r="C3" s="57">
        <v>-3602322244</v>
      </c>
      <c r="D3" s="57">
        <v>121475454</v>
      </c>
      <c r="E3" s="58">
        <v>84501684360</v>
      </c>
      <c r="F3" s="57">
        <v>46917575902.080597</v>
      </c>
      <c r="G3" s="57">
        <v>3714612949.9194026</v>
      </c>
      <c r="H3" s="59">
        <v>22004821280</v>
      </c>
      <c r="I3" s="59">
        <v>769820405</v>
      </c>
      <c r="J3" s="59">
        <v>736020667</v>
      </c>
      <c r="K3" s="59">
        <v>2609772410</v>
      </c>
      <c r="L3" s="57">
        <v>2079197624</v>
      </c>
      <c r="M3" s="57">
        <v>5669863122</v>
      </c>
    </row>
    <row r="4" spans="1:14" s="1" customFormat="1" x14ac:dyDescent="0.45">
      <c r="A4" s="28" t="s">
        <v>1</v>
      </c>
      <c r="B4" s="43">
        <v>49341568697</v>
      </c>
      <c r="C4" s="60">
        <v>108405859</v>
      </c>
      <c r="D4" s="60">
        <v>1424911</v>
      </c>
      <c r="E4" s="61">
        <v>49231737927</v>
      </c>
      <c r="F4" s="60">
        <v>26413868593</v>
      </c>
      <c r="G4" s="60">
        <v>215264145</v>
      </c>
      <c r="H4" s="62">
        <v>16055033344</v>
      </c>
      <c r="I4" s="62">
        <v>338391089</v>
      </c>
      <c r="J4" s="62">
        <v>12843735</v>
      </c>
      <c r="K4" s="62">
        <v>785352606</v>
      </c>
      <c r="L4" s="62">
        <v>217382728</v>
      </c>
      <c r="M4" s="60">
        <v>5193601687</v>
      </c>
    </row>
    <row r="5" spans="1:14" s="1" customFormat="1" ht="16" hidden="1" customHeight="1" outlineLevel="1" x14ac:dyDescent="0.45">
      <c r="A5" s="29" t="s">
        <v>2</v>
      </c>
      <c r="B5" s="44">
        <v>7632965979</v>
      </c>
      <c r="C5" s="63">
        <v>1551000</v>
      </c>
      <c r="D5" s="63">
        <v>0</v>
      </c>
      <c r="E5" s="64">
        <v>7631414979</v>
      </c>
      <c r="F5" s="63">
        <v>26001156</v>
      </c>
      <c r="G5" s="63">
        <v>212020500</v>
      </c>
      <c r="H5" s="65">
        <v>2087974011</v>
      </c>
      <c r="I5" s="65">
        <v>80875453</v>
      </c>
      <c r="J5" s="65">
        <v>6786100</v>
      </c>
      <c r="K5" s="65">
        <v>195792854</v>
      </c>
      <c r="L5" s="65">
        <v>28000</v>
      </c>
      <c r="M5" s="63">
        <v>5021936905</v>
      </c>
    </row>
    <row r="6" spans="1:14" ht="16" hidden="1" customHeight="1" outlineLevel="1" x14ac:dyDescent="0.45">
      <c r="A6" s="29" t="s">
        <v>3</v>
      </c>
      <c r="B6" s="44">
        <v>0</v>
      </c>
      <c r="C6" s="63">
        <v>0</v>
      </c>
      <c r="D6" s="63">
        <v>0</v>
      </c>
      <c r="E6" s="64">
        <v>0</v>
      </c>
      <c r="F6" s="63">
        <v>0</v>
      </c>
      <c r="G6" s="63">
        <v>0</v>
      </c>
      <c r="H6" s="65">
        <v>0</v>
      </c>
      <c r="I6" s="65">
        <v>0</v>
      </c>
      <c r="J6" s="65">
        <v>0</v>
      </c>
      <c r="K6" s="65">
        <v>0</v>
      </c>
      <c r="L6" s="65">
        <v>0</v>
      </c>
      <c r="M6" s="63">
        <v>0</v>
      </c>
      <c r="N6" s="1"/>
    </row>
    <row r="7" spans="1:14" ht="16" hidden="1" customHeight="1" outlineLevel="1" x14ac:dyDescent="0.45">
      <c r="A7" s="29" t="s">
        <v>170</v>
      </c>
      <c r="B7" s="44">
        <v>0</v>
      </c>
      <c r="C7" s="63">
        <v>0</v>
      </c>
      <c r="D7" s="63">
        <v>0</v>
      </c>
      <c r="E7" s="64">
        <v>0</v>
      </c>
      <c r="F7" s="63">
        <v>0</v>
      </c>
      <c r="G7" s="63">
        <v>0</v>
      </c>
      <c r="H7" s="65">
        <v>0</v>
      </c>
      <c r="I7" s="65">
        <v>0</v>
      </c>
      <c r="J7" s="65">
        <v>0</v>
      </c>
      <c r="K7" s="65">
        <v>0</v>
      </c>
      <c r="L7" s="65">
        <v>0</v>
      </c>
      <c r="M7" s="63">
        <v>0</v>
      </c>
      <c r="N7" s="1"/>
    </row>
    <row r="8" spans="1:14" ht="16" hidden="1" customHeight="1" outlineLevel="1" x14ac:dyDescent="0.45">
      <c r="A8" s="29" t="s">
        <v>4</v>
      </c>
      <c r="B8" s="44">
        <v>40755033638</v>
      </c>
      <c r="C8" s="63">
        <v>106854859</v>
      </c>
      <c r="D8" s="63">
        <v>0</v>
      </c>
      <c r="E8" s="64">
        <v>40648178779</v>
      </c>
      <c r="F8" s="63">
        <v>25849924496</v>
      </c>
      <c r="G8" s="63">
        <v>3243645</v>
      </c>
      <c r="H8" s="65">
        <v>13739630066</v>
      </c>
      <c r="I8" s="65">
        <v>257515636</v>
      </c>
      <c r="J8" s="65">
        <v>647000</v>
      </c>
      <c r="K8" s="65">
        <v>582734026</v>
      </c>
      <c r="L8" s="65">
        <v>214483910</v>
      </c>
      <c r="M8" s="63">
        <v>0</v>
      </c>
      <c r="N8" s="1"/>
    </row>
    <row r="9" spans="1:14" ht="16" hidden="1" customHeight="1" outlineLevel="1" x14ac:dyDescent="0.45">
      <c r="A9" s="29" t="s">
        <v>5</v>
      </c>
      <c r="B9" s="44">
        <v>295909037</v>
      </c>
      <c r="C9" s="63">
        <v>0</v>
      </c>
      <c r="D9" s="63">
        <v>1424911</v>
      </c>
      <c r="E9" s="64">
        <v>294484126</v>
      </c>
      <c r="F9" s="63">
        <v>245548058</v>
      </c>
      <c r="G9" s="63">
        <v>0</v>
      </c>
      <c r="H9" s="65">
        <v>14332068</v>
      </c>
      <c r="I9" s="65">
        <v>0</v>
      </c>
      <c r="J9" s="65">
        <v>0</v>
      </c>
      <c r="K9" s="65">
        <v>2483182</v>
      </c>
      <c r="L9" s="65">
        <v>2870818</v>
      </c>
      <c r="M9" s="63">
        <v>29250000</v>
      </c>
      <c r="N9" s="1"/>
    </row>
    <row r="10" spans="1:14" ht="16" hidden="1" customHeight="1" outlineLevel="1" x14ac:dyDescent="0.45">
      <c r="A10" s="29" t="s">
        <v>118</v>
      </c>
      <c r="B10" s="44">
        <v>163180452</v>
      </c>
      <c r="C10" s="63">
        <v>0</v>
      </c>
      <c r="D10" s="63">
        <v>0</v>
      </c>
      <c r="E10" s="64">
        <v>163180452</v>
      </c>
      <c r="F10" s="63">
        <v>0</v>
      </c>
      <c r="G10" s="63">
        <v>0</v>
      </c>
      <c r="H10" s="65">
        <v>153427273</v>
      </c>
      <c r="I10" s="65">
        <v>0</v>
      </c>
      <c r="J10" s="65">
        <v>5410635</v>
      </c>
      <c r="K10" s="65">
        <v>4342544</v>
      </c>
      <c r="L10" s="65">
        <v>0</v>
      </c>
      <c r="M10" s="63">
        <v>0</v>
      </c>
      <c r="N10" s="1"/>
    </row>
    <row r="11" spans="1:14" ht="16" hidden="1" customHeight="1" outlineLevel="1" x14ac:dyDescent="0.45">
      <c r="A11" s="29" t="s">
        <v>6</v>
      </c>
      <c r="B11" s="44">
        <v>352064809</v>
      </c>
      <c r="C11" s="63">
        <v>0</v>
      </c>
      <c r="D11" s="63">
        <v>0</v>
      </c>
      <c r="E11" s="64">
        <v>352064809</v>
      </c>
      <c r="F11" s="63">
        <v>292394883</v>
      </c>
      <c r="G11" s="63">
        <v>0</v>
      </c>
      <c r="H11" s="65">
        <v>59669926</v>
      </c>
      <c r="I11" s="65">
        <v>0</v>
      </c>
      <c r="J11" s="65">
        <v>0</v>
      </c>
      <c r="K11" s="65">
        <v>0</v>
      </c>
      <c r="L11" s="65">
        <v>0</v>
      </c>
      <c r="M11" s="63">
        <v>0</v>
      </c>
      <c r="N11" s="1"/>
    </row>
    <row r="12" spans="1:14" ht="16" hidden="1" customHeight="1" outlineLevel="1" x14ac:dyDescent="0.45">
      <c r="A12" s="29" t="s">
        <v>299</v>
      </c>
      <c r="B12" s="44">
        <v>142414782</v>
      </c>
      <c r="C12" s="63">
        <v>0</v>
      </c>
      <c r="D12" s="63">
        <v>0</v>
      </c>
      <c r="E12" s="64">
        <v>142414782</v>
      </c>
      <c r="F12" s="63">
        <v>0</v>
      </c>
      <c r="G12" s="63">
        <v>0</v>
      </c>
      <c r="H12" s="65">
        <v>0</v>
      </c>
      <c r="I12" s="65">
        <v>0</v>
      </c>
      <c r="J12" s="65">
        <v>0</v>
      </c>
      <c r="K12" s="65">
        <v>0</v>
      </c>
      <c r="L12" s="65">
        <v>0</v>
      </c>
      <c r="M12" s="63">
        <v>142414782</v>
      </c>
      <c r="N12" s="1"/>
    </row>
    <row r="13" spans="1:14" ht="16" customHeight="1" collapsed="1" x14ac:dyDescent="0.45">
      <c r="A13" s="28" t="s">
        <v>7</v>
      </c>
      <c r="B13" s="43">
        <v>31679268873</v>
      </c>
      <c r="C13" s="60">
        <v>-3710728103</v>
      </c>
      <c r="D13" s="60">
        <v>120050543</v>
      </c>
      <c r="E13" s="61">
        <v>35269946433</v>
      </c>
      <c r="F13" s="60">
        <v>20503707309.080597</v>
      </c>
      <c r="G13" s="60">
        <v>3499348804.9194026</v>
      </c>
      <c r="H13" s="62">
        <v>5949787936</v>
      </c>
      <c r="I13" s="62">
        <v>431429316</v>
      </c>
      <c r="J13" s="62">
        <v>723176932</v>
      </c>
      <c r="K13" s="62">
        <v>1824419804</v>
      </c>
      <c r="L13" s="62">
        <v>1861814896</v>
      </c>
      <c r="M13" s="60">
        <v>476261435</v>
      </c>
      <c r="N13" s="1"/>
    </row>
    <row r="14" spans="1:14" s="1" customFormat="1" ht="16" hidden="1" customHeight="1" outlineLevel="1" collapsed="1" x14ac:dyDescent="0.45">
      <c r="A14" s="24" t="s">
        <v>8</v>
      </c>
      <c r="B14" s="45">
        <v>21184776808</v>
      </c>
      <c r="C14" s="63">
        <v>-564882369</v>
      </c>
      <c r="D14" s="63">
        <v>3636364</v>
      </c>
      <c r="E14" s="64">
        <v>21746022813</v>
      </c>
      <c r="F14" s="63">
        <v>14980127965</v>
      </c>
      <c r="G14" s="63">
        <v>120071311</v>
      </c>
      <c r="H14" s="65">
        <v>4001295421</v>
      </c>
      <c r="I14" s="65">
        <v>341861435</v>
      </c>
      <c r="J14" s="65">
        <v>583857432</v>
      </c>
      <c r="K14" s="65">
        <v>1317669982</v>
      </c>
      <c r="L14" s="65">
        <v>145111331</v>
      </c>
      <c r="M14" s="63">
        <v>256027936</v>
      </c>
    </row>
    <row r="15" spans="1:14" ht="16" hidden="1" customHeight="1" outlineLevel="1" x14ac:dyDescent="0.45">
      <c r="A15" s="29" t="s">
        <v>9</v>
      </c>
      <c r="B15" s="44">
        <v>161403307</v>
      </c>
      <c r="C15" s="63">
        <v>0</v>
      </c>
      <c r="D15" s="63">
        <v>1737179</v>
      </c>
      <c r="E15" s="64">
        <v>159666128</v>
      </c>
      <c r="F15" s="63">
        <v>26054545</v>
      </c>
      <c r="G15" s="63">
        <v>0</v>
      </c>
      <c r="H15" s="65">
        <v>13541817</v>
      </c>
      <c r="I15" s="65">
        <v>0</v>
      </c>
      <c r="J15" s="65">
        <v>156817</v>
      </c>
      <c r="K15" s="65">
        <v>0</v>
      </c>
      <c r="L15" s="65">
        <v>97129450</v>
      </c>
      <c r="M15" s="63">
        <v>22783499</v>
      </c>
      <c r="N15" s="1"/>
    </row>
    <row r="16" spans="1:14" ht="16" hidden="1" customHeight="1" outlineLevel="1" x14ac:dyDescent="0.45">
      <c r="A16" s="29" t="s">
        <v>10</v>
      </c>
      <c r="B16" s="44">
        <v>4509564917</v>
      </c>
      <c r="C16" s="63">
        <v>-71188380</v>
      </c>
      <c r="D16" s="63">
        <v>0</v>
      </c>
      <c r="E16" s="64">
        <v>4580753297</v>
      </c>
      <c r="F16" s="63">
        <v>2623672219.0805974</v>
      </c>
      <c r="G16" s="63">
        <v>880479540.9194026</v>
      </c>
      <c r="H16" s="65">
        <v>500286435</v>
      </c>
      <c r="I16" s="65">
        <v>79226199</v>
      </c>
      <c r="J16" s="65">
        <v>134662183</v>
      </c>
      <c r="K16" s="65">
        <v>242027148</v>
      </c>
      <c r="L16" s="65">
        <v>120399572</v>
      </c>
      <c r="M16" s="63">
        <v>0</v>
      </c>
      <c r="N16" s="1"/>
    </row>
    <row r="17" spans="1:14" ht="16" hidden="1" customHeight="1" outlineLevel="1" x14ac:dyDescent="0.45">
      <c r="A17" s="29" t="s">
        <v>11</v>
      </c>
      <c r="B17" s="44">
        <v>68965745</v>
      </c>
      <c r="C17" s="63">
        <v>264585</v>
      </c>
      <c r="D17" s="63">
        <v>0</v>
      </c>
      <c r="E17" s="64">
        <v>68701160</v>
      </c>
      <c r="F17" s="63">
        <v>63667796</v>
      </c>
      <c r="G17" s="63">
        <v>16000</v>
      </c>
      <c r="H17" s="65">
        <v>3735955</v>
      </c>
      <c r="I17" s="65">
        <v>52500</v>
      </c>
      <c r="J17" s="65">
        <v>460500</v>
      </c>
      <c r="K17" s="65">
        <v>768409</v>
      </c>
      <c r="L17" s="65">
        <v>0</v>
      </c>
      <c r="M17" s="63">
        <v>0</v>
      </c>
      <c r="N17" s="1"/>
    </row>
    <row r="18" spans="1:14" ht="16" hidden="1" customHeight="1" outlineLevel="1" x14ac:dyDescent="0.45">
      <c r="A18" s="30" t="s">
        <v>12</v>
      </c>
      <c r="B18" s="46">
        <v>3684339031</v>
      </c>
      <c r="C18" s="63">
        <v>-1643354</v>
      </c>
      <c r="D18" s="63">
        <v>0</v>
      </c>
      <c r="E18" s="64">
        <v>3685982385</v>
      </c>
      <c r="F18" s="63">
        <v>2063671760</v>
      </c>
      <c r="G18" s="63">
        <v>-1218047</v>
      </c>
      <c r="H18" s="65">
        <v>78432728</v>
      </c>
      <c r="I18" s="65">
        <v>2818182</v>
      </c>
      <c r="J18" s="65">
        <v>0</v>
      </c>
      <c r="K18" s="65">
        <v>43103219</v>
      </c>
      <c r="L18" s="65">
        <v>1499174543</v>
      </c>
      <c r="M18" s="63">
        <v>0</v>
      </c>
      <c r="N18" s="1"/>
    </row>
    <row r="19" spans="1:14" ht="16" hidden="1" customHeight="1" outlineLevel="1" x14ac:dyDescent="0.45">
      <c r="A19" s="29" t="s">
        <v>119</v>
      </c>
      <c r="B19" s="44">
        <v>-3076032729</v>
      </c>
      <c r="C19" s="63">
        <v>-3076032729</v>
      </c>
      <c r="D19" s="63">
        <v>0</v>
      </c>
      <c r="E19" s="64">
        <v>0</v>
      </c>
      <c r="F19" s="63">
        <v>0</v>
      </c>
      <c r="G19" s="63">
        <v>0</v>
      </c>
      <c r="H19" s="65">
        <v>0</v>
      </c>
      <c r="I19" s="65">
        <v>0</v>
      </c>
      <c r="J19" s="65">
        <v>0</v>
      </c>
      <c r="K19" s="65">
        <v>0</v>
      </c>
      <c r="L19" s="65">
        <v>0</v>
      </c>
      <c r="M19" s="63">
        <v>0</v>
      </c>
      <c r="N19" s="1"/>
    </row>
    <row r="20" spans="1:14" ht="16" hidden="1" customHeight="1" outlineLevel="1" x14ac:dyDescent="0.45">
      <c r="A20" s="29" t="s">
        <v>120</v>
      </c>
      <c r="B20" s="44">
        <v>0</v>
      </c>
      <c r="C20" s="63">
        <v>0</v>
      </c>
      <c r="D20" s="63">
        <v>0</v>
      </c>
      <c r="E20" s="64">
        <v>0</v>
      </c>
      <c r="F20" s="63">
        <v>0</v>
      </c>
      <c r="G20" s="63">
        <v>0</v>
      </c>
      <c r="H20" s="65">
        <v>0</v>
      </c>
      <c r="I20" s="65">
        <v>0</v>
      </c>
      <c r="J20" s="65">
        <v>0</v>
      </c>
      <c r="K20" s="65">
        <v>0</v>
      </c>
      <c r="L20" s="65">
        <v>0</v>
      </c>
      <c r="M20" s="63">
        <v>0</v>
      </c>
      <c r="N20" s="1"/>
    </row>
    <row r="21" spans="1:14" ht="16" hidden="1" customHeight="1" outlineLevel="1" x14ac:dyDescent="0.45">
      <c r="A21" s="24" t="s">
        <v>13</v>
      </c>
      <c r="B21" s="45">
        <v>670706713</v>
      </c>
      <c r="C21" s="63">
        <v>0</v>
      </c>
      <c r="D21" s="63">
        <v>0</v>
      </c>
      <c r="E21" s="64">
        <v>670706713</v>
      </c>
      <c r="F21" s="63">
        <v>140000</v>
      </c>
      <c r="G21" s="63">
        <v>0</v>
      </c>
      <c r="H21" s="65">
        <v>489028000</v>
      </c>
      <c r="I21" s="65">
        <v>7471000</v>
      </c>
      <c r="J21" s="65">
        <v>0</v>
      </c>
      <c r="K21" s="65">
        <v>174067713</v>
      </c>
      <c r="L21" s="65">
        <v>0</v>
      </c>
      <c r="M21" s="63">
        <v>0</v>
      </c>
      <c r="N21" s="1"/>
    </row>
    <row r="22" spans="1:14" s="1" customFormat="1" ht="16" hidden="1" customHeight="1" outlineLevel="1" x14ac:dyDescent="0.45">
      <c r="A22" s="29" t="s">
        <v>121</v>
      </c>
      <c r="B22" s="44">
        <v>3726417913</v>
      </c>
      <c r="C22" s="63">
        <v>0</v>
      </c>
      <c r="D22" s="63">
        <v>114677000</v>
      </c>
      <c r="E22" s="64">
        <v>3611740913</v>
      </c>
      <c r="F22" s="63">
        <v>0</v>
      </c>
      <c r="G22" s="63">
        <v>2500000000</v>
      </c>
      <c r="H22" s="65">
        <v>863467580</v>
      </c>
      <c r="I22" s="65">
        <v>0</v>
      </c>
      <c r="J22" s="65">
        <v>4040000</v>
      </c>
      <c r="K22" s="65">
        <v>46783333</v>
      </c>
      <c r="L22" s="65">
        <v>0</v>
      </c>
      <c r="M22" s="63">
        <v>197450000</v>
      </c>
    </row>
    <row r="23" spans="1:14" ht="16" hidden="1" customHeight="1" outlineLevel="1" x14ac:dyDescent="0.45">
      <c r="A23" s="29" t="s">
        <v>249</v>
      </c>
      <c r="B23" s="44">
        <v>749127168</v>
      </c>
      <c r="C23" s="63">
        <v>2754144</v>
      </c>
      <c r="D23" s="63">
        <v>0</v>
      </c>
      <c r="E23" s="64">
        <v>746373024</v>
      </c>
      <c r="F23" s="63">
        <v>746373024</v>
      </c>
      <c r="G23" s="63">
        <v>0</v>
      </c>
      <c r="H23" s="65">
        <v>0</v>
      </c>
      <c r="I23" s="65">
        <v>0</v>
      </c>
      <c r="J23" s="65">
        <v>0</v>
      </c>
      <c r="K23" s="65">
        <v>0</v>
      </c>
      <c r="L23" s="65">
        <v>0</v>
      </c>
      <c r="M23" s="63">
        <v>0</v>
      </c>
      <c r="N23" s="1"/>
    </row>
    <row r="24" spans="1:14" ht="16" hidden="1" customHeight="1" outlineLevel="1" x14ac:dyDescent="0.45">
      <c r="A24" s="24" t="s">
        <v>287</v>
      </c>
      <c r="B24" s="45">
        <v>0</v>
      </c>
      <c r="C24" s="63">
        <v>0</v>
      </c>
      <c r="D24" s="63">
        <v>0</v>
      </c>
      <c r="E24" s="64">
        <v>0</v>
      </c>
      <c r="F24" s="63">
        <v>0</v>
      </c>
      <c r="G24" s="63">
        <v>0</v>
      </c>
      <c r="H24" s="65">
        <v>0</v>
      </c>
      <c r="I24" s="65">
        <v>0</v>
      </c>
      <c r="J24" s="65">
        <v>0</v>
      </c>
      <c r="K24" s="65">
        <v>0</v>
      </c>
      <c r="L24" s="65">
        <v>0</v>
      </c>
      <c r="M24" s="63">
        <v>0</v>
      </c>
      <c r="N24" s="1"/>
    </row>
    <row r="25" spans="1:14" ht="16" customHeight="1" collapsed="1" x14ac:dyDescent="0.45">
      <c r="A25" s="27" t="s">
        <v>14</v>
      </c>
      <c r="B25" s="42">
        <v>56204739077</v>
      </c>
      <c r="C25" s="57">
        <v>125787474</v>
      </c>
      <c r="D25" s="57">
        <v>0</v>
      </c>
      <c r="E25" s="58">
        <v>56078951603</v>
      </c>
      <c r="F25" s="58">
        <v>30955735332</v>
      </c>
      <c r="G25" s="58">
        <v>14848000</v>
      </c>
      <c r="H25" s="58">
        <v>17845651955</v>
      </c>
      <c r="I25" s="58">
        <v>620331526</v>
      </c>
      <c r="J25" s="58">
        <v>-131691930</v>
      </c>
      <c r="K25" s="58">
        <v>2034260090</v>
      </c>
      <c r="L25" s="58">
        <v>290475271</v>
      </c>
      <c r="M25" s="58">
        <v>4449341359</v>
      </c>
      <c r="N25" s="1"/>
    </row>
    <row r="26" spans="1:14" s="1" customFormat="1" ht="16" hidden="1" customHeight="1" outlineLevel="1" collapsed="1" x14ac:dyDescent="0.45">
      <c r="A26" s="28" t="s">
        <v>15</v>
      </c>
      <c r="B26" s="43">
        <v>56204739077</v>
      </c>
      <c r="C26" s="60">
        <v>125787474</v>
      </c>
      <c r="D26" s="60">
        <v>0</v>
      </c>
      <c r="E26" s="61">
        <v>56078951603</v>
      </c>
      <c r="F26" s="60">
        <v>30955735332</v>
      </c>
      <c r="G26" s="60">
        <v>14848000</v>
      </c>
      <c r="H26" s="62">
        <v>17845651955</v>
      </c>
      <c r="I26" s="62">
        <v>620331526</v>
      </c>
      <c r="J26" s="62">
        <v>-131691930</v>
      </c>
      <c r="K26" s="62">
        <v>2034260090</v>
      </c>
      <c r="L26" s="62">
        <v>290475271</v>
      </c>
      <c r="M26" s="60">
        <v>4449341359</v>
      </c>
    </row>
    <row r="27" spans="1:14" s="1" customFormat="1" ht="16" customHeight="1" collapsed="1" x14ac:dyDescent="0.45">
      <c r="A27" s="27" t="s">
        <v>16</v>
      </c>
      <c r="B27" s="42">
        <v>24816098493</v>
      </c>
      <c r="C27" s="57">
        <v>-3728109718</v>
      </c>
      <c r="D27" s="57">
        <v>121475454</v>
      </c>
      <c r="E27" s="58">
        <v>28422732757</v>
      </c>
      <c r="F27" s="57">
        <v>15961840570.080597</v>
      </c>
      <c r="G27" s="57">
        <v>3699764949.9194026</v>
      </c>
      <c r="H27" s="59">
        <v>4159169325</v>
      </c>
      <c r="I27" s="59">
        <v>149488879</v>
      </c>
      <c r="J27" s="59">
        <v>867712597</v>
      </c>
      <c r="K27" s="59">
        <v>575512320</v>
      </c>
      <c r="L27" s="59">
        <v>1788722353</v>
      </c>
      <c r="M27" s="57">
        <v>1220521763</v>
      </c>
    </row>
    <row r="28" spans="1:14" s="1" customFormat="1" collapsed="1" x14ac:dyDescent="0.45">
      <c r="A28" s="27" t="s">
        <v>17</v>
      </c>
      <c r="B28" s="42">
        <v>20673001192</v>
      </c>
      <c r="C28" s="57">
        <v>-2495046700.0000038</v>
      </c>
      <c r="D28" s="57">
        <v>690030515</v>
      </c>
      <c r="E28" s="58">
        <v>22478017377.000004</v>
      </c>
      <c r="F28" s="57">
        <v>12061631734.978706</v>
      </c>
      <c r="G28" s="57">
        <v>2652872388.2440834</v>
      </c>
      <c r="H28" s="59">
        <v>3619266580.7772102</v>
      </c>
      <c r="I28" s="59">
        <v>86154630.18745625</v>
      </c>
      <c r="J28" s="59">
        <v>794884889.44909978</v>
      </c>
      <c r="K28" s="59">
        <v>516026055.29361725</v>
      </c>
      <c r="L28" s="59">
        <v>1911409335.0698268</v>
      </c>
      <c r="M28" s="57">
        <v>835771763</v>
      </c>
    </row>
    <row r="29" spans="1:14" s="1" customFormat="1" x14ac:dyDescent="0.45">
      <c r="A29" s="28" t="s">
        <v>18</v>
      </c>
      <c r="B29" s="43">
        <v>107876570</v>
      </c>
      <c r="C29" s="60">
        <v>33960439.999999993</v>
      </c>
      <c r="D29" s="60">
        <v>16220000</v>
      </c>
      <c r="E29" s="61">
        <v>57696130.000000007</v>
      </c>
      <c r="F29" s="60">
        <v>53929226.360392869</v>
      </c>
      <c r="G29" s="60">
        <v>3766903.6396071357</v>
      </c>
      <c r="H29" s="62">
        <v>0</v>
      </c>
      <c r="I29" s="62">
        <v>0</v>
      </c>
      <c r="J29" s="62">
        <v>0</v>
      </c>
      <c r="K29" s="62">
        <v>0</v>
      </c>
      <c r="L29" s="62">
        <v>0</v>
      </c>
      <c r="M29" s="60">
        <v>0</v>
      </c>
    </row>
    <row r="30" spans="1:14" s="1" customFormat="1" x14ac:dyDescent="0.45">
      <c r="A30" s="28" t="s">
        <v>19</v>
      </c>
      <c r="B30" s="43">
        <v>6383983740</v>
      </c>
      <c r="C30" s="66">
        <v>383454709.99999905</v>
      </c>
      <c r="D30" s="60">
        <v>156419470</v>
      </c>
      <c r="E30" s="61">
        <v>5844109560.000001</v>
      </c>
      <c r="F30" s="60">
        <v>3510531338.0162163</v>
      </c>
      <c r="G30" s="60">
        <v>1135878998.1954989</v>
      </c>
      <c r="H30" s="62">
        <v>406676533.7882849</v>
      </c>
      <c r="I30" s="62">
        <v>45649836.010785177</v>
      </c>
      <c r="J30" s="62">
        <v>43259676.19954972</v>
      </c>
      <c r="K30" s="62">
        <v>195370616.12206548</v>
      </c>
      <c r="L30" s="62">
        <v>428316281.66759962</v>
      </c>
      <c r="M30" s="60">
        <v>78426280</v>
      </c>
    </row>
    <row r="31" spans="1:14" s="1" customFormat="1" ht="16" hidden="1" customHeight="1" outlineLevel="1" x14ac:dyDescent="0.45">
      <c r="A31" s="29" t="s">
        <v>20</v>
      </c>
      <c r="B31" s="44">
        <v>697192750</v>
      </c>
      <c r="C31" s="63">
        <v>173349259.99999994</v>
      </c>
      <c r="D31" s="63">
        <v>60044400</v>
      </c>
      <c r="E31" s="64">
        <v>463799090.00000006</v>
      </c>
      <c r="F31" s="63">
        <v>210146905.96393025</v>
      </c>
      <c r="G31" s="63">
        <v>91475590.346607924</v>
      </c>
      <c r="H31" s="65">
        <v>28707383.689461861</v>
      </c>
      <c r="I31" s="65">
        <v>7991871.8157039136</v>
      </c>
      <c r="J31" s="65">
        <v>7959574.0793038569</v>
      </c>
      <c r="K31" s="65">
        <v>17400962.827495288</v>
      </c>
      <c r="L31" s="65">
        <v>57755171.277496941</v>
      </c>
      <c r="M31" s="63">
        <v>42361630</v>
      </c>
    </row>
    <row r="32" spans="1:14" ht="16" hidden="1" customHeight="1" outlineLevel="1" x14ac:dyDescent="0.45">
      <c r="A32" s="29" t="s">
        <v>21</v>
      </c>
      <c r="B32" s="44">
        <v>128169140</v>
      </c>
      <c r="C32" s="63">
        <v>32076170</v>
      </c>
      <c r="D32" s="63">
        <v>11104520</v>
      </c>
      <c r="E32" s="64">
        <v>84988450</v>
      </c>
      <c r="F32" s="63">
        <v>38579003.048405066</v>
      </c>
      <c r="G32" s="63">
        <v>16188795.12415096</v>
      </c>
      <c r="H32" s="65">
        <v>5282341.827443976</v>
      </c>
      <c r="I32" s="65">
        <v>1493546.9320147284</v>
      </c>
      <c r="J32" s="65">
        <v>1486214.2759125391</v>
      </c>
      <c r="K32" s="65">
        <v>3308238.0982174445</v>
      </c>
      <c r="L32" s="65">
        <v>10891040.693855289</v>
      </c>
      <c r="M32" s="63">
        <v>7759270</v>
      </c>
      <c r="N32" s="1"/>
    </row>
    <row r="33" spans="1:14" ht="16" hidden="1" customHeight="1" outlineLevel="1" x14ac:dyDescent="0.45">
      <c r="A33" s="29" t="s">
        <v>22</v>
      </c>
      <c r="B33" s="44">
        <v>33400000</v>
      </c>
      <c r="C33" s="63">
        <v>8300000</v>
      </c>
      <c r="D33" s="63">
        <v>2800000</v>
      </c>
      <c r="E33" s="64">
        <v>22300000</v>
      </c>
      <c r="F33" s="63">
        <v>9143693.1051592436</v>
      </c>
      <c r="G33" s="63">
        <v>3343633.7582113836</v>
      </c>
      <c r="H33" s="65">
        <v>1112673.1366293726</v>
      </c>
      <c r="I33" s="65">
        <v>546894.63121804781</v>
      </c>
      <c r="J33" s="65">
        <v>536585.51128004375</v>
      </c>
      <c r="K33" s="65">
        <v>1542662.9485176816</v>
      </c>
      <c r="L33" s="65">
        <v>4373856.9089842271</v>
      </c>
      <c r="M33" s="63">
        <v>1700000</v>
      </c>
      <c r="N33" s="1"/>
    </row>
    <row r="34" spans="1:14" ht="16" hidden="1" customHeight="1" outlineLevel="1" x14ac:dyDescent="0.45">
      <c r="A34" s="29" t="s">
        <v>171</v>
      </c>
      <c r="B34" s="44">
        <v>0</v>
      </c>
      <c r="C34" s="63">
        <v>0</v>
      </c>
      <c r="D34" s="63">
        <v>0</v>
      </c>
      <c r="E34" s="64">
        <v>0</v>
      </c>
      <c r="F34" s="63">
        <v>0</v>
      </c>
      <c r="G34" s="63">
        <v>0</v>
      </c>
      <c r="H34" s="65">
        <v>0</v>
      </c>
      <c r="I34" s="65">
        <v>0</v>
      </c>
      <c r="J34" s="65">
        <v>0</v>
      </c>
      <c r="K34" s="65">
        <v>0</v>
      </c>
      <c r="L34" s="65">
        <v>0</v>
      </c>
      <c r="M34" s="63">
        <v>0</v>
      </c>
      <c r="N34" s="1"/>
    </row>
    <row r="35" spans="1:14" ht="16" hidden="1" customHeight="1" outlineLevel="1" x14ac:dyDescent="0.45">
      <c r="A35" s="29" t="s">
        <v>23</v>
      </c>
      <c r="B35" s="44">
        <v>15269570</v>
      </c>
      <c r="C35" s="63">
        <v>2173920</v>
      </c>
      <c r="D35" s="63">
        <v>452970</v>
      </c>
      <c r="E35" s="64">
        <v>12642680</v>
      </c>
      <c r="F35" s="63">
        <v>6737184.9300999343</v>
      </c>
      <c r="G35" s="63">
        <v>3594885.0699000657</v>
      </c>
      <c r="H35" s="65">
        <v>151460</v>
      </c>
      <c r="I35" s="65">
        <v>0</v>
      </c>
      <c r="J35" s="65">
        <v>0</v>
      </c>
      <c r="K35" s="65">
        <v>325040</v>
      </c>
      <c r="L35" s="65">
        <v>1044820</v>
      </c>
      <c r="M35" s="63">
        <v>789290</v>
      </c>
      <c r="N35" s="1"/>
    </row>
    <row r="36" spans="1:14" ht="16" hidden="1" customHeight="1" outlineLevel="1" x14ac:dyDescent="0.45">
      <c r="A36" s="29" t="s">
        <v>24</v>
      </c>
      <c r="B36" s="44">
        <v>20342300</v>
      </c>
      <c r="C36" s="63">
        <v>6531860</v>
      </c>
      <c r="D36" s="63">
        <v>1618410</v>
      </c>
      <c r="E36" s="64">
        <v>12192030</v>
      </c>
      <c r="F36" s="63">
        <v>4882624.6000708919</v>
      </c>
      <c r="G36" s="63">
        <v>2624554.7910205158</v>
      </c>
      <c r="H36" s="65">
        <v>560360.60890859249</v>
      </c>
      <c r="I36" s="65">
        <v>248798.58339220105</v>
      </c>
      <c r="J36" s="65">
        <v>235839.65144727495</v>
      </c>
      <c r="K36" s="65">
        <v>1559257.4213920296</v>
      </c>
      <c r="L36" s="65">
        <v>486524.34376849426</v>
      </c>
      <c r="M36" s="63">
        <v>1594070</v>
      </c>
      <c r="N36" s="1"/>
    </row>
    <row r="37" spans="1:14" ht="16" hidden="1" customHeight="1" outlineLevel="1" x14ac:dyDescent="0.45">
      <c r="A37" s="29" t="s">
        <v>122</v>
      </c>
      <c r="B37" s="44">
        <v>324525380</v>
      </c>
      <c r="C37" s="63">
        <v>21708460</v>
      </c>
      <c r="D37" s="63">
        <v>0</v>
      </c>
      <c r="E37" s="64">
        <v>302816920</v>
      </c>
      <c r="F37" s="63">
        <v>21586510</v>
      </c>
      <c r="G37" s="63">
        <v>0</v>
      </c>
      <c r="H37" s="65">
        <v>272699200</v>
      </c>
      <c r="I37" s="65">
        <v>0</v>
      </c>
      <c r="J37" s="65">
        <v>0</v>
      </c>
      <c r="K37" s="65">
        <v>8531210</v>
      </c>
      <c r="L37" s="65">
        <v>0</v>
      </c>
      <c r="M37" s="63">
        <v>0</v>
      </c>
      <c r="N37" s="1"/>
    </row>
    <row r="38" spans="1:14" ht="16" hidden="1" customHeight="1" outlineLevel="1" x14ac:dyDescent="0.45">
      <c r="A38" s="29" t="s">
        <v>123</v>
      </c>
      <c r="B38" s="44">
        <v>53992430</v>
      </c>
      <c r="C38" s="63">
        <v>3453340</v>
      </c>
      <c r="D38" s="63">
        <v>0</v>
      </c>
      <c r="E38" s="64">
        <v>50539090</v>
      </c>
      <c r="F38" s="63">
        <v>3662130</v>
      </c>
      <c r="G38" s="63">
        <v>0</v>
      </c>
      <c r="H38" s="65">
        <v>45432020</v>
      </c>
      <c r="I38" s="65">
        <v>0</v>
      </c>
      <c r="J38" s="65">
        <v>0</v>
      </c>
      <c r="K38" s="65">
        <v>1444940</v>
      </c>
      <c r="L38" s="65">
        <v>0</v>
      </c>
      <c r="M38" s="63">
        <v>0</v>
      </c>
      <c r="N38" s="1"/>
    </row>
    <row r="39" spans="1:14" ht="16" hidden="1" customHeight="1" outlineLevel="1" x14ac:dyDescent="0.45">
      <c r="A39" s="29" t="s">
        <v>124</v>
      </c>
      <c r="B39" s="44">
        <v>1200000</v>
      </c>
      <c r="C39" s="63">
        <v>0</v>
      </c>
      <c r="D39" s="63">
        <v>0</v>
      </c>
      <c r="E39" s="64">
        <v>1200000</v>
      </c>
      <c r="F39" s="63">
        <v>0</v>
      </c>
      <c r="G39" s="63">
        <v>0</v>
      </c>
      <c r="H39" s="65">
        <v>1200000</v>
      </c>
      <c r="I39" s="65">
        <v>0</v>
      </c>
      <c r="J39" s="65">
        <v>0</v>
      </c>
      <c r="K39" s="65">
        <v>0</v>
      </c>
      <c r="L39" s="65">
        <v>0</v>
      </c>
      <c r="M39" s="63">
        <v>0</v>
      </c>
      <c r="N39" s="1"/>
    </row>
    <row r="40" spans="1:14" ht="16" hidden="1" customHeight="1" outlineLevel="1" x14ac:dyDescent="0.45">
      <c r="A40" s="29" t="s">
        <v>125</v>
      </c>
      <c r="B40" s="44">
        <v>0</v>
      </c>
      <c r="C40" s="63">
        <v>0</v>
      </c>
      <c r="D40" s="63">
        <v>0</v>
      </c>
      <c r="E40" s="64">
        <v>0</v>
      </c>
      <c r="F40" s="63">
        <v>0</v>
      </c>
      <c r="G40" s="63">
        <v>0</v>
      </c>
      <c r="H40" s="65">
        <v>0</v>
      </c>
      <c r="I40" s="65">
        <v>0</v>
      </c>
      <c r="J40" s="65">
        <v>0</v>
      </c>
      <c r="K40" s="65">
        <v>0</v>
      </c>
      <c r="L40" s="65">
        <v>0</v>
      </c>
      <c r="M40" s="63">
        <v>0</v>
      </c>
      <c r="N40" s="1"/>
    </row>
    <row r="41" spans="1:14" ht="16" hidden="1" customHeight="1" outlineLevel="1" x14ac:dyDescent="0.45">
      <c r="A41" s="29" t="s">
        <v>172</v>
      </c>
      <c r="B41" s="44">
        <v>521330</v>
      </c>
      <c r="C41" s="63">
        <v>0</v>
      </c>
      <c r="D41" s="63">
        <v>0</v>
      </c>
      <c r="E41" s="64">
        <v>521330</v>
      </c>
      <c r="F41" s="63">
        <v>0</v>
      </c>
      <c r="G41" s="63">
        <v>0</v>
      </c>
      <c r="H41" s="65">
        <v>521330</v>
      </c>
      <c r="I41" s="65">
        <v>0</v>
      </c>
      <c r="J41" s="65">
        <v>0</v>
      </c>
      <c r="K41" s="65">
        <v>0</v>
      </c>
      <c r="L41" s="65">
        <v>0</v>
      </c>
      <c r="M41" s="63">
        <v>0</v>
      </c>
      <c r="N41" s="1"/>
    </row>
    <row r="42" spans="1:14" ht="16" hidden="1" customHeight="1" outlineLevel="1" x14ac:dyDescent="0.45">
      <c r="A42" s="29" t="s">
        <v>173</v>
      </c>
      <c r="B42" s="44">
        <v>0</v>
      </c>
      <c r="C42" s="63">
        <v>0</v>
      </c>
      <c r="D42" s="63">
        <v>0</v>
      </c>
      <c r="E42" s="64">
        <v>0</v>
      </c>
      <c r="F42" s="63">
        <v>0</v>
      </c>
      <c r="G42" s="63">
        <v>0</v>
      </c>
      <c r="H42" s="65">
        <v>0</v>
      </c>
      <c r="I42" s="65">
        <v>0</v>
      </c>
      <c r="J42" s="65">
        <v>0</v>
      </c>
      <c r="K42" s="65">
        <v>0</v>
      </c>
      <c r="L42" s="65">
        <v>0</v>
      </c>
      <c r="M42" s="63">
        <v>0</v>
      </c>
      <c r="N42" s="1"/>
    </row>
    <row r="43" spans="1:14" ht="16" hidden="1" customHeight="1" outlineLevel="1" x14ac:dyDescent="0.45">
      <c r="A43" s="29" t="s">
        <v>25</v>
      </c>
      <c r="B43" s="44">
        <v>27662340</v>
      </c>
      <c r="C43" s="63">
        <v>7207500</v>
      </c>
      <c r="D43" s="63">
        <v>2480000</v>
      </c>
      <c r="E43" s="64">
        <v>17974840</v>
      </c>
      <c r="F43" s="63">
        <v>8253535.7368270457</v>
      </c>
      <c r="G43" s="63">
        <v>3829159.7373318449</v>
      </c>
      <c r="H43" s="65">
        <v>1242144.5258411092</v>
      </c>
      <c r="I43" s="65">
        <v>254299.04845628387</v>
      </c>
      <c r="J43" s="65">
        <v>253157.68160600483</v>
      </c>
      <c r="K43" s="65">
        <v>558294.82644302899</v>
      </c>
      <c r="L43" s="65">
        <v>2034248.4434946822</v>
      </c>
      <c r="M43" s="63">
        <v>1550000</v>
      </c>
      <c r="N43" s="1"/>
    </row>
    <row r="44" spans="1:14" ht="16" hidden="1" customHeight="1" outlineLevel="1" x14ac:dyDescent="0.45">
      <c r="A44" s="29" t="s">
        <v>174</v>
      </c>
      <c r="B44" s="44">
        <v>0</v>
      </c>
      <c r="C44" s="63">
        <v>0</v>
      </c>
      <c r="D44" s="63">
        <v>0</v>
      </c>
      <c r="E44" s="64">
        <v>0</v>
      </c>
      <c r="F44" s="63">
        <v>0</v>
      </c>
      <c r="G44" s="63">
        <v>0</v>
      </c>
      <c r="H44" s="65">
        <v>0</v>
      </c>
      <c r="I44" s="65">
        <v>0</v>
      </c>
      <c r="J44" s="65">
        <v>0</v>
      </c>
      <c r="K44" s="65">
        <v>0</v>
      </c>
      <c r="L44" s="65">
        <v>0</v>
      </c>
      <c r="M44" s="63">
        <v>0</v>
      </c>
      <c r="N44" s="1"/>
    </row>
    <row r="45" spans="1:14" ht="16" hidden="1" customHeight="1" outlineLevel="1" x14ac:dyDescent="0.45">
      <c r="A45" s="29" t="s">
        <v>126</v>
      </c>
      <c r="B45" s="44">
        <v>23725360</v>
      </c>
      <c r="C45" s="63">
        <v>1648170</v>
      </c>
      <c r="D45" s="63">
        <v>0</v>
      </c>
      <c r="E45" s="64">
        <v>22077190</v>
      </c>
      <c r="F45" s="63">
        <v>1606840</v>
      </c>
      <c r="G45" s="63">
        <v>0</v>
      </c>
      <c r="H45" s="65">
        <v>19850350</v>
      </c>
      <c r="I45" s="65">
        <v>0</v>
      </c>
      <c r="J45" s="65">
        <v>0</v>
      </c>
      <c r="K45" s="65">
        <v>620000</v>
      </c>
      <c r="L45" s="65">
        <v>0</v>
      </c>
      <c r="M45" s="63">
        <v>0</v>
      </c>
      <c r="N45" s="1"/>
    </row>
    <row r="46" spans="1:14" ht="16" hidden="1" customHeight="1" outlineLevel="1" x14ac:dyDescent="0.45">
      <c r="A46" s="29" t="s">
        <v>175</v>
      </c>
      <c r="B46" s="44">
        <v>0</v>
      </c>
      <c r="C46" s="63">
        <v>0</v>
      </c>
      <c r="D46" s="63">
        <v>0</v>
      </c>
      <c r="E46" s="64">
        <v>0</v>
      </c>
      <c r="F46" s="63">
        <v>0</v>
      </c>
      <c r="G46" s="63">
        <v>0</v>
      </c>
      <c r="H46" s="65">
        <v>0</v>
      </c>
      <c r="I46" s="65">
        <v>0</v>
      </c>
      <c r="J46" s="65">
        <v>0</v>
      </c>
      <c r="K46" s="65">
        <v>0</v>
      </c>
      <c r="L46" s="65">
        <v>0</v>
      </c>
      <c r="M46" s="63">
        <v>0</v>
      </c>
      <c r="N46" s="1"/>
    </row>
    <row r="47" spans="1:14" ht="16" hidden="1" customHeight="1" outlineLevel="1" x14ac:dyDescent="0.45">
      <c r="A47" s="29" t="s">
        <v>176</v>
      </c>
      <c r="B47" s="44">
        <v>0</v>
      </c>
      <c r="C47" s="63">
        <v>0</v>
      </c>
      <c r="D47" s="63">
        <v>0</v>
      </c>
      <c r="E47" s="64">
        <v>0</v>
      </c>
      <c r="F47" s="63">
        <v>0</v>
      </c>
      <c r="G47" s="63">
        <v>0</v>
      </c>
      <c r="H47" s="65">
        <v>0</v>
      </c>
      <c r="I47" s="65">
        <v>0</v>
      </c>
      <c r="J47" s="65">
        <v>0</v>
      </c>
      <c r="K47" s="65">
        <v>0</v>
      </c>
      <c r="L47" s="65">
        <v>0</v>
      </c>
      <c r="M47" s="63">
        <v>0</v>
      </c>
      <c r="N47" s="1"/>
    </row>
    <row r="48" spans="1:14" ht="16" hidden="1" customHeight="1" outlineLevel="1" x14ac:dyDescent="0.45">
      <c r="A48" s="29" t="s">
        <v>26</v>
      </c>
      <c r="B48" s="44">
        <v>3907539800</v>
      </c>
      <c r="C48" s="63">
        <v>92166460</v>
      </c>
      <c r="D48" s="63">
        <v>61863020</v>
      </c>
      <c r="E48" s="64">
        <v>3753510320</v>
      </c>
      <c r="F48" s="63">
        <v>2497965450.747838</v>
      </c>
      <c r="G48" s="63">
        <v>793511089.25216198</v>
      </c>
      <c r="H48" s="65">
        <v>22970400</v>
      </c>
      <c r="I48" s="65">
        <v>28206155</v>
      </c>
      <c r="J48" s="65">
        <v>26352245</v>
      </c>
      <c r="K48" s="65">
        <v>126779770</v>
      </c>
      <c r="L48" s="65">
        <v>240232990</v>
      </c>
      <c r="M48" s="63">
        <v>17492220</v>
      </c>
      <c r="N48" s="1"/>
    </row>
    <row r="49" spans="1:14" ht="16" hidden="1" customHeight="1" outlineLevel="1" x14ac:dyDescent="0.45">
      <c r="A49" s="29" t="s">
        <v>27</v>
      </c>
      <c r="B49" s="44">
        <v>661050150</v>
      </c>
      <c r="C49" s="63">
        <v>14710940</v>
      </c>
      <c r="D49" s="63">
        <v>10284960</v>
      </c>
      <c r="E49" s="64">
        <v>636054250</v>
      </c>
      <c r="F49" s="63">
        <v>423954441.56063378</v>
      </c>
      <c r="G49" s="63">
        <v>134035168.43936622</v>
      </c>
      <c r="H49" s="65">
        <v>4061170</v>
      </c>
      <c r="I49" s="65">
        <v>4436435</v>
      </c>
      <c r="J49" s="65">
        <v>4119225</v>
      </c>
      <c r="K49" s="65">
        <v>21585720</v>
      </c>
      <c r="L49" s="65">
        <v>40906790</v>
      </c>
      <c r="M49" s="63">
        <v>2955300</v>
      </c>
      <c r="N49" s="1"/>
    </row>
    <row r="50" spans="1:14" ht="16" hidden="1" customHeight="1" outlineLevel="1" x14ac:dyDescent="0.45">
      <c r="A50" s="29" t="s">
        <v>28</v>
      </c>
      <c r="B50" s="44">
        <v>126170000</v>
      </c>
      <c r="C50" s="63">
        <v>5700000</v>
      </c>
      <c r="D50" s="63">
        <v>600000</v>
      </c>
      <c r="E50" s="64">
        <v>119870000</v>
      </c>
      <c r="F50" s="63">
        <v>87890000</v>
      </c>
      <c r="G50" s="63">
        <v>24450000</v>
      </c>
      <c r="H50" s="65">
        <v>1200000</v>
      </c>
      <c r="I50" s="65">
        <v>440000</v>
      </c>
      <c r="J50" s="65">
        <v>440000</v>
      </c>
      <c r="K50" s="65">
        <v>3050000</v>
      </c>
      <c r="L50" s="65">
        <v>2400000</v>
      </c>
      <c r="M50" s="63">
        <v>0</v>
      </c>
      <c r="N50" s="1"/>
    </row>
    <row r="51" spans="1:14" ht="16" hidden="1" customHeight="1" outlineLevel="1" x14ac:dyDescent="0.45">
      <c r="A51" s="29" t="s">
        <v>29</v>
      </c>
      <c r="B51" s="44">
        <v>274414320</v>
      </c>
      <c r="C51" s="63">
        <v>6000550</v>
      </c>
      <c r="D51" s="63">
        <v>4185000</v>
      </c>
      <c r="E51" s="64">
        <v>264228770</v>
      </c>
      <c r="F51" s="63">
        <v>177404605.30925316</v>
      </c>
      <c r="G51" s="63">
        <v>55080134.690746829</v>
      </c>
      <c r="H51" s="65">
        <v>1550000</v>
      </c>
      <c r="I51" s="65">
        <v>2009835</v>
      </c>
      <c r="J51" s="65">
        <v>1854835</v>
      </c>
      <c r="K51" s="65">
        <v>8664520</v>
      </c>
      <c r="L51" s="65">
        <v>16440340</v>
      </c>
      <c r="M51" s="63">
        <v>1224500</v>
      </c>
      <c r="N51" s="1"/>
    </row>
    <row r="52" spans="1:14" ht="16" hidden="1" customHeight="1" outlineLevel="1" x14ac:dyDescent="0.45">
      <c r="A52" s="29" t="s">
        <v>127</v>
      </c>
      <c r="B52" s="44">
        <v>220000</v>
      </c>
      <c r="C52" s="63">
        <v>100000</v>
      </c>
      <c r="D52" s="63">
        <v>100000</v>
      </c>
      <c r="E52" s="64">
        <v>20000</v>
      </c>
      <c r="F52" s="63">
        <v>20000</v>
      </c>
      <c r="G52" s="63">
        <v>0</v>
      </c>
      <c r="H52" s="65">
        <v>0</v>
      </c>
      <c r="I52" s="65">
        <v>0</v>
      </c>
      <c r="J52" s="65">
        <v>0</v>
      </c>
      <c r="K52" s="65">
        <v>0</v>
      </c>
      <c r="L52" s="65">
        <v>0</v>
      </c>
      <c r="M52" s="63">
        <v>0</v>
      </c>
      <c r="N52" s="1"/>
    </row>
    <row r="53" spans="1:14" ht="16" hidden="1" customHeight="1" outlineLevel="1" x14ac:dyDescent="0.45">
      <c r="A53" s="29" t="s">
        <v>177</v>
      </c>
      <c r="B53" s="44">
        <v>0</v>
      </c>
      <c r="C53" s="63">
        <v>0</v>
      </c>
      <c r="D53" s="63">
        <v>0</v>
      </c>
      <c r="E53" s="64">
        <v>0</v>
      </c>
      <c r="F53" s="63">
        <v>0</v>
      </c>
      <c r="G53" s="63">
        <v>0</v>
      </c>
      <c r="H53" s="65">
        <v>0</v>
      </c>
      <c r="I53" s="65">
        <v>0</v>
      </c>
      <c r="J53" s="65">
        <v>0</v>
      </c>
      <c r="K53" s="65">
        <v>0</v>
      </c>
      <c r="L53" s="65">
        <v>0</v>
      </c>
      <c r="M53" s="63">
        <v>0</v>
      </c>
      <c r="N53" s="1"/>
    </row>
    <row r="54" spans="1:14" ht="16" hidden="1" customHeight="1" outlineLevel="1" x14ac:dyDescent="0.45">
      <c r="A54" s="29" t="s">
        <v>30</v>
      </c>
      <c r="B54" s="44">
        <v>13426550</v>
      </c>
      <c r="C54" s="63">
        <v>4098230</v>
      </c>
      <c r="D54" s="63">
        <v>0</v>
      </c>
      <c r="E54" s="64">
        <v>9328320</v>
      </c>
      <c r="F54" s="63">
        <v>7609850</v>
      </c>
      <c r="G54" s="63">
        <v>1267410</v>
      </c>
      <c r="H54" s="65">
        <v>0</v>
      </c>
      <c r="I54" s="65">
        <v>22000</v>
      </c>
      <c r="J54" s="65">
        <v>22000</v>
      </c>
      <c r="K54" s="65">
        <v>0</v>
      </c>
      <c r="L54" s="65">
        <v>407060</v>
      </c>
      <c r="M54" s="63">
        <v>0</v>
      </c>
      <c r="N54" s="1"/>
    </row>
    <row r="55" spans="1:14" ht="16" hidden="1" customHeight="1" outlineLevel="1" x14ac:dyDescent="0.45">
      <c r="A55" s="29" t="s">
        <v>128</v>
      </c>
      <c r="B55" s="44">
        <v>50688630</v>
      </c>
      <c r="C55" s="63">
        <v>0</v>
      </c>
      <c r="D55" s="63">
        <v>0</v>
      </c>
      <c r="E55" s="64">
        <v>50688630</v>
      </c>
      <c r="F55" s="63">
        <v>0</v>
      </c>
      <c r="G55" s="63">
        <v>0</v>
      </c>
      <c r="H55" s="65">
        <v>0</v>
      </c>
      <c r="I55" s="65">
        <v>0</v>
      </c>
      <c r="J55" s="65">
        <v>0</v>
      </c>
      <c r="K55" s="65">
        <v>0</v>
      </c>
      <c r="L55" s="65">
        <v>50688630</v>
      </c>
      <c r="M55" s="63">
        <v>0</v>
      </c>
      <c r="N55" s="1"/>
    </row>
    <row r="56" spans="1:14" ht="16" hidden="1" customHeight="1" outlineLevel="1" x14ac:dyDescent="0.45">
      <c r="A56" s="29" t="s">
        <v>129</v>
      </c>
      <c r="B56" s="44">
        <v>0</v>
      </c>
      <c r="C56" s="63">
        <v>0</v>
      </c>
      <c r="D56" s="63">
        <v>0</v>
      </c>
      <c r="E56" s="64">
        <v>0</v>
      </c>
      <c r="F56" s="63">
        <v>0</v>
      </c>
      <c r="G56" s="63">
        <v>0</v>
      </c>
      <c r="H56" s="65">
        <v>0</v>
      </c>
      <c r="I56" s="65">
        <v>0</v>
      </c>
      <c r="J56" s="65">
        <v>0</v>
      </c>
      <c r="K56" s="65">
        <v>0</v>
      </c>
      <c r="L56" s="65">
        <v>0</v>
      </c>
      <c r="M56" s="63">
        <v>0</v>
      </c>
      <c r="N56" s="1"/>
    </row>
    <row r="57" spans="1:14" ht="16" hidden="1" customHeight="1" outlineLevel="1" x14ac:dyDescent="0.45">
      <c r="A57" s="29" t="s">
        <v>178</v>
      </c>
      <c r="B57" s="44">
        <v>0</v>
      </c>
      <c r="C57" s="63">
        <v>0</v>
      </c>
      <c r="D57" s="63">
        <v>0</v>
      </c>
      <c r="E57" s="64">
        <v>0</v>
      </c>
      <c r="F57" s="63">
        <v>0</v>
      </c>
      <c r="G57" s="63">
        <v>0</v>
      </c>
      <c r="H57" s="65">
        <v>0</v>
      </c>
      <c r="I57" s="65">
        <v>0</v>
      </c>
      <c r="J57" s="65">
        <v>0</v>
      </c>
      <c r="K57" s="65">
        <v>0</v>
      </c>
      <c r="L57" s="65">
        <v>0</v>
      </c>
      <c r="M57" s="63">
        <v>0</v>
      </c>
      <c r="N57" s="1"/>
    </row>
    <row r="58" spans="1:14" ht="16" hidden="1" customHeight="1" outlineLevel="1" x14ac:dyDescent="0.45">
      <c r="A58" s="29" t="s">
        <v>31</v>
      </c>
      <c r="B58" s="44">
        <v>15498950</v>
      </c>
      <c r="C58" s="63">
        <v>2629850</v>
      </c>
      <c r="D58" s="63">
        <v>386190</v>
      </c>
      <c r="E58" s="64">
        <v>12482910</v>
      </c>
      <c r="F58" s="63">
        <v>8518563.0139986165</v>
      </c>
      <c r="G58" s="63">
        <v>3762226.9860013844</v>
      </c>
      <c r="H58" s="65">
        <v>135700</v>
      </c>
      <c r="I58" s="65">
        <v>0</v>
      </c>
      <c r="J58" s="65">
        <v>0</v>
      </c>
      <c r="K58" s="65">
        <v>0</v>
      </c>
      <c r="L58" s="65">
        <v>66420</v>
      </c>
      <c r="M58" s="63">
        <v>0</v>
      </c>
      <c r="N58" s="1"/>
    </row>
    <row r="59" spans="1:14" ht="16" hidden="1" customHeight="1" outlineLevel="1" x14ac:dyDescent="0.45">
      <c r="A59" s="29" t="s">
        <v>113</v>
      </c>
      <c r="B59" s="44">
        <v>0</v>
      </c>
      <c r="C59" s="63">
        <v>0</v>
      </c>
      <c r="D59" s="63">
        <v>0</v>
      </c>
      <c r="E59" s="64">
        <v>0</v>
      </c>
      <c r="F59" s="63">
        <v>0</v>
      </c>
      <c r="G59" s="63">
        <v>0</v>
      </c>
      <c r="H59" s="65">
        <v>0</v>
      </c>
      <c r="I59" s="65">
        <v>0</v>
      </c>
      <c r="J59" s="65">
        <v>0</v>
      </c>
      <c r="K59" s="65">
        <v>0</v>
      </c>
      <c r="L59" s="65">
        <v>0</v>
      </c>
      <c r="M59" s="63">
        <v>0</v>
      </c>
      <c r="N59" s="1"/>
    </row>
    <row r="60" spans="1:14" ht="16" hidden="1" customHeight="1" outlineLevel="1" x14ac:dyDescent="0.45">
      <c r="A60" s="29" t="s">
        <v>32</v>
      </c>
      <c r="B60" s="44">
        <v>8974740</v>
      </c>
      <c r="C60" s="63">
        <v>1600000</v>
      </c>
      <c r="D60" s="63">
        <v>500000</v>
      </c>
      <c r="E60" s="64">
        <v>6874740</v>
      </c>
      <c r="F60" s="63">
        <v>2570000</v>
      </c>
      <c r="G60" s="63">
        <v>2716350</v>
      </c>
      <c r="H60" s="65">
        <v>0</v>
      </c>
      <c r="I60" s="65">
        <v>0</v>
      </c>
      <c r="J60" s="65">
        <v>0</v>
      </c>
      <c r="K60" s="65">
        <v>0</v>
      </c>
      <c r="L60" s="65">
        <v>588390</v>
      </c>
      <c r="M60" s="63">
        <v>1000000</v>
      </c>
      <c r="N60" s="1"/>
    </row>
    <row r="61" spans="1:14" ht="16" hidden="1" customHeight="1" outlineLevel="1" x14ac:dyDescent="0.45">
      <c r="A61" s="24" t="s">
        <v>130</v>
      </c>
      <c r="B61" s="44">
        <v>0</v>
      </c>
      <c r="C61" s="63">
        <v>0</v>
      </c>
      <c r="D61" s="63">
        <v>0</v>
      </c>
      <c r="E61" s="64">
        <v>0</v>
      </c>
      <c r="F61" s="63">
        <v>0</v>
      </c>
      <c r="G61" s="63">
        <v>0</v>
      </c>
      <c r="H61" s="65">
        <v>0</v>
      </c>
      <c r="I61" s="65">
        <v>0</v>
      </c>
      <c r="J61" s="65">
        <v>0</v>
      </c>
      <c r="K61" s="65">
        <v>0</v>
      </c>
      <c r="L61" s="65">
        <v>0</v>
      </c>
      <c r="M61" s="63">
        <v>0</v>
      </c>
      <c r="N61" s="1"/>
    </row>
    <row r="62" spans="1:14" ht="16" hidden="1" customHeight="1" outlineLevel="1" x14ac:dyDescent="0.45">
      <c r="A62" s="29" t="s">
        <v>267</v>
      </c>
      <c r="B62" s="44">
        <v>0</v>
      </c>
      <c r="C62" s="63">
        <v>0</v>
      </c>
      <c r="D62" s="63">
        <v>0</v>
      </c>
      <c r="E62" s="64">
        <v>0</v>
      </c>
      <c r="F62" s="63">
        <v>0</v>
      </c>
      <c r="G62" s="63">
        <v>0</v>
      </c>
      <c r="H62" s="65">
        <v>0</v>
      </c>
      <c r="I62" s="65">
        <v>0</v>
      </c>
      <c r="J62" s="65">
        <v>0</v>
      </c>
      <c r="K62" s="65">
        <v>0</v>
      </c>
      <c r="L62" s="65">
        <v>0</v>
      </c>
      <c r="M62" s="63">
        <v>0</v>
      </c>
      <c r="N62" s="1"/>
    </row>
    <row r="63" spans="1:14" ht="16" customHeight="1" collapsed="1" x14ac:dyDescent="0.45">
      <c r="A63" s="28" t="s">
        <v>33</v>
      </c>
      <c r="B63" s="43">
        <v>966686524</v>
      </c>
      <c r="C63" s="60">
        <v>-1320975596</v>
      </c>
      <c r="D63" s="60">
        <v>84448670</v>
      </c>
      <c r="E63" s="61">
        <v>2203213450</v>
      </c>
      <c r="F63" s="60">
        <v>1390705814.5001225</v>
      </c>
      <c r="G63" s="60">
        <v>432482851.81041551</v>
      </c>
      <c r="H63" s="62">
        <v>64360843.689461857</v>
      </c>
      <c r="I63" s="62">
        <v>16641593.454297427</v>
      </c>
      <c r="J63" s="62">
        <v>19108878.804535065</v>
      </c>
      <c r="K63" s="62">
        <v>73834004.661348596</v>
      </c>
      <c r="L63" s="62">
        <v>159042833.0798189</v>
      </c>
      <c r="M63" s="60">
        <v>47036630</v>
      </c>
      <c r="N63" s="1"/>
    </row>
    <row r="64" spans="1:14" s="1" customFormat="1" ht="16" hidden="1" customHeight="1" outlineLevel="1" collapsed="1" x14ac:dyDescent="0.45">
      <c r="A64" s="29" t="s">
        <v>34</v>
      </c>
      <c r="B64" s="44">
        <v>138385130</v>
      </c>
      <c r="C64" s="63">
        <v>-380143920.00000006</v>
      </c>
      <c r="D64" s="63">
        <v>60023670</v>
      </c>
      <c r="E64" s="64">
        <v>458505380.00000006</v>
      </c>
      <c r="F64" s="63">
        <v>206471362.4035227</v>
      </c>
      <c r="G64" s="63">
        <v>92047853.907015458</v>
      </c>
      <c r="H64" s="65">
        <v>28860163.689461861</v>
      </c>
      <c r="I64" s="65">
        <v>8020843.4542974271</v>
      </c>
      <c r="J64" s="65">
        <v>7987028.804535063</v>
      </c>
      <c r="K64" s="65">
        <v>17524954.661348604</v>
      </c>
      <c r="L64" s="65">
        <v>55231543.079818904</v>
      </c>
      <c r="M64" s="63">
        <v>42361630</v>
      </c>
    </row>
    <row r="65" spans="1:14" ht="16" hidden="1" customHeight="1" outlineLevel="1" x14ac:dyDescent="0.45">
      <c r="A65" s="29" t="s">
        <v>179</v>
      </c>
      <c r="B65" s="44">
        <v>184797144</v>
      </c>
      <c r="C65" s="63">
        <v>184797144</v>
      </c>
      <c r="D65" s="63">
        <v>0</v>
      </c>
      <c r="E65" s="64">
        <v>0</v>
      </c>
      <c r="F65" s="63">
        <v>0</v>
      </c>
      <c r="G65" s="63">
        <v>0</v>
      </c>
      <c r="H65" s="65">
        <v>0</v>
      </c>
      <c r="I65" s="65">
        <v>0</v>
      </c>
      <c r="J65" s="65">
        <v>0</v>
      </c>
      <c r="K65" s="65">
        <v>0</v>
      </c>
      <c r="L65" s="65">
        <v>0</v>
      </c>
      <c r="M65" s="63">
        <v>0</v>
      </c>
      <c r="N65" s="1"/>
    </row>
    <row r="66" spans="1:14" ht="16" hidden="1" customHeight="1" outlineLevel="1" x14ac:dyDescent="0.45">
      <c r="A66" s="29" t="s">
        <v>180</v>
      </c>
      <c r="B66" s="44">
        <v>0</v>
      </c>
      <c r="C66" s="63">
        <v>0</v>
      </c>
      <c r="D66" s="63">
        <v>0</v>
      </c>
      <c r="E66" s="64">
        <v>0</v>
      </c>
      <c r="F66" s="63">
        <v>0</v>
      </c>
      <c r="G66" s="63">
        <v>0</v>
      </c>
      <c r="H66" s="65">
        <v>0</v>
      </c>
      <c r="I66" s="65">
        <v>0</v>
      </c>
      <c r="J66" s="65">
        <v>0</v>
      </c>
      <c r="K66" s="65">
        <v>0</v>
      </c>
      <c r="L66" s="65">
        <v>0</v>
      </c>
      <c r="M66" s="63">
        <v>0</v>
      </c>
      <c r="N66" s="1"/>
    </row>
    <row r="67" spans="1:14" ht="16" hidden="1" customHeight="1" outlineLevel="1" x14ac:dyDescent="0.45">
      <c r="A67" s="29" t="s">
        <v>131</v>
      </c>
      <c r="B67" s="44">
        <v>33140680</v>
      </c>
      <c r="C67" s="63">
        <v>2470000</v>
      </c>
      <c r="D67" s="63">
        <v>0</v>
      </c>
      <c r="E67" s="64">
        <v>30670680</v>
      </c>
      <c r="F67" s="63">
        <v>1200000</v>
      </c>
      <c r="G67" s="63">
        <v>0</v>
      </c>
      <c r="H67" s="65">
        <v>28600680</v>
      </c>
      <c r="I67" s="65">
        <v>0</v>
      </c>
      <c r="J67" s="65">
        <v>0</v>
      </c>
      <c r="K67" s="65">
        <v>870000</v>
      </c>
      <c r="L67" s="65">
        <v>0</v>
      </c>
      <c r="M67" s="63">
        <v>0</v>
      </c>
      <c r="N67" s="1"/>
    </row>
    <row r="68" spans="1:14" ht="16" hidden="1" customHeight="1" outlineLevel="1" x14ac:dyDescent="0.45">
      <c r="A68" s="29" t="s">
        <v>35</v>
      </c>
      <c r="B68" s="44">
        <v>603963570</v>
      </c>
      <c r="C68" s="63">
        <v>-1128098820</v>
      </c>
      <c r="D68" s="63">
        <v>24425000</v>
      </c>
      <c r="E68" s="64">
        <v>1707637390</v>
      </c>
      <c r="F68" s="63">
        <v>1183034452.0966001</v>
      </c>
      <c r="G68" s="63">
        <v>340434997.90340006</v>
      </c>
      <c r="H68" s="65">
        <v>6900000</v>
      </c>
      <c r="I68" s="65">
        <v>8620750</v>
      </c>
      <c r="J68" s="65">
        <v>11121850</v>
      </c>
      <c r="K68" s="65">
        <v>55439050</v>
      </c>
      <c r="L68" s="65">
        <v>97411290</v>
      </c>
      <c r="M68" s="63">
        <v>4675000</v>
      </c>
      <c r="N68" s="1"/>
    </row>
    <row r="69" spans="1:14" ht="16" hidden="1" customHeight="1" outlineLevel="1" x14ac:dyDescent="0.45">
      <c r="A69" s="29" t="s">
        <v>132</v>
      </c>
      <c r="B69" s="44">
        <v>6400000</v>
      </c>
      <c r="C69" s="63">
        <v>0</v>
      </c>
      <c r="D69" s="63">
        <v>0</v>
      </c>
      <c r="E69" s="64">
        <v>6400000</v>
      </c>
      <c r="F69" s="63">
        <v>0</v>
      </c>
      <c r="G69" s="63">
        <v>0</v>
      </c>
      <c r="H69" s="65">
        <v>0</v>
      </c>
      <c r="I69" s="65">
        <v>0</v>
      </c>
      <c r="J69" s="65">
        <v>0</v>
      </c>
      <c r="K69" s="65">
        <v>0</v>
      </c>
      <c r="L69" s="65">
        <v>6400000</v>
      </c>
      <c r="M69" s="63">
        <v>0</v>
      </c>
      <c r="N69" s="1"/>
    </row>
    <row r="70" spans="1:14" ht="16" customHeight="1" collapsed="1" x14ac:dyDescent="0.45">
      <c r="A70" s="28" t="s">
        <v>133</v>
      </c>
      <c r="B70" s="43">
        <v>5395360</v>
      </c>
      <c r="C70" s="60">
        <v>1434080</v>
      </c>
      <c r="D70" s="60">
        <v>0</v>
      </c>
      <c r="E70" s="61">
        <v>3961280</v>
      </c>
      <c r="F70" s="60">
        <v>0</v>
      </c>
      <c r="G70" s="60">
        <v>0</v>
      </c>
      <c r="H70" s="62">
        <v>0</v>
      </c>
      <c r="I70" s="62">
        <v>885020</v>
      </c>
      <c r="J70" s="62">
        <v>885020</v>
      </c>
      <c r="K70" s="62">
        <v>2191240</v>
      </c>
      <c r="L70" s="62">
        <v>0</v>
      </c>
      <c r="M70" s="60">
        <v>0</v>
      </c>
      <c r="N70" s="1"/>
    </row>
    <row r="71" spans="1:14" s="1" customFormat="1" collapsed="1" x14ac:dyDescent="0.45">
      <c r="A71" s="28" t="s">
        <v>36</v>
      </c>
      <c r="B71" s="43">
        <v>743627707</v>
      </c>
      <c r="C71" s="60">
        <v>52293255.000000119</v>
      </c>
      <c r="D71" s="60">
        <v>17783868</v>
      </c>
      <c r="E71" s="61">
        <v>673550583.99999988</v>
      </c>
      <c r="F71" s="60">
        <v>417114342.94497621</v>
      </c>
      <c r="G71" s="60">
        <v>127662304.37486786</v>
      </c>
      <c r="H71" s="62">
        <v>39503461.680155925</v>
      </c>
      <c r="I71" s="62">
        <v>4759708.3279402815</v>
      </c>
      <c r="J71" s="62">
        <v>4054661.4313631766</v>
      </c>
      <c r="K71" s="62">
        <v>18888998.790449899</v>
      </c>
      <c r="L71" s="62">
        <v>53853124.450246647</v>
      </c>
      <c r="M71" s="60">
        <v>7713982</v>
      </c>
    </row>
    <row r="72" spans="1:14" s="1" customFormat="1" ht="16" hidden="1" customHeight="1" outlineLevel="1" x14ac:dyDescent="0.45">
      <c r="A72" s="29" t="s">
        <v>37</v>
      </c>
      <c r="B72" s="44">
        <v>743627707</v>
      </c>
      <c r="C72" s="63">
        <v>52293255.000000119</v>
      </c>
      <c r="D72" s="63">
        <v>17783868</v>
      </c>
      <c r="E72" s="64">
        <v>673550583.99999988</v>
      </c>
      <c r="F72" s="63">
        <v>417114342.94497621</v>
      </c>
      <c r="G72" s="63">
        <v>127662304.37486786</v>
      </c>
      <c r="H72" s="65">
        <v>39503461.680155925</v>
      </c>
      <c r="I72" s="65">
        <v>4759708.3279402815</v>
      </c>
      <c r="J72" s="65">
        <v>4054661.4313631766</v>
      </c>
      <c r="K72" s="65">
        <v>18888998.790449899</v>
      </c>
      <c r="L72" s="65">
        <v>53853124.450246647</v>
      </c>
      <c r="M72" s="63">
        <v>7713982</v>
      </c>
    </row>
    <row r="73" spans="1:14" ht="16" customHeight="1" collapsed="1" x14ac:dyDescent="0.45">
      <c r="A73" s="28" t="s">
        <v>181</v>
      </c>
      <c r="B73" s="43">
        <v>10143053</v>
      </c>
      <c r="C73" s="60">
        <v>-6856947</v>
      </c>
      <c r="D73" s="60">
        <v>0</v>
      </c>
      <c r="E73" s="61">
        <v>17000000</v>
      </c>
      <c r="F73" s="60">
        <v>11000000</v>
      </c>
      <c r="G73" s="60">
        <v>2000000</v>
      </c>
      <c r="H73" s="62">
        <v>1000000</v>
      </c>
      <c r="I73" s="62">
        <v>0</v>
      </c>
      <c r="J73" s="62">
        <v>0</v>
      </c>
      <c r="K73" s="62">
        <v>0</v>
      </c>
      <c r="L73" s="62">
        <v>2000000</v>
      </c>
      <c r="M73" s="60">
        <v>1000000</v>
      </c>
      <c r="N73" s="1"/>
    </row>
    <row r="74" spans="1:14" s="1" customFormat="1" collapsed="1" x14ac:dyDescent="0.45">
      <c r="A74" s="28" t="s">
        <v>38</v>
      </c>
      <c r="B74" s="43">
        <v>2992887086</v>
      </c>
      <c r="C74" s="60">
        <v>169853701.99999952</v>
      </c>
      <c r="D74" s="60">
        <v>30280453</v>
      </c>
      <c r="E74" s="61">
        <v>2792752931.0000005</v>
      </c>
      <c r="F74" s="60">
        <v>2029169902.3545728</v>
      </c>
      <c r="G74" s="60">
        <v>333360020.27032131</v>
      </c>
      <c r="H74" s="62">
        <v>115441401.37510596</v>
      </c>
      <c r="I74" s="62">
        <v>10917774.292024076</v>
      </c>
      <c r="J74" s="62">
        <v>10478504.574203759</v>
      </c>
      <c r="K74" s="62">
        <v>44239728.532115936</v>
      </c>
      <c r="L74" s="62">
        <v>236965208.60165623</v>
      </c>
      <c r="M74" s="60">
        <v>12180391</v>
      </c>
    </row>
    <row r="75" spans="1:14" s="1" customFormat="1" ht="16" hidden="1" customHeight="1" outlineLevel="1" x14ac:dyDescent="0.45">
      <c r="A75" s="29" t="s">
        <v>39</v>
      </c>
      <c r="B75" s="44">
        <v>1123860</v>
      </c>
      <c r="C75" s="63">
        <v>1123860</v>
      </c>
      <c r="D75" s="63">
        <v>0</v>
      </c>
      <c r="E75" s="64">
        <v>0</v>
      </c>
      <c r="F75" s="63">
        <v>0</v>
      </c>
      <c r="G75" s="63">
        <v>0</v>
      </c>
      <c r="H75" s="65">
        <v>0</v>
      </c>
      <c r="I75" s="65">
        <v>0</v>
      </c>
      <c r="J75" s="65">
        <v>0</v>
      </c>
      <c r="K75" s="65">
        <v>0</v>
      </c>
      <c r="L75" s="65">
        <v>0</v>
      </c>
      <c r="M75" s="63">
        <v>0</v>
      </c>
    </row>
    <row r="76" spans="1:14" ht="16" hidden="1" customHeight="1" outlineLevel="1" x14ac:dyDescent="0.45">
      <c r="A76" s="29" t="s">
        <v>40</v>
      </c>
      <c r="B76" s="44">
        <v>65880360</v>
      </c>
      <c r="C76" s="63">
        <v>4222908.0000000149</v>
      </c>
      <c r="D76" s="63">
        <v>1578017</v>
      </c>
      <c r="E76" s="64">
        <v>60079434.999999985</v>
      </c>
      <c r="F76" s="63">
        <v>38395480.24262955</v>
      </c>
      <c r="G76" s="63">
        <v>10525356.904676523</v>
      </c>
      <c r="H76" s="65">
        <v>3295185.8526939256</v>
      </c>
      <c r="I76" s="65">
        <v>410562.43789023429</v>
      </c>
      <c r="J76" s="65">
        <v>410937.27268216235</v>
      </c>
      <c r="K76" s="65">
        <v>1755569.1796411716</v>
      </c>
      <c r="L76" s="65">
        <v>4534018.1097864322</v>
      </c>
      <c r="M76" s="63">
        <v>752325</v>
      </c>
      <c r="N76" s="1"/>
    </row>
    <row r="77" spans="1:14" ht="16" hidden="1" customHeight="1" outlineLevel="1" x14ac:dyDescent="0.45">
      <c r="A77" s="29" t="s">
        <v>41</v>
      </c>
      <c r="B77" s="44">
        <v>371412690</v>
      </c>
      <c r="C77" s="63">
        <v>26118410</v>
      </c>
      <c r="D77" s="63">
        <v>8882340</v>
      </c>
      <c r="E77" s="64">
        <v>336411940</v>
      </c>
      <c r="F77" s="63">
        <v>208332154.50954482</v>
      </c>
      <c r="G77" s="63">
        <v>63762285.111846268</v>
      </c>
      <c r="H77" s="65">
        <v>19730420.378608916</v>
      </c>
      <c r="I77" s="65">
        <v>2377286.1410395233</v>
      </c>
      <c r="J77" s="65">
        <v>2025143.0292163191</v>
      </c>
      <c r="K77" s="65">
        <v>9434309.80422768</v>
      </c>
      <c r="L77" s="65">
        <v>26897511.02551648</v>
      </c>
      <c r="M77" s="63">
        <v>3852830</v>
      </c>
      <c r="N77" s="1"/>
    </row>
    <row r="78" spans="1:14" ht="16" hidden="1" customHeight="1" outlineLevel="1" x14ac:dyDescent="0.45">
      <c r="A78" s="29" t="s">
        <v>42</v>
      </c>
      <c r="B78" s="44">
        <v>354835890</v>
      </c>
      <c r="C78" s="63">
        <v>18738130</v>
      </c>
      <c r="D78" s="63">
        <v>7852940</v>
      </c>
      <c r="E78" s="64">
        <v>328244820</v>
      </c>
      <c r="F78" s="63">
        <v>204173416.53522974</v>
      </c>
      <c r="G78" s="63">
        <v>62955043.640045412</v>
      </c>
      <c r="H78" s="65">
        <v>20727859.824724864</v>
      </c>
      <c r="I78" s="65">
        <v>2293679.1757418951</v>
      </c>
      <c r="J78" s="65">
        <v>2078888.383434589</v>
      </c>
      <c r="K78" s="65">
        <v>9619575.2387089953</v>
      </c>
      <c r="L78" s="65">
        <v>22961307.202114522</v>
      </c>
      <c r="M78" s="63">
        <v>3435050</v>
      </c>
      <c r="N78" s="1"/>
    </row>
    <row r="79" spans="1:14" ht="16" hidden="1" customHeight="1" outlineLevel="1" x14ac:dyDescent="0.45">
      <c r="A79" s="29" t="s">
        <v>43</v>
      </c>
      <c r="B79" s="44">
        <v>118072680</v>
      </c>
      <c r="C79" s="63">
        <v>7260894.0000000149</v>
      </c>
      <c r="D79" s="63">
        <v>2836036</v>
      </c>
      <c r="E79" s="64">
        <v>107975749.99999999</v>
      </c>
      <c r="F79" s="63">
        <v>69004990.443158329</v>
      </c>
      <c r="G79" s="63">
        <v>18916346.727197785</v>
      </c>
      <c r="H79" s="65">
        <v>5922159.8296438791</v>
      </c>
      <c r="I79" s="65">
        <v>737870.47272969445</v>
      </c>
      <c r="J79" s="65">
        <v>738543.33645046991</v>
      </c>
      <c r="K79" s="65">
        <v>3155137.9201076189</v>
      </c>
      <c r="L79" s="65">
        <v>8148609.2707122164</v>
      </c>
      <c r="M79" s="63">
        <v>1352092</v>
      </c>
      <c r="N79" s="1"/>
    </row>
    <row r="80" spans="1:14" ht="16" hidden="1" customHeight="1" outlineLevel="1" x14ac:dyDescent="0.45">
      <c r="A80" s="29" t="s">
        <v>134</v>
      </c>
      <c r="B80" s="44">
        <v>0</v>
      </c>
      <c r="C80" s="63">
        <v>0</v>
      </c>
      <c r="D80" s="63">
        <v>0</v>
      </c>
      <c r="E80" s="64">
        <v>0</v>
      </c>
      <c r="F80" s="63">
        <v>0</v>
      </c>
      <c r="G80" s="63">
        <v>0</v>
      </c>
      <c r="H80" s="65">
        <v>0</v>
      </c>
      <c r="I80" s="65">
        <v>0</v>
      </c>
      <c r="J80" s="65">
        <v>0</v>
      </c>
      <c r="K80" s="65">
        <v>0</v>
      </c>
      <c r="L80" s="65">
        <v>0</v>
      </c>
      <c r="M80" s="63">
        <v>0</v>
      </c>
      <c r="N80" s="1"/>
    </row>
    <row r="81" spans="1:14" ht="16" hidden="1" customHeight="1" outlineLevel="1" x14ac:dyDescent="0.45">
      <c r="A81" s="24" t="s">
        <v>44</v>
      </c>
      <c r="B81" s="45">
        <v>931729191</v>
      </c>
      <c r="C81" s="63">
        <v>14419090</v>
      </c>
      <c r="D81" s="63">
        <v>550000</v>
      </c>
      <c r="E81" s="64">
        <v>916760101</v>
      </c>
      <c r="F81" s="63">
        <v>695992852</v>
      </c>
      <c r="G81" s="63">
        <v>128462500</v>
      </c>
      <c r="H81" s="65">
        <v>61029749</v>
      </c>
      <c r="I81" s="65">
        <v>3548000</v>
      </c>
      <c r="J81" s="65">
        <v>4048000</v>
      </c>
      <c r="K81" s="65">
        <v>16560000</v>
      </c>
      <c r="L81" s="65">
        <v>5774000</v>
      </c>
      <c r="M81" s="63">
        <v>1345000</v>
      </c>
      <c r="N81" s="1"/>
    </row>
    <row r="82" spans="1:14" ht="16" hidden="1" customHeight="1" outlineLevel="1" x14ac:dyDescent="0.45">
      <c r="A82" s="29" t="s">
        <v>45</v>
      </c>
      <c r="B82" s="44">
        <v>43974000</v>
      </c>
      <c r="C82" s="63">
        <v>2630000</v>
      </c>
      <c r="D82" s="63">
        <v>4650000</v>
      </c>
      <c r="E82" s="64">
        <v>36694000</v>
      </c>
      <c r="F82" s="63">
        <v>25636277.818391185</v>
      </c>
      <c r="G82" s="63">
        <v>6257722.1816088147</v>
      </c>
      <c r="H82" s="65">
        <v>1200000</v>
      </c>
      <c r="I82" s="65">
        <v>100000</v>
      </c>
      <c r="J82" s="65">
        <v>100000</v>
      </c>
      <c r="K82" s="65">
        <v>800000</v>
      </c>
      <c r="L82" s="65">
        <v>1600000</v>
      </c>
      <c r="M82" s="63">
        <v>1000000</v>
      </c>
      <c r="N82" s="1"/>
    </row>
    <row r="83" spans="1:14" ht="16" hidden="1" customHeight="1" outlineLevel="1" x14ac:dyDescent="0.45">
      <c r="A83" s="29" t="s">
        <v>46</v>
      </c>
      <c r="B83" s="44">
        <v>28880397</v>
      </c>
      <c r="C83" s="63">
        <v>26307397</v>
      </c>
      <c r="D83" s="63">
        <v>0</v>
      </c>
      <c r="E83" s="64">
        <v>2572999.9999999995</v>
      </c>
      <c r="F83" s="63">
        <v>1832000.5884054846</v>
      </c>
      <c r="G83" s="63">
        <v>152499.41159451555</v>
      </c>
      <c r="H83" s="65">
        <v>0</v>
      </c>
      <c r="I83" s="65">
        <v>82766.064622729391</v>
      </c>
      <c r="J83" s="65">
        <v>78432.552420218373</v>
      </c>
      <c r="K83" s="65">
        <v>354219.3894304682</v>
      </c>
      <c r="L83" s="65">
        <v>73081.993526584018</v>
      </c>
      <c r="M83" s="63">
        <v>0</v>
      </c>
      <c r="N83" s="1"/>
    </row>
    <row r="84" spans="1:14" ht="16" hidden="1" customHeight="1" outlineLevel="1" x14ac:dyDescent="0.45">
      <c r="A84" s="29" t="s">
        <v>47</v>
      </c>
      <c r="B84" s="44">
        <v>9989175</v>
      </c>
      <c r="C84" s="63">
        <v>1076453</v>
      </c>
      <c r="D84" s="63">
        <v>0</v>
      </c>
      <c r="E84" s="64">
        <v>8912722</v>
      </c>
      <c r="F84" s="63">
        <v>7214599.8727548253</v>
      </c>
      <c r="G84" s="63">
        <v>1278553.1272451747</v>
      </c>
      <c r="H84" s="65">
        <v>231277</v>
      </c>
      <c r="I84" s="65">
        <v>0</v>
      </c>
      <c r="J84" s="65">
        <v>0</v>
      </c>
      <c r="K84" s="65">
        <v>77727</v>
      </c>
      <c r="L84" s="65">
        <v>17291</v>
      </c>
      <c r="M84" s="63">
        <v>93274</v>
      </c>
      <c r="N84" s="1"/>
    </row>
    <row r="85" spans="1:14" ht="16" hidden="1" customHeight="1" outlineLevel="1" x14ac:dyDescent="0.45">
      <c r="A85" s="29" t="s">
        <v>246</v>
      </c>
      <c r="B85" s="44">
        <v>16600000</v>
      </c>
      <c r="C85" s="63">
        <v>0</v>
      </c>
      <c r="D85" s="63">
        <v>0</v>
      </c>
      <c r="E85" s="64">
        <v>16600000</v>
      </c>
      <c r="F85" s="63">
        <v>16600000</v>
      </c>
      <c r="G85" s="63">
        <v>0</v>
      </c>
      <c r="H85" s="65">
        <v>0</v>
      </c>
      <c r="I85" s="65">
        <v>0</v>
      </c>
      <c r="J85" s="65">
        <v>0</v>
      </c>
      <c r="K85" s="65">
        <v>0</v>
      </c>
      <c r="L85" s="65">
        <v>0</v>
      </c>
      <c r="M85" s="63">
        <v>0</v>
      </c>
      <c r="N85" s="1"/>
    </row>
    <row r="86" spans="1:14" ht="16" hidden="1" customHeight="1" outlineLevel="1" x14ac:dyDescent="0.45">
      <c r="A86" s="29" t="s">
        <v>48</v>
      </c>
      <c r="B86" s="44">
        <v>49741330</v>
      </c>
      <c r="C86" s="63">
        <v>6055410</v>
      </c>
      <c r="D86" s="63">
        <v>2971120</v>
      </c>
      <c r="E86" s="64">
        <v>40714800</v>
      </c>
      <c r="F86" s="63">
        <v>24665118.980728932</v>
      </c>
      <c r="G86" s="63">
        <v>6792121.5298366928</v>
      </c>
      <c r="H86" s="65">
        <v>2606749.4894343764</v>
      </c>
      <c r="I86" s="65">
        <v>828060</v>
      </c>
      <c r="J86" s="65">
        <v>511760</v>
      </c>
      <c r="K86" s="65">
        <v>2051190</v>
      </c>
      <c r="L86" s="65">
        <v>2909980</v>
      </c>
      <c r="M86" s="63">
        <v>349820</v>
      </c>
      <c r="N86" s="1"/>
    </row>
    <row r="87" spans="1:14" ht="16" hidden="1" customHeight="1" outlineLevel="1" x14ac:dyDescent="0.45">
      <c r="A87" s="29" t="s">
        <v>49</v>
      </c>
      <c r="B87" s="44">
        <v>8216800</v>
      </c>
      <c r="C87" s="63">
        <v>0</v>
      </c>
      <c r="D87" s="63">
        <v>0</v>
      </c>
      <c r="E87" s="64">
        <v>8216800</v>
      </c>
      <c r="F87" s="63">
        <v>5066200</v>
      </c>
      <c r="G87" s="63">
        <v>2265000</v>
      </c>
      <c r="H87" s="65">
        <v>0</v>
      </c>
      <c r="I87" s="65">
        <v>0</v>
      </c>
      <c r="J87" s="65">
        <v>411800</v>
      </c>
      <c r="K87" s="65">
        <v>0</v>
      </c>
      <c r="L87" s="65">
        <v>473800</v>
      </c>
      <c r="M87" s="63">
        <v>0</v>
      </c>
      <c r="N87" s="1"/>
    </row>
    <row r="88" spans="1:14" ht="16" hidden="1" customHeight="1" outlineLevel="1" x14ac:dyDescent="0.45">
      <c r="A88" s="29" t="s">
        <v>182</v>
      </c>
      <c r="B88" s="44">
        <v>0</v>
      </c>
      <c r="C88" s="63">
        <v>0</v>
      </c>
      <c r="D88" s="63">
        <v>0</v>
      </c>
      <c r="E88" s="64">
        <v>0</v>
      </c>
      <c r="F88" s="63">
        <v>0</v>
      </c>
      <c r="G88" s="63">
        <v>0</v>
      </c>
      <c r="H88" s="65">
        <v>0</v>
      </c>
      <c r="I88" s="65">
        <v>0</v>
      </c>
      <c r="J88" s="65">
        <v>0</v>
      </c>
      <c r="K88" s="65">
        <v>0</v>
      </c>
      <c r="L88" s="65">
        <v>0</v>
      </c>
      <c r="M88" s="63">
        <v>0</v>
      </c>
      <c r="N88" s="1"/>
    </row>
    <row r="89" spans="1:14" ht="16" hidden="1" customHeight="1" outlineLevel="1" x14ac:dyDescent="0.45">
      <c r="A89" s="29" t="s">
        <v>50</v>
      </c>
      <c r="B89" s="44">
        <v>2900000</v>
      </c>
      <c r="C89" s="63">
        <v>800000</v>
      </c>
      <c r="D89" s="63">
        <v>300000</v>
      </c>
      <c r="E89" s="64">
        <v>1800000</v>
      </c>
      <c r="F89" s="63">
        <v>1000000</v>
      </c>
      <c r="G89" s="63">
        <v>800000</v>
      </c>
      <c r="H89" s="65">
        <v>0</v>
      </c>
      <c r="I89" s="65">
        <v>0</v>
      </c>
      <c r="J89" s="65">
        <v>0</v>
      </c>
      <c r="K89" s="65">
        <v>0</v>
      </c>
      <c r="L89" s="65">
        <v>0</v>
      </c>
      <c r="M89" s="63">
        <v>0</v>
      </c>
      <c r="N89" s="1"/>
    </row>
    <row r="90" spans="1:14" ht="16" hidden="1" customHeight="1" outlineLevel="1" x14ac:dyDescent="0.45">
      <c r="A90" s="29" t="s">
        <v>183</v>
      </c>
      <c r="B90" s="44">
        <v>0</v>
      </c>
      <c r="C90" s="63">
        <v>0</v>
      </c>
      <c r="D90" s="63">
        <v>0</v>
      </c>
      <c r="E90" s="64">
        <v>0</v>
      </c>
      <c r="F90" s="63">
        <v>0</v>
      </c>
      <c r="G90" s="63">
        <v>0</v>
      </c>
      <c r="H90" s="65">
        <v>0</v>
      </c>
      <c r="I90" s="65">
        <v>0</v>
      </c>
      <c r="J90" s="65">
        <v>0</v>
      </c>
      <c r="K90" s="65">
        <v>0</v>
      </c>
      <c r="L90" s="65">
        <v>0</v>
      </c>
      <c r="M90" s="63">
        <v>0</v>
      </c>
      <c r="N90" s="1"/>
    </row>
    <row r="91" spans="1:14" ht="16" hidden="1" customHeight="1" outlineLevel="1" x14ac:dyDescent="0.45">
      <c r="A91" s="29" t="s">
        <v>51</v>
      </c>
      <c r="B91" s="44">
        <v>48900000</v>
      </c>
      <c r="C91" s="63">
        <v>31500000</v>
      </c>
      <c r="D91" s="63">
        <v>300000</v>
      </c>
      <c r="E91" s="64">
        <v>17100000</v>
      </c>
      <c r="F91" s="63">
        <v>11300000</v>
      </c>
      <c r="G91" s="63">
        <v>4900000</v>
      </c>
      <c r="H91" s="65">
        <v>0</v>
      </c>
      <c r="I91" s="65">
        <v>0</v>
      </c>
      <c r="J91" s="65">
        <v>0</v>
      </c>
      <c r="K91" s="65">
        <v>0</v>
      </c>
      <c r="L91" s="65">
        <v>900000</v>
      </c>
      <c r="M91" s="63">
        <v>0</v>
      </c>
      <c r="N91" s="1"/>
    </row>
    <row r="92" spans="1:14" ht="16" hidden="1" customHeight="1" outlineLevel="1" x14ac:dyDescent="0.45">
      <c r="A92" s="31" t="s">
        <v>227</v>
      </c>
      <c r="B92" s="47">
        <v>0</v>
      </c>
      <c r="C92" s="63">
        <v>0</v>
      </c>
      <c r="D92" s="63">
        <v>0</v>
      </c>
      <c r="E92" s="64">
        <v>0</v>
      </c>
      <c r="F92" s="63">
        <v>0</v>
      </c>
      <c r="G92" s="63">
        <v>0</v>
      </c>
      <c r="H92" s="65">
        <v>0</v>
      </c>
      <c r="I92" s="65">
        <v>0</v>
      </c>
      <c r="J92" s="65">
        <v>0</v>
      </c>
      <c r="K92" s="65">
        <v>0</v>
      </c>
      <c r="L92" s="65">
        <v>0</v>
      </c>
      <c r="M92" s="63">
        <v>0</v>
      </c>
      <c r="N92" s="1"/>
    </row>
    <row r="93" spans="1:14" ht="16" hidden="1" customHeight="1" outlineLevel="1" x14ac:dyDescent="0.45">
      <c r="A93" s="29" t="s">
        <v>184</v>
      </c>
      <c r="B93" s="44">
        <v>0</v>
      </c>
      <c r="C93" s="63">
        <v>0</v>
      </c>
      <c r="D93" s="63">
        <v>0</v>
      </c>
      <c r="E93" s="64">
        <v>0</v>
      </c>
      <c r="F93" s="63">
        <v>0</v>
      </c>
      <c r="G93" s="63">
        <v>0</v>
      </c>
      <c r="H93" s="65">
        <v>0</v>
      </c>
      <c r="I93" s="65">
        <v>0</v>
      </c>
      <c r="J93" s="65">
        <v>0</v>
      </c>
      <c r="K93" s="65">
        <v>0</v>
      </c>
      <c r="L93" s="65">
        <v>0</v>
      </c>
      <c r="M93" s="63">
        <v>0</v>
      </c>
      <c r="N93" s="1"/>
    </row>
    <row r="94" spans="1:14" ht="16" hidden="1" customHeight="1" outlineLevel="1" x14ac:dyDescent="0.45">
      <c r="A94" s="31" t="s">
        <v>185</v>
      </c>
      <c r="B94" s="47">
        <v>0</v>
      </c>
      <c r="C94" s="63">
        <v>0</v>
      </c>
      <c r="D94" s="63">
        <v>0</v>
      </c>
      <c r="E94" s="64">
        <v>0</v>
      </c>
      <c r="F94" s="63">
        <v>0</v>
      </c>
      <c r="G94" s="63">
        <v>0</v>
      </c>
      <c r="H94" s="65">
        <v>0</v>
      </c>
      <c r="I94" s="65">
        <v>0</v>
      </c>
      <c r="J94" s="65">
        <v>0</v>
      </c>
      <c r="K94" s="65">
        <v>0</v>
      </c>
      <c r="L94" s="65">
        <v>0</v>
      </c>
      <c r="M94" s="63">
        <v>0</v>
      </c>
      <c r="N94" s="1"/>
    </row>
    <row r="95" spans="1:14" ht="16" hidden="1" customHeight="1" outlineLevel="1" x14ac:dyDescent="0.45">
      <c r="A95" s="29" t="s">
        <v>186</v>
      </c>
      <c r="B95" s="44">
        <v>0</v>
      </c>
      <c r="C95" s="63">
        <v>0</v>
      </c>
      <c r="D95" s="63">
        <v>0</v>
      </c>
      <c r="E95" s="64">
        <v>0</v>
      </c>
      <c r="F95" s="63">
        <v>0</v>
      </c>
      <c r="G95" s="63">
        <v>0</v>
      </c>
      <c r="H95" s="65">
        <v>0</v>
      </c>
      <c r="I95" s="65">
        <v>0</v>
      </c>
      <c r="J95" s="65">
        <v>0</v>
      </c>
      <c r="K95" s="65">
        <v>0</v>
      </c>
      <c r="L95" s="65">
        <v>0</v>
      </c>
      <c r="M95" s="63">
        <v>0</v>
      </c>
      <c r="N95" s="1"/>
    </row>
    <row r="96" spans="1:14" ht="16" hidden="1" customHeight="1" outlineLevel="1" x14ac:dyDescent="0.45">
      <c r="A96" s="31" t="s">
        <v>228</v>
      </c>
      <c r="B96" s="47">
        <v>0</v>
      </c>
      <c r="C96" s="63">
        <v>0</v>
      </c>
      <c r="D96" s="63">
        <v>0</v>
      </c>
      <c r="E96" s="64">
        <v>0</v>
      </c>
      <c r="F96" s="63">
        <v>0</v>
      </c>
      <c r="G96" s="63">
        <v>0</v>
      </c>
      <c r="H96" s="65">
        <v>0</v>
      </c>
      <c r="I96" s="65">
        <v>0</v>
      </c>
      <c r="J96" s="65">
        <v>0</v>
      </c>
      <c r="K96" s="65">
        <v>0</v>
      </c>
      <c r="L96" s="65">
        <v>0</v>
      </c>
      <c r="M96" s="63">
        <v>0</v>
      </c>
      <c r="N96" s="1"/>
    </row>
    <row r="97" spans="1:14" ht="16" hidden="1" customHeight="1" outlineLevel="1" x14ac:dyDescent="0.45">
      <c r="A97" s="29" t="s">
        <v>135</v>
      </c>
      <c r="B97" s="44">
        <v>0</v>
      </c>
      <c r="C97" s="63">
        <v>0</v>
      </c>
      <c r="D97" s="63">
        <v>0</v>
      </c>
      <c r="E97" s="64">
        <v>0</v>
      </c>
      <c r="F97" s="63">
        <v>0</v>
      </c>
      <c r="G97" s="63">
        <v>0</v>
      </c>
      <c r="H97" s="65">
        <v>0</v>
      </c>
      <c r="I97" s="65">
        <v>0</v>
      </c>
      <c r="J97" s="65">
        <v>0</v>
      </c>
      <c r="K97" s="65">
        <v>0</v>
      </c>
      <c r="L97" s="65">
        <v>0</v>
      </c>
      <c r="M97" s="63">
        <v>0</v>
      </c>
      <c r="N97" s="1"/>
    </row>
    <row r="98" spans="1:14" ht="16" hidden="1" customHeight="1" outlineLevel="1" x14ac:dyDescent="0.45">
      <c r="A98" s="29" t="s">
        <v>52</v>
      </c>
      <c r="B98" s="44">
        <v>0</v>
      </c>
      <c r="C98" s="63">
        <v>0</v>
      </c>
      <c r="D98" s="63">
        <v>0</v>
      </c>
      <c r="E98" s="64">
        <v>0</v>
      </c>
      <c r="F98" s="63">
        <v>0</v>
      </c>
      <c r="G98" s="63">
        <v>0</v>
      </c>
      <c r="H98" s="65">
        <v>0</v>
      </c>
      <c r="I98" s="65">
        <v>0</v>
      </c>
      <c r="J98" s="65">
        <v>0</v>
      </c>
      <c r="K98" s="65">
        <v>0</v>
      </c>
      <c r="L98" s="65">
        <v>0</v>
      </c>
      <c r="M98" s="63">
        <v>0</v>
      </c>
      <c r="N98" s="1"/>
    </row>
    <row r="99" spans="1:14" ht="16" hidden="1" customHeight="1" outlineLevel="1" x14ac:dyDescent="0.45">
      <c r="A99" s="31" t="s">
        <v>187</v>
      </c>
      <c r="B99" s="47">
        <v>0</v>
      </c>
      <c r="C99" s="63">
        <v>0</v>
      </c>
      <c r="D99" s="63">
        <v>0</v>
      </c>
      <c r="E99" s="64">
        <v>0</v>
      </c>
      <c r="F99" s="63">
        <v>0</v>
      </c>
      <c r="G99" s="63">
        <v>0</v>
      </c>
      <c r="H99" s="65">
        <v>0</v>
      </c>
      <c r="I99" s="65">
        <v>0</v>
      </c>
      <c r="J99" s="65">
        <v>0</v>
      </c>
      <c r="K99" s="65">
        <v>0</v>
      </c>
      <c r="L99" s="65">
        <v>0</v>
      </c>
      <c r="M99" s="63">
        <v>0</v>
      </c>
      <c r="N99" s="1"/>
    </row>
    <row r="100" spans="1:14" ht="16" hidden="1" customHeight="1" outlineLevel="1" x14ac:dyDescent="0.45">
      <c r="A100" s="24" t="s">
        <v>114</v>
      </c>
      <c r="B100" s="44">
        <v>0</v>
      </c>
      <c r="C100" s="63">
        <v>0</v>
      </c>
      <c r="D100" s="63">
        <v>0</v>
      </c>
      <c r="E100" s="64">
        <v>0</v>
      </c>
      <c r="F100" s="63">
        <v>0</v>
      </c>
      <c r="G100" s="63">
        <v>0</v>
      </c>
      <c r="H100" s="65">
        <v>0</v>
      </c>
      <c r="I100" s="65">
        <v>0</v>
      </c>
      <c r="J100" s="65">
        <v>0</v>
      </c>
      <c r="K100" s="65">
        <v>0</v>
      </c>
      <c r="L100" s="65">
        <v>0</v>
      </c>
      <c r="M100" s="63">
        <v>0</v>
      </c>
      <c r="N100" s="1"/>
    </row>
    <row r="101" spans="1:14" ht="16" hidden="1" customHeight="1" outlineLevel="1" x14ac:dyDescent="0.45">
      <c r="A101" s="29" t="s">
        <v>188</v>
      </c>
      <c r="B101" s="44">
        <v>0</v>
      </c>
      <c r="C101" s="63">
        <v>0</v>
      </c>
      <c r="D101" s="63">
        <v>0</v>
      </c>
      <c r="E101" s="64">
        <v>0</v>
      </c>
      <c r="F101" s="63">
        <v>0</v>
      </c>
      <c r="G101" s="63">
        <v>0</v>
      </c>
      <c r="H101" s="65">
        <v>0</v>
      </c>
      <c r="I101" s="65">
        <v>0</v>
      </c>
      <c r="J101" s="65">
        <v>0</v>
      </c>
      <c r="K101" s="65">
        <v>0</v>
      </c>
      <c r="L101" s="65">
        <v>0</v>
      </c>
      <c r="M101" s="63">
        <v>0</v>
      </c>
      <c r="N101" s="1"/>
    </row>
    <row r="102" spans="1:14" ht="16" hidden="1" customHeight="1" outlineLevel="1" x14ac:dyDescent="0.45">
      <c r="A102" s="29" t="s">
        <v>259</v>
      </c>
      <c r="B102" s="44">
        <v>0</v>
      </c>
      <c r="C102" s="63">
        <v>0</v>
      </c>
      <c r="D102" s="63">
        <v>0</v>
      </c>
      <c r="E102" s="64">
        <v>0</v>
      </c>
      <c r="F102" s="63">
        <v>0</v>
      </c>
      <c r="G102" s="63">
        <v>0</v>
      </c>
      <c r="H102" s="65">
        <v>0</v>
      </c>
      <c r="I102" s="65">
        <v>0</v>
      </c>
      <c r="J102" s="65">
        <v>0</v>
      </c>
      <c r="K102" s="65">
        <v>0</v>
      </c>
      <c r="L102" s="65">
        <v>0</v>
      </c>
      <c r="M102" s="63">
        <v>0</v>
      </c>
      <c r="N102" s="1"/>
    </row>
    <row r="103" spans="1:14" ht="16" hidden="1" customHeight="1" outlineLevel="1" x14ac:dyDescent="0.45">
      <c r="A103" s="29" t="s">
        <v>189</v>
      </c>
      <c r="B103" s="44">
        <v>0</v>
      </c>
      <c r="C103" s="63">
        <v>0</v>
      </c>
      <c r="D103" s="63">
        <v>0</v>
      </c>
      <c r="E103" s="64">
        <v>0</v>
      </c>
      <c r="F103" s="63">
        <v>0</v>
      </c>
      <c r="G103" s="63">
        <v>0</v>
      </c>
      <c r="H103" s="65">
        <v>0</v>
      </c>
      <c r="I103" s="65">
        <v>0</v>
      </c>
      <c r="J103" s="65">
        <v>0</v>
      </c>
      <c r="K103" s="65">
        <v>0</v>
      </c>
      <c r="L103" s="65">
        <v>0</v>
      </c>
      <c r="M103" s="63">
        <v>0</v>
      </c>
      <c r="N103" s="1"/>
    </row>
    <row r="104" spans="1:14" ht="16" hidden="1" customHeight="1" outlineLevel="1" x14ac:dyDescent="0.45">
      <c r="A104" s="29" t="s">
        <v>115</v>
      </c>
      <c r="B104" s="44">
        <v>0</v>
      </c>
      <c r="C104" s="63">
        <v>0</v>
      </c>
      <c r="D104" s="63">
        <v>0</v>
      </c>
      <c r="E104" s="64">
        <v>0</v>
      </c>
      <c r="F104" s="63">
        <v>0</v>
      </c>
      <c r="G104" s="63">
        <v>0</v>
      </c>
      <c r="H104" s="65">
        <v>0</v>
      </c>
      <c r="I104" s="65">
        <v>0</v>
      </c>
      <c r="J104" s="65">
        <v>0</v>
      </c>
      <c r="K104" s="65">
        <v>0</v>
      </c>
      <c r="L104" s="65">
        <v>0</v>
      </c>
      <c r="M104" s="63">
        <v>0</v>
      </c>
      <c r="N104" s="1"/>
    </row>
    <row r="105" spans="1:14" ht="16" hidden="1" customHeight="1" outlineLevel="1" x14ac:dyDescent="0.45">
      <c r="A105" s="29" t="s">
        <v>53</v>
      </c>
      <c r="B105" s="44">
        <v>7950000</v>
      </c>
      <c r="C105" s="63">
        <v>550000</v>
      </c>
      <c r="D105" s="63">
        <v>50000</v>
      </c>
      <c r="E105" s="64">
        <v>7350000</v>
      </c>
      <c r="F105" s="63">
        <v>4047768.3637298904</v>
      </c>
      <c r="G105" s="63">
        <v>1602231.6362701093</v>
      </c>
      <c r="H105" s="65">
        <v>450000</v>
      </c>
      <c r="I105" s="65">
        <v>25000</v>
      </c>
      <c r="J105" s="65">
        <v>75000</v>
      </c>
      <c r="K105" s="65">
        <v>150000</v>
      </c>
      <c r="L105" s="65">
        <v>1000000</v>
      </c>
      <c r="M105" s="63">
        <v>0</v>
      </c>
      <c r="N105" s="1"/>
    </row>
    <row r="106" spans="1:14" ht="16" hidden="1" customHeight="1" outlineLevel="1" x14ac:dyDescent="0.45">
      <c r="A106" s="29" t="s">
        <v>54</v>
      </c>
      <c r="B106" s="44">
        <v>4163860</v>
      </c>
      <c r="C106" s="63">
        <v>474400</v>
      </c>
      <c r="D106" s="63">
        <v>100000</v>
      </c>
      <c r="E106" s="64">
        <v>3589460</v>
      </c>
      <c r="F106" s="63">
        <v>1927200</v>
      </c>
      <c r="G106" s="63">
        <v>1213060</v>
      </c>
      <c r="H106" s="65">
        <v>178000</v>
      </c>
      <c r="I106" s="65">
        <v>0</v>
      </c>
      <c r="J106" s="65">
        <v>0</v>
      </c>
      <c r="K106" s="65">
        <v>142000</v>
      </c>
      <c r="L106" s="65">
        <v>129200</v>
      </c>
      <c r="M106" s="63">
        <v>0</v>
      </c>
      <c r="N106" s="1"/>
    </row>
    <row r="107" spans="1:14" ht="16" hidden="1" customHeight="1" outlineLevel="1" x14ac:dyDescent="0.45">
      <c r="A107" s="29" t="s">
        <v>55</v>
      </c>
      <c r="B107" s="44">
        <v>2302300</v>
      </c>
      <c r="C107" s="63">
        <v>280000</v>
      </c>
      <c r="D107" s="63">
        <v>210000</v>
      </c>
      <c r="E107" s="64">
        <v>1812300</v>
      </c>
      <c r="F107" s="63">
        <v>770000</v>
      </c>
      <c r="G107" s="63">
        <v>762300</v>
      </c>
      <c r="H107" s="65">
        <v>70000</v>
      </c>
      <c r="I107" s="65">
        <v>0</v>
      </c>
      <c r="J107" s="65">
        <v>0</v>
      </c>
      <c r="K107" s="65">
        <v>140000</v>
      </c>
      <c r="L107" s="65">
        <v>70000</v>
      </c>
      <c r="M107" s="63">
        <v>0</v>
      </c>
      <c r="N107" s="1"/>
    </row>
    <row r="108" spans="1:14" ht="16" hidden="1" customHeight="1" outlineLevel="1" x14ac:dyDescent="0.45">
      <c r="A108" s="29" t="s">
        <v>190</v>
      </c>
      <c r="B108" s="44">
        <v>0</v>
      </c>
      <c r="C108" s="63">
        <v>0</v>
      </c>
      <c r="D108" s="63">
        <v>0</v>
      </c>
      <c r="E108" s="64">
        <v>0</v>
      </c>
      <c r="F108" s="63">
        <v>0</v>
      </c>
      <c r="G108" s="63">
        <v>0</v>
      </c>
      <c r="H108" s="65">
        <v>0</v>
      </c>
      <c r="I108" s="65">
        <v>0</v>
      </c>
      <c r="J108" s="65">
        <v>0</v>
      </c>
      <c r="K108" s="65">
        <v>0</v>
      </c>
      <c r="L108" s="65">
        <v>0</v>
      </c>
      <c r="M108" s="63">
        <v>0</v>
      </c>
      <c r="N108" s="1"/>
    </row>
    <row r="109" spans="1:14" ht="16" hidden="1" customHeight="1" outlineLevel="1" x14ac:dyDescent="0.45">
      <c r="A109" s="30" t="s">
        <v>56</v>
      </c>
      <c r="B109" s="46">
        <v>902822803</v>
      </c>
      <c r="C109" s="63">
        <v>4905000</v>
      </c>
      <c r="D109" s="63">
        <v>0</v>
      </c>
      <c r="E109" s="64">
        <v>897917803</v>
      </c>
      <c r="F109" s="63">
        <v>713211843</v>
      </c>
      <c r="G109" s="63">
        <v>22715000</v>
      </c>
      <c r="H109" s="65">
        <v>0</v>
      </c>
      <c r="I109" s="65">
        <v>514550</v>
      </c>
      <c r="J109" s="65">
        <v>0</v>
      </c>
      <c r="K109" s="65">
        <v>0</v>
      </c>
      <c r="L109" s="65">
        <v>161476410</v>
      </c>
      <c r="M109" s="63">
        <v>0</v>
      </c>
      <c r="N109" s="1"/>
    </row>
    <row r="110" spans="1:14" ht="16" hidden="1" customHeight="1" outlineLevel="1" x14ac:dyDescent="0.45">
      <c r="A110" s="29" t="s">
        <v>229</v>
      </c>
      <c r="B110" s="44">
        <v>0</v>
      </c>
      <c r="C110" s="63">
        <v>0</v>
      </c>
      <c r="D110" s="63">
        <v>0</v>
      </c>
      <c r="E110" s="64">
        <v>0</v>
      </c>
      <c r="F110" s="63">
        <v>0</v>
      </c>
      <c r="G110" s="63">
        <v>0</v>
      </c>
      <c r="H110" s="65">
        <v>0</v>
      </c>
      <c r="I110" s="65">
        <v>0</v>
      </c>
      <c r="J110" s="65">
        <v>0</v>
      </c>
      <c r="K110" s="65">
        <v>0</v>
      </c>
      <c r="L110" s="65">
        <v>0</v>
      </c>
      <c r="M110" s="63">
        <v>0</v>
      </c>
      <c r="N110" s="1"/>
    </row>
    <row r="111" spans="1:14" ht="16" hidden="1" customHeight="1" outlineLevel="1" x14ac:dyDescent="0.45">
      <c r="A111" s="29" t="s">
        <v>253</v>
      </c>
      <c r="B111" s="44">
        <v>0</v>
      </c>
      <c r="C111" s="63">
        <v>0</v>
      </c>
      <c r="D111" s="63">
        <v>0</v>
      </c>
      <c r="E111" s="64">
        <v>0</v>
      </c>
      <c r="F111" s="63">
        <v>0</v>
      </c>
      <c r="G111" s="63">
        <v>0</v>
      </c>
      <c r="H111" s="65">
        <v>0</v>
      </c>
      <c r="I111" s="65">
        <v>0</v>
      </c>
      <c r="J111" s="65">
        <v>0</v>
      </c>
      <c r="K111" s="65">
        <v>0</v>
      </c>
      <c r="L111" s="65">
        <v>0</v>
      </c>
      <c r="M111" s="63">
        <v>0</v>
      </c>
      <c r="N111" s="1"/>
    </row>
    <row r="112" spans="1:14" ht="16" hidden="1" customHeight="1" outlineLevel="1" x14ac:dyDescent="0.45">
      <c r="A112" s="29" t="s">
        <v>255</v>
      </c>
      <c r="B112" s="44">
        <v>0</v>
      </c>
      <c r="C112" s="63">
        <v>0</v>
      </c>
      <c r="D112" s="63">
        <v>0</v>
      </c>
      <c r="E112" s="64">
        <v>0</v>
      </c>
      <c r="F112" s="63">
        <v>0</v>
      </c>
      <c r="G112" s="63">
        <v>0</v>
      </c>
      <c r="H112" s="65">
        <v>0</v>
      </c>
      <c r="I112" s="65">
        <v>0</v>
      </c>
      <c r="J112" s="65">
        <v>0</v>
      </c>
      <c r="K112" s="65">
        <v>0</v>
      </c>
      <c r="L112" s="65">
        <v>0</v>
      </c>
      <c r="M112" s="63">
        <v>0</v>
      </c>
      <c r="N112" s="1"/>
    </row>
    <row r="113" spans="1:14" ht="16" hidden="1" customHeight="1" outlineLevel="1" x14ac:dyDescent="0.45">
      <c r="A113" s="29" t="s">
        <v>254</v>
      </c>
      <c r="B113" s="44">
        <v>0</v>
      </c>
      <c r="C113" s="63">
        <v>0</v>
      </c>
      <c r="D113" s="63">
        <v>0</v>
      </c>
      <c r="E113" s="64">
        <v>0</v>
      </c>
      <c r="F113" s="63">
        <v>0</v>
      </c>
      <c r="G113" s="63">
        <v>0</v>
      </c>
      <c r="H113" s="65">
        <v>0</v>
      </c>
      <c r="I113" s="65">
        <v>0</v>
      </c>
      <c r="J113" s="65">
        <v>0</v>
      </c>
      <c r="K113" s="65">
        <v>0</v>
      </c>
      <c r="L113" s="65">
        <v>0</v>
      </c>
      <c r="M113" s="63">
        <v>0</v>
      </c>
      <c r="N113" s="1"/>
    </row>
    <row r="114" spans="1:14" ht="16" hidden="1" customHeight="1" outlineLevel="1" x14ac:dyDescent="0.45">
      <c r="A114" s="29" t="s">
        <v>269</v>
      </c>
      <c r="B114" s="44">
        <v>23391750</v>
      </c>
      <c r="C114" s="63">
        <v>23391750</v>
      </c>
      <c r="D114" s="63">
        <v>0</v>
      </c>
      <c r="E114" s="64">
        <v>0</v>
      </c>
      <c r="F114" s="63">
        <v>0</v>
      </c>
      <c r="G114" s="63">
        <v>0</v>
      </c>
      <c r="H114" s="65">
        <v>0</v>
      </c>
      <c r="I114" s="65">
        <v>0</v>
      </c>
      <c r="J114" s="65">
        <v>0</v>
      </c>
      <c r="K114" s="65">
        <v>0</v>
      </c>
      <c r="L114" s="65">
        <v>0</v>
      </c>
      <c r="M114" s="63">
        <v>0</v>
      </c>
      <c r="N114" s="1"/>
    </row>
    <row r="115" spans="1:14" ht="16" customHeight="1" collapsed="1" x14ac:dyDescent="0.45">
      <c r="A115" s="28" t="s">
        <v>57</v>
      </c>
      <c r="B115" s="43">
        <v>51206106</v>
      </c>
      <c r="C115" s="60">
        <v>13491318</v>
      </c>
      <c r="D115" s="60">
        <v>4203700</v>
      </c>
      <c r="E115" s="61">
        <v>33511088</v>
      </c>
      <c r="F115" s="60">
        <v>9719772.9636165816</v>
      </c>
      <c r="G115" s="60">
        <v>6223387.0363834184</v>
      </c>
      <c r="H115" s="62">
        <v>1225250</v>
      </c>
      <c r="I115" s="62">
        <v>416787.73095199163</v>
      </c>
      <c r="J115" s="62">
        <v>332045.91920908401</v>
      </c>
      <c r="K115" s="62">
        <v>1538383.279368151</v>
      </c>
      <c r="L115" s="62">
        <v>6046833.0704707727</v>
      </c>
      <c r="M115" s="60">
        <v>8008628</v>
      </c>
      <c r="N115" s="1"/>
    </row>
    <row r="116" spans="1:14" s="1" customFormat="1" ht="16" hidden="1" customHeight="1" outlineLevel="1" collapsed="1" x14ac:dyDescent="0.45">
      <c r="A116" s="29" t="s">
        <v>58</v>
      </c>
      <c r="B116" s="44">
        <v>27809756</v>
      </c>
      <c r="C116" s="63">
        <v>6475828</v>
      </c>
      <c r="D116" s="63">
        <v>1144400</v>
      </c>
      <c r="E116" s="64">
        <v>20189528</v>
      </c>
      <c r="F116" s="63">
        <v>4026735.5951670757</v>
      </c>
      <c r="G116" s="63">
        <v>3150164.4048329243</v>
      </c>
      <c r="H116" s="65">
        <v>307400</v>
      </c>
      <c r="I116" s="65">
        <v>101787.73095199166</v>
      </c>
      <c r="J116" s="65">
        <v>17045.919209083993</v>
      </c>
      <c r="K116" s="65">
        <v>919383.27936815098</v>
      </c>
      <c r="L116" s="65">
        <v>4894383.0704707727</v>
      </c>
      <c r="M116" s="63">
        <v>6772628</v>
      </c>
    </row>
    <row r="117" spans="1:14" ht="16" hidden="1" customHeight="1" outlineLevel="1" x14ac:dyDescent="0.45">
      <c r="A117" s="29" t="s">
        <v>266</v>
      </c>
      <c r="B117" s="44">
        <v>1005700</v>
      </c>
      <c r="C117" s="63">
        <v>0</v>
      </c>
      <c r="D117" s="63">
        <v>522300</v>
      </c>
      <c r="E117" s="64">
        <v>483400.00000000006</v>
      </c>
      <c r="F117" s="63">
        <v>441552.0535558585</v>
      </c>
      <c r="G117" s="63">
        <v>41847.946444141562</v>
      </c>
      <c r="H117" s="65">
        <v>0</v>
      </c>
      <c r="I117" s="65">
        <v>0</v>
      </c>
      <c r="J117" s="65">
        <v>0</v>
      </c>
      <c r="K117" s="65">
        <v>0</v>
      </c>
      <c r="L117" s="65">
        <v>0</v>
      </c>
      <c r="M117" s="63">
        <v>0</v>
      </c>
      <c r="N117" s="1"/>
    </row>
    <row r="118" spans="1:14" ht="16" hidden="1" customHeight="1" outlineLevel="1" x14ac:dyDescent="0.45">
      <c r="A118" s="29" t="s">
        <v>296</v>
      </c>
      <c r="B118" s="44">
        <v>0</v>
      </c>
      <c r="C118" s="63">
        <v>0</v>
      </c>
      <c r="D118" s="63">
        <v>0</v>
      </c>
      <c r="E118" s="64">
        <v>0</v>
      </c>
      <c r="F118" s="63">
        <v>0</v>
      </c>
      <c r="G118" s="63">
        <v>0</v>
      </c>
      <c r="H118" s="65">
        <v>0</v>
      </c>
      <c r="I118" s="65">
        <v>0</v>
      </c>
      <c r="J118" s="65">
        <v>0</v>
      </c>
      <c r="K118" s="65">
        <v>0</v>
      </c>
      <c r="L118" s="65">
        <v>0</v>
      </c>
      <c r="M118" s="63">
        <v>0</v>
      </c>
      <c r="N118" s="1"/>
    </row>
    <row r="119" spans="1:14" ht="16" hidden="1" customHeight="1" outlineLevel="1" x14ac:dyDescent="0.45">
      <c r="A119" s="29" t="s">
        <v>270</v>
      </c>
      <c r="B119" s="44">
        <v>10462610</v>
      </c>
      <c r="C119" s="63">
        <v>2100750</v>
      </c>
      <c r="D119" s="63">
        <v>237000</v>
      </c>
      <c r="E119" s="64">
        <v>8124860</v>
      </c>
      <c r="F119" s="63">
        <v>4451485.314893648</v>
      </c>
      <c r="G119" s="63">
        <v>2431374.685106352</v>
      </c>
      <c r="H119" s="65">
        <v>214000</v>
      </c>
      <c r="I119" s="65">
        <v>115000</v>
      </c>
      <c r="J119" s="65">
        <v>115000</v>
      </c>
      <c r="K119" s="65">
        <v>319000</v>
      </c>
      <c r="L119" s="65">
        <v>343000</v>
      </c>
      <c r="M119" s="63">
        <v>136000</v>
      </c>
      <c r="N119" s="1"/>
    </row>
    <row r="120" spans="1:14" ht="16" hidden="1" customHeight="1" outlineLevel="1" x14ac:dyDescent="0.45">
      <c r="A120" s="29" t="s">
        <v>271</v>
      </c>
      <c r="B120" s="44">
        <v>1715640</v>
      </c>
      <c r="C120" s="63">
        <v>1715640</v>
      </c>
      <c r="D120" s="63">
        <v>0</v>
      </c>
      <c r="E120" s="64">
        <v>0</v>
      </c>
      <c r="F120" s="63">
        <v>0</v>
      </c>
      <c r="G120" s="63">
        <v>0</v>
      </c>
      <c r="H120" s="65">
        <v>0</v>
      </c>
      <c r="I120" s="65">
        <v>0</v>
      </c>
      <c r="J120" s="65">
        <v>0</v>
      </c>
      <c r="K120" s="65">
        <v>0</v>
      </c>
      <c r="L120" s="65">
        <v>0</v>
      </c>
      <c r="M120" s="63">
        <v>0</v>
      </c>
      <c r="N120" s="1"/>
    </row>
    <row r="121" spans="1:14" ht="16" hidden="1" customHeight="1" outlineLevel="1" x14ac:dyDescent="0.45">
      <c r="A121" s="29" t="s">
        <v>297</v>
      </c>
      <c r="B121" s="44">
        <v>10212400</v>
      </c>
      <c r="C121" s="63">
        <v>3199100</v>
      </c>
      <c r="D121" s="63">
        <v>2300000</v>
      </c>
      <c r="E121" s="64">
        <v>4713300</v>
      </c>
      <c r="F121" s="63">
        <v>800000</v>
      </c>
      <c r="G121" s="63">
        <v>600000</v>
      </c>
      <c r="H121" s="65">
        <v>703850</v>
      </c>
      <c r="I121" s="65">
        <v>200000</v>
      </c>
      <c r="J121" s="65">
        <v>200000</v>
      </c>
      <c r="K121" s="65">
        <v>300000</v>
      </c>
      <c r="L121" s="65">
        <v>809450</v>
      </c>
      <c r="M121" s="63">
        <v>1100000</v>
      </c>
      <c r="N121" s="1"/>
    </row>
    <row r="122" spans="1:14" s="1" customFormat="1" collapsed="1" x14ac:dyDescent="0.45">
      <c r="A122" s="28" t="s">
        <v>136</v>
      </c>
      <c r="B122" s="43">
        <v>17919500</v>
      </c>
      <c r="C122" s="60">
        <v>17019500</v>
      </c>
      <c r="D122" s="60">
        <v>100000</v>
      </c>
      <c r="E122" s="61">
        <v>799999.99999999988</v>
      </c>
      <c r="F122" s="60">
        <v>665501.64710118179</v>
      </c>
      <c r="G122" s="60">
        <v>34498.352898818142</v>
      </c>
      <c r="H122" s="62">
        <v>0</v>
      </c>
      <c r="I122" s="62">
        <v>0</v>
      </c>
      <c r="J122" s="62">
        <v>0</v>
      </c>
      <c r="K122" s="62">
        <v>0</v>
      </c>
      <c r="L122" s="62">
        <v>100000</v>
      </c>
      <c r="M122" s="60">
        <v>0</v>
      </c>
    </row>
    <row r="123" spans="1:14" ht="16" hidden="1" customHeight="1" outlineLevel="1" x14ac:dyDescent="0.45">
      <c r="A123" s="29" t="s">
        <v>137</v>
      </c>
      <c r="B123" s="44">
        <v>0</v>
      </c>
      <c r="C123" s="63">
        <v>0</v>
      </c>
      <c r="D123" s="63">
        <v>0</v>
      </c>
      <c r="E123" s="64">
        <v>0</v>
      </c>
      <c r="F123" s="63">
        <v>0</v>
      </c>
      <c r="G123" s="63">
        <v>0</v>
      </c>
      <c r="H123" s="65">
        <v>0</v>
      </c>
      <c r="I123" s="65">
        <v>0</v>
      </c>
      <c r="J123" s="65">
        <v>0</v>
      </c>
      <c r="K123" s="65">
        <v>0</v>
      </c>
      <c r="L123" s="65">
        <v>0</v>
      </c>
      <c r="M123" s="63">
        <v>0</v>
      </c>
      <c r="N123" s="1"/>
    </row>
    <row r="124" spans="1:14" ht="16" hidden="1" customHeight="1" outlineLevel="1" x14ac:dyDescent="0.45">
      <c r="A124" s="29" t="s">
        <v>191</v>
      </c>
      <c r="B124" s="44">
        <v>0</v>
      </c>
      <c r="C124" s="63">
        <v>0</v>
      </c>
      <c r="D124" s="63">
        <v>0</v>
      </c>
      <c r="E124" s="64">
        <v>0</v>
      </c>
      <c r="F124" s="63">
        <v>0</v>
      </c>
      <c r="G124" s="63">
        <v>0</v>
      </c>
      <c r="H124" s="65">
        <v>0</v>
      </c>
      <c r="I124" s="65">
        <v>0</v>
      </c>
      <c r="J124" s="65">
        <v>0</v>
      </c>
      <c r="K124" s="65">
        <v>0</v>
      </c>
      <c r="L124" s="65">
        <v>0</v>
      </c>
      <c r="M124" s="63">
        <v>0</v>
      </c>
      <c r="N124" s="1"/>
    </row>
    <row r="125" spans="1:14" ht="16" hidden="1" customHeight="1" outlineLevel="1" x14ac:dyDescent="0.45">
      <c r="A125" s="29" t="s">
        <v>138</v>
      </c>
      <c r="B125" s="44">
        <v>17919500</v>
      </c>
      <c r="C125" s="63">
        <v>17019500</v>
      </c>
      <c r="D125" s="63">
        <v>100000</v>
      </c>
      <c r="E125" s="64">
        <v>799999.99999999988</v>
      </c>
      <c r="F125" s="63">
        <v>665501.64710118179</v>
      </c>
      <c r="G125" s="63">
        <v>34498.352898818142</v>
      </c>
      <c r="H125" s="65">
        <v>0</v>
      </c>
      <c r="I125" s="65">
        <v>0</v>
      </c>
      <c r="J125" s="65">
        <v>0</v>
      </c>
      <c r="K125" s="65">
        <v>0</v>
      </c>
      <c r="L125" s="65">
        <v>100000</v>
      </c>
      <c r="M125" s="63">
        <v>0</v>
      </c>
      <c r="N125" s="1"/>
    </row>
    <row r="126" spans="1:14" s="1" customFormat="1" collapsed="1" x14ac:dyDescent="0.45">
      <c r="A126" s="28" t="s">
        <v>59</v>
      </c>
      <c r="B126" s="43">
        <v>84122897</v>
      </c>
      <c r="C126" s="60">
        <v>34387149</v>
      </c>
      <c r="D126" s="60">
        <v>1201136</v>
      </c>
      <c r="E126" s="61">
        <v>48534612</v>
      </c>
      <c r="F126" s="60">
        <v>14640413.917653523</v>
      </c>
      <c r="G126" s="60">
        <v>8235351.0823464775</v>
      </c>
      <c r="H126" s="62">
        <v>7805115</v>
      </c>
      <c r="I126" s="62">
        <v>332653</v>
      </c>
      <c r="J126" s="62">
        <v>14796115</v>
      </c>
      <c r="K126" s="62">
        <v>1531436</v>
      </c>
      <c r="L126" s="62">
        <v>342282</v>
      </c>
      <c r="M126" s="60">
        <v>851246</v>
      </c>
    </row>
    <row r="127" spans="1:14" ht="16" hidden="1" customHeight="1" outlineLevel="1" x14ac:dyDescent="0.45">
      <c r="A127" s="29" t="s">
        <v>60</v>
      </c>
      <c r="B127" s="44">
        <v>34316208</v>
      </c>
      <c r="C127" s="63">
        <v>16191884</v>
      </c>
      <c r="D127" s="63">
        <v>717872</v>
      </c>
      <c r="E127" s="64">
        <v>17406452</v>
      </c>
      <c r="F127" s="63">
        <v>9127957.8728815038</v>
      </c>
      <c r="G127" s="63">
        <v>7011317.1271184962</v>
      </c>
      <c r="H127" s="65">
        <v>744138</v>
      </c>
      <c r="I127" s="65">
        <v>0</v>
      </c>
      <c r="J127" s="65">
        <v>0</v>
      </c>
      <c r="K127" s="65">
        <v>399133</v>
      </c>
      <c r="L127" s="65">
        <v>69842</v>
      </c>
      <c r="M127" s="63">
        <v>54064</v>
      </c>
      <c r="N127" s="1"/>
    </row>
    <row r="128" spans="1:14" ht="16" hidden="1" customHeight="1" outlineLevel="1" x14ac:dyDescent="0.45">
      <c r="A128" s="29" t="s">
        <v>61</v>
      </c>
      <c r="B128" s="44">
        <v>26689908</v>
      </c>
      <c r="C128" s="63">
        <v>11593123</v>
      </c>
      <c r="D128" s="63">
        <v>0</v>
      </c>
      <c r="E128" s="64">
        <v>15096785</v>
      </c>
      <c r="F128" s="63">
        <v>0</v>
      </c>
      <c r="G128" s="63">
        <v>0</v>
      </c>
      <c r="H128" s="65">
        <v>2654326</v>
      </c>
      <c r="I128" s="65">
        <v>0</v>
      </c>
      <c r="J128" s="65">
        <v>11711362</v>
      </c>
      <c r="K128" s="65">
        <v>173297</v>
      </c>
      <c r="L128" s="65">
        <v>0</v>
      </c>
      <c r="M128" s="63">
        <v>557800</v>
      </c>
      <c r="N128" s="1"/>
    </row>
    <row r="129" spans="1:14" ht="16" hidden="1" customHeight="1" outlineLevel="1" x14ac:dyDescent="0.45">
      <c r="A129" s="29" t="s">
        <v>62</v>
      </c>
      <c r="B129" s="44">
        <v>12645781</v>
      </c>
      <c r="C129" s="63">
        <v>6260522</v>
      </c>
      <c r="D129" s="63">
        <v>469504</v>
      </c>
      <c r="E129" s="64">
        <v>5915755</v>
      </c>
      <c r="F129" s="63">
        <v>0</v>
      </c>
      <c r="G129" s="63">
        <v>0</v>
      </c>
      <c r="H129" s="65">
        <v>4350741</v>
      </c>
      <c r="I129" s="65">
        <v>328653</v>
      </c>
      <c r="J129" s="65">
        <v>328653</v>
      </c>
      <c r="K129" s="65">
        <v>688606</v>
      </c>
      <c r="L129" s="65">
        <v>0</v>
      </c>
      <c r="M129" s="63">
        <v>219102</v>
      </c>
      <c r="N129" s="1"/>
    </row>
    <row r="130" spans="1:14" ht="16" hidden="1" customHeight="1" outlineLevel="1" x14ac:dyDescent="0.45">
      <c r="A130" s="29" t="s">
        <v>63</v>
      </c>
      <c r="B130" s="44">
        <v>10471000</v>
      </c>
      <c r="C130" s="63">
        <v>341620</v>
      </c>
      <c r="D130" s="63">
        <v>13760</v>
      </c>
      <c r="E130" s="64">
        <v>10115620</v>
      </c>
      <c r="F130" s="63">
        <v>5512456.0447720177</v>
      </c>
      <c r="G130" s="63">
        <v>1224033.9552279818</v>
      </c>
      <c r="H130" s="65">
        <v>55910</v>
      </c>
      <c r="I130" s="65">
        <v>4000</v>
      </c>
      <c r="J130" s="65">
        <v>2756100</v>
      </c>
      <c r="K130" s="65">
        <v>270400</v>
      </c>
      <c r="L130" s="65">
        <v>272440</v>
      </c>
      <c r="M130" s="63">
        <v>20280</v>
      </c>
      <c r="N130" s="1"/>
    </row>
    <row r="131" spans="1:14" ht="16" hidden="1" customHeight="1" outlineLevel="1" x14ac:dyDescent="0.45">
      <c r="A131" s="24" t="s">
        <v>192</v>
      </c>
      <c r="B131" s="45">
        <v>0</v>
      </c>
      <c r="C131" s="63">
        <v>0</v>
      </c>
      <c r="D131" s="63">
        <v>0</v>
      </c>
      <c r="E131" s="64">
        <v>0</v>
      </c>
      <c r="F131" s="63">
        <v>0</v>
      </c>
      <c r="G131" s="63">
        <v>0</v>
      </c>
      <c r="H131" s="65">
        <v>0</v>
      </c>
      <c r="I131" s="65">
        <v>0</v>
      </c>
      <c r="J131" s="65">
        <v>0</v>
      </c>
      <c r="K131" s="65">
        <v>0</v>
      </c>
      <c r="L131" s="65">
        <v>0</v>
      </c>
      <c r="M131" s="63">
        <v>0</v>
      </c>
      <c r="N131" s="1"/>
    </row>
    <row r="132" spans="1:14" ht="16" hidden="1" customHeight="1" outlineLevel="1" x14ac:dyDescent="0.45">
      <c r="A132" s="29" t="s">
        <v>193</v>
      </c>
      <c r="B132" s="44">
        <v>0</v>
      </c>
      <c r="C132" s="63">
        <v>0</v>
      </c>
      <c r="D132" s="63">
        <v>0</v>
      </c>
      <c r="E132" s="64">
        <v>0</v>
      </c>
      <c r="F132" s="63">
        <v>0</v>
      </c>
      <c r="G132" s="63">
        <v>0</v>
      </c>
      <c r="H132" s="65">
        <v>0</v>
      </c>
      <c r="I132" s="65">
        <v>0</v>
      </c>
      <c r="J132" s="65">
        <v>0</v>
      </c>
      <c r="K132" s="65">
        <v>0</v>
      </c>
      <c r="L132" s="65">
        <v>0</v>
      </c>
      <c r="M132" s="63">
        <v>0</v>
      </c>
      <c r="N132" s="1"/>
    </row>
    <row r="133" spans="1:14" s="1" customFormat="1" collapsed="1" x14ac:dyDescent="0.45">
      <c r="A133" s="28" t="s">
        <v>64</v>
      </c>
      <c r="B133" s="43">
        <v>72172119</v>
      </c>
      <c r="C133" s="60">
        <v>1195312</v>
      </c>
      <c r="D133" s="60">
        <v>0</v>
      </c>
      <c r="E133" s="61">
        <v>70976807</v>
      </c>
      <c r="F133" s="60">
        <v>65943669.217893422</v>
      </c>
      <c r="G133" s="60">
        <v>4691422.7821065728</v>
      </c>
      <c r="H133" s="62">
        <v>0</v>
      </c>
      <c r="I133" s="62">
        <v>0</v>
      </c>
      <c r="J133" s="62">
        <v>0</v>
      </c>
      <c r="K133" s="62">
        <v>0</v>
      </c>
      <c r="L133" s="62">
        <v>0</v>
      </c>
      <c r="M133" s="60">
        <v>341715</v>
      </c>
    </row>
    <row r="134" spans="1:14" ht="16" hidden="1" customHeight="1" outlineLevel="1" x14ac:dyDescent="0.45">
      <c r="A134" s="29" t="s">
        <v>65</v>
      </c>
      <c r="B134" s="44">
        <v>72172119</v>
      </c>
      <c r="C134" s="63">
        <v>1195312</v>
      </c>
      <c r="D134" s="63">
        <v>0</v>
      </c>
      <c r="E134" s="64">
        <v>70976807</v>
      </c>
      <c r="F134" s="63">
        <v>65943669.217893422</v>
      </c>
      <c r="G134" s="63">
        <v>4691422.7821065728</v>
      </c>
      <c r="H134" s="65">
        <v>0</v>
      </c>
      <c r="I134" s="65">
        <v>0</v>
      </c>
      <c r="J134" s="65">
        <v>0</v>
      </c>
      <c r="K134" s="65">
        <v>0</v>
      </c>
      <c r="L134" s="65">
        <v>0</v>
      </c>
      <c r="M134" s="63">
        <v>341715</v>
      </c>
      <c r="N134" s="1"/>
    </row>
    <row r="135" spans="1:14" ht="16" hidden="1" customHeight="1" outlineLevel="1" x14ac:dyDescent="0.45">
      <c r="A135" s="29" t="s">
        <v>261</v>
      </c>
      <c r="B135" s="44">
        <v>0</v>
      </c>
      <c r="C135" s="63">
        <v>0</v>
      </c>
      <c r="D135" s="63">
        <v>0</v>
      </c>
      <c r="E135" s="64">
        <v>0</v>
      </c>
      <c r="F135" s="63">
        <v>0</v>
      </c>
      <c r="G135" s="63">
        <v>0</v>
      </c>
      <c r="H135" s="65">
        <v>0</v>
      </c>
      <c r="I135" s="65">
        <v>0</v>
      </c>
      <c r="J135" s="65">
        <v>0</v>
      </c>
      <c r="K135" s="65">
        <v>0</v>
      </c>
      <c r="L135" s="65">
        <v>0</v>
      </c>
      <c r="M135" s="63">
        <v>0</v>
      </c>
      <c r="N135" s="1"/>
    </row>
    <row r="136" spans="1:14" s="1" customFormat="1" collapsed="1" x14ac:dyDescent="0.45">
      <c r="A136" s="28" t="s">
        <v>139</v>
      </c>
      <c r="B136" s="43">
        <v>11112940</v>
      </c>
      <c r="C136" s="60">
        <v>11112940</v>
      </c>
      <c r="D136" s="60">
        <v>0</v>
      </c>
      <c r="E136" s="61">
        <v>0</v>
      </c>
      <c r="F136" s="60">
        <v>0</v>
      </c>
      <c r="G136" s="60">
        <v>0</v>
      </c>
      <c r="H136" s="62">
        <v>0</v>
      </c>
      <c r="I136" s="62">
        <v>0</v>
      </c>
      <c r="J136" s="62">
        <v>0</v>
      </c>
      <c r="K136" s="62">
        <v>0</v>
      </c>
      <c r="L136" s="62">
        <v>0</v>
      </c>
      <c r="M136" s="60">
        <v>0</v>
      </c>
    </row>
    <row r="137" spans="1:14" ht="16" hidden="1" customHeight="1" outlineLevel="1" x14ac:dyDescent="0.45">
      <c r="A137" s="29" t="s">
        <v>140</v>
      </c>
      <c r="B137" s="43">
        <v>0</v>
      </c>
      <c r="C137" s="60">
        <v>0</v>
      </c>
      <c r="D137" s="60">
        <v>0</v>
      </c>
      <c r="E137" s="64">
        <v>0</v>
      </c>
      <c r="F137" s="63">
        <v>0</v>
      </c>
      <c r="G137" s="63">
        <v>0</v>
      </c>
      <c r="H137" s="65">
        <v>0</v>
      </c>
      <c r="I137" s="65">
        <v>0</v>
      </c>
      <c r="J137" s="65">
        <v>0</v>
      </c>
      <c r="K137" s="65">
        <v>0</v>
      </c>
      <c r="L137" s="65">
        <v>0</v>
      </c>
      <c r="M137" s="63">
        <v>0</v>
      </c>
      <c r="N137" s="1"/>
    </row>
    <row r="138" spans="1:14" ht="16" hidden="1" customHeight="1" outlineLevel="1" x14ac:dyDescent="0.45">
      <c r="A138" s="29" t="s">
        <v>194</v>
      </c>
      <c r="B138" s="43">
        <v>0</v>
      </c>
      <c r="C138" s="60">
        <v>0</v>
      </c>
      <c r="D138" s="60">
        <v>0</v>
      </c>
      <c r="E138" s="64">
        <v>0</v>
      </c>
      <c r="F138" s="63">
        <v>0</v>
      </c>
      <c r="G138" s="63">
        <v>0</v>
      </c>
      <c r="H138" s="65">
        <v>0</v>
      </c>
      <c r="I138" s="65">
        <v>0</v>
      </c>
      <c r="J138" s="65">
        <v>0</v>
      </c>
      <c r="K138" s="65">
        <v>0</v>
      </c>
      <c r="L138" s="65">
        <v>0</v>
      </c>
      <c r="M138" s="63">
        <v>0</v>
      </c>
      <c r="N138" s="1"/>
    </row>
    <row r="139" spans="1:14" ht="16" hidden="1" customHeight="1" outlineLevel="1" x14ac:dyDescent="0.45">
      <c r="A139" s="29" t="s">
        <v>195</v>
      </c>
      <c r="B139" s="44">
        <v>0</v>
      </c>
      <c r="C139" s="63">
        <v>0</v>
      </c>
      <c r="D139" s="63">
        <v>0</v>
      </c>
      <c r="E139" s="64">
        <v>0</v>
      </c>
      <c r="F139" s="63">
        <v>0</v>
      </c>
      <c r="G139" s="63">
        <v>0</v>
      </c>
      <c r="H139" s="65">
        <v>0</v>
      </c>
      <c r="I139" s="65">
        <v>0</v>
      </c>
      <c r="J139" s="65">
        <v>0</v>
      </c>
      <c r="K139" s="65">
        <v>0</v>
      </c>
      <c r="L139" s="65">
        <v>0</v>
      </c>
      <c r="M139" s="63">
        <v>0</v>
      </c>
      <c r="N139" s="1"/>
    </row>
    <row r="140" spans="1:14" ht="16" hidden="1" customHeight="1" outlineLevel="1" x14ac:dyDescent="0.45">
      <c r="A140" s="29" t="s">
        <v>141</v>
      </c>
      <c r="B140" s="44">
        <v>11112940</v>
      </c>
      <c r="C140" s="63">
        <v>11112940</v>
      </c>
      <c r="D140" s="63">
        <v>0</v>
      </c>
      <c r="E140" s="64">
        <v>0</v>
      </c>
      <c r="F140" s="63">
        <v>0</v>
      </c>
      <c r="G140" s="63">
        <v>0</v>
      </c>
      <c r="H140" s="65">
        <v>0</v>
      </c>
      <c r="I140" s="65">
        <v>0</v>
      </c>
      <c r="J140" s="65">
        <v>0</v>
      </c>
      <c r="K140" s="65">
        <v>0</v>
      </c>
      <c r="L140" s="65">
        <v>0</v>
      </c>
      <c r="M140" s="63">
        <v>0</v>
      </c>
      <c r="N140" s="1"/>
    </row>
    <row r="141" spans="1:14" s="1" customFormat="1" collapsed="1" x14ac:dyDescent="0.45">
      <c r="A141" s="28" t="s">
        <v>66</v>
      </c>
      <c r="B141" s="43">
        <v>43394409</v>
      </c>
      <c r="C141" s="66">
        <v>0</v>
      </c>
      <c r="D141" s="66">
        <v>0</v>
      </c>
      <c r="E141" s="61">
        <v>43394409</v>
      </c>
      <c r="F141" s="60">
        <v>11735118.278773965</v>
      </c>
      <c r="G141" s="60">
        <v>2659291.7212260356</v>
      </c>
      <c r="H141" s="62">
        <v>0</v>
      </c>
      <c r="I141" s="62">
        <v>0</v>
      </c>
      <c r="J141" s="62">
        <v>0</v>
      </c>
      <c r="K141" s="62">
        <v>0</v>
      </c>
      <c r="L141" s="62">
        <v>0</v>
      </c>
      <c r="M141" s="60">
        <v>28999999</v>
      </c>
    </row>
    <row r="142" spans="1:14" s="1" customFormat="1" x14ac:dyDescent="0.45">
      <c r="A142" s="28" t="s">
        <v>67</v>
      </c>
      <c r="B142" s="43">
        <v>880663153</v>
      </c>
      <c r="C142" s="66">
        <v>170404319</v>
      </c>
      <c r="D142" s="66">
        <v>33131090</v>
      </c>
      <c r="E142" s="61">
        <v>677127744</v>
      </c>
      <c r="F142" s="60">
        <v>274921467.79948038</v>
      </c>
      <c r="G142" s="60">
        <v>261675205.20051962</v>
      </c>
      <c r="H142" s="62">
        <v>61919713</v>
      </c>
      <c r="I142" s="62">
        <v>4678785.5</v>
      </c>
      <c r="J142" s="62">
        <v>4678785.5</v>
      </c>
      <c r="K142" s="62">
        <v>27281782</v>
      </c>
      <c r="L142" s="62">
        <v>24734115</v>
      </c>
      <c r="M142" s="60">
        <v>17237890</v>
      </c>
    </row>
    <row r="143" spans="1:14" ht="16" hidden="1" customHeight="1" outlineLevel="1" x14ac:dyDescent="0.45">
      <c r="A143" s="29" t="s">
        <v>68</v>
      </c>
      <c r="B143" s="44">
        <v>169949200</v>
      </c>
      <c r="C143" s="67">
        <v>9639200</v>
      </c>
      <c r="D143" s="67">
        <v>1352000</v>
      </c>
      <c r="E143" s="64">
        <v>158958000</v>
      </c>
      <c r="F143" s="63">
        <v>24380214.381982792</v>
      </c>
      <c r="G143" s="63">
        <v>117868785.61801721</v>
      </c>
      <c r="H143" s="65">
        <v>0</v>
      </c>
      <c r="I143" s="65">
        <v>0</v>
      </c>
      <c r="J143" s="65">
        <v>0</v>
      </c>
      <c r="K143" s="65">
        <v>1078000</v>
      </c>
      <c r="L143" s="65">
        <v>15631000</v>
      </c>
      <c r="M143" s="63">
        <v>0</v>
      </c>
      <c r="N143" s="1"/>
    </row>
    <row r="144" spans="1:14" ht="16" hidden="1" customHeight="1" outlineLevel="1" x14ac:dyDescent="0.45">
      <c r="A144" s="29" t="s">
        <v>196</v>
      </c>
      <c r="B144" s="44">
        <v>0</v>
      </c>
      <c r="C144" s="67">
        <v>0</v>
      </c>
      <c r="D144" s="67">
        <v>0</v>
      </c>
      <c r="E144" s="64">
        <v>0</v>
      </c>
      <c r="F144" s="63">
        <v>0</v>
      </c>
      <c r="G144" s="63">
        <v>0</v>
      </c>
      <c r="H144" s="65">
        <v>0</v>
      </c>
      <c r="I144" s="65">
        <v>0</v>
      </c>
      <c r="J144" s="65">
        <v>0</v>
      </c>
      <c r="K144" s="65">
        <v>0</v>
      </c>
      <c r="L144" s="65">
        <v>0</v>
      </c>
      <c r="M144" s="63">
        <v>0</v>
      </c>
      <c r="N144" s="1"/>
    </row>
    <row r="145" spans="1:14" ht="16" hidden="1" customHeight="1" outlineLevel="1" x14ac:dyDescent="0.45">
      <c r="A145" s="29" t="s">
        <v>69</v>
      </c>
      <c r="B145" s="44">
        <v>354044136</v>
      </c>
      <c r="C145" s="67">
        <v>51423064</v>
      </c>
      <c r="D145" s="67">
        <v>18200280</v>
      </c>
      <c r="E145" s="64">
        <v>284420792</v>
      </c>
      <c r="F145" s="63">
        <v>90369920.196770325</v>
      </c>
      <c r="G145" s="63">
        <v>100497811.80322969</v>
      </c>
      <c r="H145" s="65">
        <v>45625668</v>
      </c>
      <c r="I145" s="65">
        <v>2976135.5</v>
      </c>
      <c r="J145" s="65">
        <v>2976135.5</v>
      </c>
      <c r="K145" s="65">
        <v>21125851</v>
      </c>
      <c r="L145" s="65">
        <v>5388270</v>
      </c>
      <c r="M145" s="63">
        <v>15461000</v>
      </c>
      <c r="N145" s="1"/>
    </row>
    <row r="146" spans="1:14" ht="16" hidden="1" customHeight="1" outlineLevel="1" x14ac:dyDescent="0.45">
      <c r="A146" s="29" t="s">
        <v>70</v>
      </c>
      <c r="B146" s="44">
        <v>276294797</v>
      </c>
      <c r="C146" s="67">
        <v>30053835</v>
      </c>
      <c r="D146" s="67">
        <v>12492010</v>
      </c>
      <c r="E146" s="64">
        <v>233748952</v>
      </c>
      <c r="F146" s="63">
        <v>160171333.22072726</v>
      </c>
      <c r="G146" s="63">
        <v>43308607.779272728</v>
      </c>
      <c r="H146" s="65">
        <v>16294045</v>
      </c>
      <c r="I146" s="65">
        <v>1702650</v>
      </c>
      <c r="J146" s="65">
        <v>1702650</v>
      </c>
      <c r="K146" s="65">
        <v>5077931</v>
      </c>
      <c r="L146" s="65">
        <v>3714845</v>
      </c>
      <c r="M146" s="63">
        <v>1776890</v>
      </c>
      <c r="N146" s="1"/>
    </row>
    <row r="147" spans="1:14" ht="16" hidden="1" customHeight="1" outlineLevel="1" x14ac:dyDescent="0.45">
      <c r="A147" s="29" t="s">
        <v>142</v>
      </c>
      <c r="B147" s="44">
        <v>80375020</v>
      </c>
      <c r="C147" s="63">
        <v>79288220</v>
      </c>
      <c r="D147" s="63">
        <v>1086800</v>
      </c>
      <c r="E147" s="64">
        <v>0</v>
      </c>
      <c r="F147" s="63">
        <v>0</v>
      </c>
      <c r="G147" s="63">
        <v>0</v>
      </c>
      <c r="H147" s="65">
        <v>0</v>
      </c>
      <c r="I147" s="65">
        <v>0</v>
      </c>
      <c r="J147" s="65">
        <v>0</v>
      </c>
      <c r="K147" s="65">
        <v>0</v>
      </c>
      <c r="L147" s="65">
        <v>0</v>
      </c>
      <c r="M147" s="63">
        <v>0</v>
      </c>
      <c r="N147" s="1"/>
    </row>
    <row r="148" spans="1:14" ht="16" hidden="1" customHeight="1" outlineLevel="1" x14ac:dyDescent="0.45">
      <c r="A148" s="29" t="s">
        <v>197</v>
      </c>
      <c r="B148" s="44">
        <v>0</v>
      </c>
      <c r="C148" s="63">
        <v>0</v>
      </c>
      <c r="D148" s="63">
        <v>0</v>
      </c>
      <c r="E148" s="64">
        <v>0</v>
      </c>
      <c r="F148" s="63">
        <v>0</v>
      </c>
      <c r="G148" s="63">
        <v>0</v>
      </c>
      <c r="H148" s="65">
        <v>0</v>
      </c>
      <c r="I148" s="65">
        <v>0</v>
      </c>
      <c r="J148" s="65">
        <v>0</v>
      </c>
      <c r="K148" s="65">
        <v>0</v>
      </c>
      <c r="L148" s="65">
        <v>0</v>
      </c>
      <c r="M148" s="63">
        <v>0</v>
      </c>
      <c r="N148" s="1"/>
    </row>
    <row r="149" spans="1:14" ht="16" hidden="1" customHeight="1" outlineLevel="1" x14ac:dyDescent="0.45">
      <c r="A149" s="29" t="s">
        <v>262</v>
      </c>
      <c r="B149" s="44">
        <v>0</v>
      </c>
      <c r="C149" s="63">
        <v>0</v>
      </c>
      <c r="D149" s="63">
        <v>0</v>
      </c>
      <c r="E149" s="64">
        <v>0</v>
      </c>
      <c r="F149" s="63">
        <v>0</v>
      </c>
      <c r="G149" s="63">
        <v>0</v>
      </c>
      <c r="H149" s="65">
        <v>0</v>
      </c>
      <c r="I149" s="65">
        <v>0</v>
      </c>
      <c r="J149" s="65">
        <v>0</v>
      </c>
      <c r="K149" s="65">
        <v>0</v>
      </c>
      <c r="L149" s="65">
        <v>0</v>
      </c>
      <c r="M149" s="63">
        <v>0</v>
      </c>
      <c r="N149" s="1"/>
    </row>
    <row r="150" spans="1:14" ht="16" hidden="1" customHeight="1" outlineLevel="1" x14ac:dyDescent="0.45">
      <c r="A150" s="29" t="s">
        <v>263</v>
      </c>
      <c r="B150" s="44">
        <v>0</v>
      </c>
      <c r="C150" s="63">
        <v>0</v>
      </c>
      <c r="D150" s="63">
        <v>0</v>
      </c>
      <c r="E150" s="64">
        <v>0</v>
      </c>
      <c r="F150" s="63">
        <v>0</v>
      </c>
      <c r="G150" s="63">
        <v>0</v>
      </c>
      <c r="H150" s="65">
        <v>0</v>
      </c>
      <c r="I150" s="65">
        <v>0</v>
      </c>
      <c r="J150" s="65">
        <v>0</v>
      </c>
      <c r="K150" s="65">
        <v>0</v>
      </c>
      <c r="L150" s="65">
        <v>0</v>
      </c>
      <c r="M150" s="63">
        <v>0</v>
      </c>
      <c r="N150" s="1"/>
    </row>
    <row r="151" spans="1:14" s="1" customFormat="1" collapsed="1" x14ac:dyDescent="0.45">
      <c r="A151" s="28" t="s">
        <v>71</v>
      </c>
      <c r="B151" s="43">
        <v>67824595</v>
      </c>
      <c r="C151" s="60">
        <v>68414766</v>
      </c>
      <c r="D151" s="60">
        <v>0</v>
      </c>
      <c r="E151" s="61">
        <v>-590171</v>
      </c>
      <c r="F151" s="60">
        <v>-590171</v>
      </c>
      <c r="G151" s="60">
        <v>0</v>
      </c>
      <c r="H151" s="62">
        <v>0</v>
      </c>
      <c r="I151" s="62">
        <v>0</v>
      </c>
      <c r="J151" s="62">
        <v>0</v>
      </c>
      <c r="K151" s="62">
        <v>0</v>
      </c>
      <c r="L151" s="62">
        <v>0</v>
      </c>
      <c r="M151" s="60">
        <v>0</v>
      </c>
    </row>
    <row r="152" spans="1:14" ht="16" hidden="1" customHeight="1" outlineLevel="1" x14ac:dyDescent="0.45">
      <c r="A152" s="29" t="s">
        <v>143</v>
      </c>
      <c r="B152" s="44">
        <v>18780</v>
      </c>
      <c r="C152" s="63">
        <v>18780</v>
      </c>
      <c r="D152" s="63">
        <v>0</v>
      </c>
      <c r="E152" s="64">
        <v>0</v>
      </c>
      <c r="F152" s="63">
        <v>0</v>
      </c>
      <c r="G152" s="63">
        <v>0</v>
      </c>
      <c r="H152" s="65">
        <v>0</v>
      </c>
      <c r="I152" s="65">
        <v>0</v>
      </c>
      <c r="J152" s="65">
        <v>0</v>
      </c>
      <c r="K152" s="65">
        <v>0</v>
      </c>
      <c r="L152" s="65">
        <v>0</v>
      </c>
      <c r="M152" s="63">
        <v>0</v>
      </c>
      <c r="N152" s="1"/>
    </row>
    <row r="153" spans="1:14" ht="16" hidden="1" customHeight="1" outlineLevel="1" x14ac:dyDescent="0.45">
      <c r="A153" s="29" t="s">
        <v>72</v>
      </c>
      <c r="B153" s="44">
        <v>11439574</v>
      </c>
      <c r="C153" s="63">
        <v>12029745</v>
      </c>
      <c r="D153" s="63">
        <v>0</v>
      </c>
      <c r="E153" s="64">
        <v>-590171</v>
      </c>
      <c r="F153" s="63">
        <v>-590171</v>
      </c>
      <c r="G153" s="63">
        <v>0</v>
      </c>
      <c r="H153" s="65">
        <v>0</v>
      </c>
      <c r="I153" s="65">
        <v>0</v>
      </c>
      <c r="J153" s="65">
        <v>0</v>
      </c>
      <c r="K153" s="65">
        <v>0</v>
      </c>
      <c r="L153" s="65">
        <v>0</v>
      </c>
      <c r="M153" s="63">
        <v>0</v>
      </c>
      <c r="N153" s="1"/>
    </row>
    <row r="154" spans="1:14" ht="16" hidden="1" customHeight="1" outlineLevel="1" x14ac:dyDescent="0.45">
      <c r="A154" s="29" t="s">
        <v>144</v>
      </c>
      <c r="B154" s="44">
        <v>56366241</v>
      </c>
      <c r="C154" s="63">
        <v>56366241</v>
      </c>
      <c r="D154" s="63">
        <v>0</v>
      </c>
      <c r="E154" s="64">
        <v>0</v>
      </c>
      <c r="F154" s="63">
        <v>0</v>
      </c>
      <c r="G154" s="63">
        <v>0</v>
      </c>
      <c r="H154" s="65">
        <v>0</v>
      </c>
      <c r="I154" s="65">
        <v>0</v>
      </c>
      <c r="J154" s="65">
        <v>0</v>
      </c>
      <c r="K154" s="65">
        <v>0</v>
      </c>
      <c r="L154" s="65">
        <v>0</v>
      </c>
      <c r="M154" s="63">
        <v>0</v>
      </c>
      <c r="N154" s="1"/>
    </row>
    <row r="155" spans="1:14" ht="16" hidden="1" customHeight="1" outlineLevel="1" x14ac:dyDescent="0.45">
      <c r="A155" s="29" t="s">
        <v>145</v>
      </c>
      <c r="B155" s="44">
        <v>0</v>
      </c>
      <c r="C155" s="63">
        <v>0</v>
      </c>
      <c r="D155" s="63">
        <v>0</v>
      </c>
      <c r="E155" s="64">
        <v>0</v>
      </c>
      <c r="F155" s="63">
        <v>0</v>
      </c>
      <c r="G155" s="63">
        <v>0</v>
      </c>
      <c r="H155" s="65">
        <v>0</v>
      </c>
      <c r="I155" s="65">
        <v>0</v>
      </c>
      <c r="J155" s="65">
        <v>0</v>
      </c>
      <c r="K155" s="65">
        <v>0</v>
      </c>
      <c r="L155" s="65">
        <v>0</v>
      </c>
      <c r="M155" s="63">
        <v>0</v>
      </c>
      <c r="N155" s="1"/>
    </row>
    <row r="156" spans="1:14" s="1" customFormat="1" collapsed="1" x14ac:dyDescent="0.45">
      <c r="A156" s="28" t="s">
        <v>73</v>
      </c>
      <c r="B156" s="43">
        <v>111099657</v>
      </c>
      <c r="C156" s="60">
        <v>9833697.0000000149</v>
      </c>
      <c r="D156" s="60">
        <v>2412990</v>
      </c>
      <c r="E156" s="61">
        <v>98852969.999999985</v>
      </c>
      <c r="F156" s="60">
        <v>17174562.299035683</v>
      </c>
      <c r="G156" s="60">
        <v>55268598.017307505</v>
      </c>
      <c r="H156" s="62">
        <v>981252.68365681847</v>
      </c>
      <c r="I156" s="62">
        <v>484079.32084055955</v>
      </c>
      <c r="J156" s="62">
        <v>850269.21892121655</v>
      </c>
      <c r="K156" s="62">
        <v>5106195.0183306346</v>
      </c>
      <c r="L156" s="62">
        <v>18897963.441907588</v>
      </c>
      <c r="M156" s="60">
        <v>90050</v>
      </c>
    </row>
    <row r="157" spans="1:14" ht="16" hidden="1" customHeight="1" outlineLevel="1" x14ac:dyDescent="0.45">
      <c r="A157" s="29" t="s">
        <v>74</v>
      </c>
      <c r="B157" s="44">
        <v>27797222</v>
      </c>
      <c r="C157" s="63">
        <v>4533279.9999999963</v>
      </c>
      <c r="D157" s="63">
        <v>176350</v>
      </c>
      <c r="E157" s="64">
        <v>23087592.000000004</v>
      </c>
      <c r="F157" s="63">
        <v>6349400.8398439642</v>
      </c>
      <c r="G157" s="63">
        <v>12054581.160156036</v>
      </c>
      <c r="H157" s="65">
        <v>87300</v>
      </c>
      <c r="I157" s="65">
        <v>199964.35094341595</v>
      </c>
      <c r="J157" s="65">
        <v>423992.34820640413</v>
      </c>
      <c r="K157" s="65">
        <v>1598001.0780030957</v>
      </c>
      <c r="L157" s="65">
        <v>2284302.2228470845</v>
      </c>
      <c r="M157" s="63">
        <v>90050</v>
      </c>
      <c r="N157" s="1"/>
    </row>
    <row r="158" spans="1:14" ht="16" hidden="1" customHeight="1" outlineLevel="1" x14ac:dyDescent="0.45">
      <c r="A158" s="29" t="s">
        <v>75</v>
      </c>
      <c r="B158" s="44">
        <v>12414370</v>
      </c>
      <c r="C158" s="63">
        <v>3407760</v>
      </c>
      <c r="D158" s="63">
        <v>2236640</v>
      </c>
      <c r="E158" s="64">
        <v>6769970</v>
      </c>
      <c r="F158" s="63">
        <v>4083561.3764870376</v>
      </c>
      <c r="G158" s="63">
        <v>537455.93985614413</v>
      </c>
      <c r="H158" s="65">
        <v>893952.68365681847</v>
      </c>
      <c r="I158" s="65">
        <v>199114.96989714363</v>
      </c>
      <c r="J158" s="65">
        <v>196176.87071481245</v>
      </c>
      <c r="K158" s="65">
        <v>810158.94032753923</v>
      </c>
      <c r="L158" s="65">
        <v>49549.219060504707</v>
      </c>
      <c r="M158" s="63">
        <v>0</v>
      </c>
      <c r="N158" s="1"/>
    </row>
    <row r="159" spans="1:14" ht="16" hidden="1" customHeight="1" outlineLevel="1" x14ac:dyDescent="0.45">
      <c r="A159" s="29" t="s">
        <v>76</v>
      </c>
      <c r="B159" s="44">
        <v>19636711</v>
      </c>
      <c r="C159" s="63">
        <v>490000</v>
      </c>
      <c r="D159" s="63">
        <v>0</v>
      </c>
      <c r="E159" s="64">
        <v>19146711</v>
      </c>
      <c r="F159" s="63">
        <v>1737775</v>
      </c>
      <c r="G159" s="63">
        <v>2080526</v>
      </c>
      <c r="H159" s="65">
        <v>0</v>
      </c>
      <c r="I159" s="65">
        <v>85000</v>
      </c>
      <c r="J159" s="65">
        <v>230100</v>
      </c>
      <c r="K159" s="65">
        <v>2349019</v>
      </c>
      <c r="L159" s="65">
        <v>12664291</v>
      </c>
      <c r="M159" s="63">
        <v>0</v>
      </c>
      <c r="N159" s="1"/>
    </row>
    <row r="160" spans="1:14" ht="16" hidden="1" customHeight="1" outlineLevel="1" x14ac:dyDescent="0.45">
      <c r="A160" s="29" t="s">
        <v>77</v>
      </c>
      <c r="B160" s="44">
        <v>51251354</v>
      </c>
      <c r="C160" s="63">
        <v>1402657</v>
      </c>
      <c r="D160" s="63">
        <v>0</v>
      </c>
      <c r="E160" s="64">
        <v>49848697</v>
      </c>
      <c r="F160" s="63">
        <v>5003825.0827046791</v>
      </c>
      <c r="G160" s="63">
        <v>40596034.917295322</v>
      </c>
      <c r="H160" s="65">
        <v>0</v>
      </c>
      <c r="I160" s="65">
        <v>0</v>
      </c>
      <c r="J160" s="65">
        <v>0</v>
      </c>
      <c r="K160" s="65">
        <v>349016</v>
      </c>
      <c r="L160" s="65">
        <v>3899821</v>
      </c>
      <c r="M160" s="63">
        <v>0</v>
      </c>
      <c r="N160" s="1"/>
    </row>
    <row r="161" spans="1:14" ht="16" hidden="1" customHeight="1" outlineLevel="1" x14ac:dyDescent="0.45">
      <c r="A161" s="29" t="s">
        <v>198</v>
      </c>
      <c r="B161" s="44">
        <v>0</v>
      </c>
      <c r="C161" s="63">
        <v>0</v>
      </c>
      <c r="D161" s="63">
        <v>0</v>
      </c>
      <c r="E161" s="64">
        <v>0</v>
      </c>
      <c r="F161" s="63">
        <v>0</v>
      </c>
      <c r="G161" s="63">
        <v>0</v>
      </c>
      <c r="H161" s="65">
        <v>0</v>
      </c>
      <c r="I161" s="65">
        <v>0</v>
      </c>
      <c r="J161" s="65">
        <v>0</v>
      </c>
      <c r="K161" s="65">
        <v>0</v>
      </c>
      <c r="L161" s="65">
        <v>0</v>
      </c>
      <c r="M161" s="63">
        <v>0</v>
      </c>
      <c r="N161" s="1"/>
    </row>
    <row r="162" spans="1:14" ht="16" hidden="1" customHeight="1" outlineLevel="1" x14ac:dyDescent="0.45">
      <c r="A162" s="24" t="s">
        <v>199</v>
      </c>
      <c r="B162" s="45">
        <v>0</v>
      </c>
      <c r="C162" s="63">
        <v>0</v>
      </c>
      <c r="D162" s="63">
        <v>0</v>
      </c>
      <c r="E162" s="64">
        <v>0</v>
      </c>
      <c r="F162" s="63">
        <v>0</v>
      </c>
      <c r="G162" s="63">
        <v>0</v>
      </c>
      <c r="H162" s="65">
        <v>0</v>
      </c>
      <c r="I162" s="65">
        <v>0</v>
      </c>
      <c r="J162" s="65">
        <v>0</v>
      </c>
      <c r="K162" s="65">
        <v>0</v>
      </c>
      <c r="L162" s="65">
        <v>0</v>
      </c>
      <c r="M162" s="63">
        <v>0</v>
      </c>
      <c r="N162" s="1"/>
    </row>
    <row r="163" spans="1:14" ht="16" hidden="1" customHeight="1" outlineLevel="1" x14ac:dyDescent="0.45">
      <c r="A163" s="30" t="s">
        <v>200</v>
      </c>
      <c r="B163" s="46">
        <v>0</v>
      </c>
      <c r="C163" s="63">
        <v>0</v>
      </c>
      <c r="D163" s="63">
        <v>0</v>
      </c>
      <c r="E163" s="64">
        <v>0</v>
      </c>
      <c r="F163" s="63">
        <v>0</v>
      </c>
      <c r="G163" s="63">
        <v>0</v>
      </c>
      <c r="H163" s="65">
        <v>0</v>
      </c>
      <c r="I163" s="65">
        <v>0</v>
      </c>
      <c r="J163" s="65">
        <v>0</v>
      </c>
      <c r="K163" s="65">
        <v>0</v>
      </c>
      <c r="L163" s="65">
        <v>0</v>
      </c>
      <c r="M163" s="63">
        <v>0</v>
      </c>
      <c r="N163" s="1"/>
    </row>
    <row r="164" spans="1:14" s="1" customFormat="1" collapsed="1" x14ac:dyDescent="0.45">
      <c r="A164" s="28" t="s">
        <v>78</v>
      </c>
      <c r="B164" s="43">
        <v>496446071</v>
      </c>
      <c r="C164" s="60">
        <v>3091000</v>
      </c>
      <c r="D164" s="60">
        <v>162736716</v>
      </c>
      <c r="E164" s="61">
        <v>330618355</v>
      </c>
      <c r="F164" s="60">
        <v>119177427</v>
      </c>
      <c r="G164" s="60">
        <v>82336954</v>
      </c>
      <c r="H164" s="62">
        <v>53755444</v>
      </c>
      <c r="I164" s="62">
        <v>2274972.5</v>
      </c>
      <c r="J164" s="62">
        <v>2274972.5</v>
      </c>
      <c r="K164" s="62">
        <v>8282936</v>
      </c>
      <c r="L164" s="62">
        <v>0</v>
      </c>
      <c r="M164" s="60">
        <v>62515649</v>
      </c>
    </row>
    <row r="165" spans="1:14" ht="16" hidden="1" customHeight="1" outlineLevel="1" x14ac:dyDescent="0.45">
      <c r="A165" s="30" t="s">
        <v>201</v>
      </c>
      <c r="B165" s="46">
        <v>0</v>
      </c>
      <c r="C165" s="63">
        <v>0</v>
      </c>
      <c r="D165" s="63">
        <v>0</v>
      </c>
      <c r="E165" s="64">
        <v>0</v>
      </c>
      <c r="F165" s="63">
        <v>0</v>
      </c>
      <c r="G165" s="63">
        <v>0</v>
      </c>
      <c r="H165" s="65">
        <v>0</v>
      </c>
      <c r="I165" s="65">
        <v>0</v>
      </c>
      <c r="J165" s="65">
        <v>0</v>
      </c>
      <c r="K165" s="65">
        <v>0</v>
      </c>
      <c r="L165" s="65">
        <v>0</v>
      </c>
      <c r="M165" s="63">
        <v>0</v>
      </c>
      <c r="N165" s="1"/>
    </row>
    <row r="166" spans="1:14" ht="16" hidden="1" customHeight="1" outlineLevel="1" x14ac:dyDescent="0.45">
      <c r="A166" s="29" t="s">
        <v>79</v>
      </c>
      <c r="B166" s="44">
        <v>496446071</v>
      </c>
      <c r="C166" s="63">
        <v>3091000</v>
      </c>
      <c r="D166" s="63">
        <v>162736716</v>
      </c>
      <c r="E166" s="64">
        <v>330618355</v>
      </c>
      <c r="F166" s="63">
        <v>119177427</v>
      </c>
      <c r="G166" s="63">
        <v>82336954</v>
      </c>
      <c r="H166" s="65">
        <v>53755444</v>
      </c>
      <c r="I166" s="65">
        <v>2274972.5</v>
      </c>
      <c r="J166" s="65">
        <v>2274972.5</v>
      </c>
      <c r="K166" s="65">
        <v>8282936</v>
      </c>
      <c r="L166" s="65">
        <v>0</v>
      </c>
      <c r="M166" s="63">
        <v>62515649</v>
      </c>
      <c r="N166" s="1"/>
    </row>
    <row r="167" spans="1:14" ht="16" hidden="1" customHeight="1" outlineLevel="1" x14ac:dyDescent="0.45">
      <c r="A167" s="29" t="s">
        <v>202</v>
      </c>
      <c r="B167" s="44">
        <v>0</v>
      </c>
      <c r="C167" s="63">
        <v>0</v>
      </c>
      <c r="D167" s="63">
        <v>0</v>
      </c>
      <c r="E167" s="64">
        <v>0</v>
      </c>
      <c r="F167" s="63">
        <v>0</v>
      </c>
      <c r="G167" s="63">
        <v>0</v>
      </c>
      <c r="H167" s="65">
        <v>0</v>
      </c>
      <c r="I167" s="65">
        <v>0</v>
      </c>
      <c r="J167" s="65">
        <v>0</v>
      </c>
      <c r="K167" s="65">
        <v>0</v>
      </c>
      <c r="L167" s="65">
        <v>0</v>
      </c>
      <c r="M167" s="63">
        <v>0</v>
      </c>
      <c r="N167" s="1"/>
    </row>
    <row r="168" spans="1:14" ht="16" hidden="1" customHeight="1" outlineLevel="1" x14ac:dyDescent="0.45">
      <c r="A168" s="29" t="s">
        <v>203</v>
      </c>
      <c r="B168" s="44">
        <v>0</v>
      </c>
      <c r="C168" s="63">
        <v>0</v>
      </c>
      <c r="D168" s="63">
        <v>0</v>
      </c>
      <c r="E168" s="64">
        <v>0</v>
      </c>
      <c r="F168" s="63">
        <v>0</v>
      </c>
      <c r="G168" s="63">
        <v>0</v>
      </c>
      <c r="H168" s="65">
        <v>0</v>
      </c>
      <c r="I168" s="65">
        <v>0</v>
      </c>
      <c r="J168" s="65">
        <v>0</v>
      </c>
      <c r="K168" s="65">
        <v>0</v>
      </c>
      <c r="L168" s="65">
        <v>0</v>
      </c>
      <c r="M168" s="63">
        <v>0</v>
      </c>
      <c r="N168" s="1"/>
    </row>
    <row r="169" spans="1:14" ht="16" hidden="1" customHeight="1" outlineLevel="1" x14ac:dyDescent="0.45">
      <c r="A169" s="29" t="s">
        <v>204</v>
      </c>
      <c r="B169" s="44">
        <v>0</v>
      </c>
      <c r="C169" s="63">
        <v>0</v>
      </c>
      <c r="D169" s="63">
        <v>0</v>
      </c>
      <c r="E169" s="64">
        <v>0</v>
      </c>
      <c r="F169" s="63">
        <v>0</v>
      </c>
      <c r="G169" s="63">
        <v>0</v>
      </c>
      <c r="H169" s="65">
        <v>0</v>
      </c>
      <c r="I169" s="65">
        <v>0</v>
      </c>
      <c r="J169" s="65">
        <v>0</v>
      </c>
      <c r="K169" s="65">
        <v>0</v>
      </c>
      <c r="L169" s="65">
        <v>0</v>
      </c>
      <c r="M169" s="63">
        <v>0</v>
      </c>
      <c r="N169" s="1"/>
    </row>
    <row r="170" spans="1:14" ht="16" hidden="1" customHeight="1" outlineLevel="1" x14ac:dyDescent="0.45">
      <c r="A170" s="30" t="s">
        <v>205</v>
      </c>
      <c r="B170" s="46">
        <v>0</v>
      </c>
      <c r="C170" s="63">
        <v>0</v>
      </c>
      <c r="D170" s="63">
        <v>0</v>
      </c>
      <c r="E170" s="64">
        <v>0</v>
      </c>
      <c r="F170" s="63">
        <v>0</v>
      </c>
      <c r="G170" s="63">
        <v>0</v>
      </c>
      <c r="H170" s="65">
        <v>0</v>
      </c>
      <c r="I170" s="65">
        <v>0</v>
      </c>
      <c r="J170" s="65">
        <v>0</v>
      </c>
      <c r="K170" s="65">
        <v>0</v>
      </c>
      <c r="L170" s="65">
        <v>0</v>
      </c>
      <c r="M170" s="63">
        <v>0</v>
      </c>
      <c r="N170" s="1"/>
    </row>
    <row r="171" spans="1:14" s="1" customFormat="1" ht="16" hidden="1" customHeight="1" outlineLevel="1" collapsed="1" x14ac:dyDescent="0.45">
      <c r="A171" s="28" t="s">
        <v>80</v>
      </c>
      <c r="B171" s="43">
        <v>187003268</v>
      </c>
      <c r="C171" s="60">
        <v>26758615</v>
      </c>
      <c r="D171" s="60">
        <v>-4749011</v>
      </c>
      <c r="E171" s="61">
        <v>164993664</v>
      </c>
      <c r="F171" s="60">
        <v>113096600</v>
      </c>
      <c r="G171" s="60">
        <v>913655</v>
      </c>
      <c r="H171" s="62">
        <v>41966000</v>
      </c>
      <c r="I171" s="62">
        <v>0</v>
      </c>
      <c r="J171" s="62">
        <v>0</v>
      </c>
      <c r="K171" s="62">
        <v>0</v>
      </c>
      <c r="L171" s="62">
        <v>5017409</v>
      </c>
      <c r="M171" s="60">
        <v>4000000</v>
      </c>
    </row>
    <row r="172" spans="1:14" ht="16" hidden="1" customHeight="1" outlineLevel="1" x14ac:dyDescent="0.45">
      <c r="A172" s="29" t="s">
        <v>81</v>
      </c>
      <c r="B172" s="44">
        <v>21144313</v>
      </c>
      <c r="C172" s="63">
        <v>19921799</v>
      </c>
      <c r="D172" s="63">
        <v>-4749011</v>
      </c>
      <c r="E172" s="64">
        <v>5971525</v>
      </c>
      <c r="F172" s="63">
        <v>606279</v>
      </c>
      <c r="G172" s="63">
        <v>673655</v>
      </c>
      <c r="H172" s="65">
        <v>0</v>
      </c>
      <c r="I172" s="65">
        <v>0</v>
      </c>
      <c r="J172" s="65">
        <v>0</v>
      </c>
      <c r="K172" s="65">
        <v>0</v>
      </c>
      <c r="L172" s="65">
        <v>4691591</v>
      </c>
      <c r="M172" s="63">
        <v>0</v>
      </c>
      <c r="N172" s="1"/>
    </row>
    <row r="173" spans="1:14" ht="16" hidden="1" customHeight="1" outlineLevel="1" x14ac:dyDescent="0.45">
      <c r="A173" s="29" t="s">
        <v>206</v>
      </c>
      <c r="B173" s="44">
        <v>1050000</v>
      </c>
      <c r="C173" s="63">
        <v>1050000</v>
      </c>
      <c r="D173" s="63">
        <v>0</v>
      </c>
      <c r="E173" s="64">
        <v>0</v>
      </c>
      <c r="F173" s="63">
        <v>0</v>
      </c>
      <c r="G173" s="63">
        <v>0</v>
      </c>
      <c r="H173" s="65">
        <v>0</v>
      </c>
      <c r="I173" s="65">
        <v>0</v>
      </c>
      <c r="J173" s="65">
        <v>0</v>
      </c>
      <c r="K173" s="65">
        <v>0</v>
      </c>
      <c r="L173" s="65">
        <v>0</v>
      </c>
      <c r="M173" s="63">
        <v>0</v>
      </c>
      <c r="N173" s="1"/>
    </row>
    <row r="174" spans="1:14" ht="16" hidden="1" customHeight="1" outlineLevel="1" x14ac:dyDescent="0.45">
      <c r="A174" s="29" t="s">
        <v>82</v>
      </c>
      <c r="B174" s="44">
        <v>9122589</v>
      </c>
      <c r="C174" s="63">
        <v>5786816</v>
      </c>
      <c r="D174" s="63">
        <v>0</v>
      </c>
      <c r="E174" s="64">
        <v>3335773</v>
      </c>
      <c r="F174" s="63">
        <v>2079955</v>
      </c>
      <c r="G174" s="63">
        <v>240000</v>
      </c>
      <c r="H174" s="65">
        <v>690000</v>
      </c>
      <c r="I174" s="65">
        <v>0</v>
      </c>
      <c r="J174" s="65">
        <v>0</v>
      </c>
      <c r="K174" s="65">
        <v>0</v>
      </c>
      <c r="L174" s="65">
        <v>325818</v>
      </c>
      <c r="M174" s="63">
        <v>0</v>
      </c>
      <c r="N174" s="1"/>
    </row>
    <row r="175" spans="1:14" ht="16" hidden="1" customHeight="1" outlineLevel="1" x14ac:dyDescent="0.45">
      <c r="A175" s="29" t="s">
        <v>207</v>
      </c>
      <c r="B175" s="44">
        <v>0</v>
      </c>
      <c r="C175" s="63">
        <v>0</v>
      </c>
      <c r="D175" s="63">
        <v>0</v>
      </c>
      <c r="E175" s="64">
        <v>0</v>
      </c>
      <c r="F175" s="63">
        <v>0</v>
      </c>
      <c r="G175" s="63">
        <v>0</v>
      </c>
      <c r="H175" s="65">
        <v>0</v>
      </c>
      <c r="I175" s="65">
        <v>0</v>
      </c>
      <c r="J175" s="65">
        <v>0</v>
      </c>
      <c r="K175" s="65">
        <v>0</v>
      </c>
      <c r="L175" s="65">
        <v>0</v>
      </c>
      <c r="M175" s="63">
        <v>0</v>
      </c>
      <c r="N175" s="1"/>
    </row>
    <row r="176" spans="1:14" ht="16" hidden="1" customHeight="1" outlineLevel="1" x14ac:dyDescent="0.45">
      <c r="A176" s="29" t="s">
        <v>256</v>
      </c>
      <c r="B176" s="44">
        <v>0</v>
      </c>
      <c r="C176" s="63">
        <v>0</v>
      </c>
      <c r="D176" s="63">
        <v>0</v>
      </c>
      <c r="E176" s="64">
        <v>0</v>
      </c>
      <c r="F176" s="63">
        <v>0</v>
      </c>
      <c r="G176" s="63">
        <v>0</v>
      </c>
      <c r="H176" s="65">
        <v>0</v>
      </c>
      <c r="I176" s="65">
        <v>0</v>
      </c>
      <c r="J176" s="65">
        <v>0</v>
      </c>
      <c r="K176" s="65">
        <v>0</v>
      </c>
      <c r="L176" s="65">
        <v>0</v>
      </c>
      <c r="M176" s="63">
        <v>0</v>
      </c>
      <c r="N176" s="1"/>
    </row>
    <row r="177" spans="1:14" ht="16" hidden="1" customHeight="1" outlineLevel="1" x14ac:dyDescent="0.45">
      <c r="A177" s="29" t="s">
        <v>208</v>
      </c>
      <c r="B177" s="44">
        <v>155686366</v>
      </c>
      <c r="C177" s="63">
        <v>0</v>
      </c>
      <c r="D177" s="63">
        <v>0</v>
      </c>
      <c r="E177" s="64">
        <v>155686366</v>
      </c>
      <c r="F177" s="63">
        <v>110410366</v>
      </c>
      <c r="G177" s="63">
        <v>0</v>
      </c>
      <c r="H177" s="65">
        <v>41276000</v>
      </c>
      <c r="I177" s="65">
        <v>0</v>
      </c>
      <c r="J177" s="65">
        <v>0</v>
      </c>
      <c r="K177" s="65">
        <v>0</v>
      </c>
      <c r="L177" s="65">
        <v>0</v>
      </c>
      <c r="M177" s="63">
        <v>4000000</v>
      </c>
      <c r="N177" s="1"/>
    </row>
    <row r="178" spans="1:14" s="1" customFormat="1" collapsed="1" x14ac:dyDescent="0.45">
      <c r="A178" s="28" t="s">
        <v>146</v>
      </c>
      <c r="B178" s="43">
        <v>0</v>
      </c>
      <c r="C178" s="60">
        <v>0</v>
      </c>
      <c r="D178" s="60">
        <v>0</v>
      </c>
      <c r="E178" s="61">
        <v>0</v>
      </c>
      <c r="F178" s="60">
        <v>0</v>
      </c>
      <c r="G178" s="60">
        <v>0</v>
      </c>
      <c r="H178" s="62">
        <v>0</v>
      </c>
      <c r="I178" s="62">
        <v>0</v>
      </c>
      <c r="J178" s="62">
        <v>0</v>
      </c>
      <c r="K178" s="62">
        <v>0</v>
      </c>
      <c r="L178" s="62">
        <v>0</v>
      </c>
      <c r="M178" s="60">
        <v>0</v>
      </c>
    </row>
    <row r="179" spans="1:14" ht="16" hidden="1" customHeight="1" outlineLevel="1" x14ac:dyDescent="0.45">
      <c r="A179" s="29" t="s">
        <v>147</v>
      </c>
      <c r="B179" s="44">
        <v>0</v>
      </c>
      <c r="C179" s="63">
        <v>0</v>
      </c>
      <c r="D179" s="63">
        <v>0</v>
      </c>
      <c r="E179" s="64">
        <v>0</v>
      </c>
      <c r="F179" s="63">
        <v>0</v>
      </c>
      <c r="G179" s="63">
        <v>0</v>
      </c>
      <c r="H179" s="65">
        <v>0</v>
      </c>
      <c r="I179" s="65">
        <v>0</v>
      </c>
      <c r="J179" s="65">
        <v>0</v>
      </c>
      <c r="K179" s="65">
        <v>0</v>
      </c>
      <c r="L179" s="65">
        <v>0</v>
      </c>
      <c r="M179" s="63">
        <v>0</v>
      </c>
      <c r="N179" s="1"/>
    </row>
    <row r="180" spans="1:14" ht="16" hidden="1" customHeight="1" outlineLevel="1" x14ac:dyDescent="0.45">
      <c r="A180" s="29" t="s">
        <v>148</v>
      </c>
      <c r="B180" s="43">
        <v>0</v>
      </c>
      <c r="C180" s="63">
        <v>0</v>
      </c>
      <c r="D180" s="63">
        <v>0</v>
      </c>
      <c r="E180" s="64">
        <v>0</v>
      </c>
      <c r="F180" s="63">
        <v>0</v>
      </c>
      <c r="G180" s="63">
        <v>0</v>
      </c>
      <c r="H180" s="65">
        <v>0</v>
      </c>
      <c r="I180" s="65">
        <v>0</v>
      </c>
      <c r="J180" s="65">
        <v>0</v>
      </c>
      <c r="K180" s="65">
        <v>0</v>
      </c>
      <c r="L180" s="65">
        <v>0</v>
      </c>
      <c r="M180" s="63">
        <v>0</v>
      </c>
      <c r="N180" s="1"/>
    </row>
    <row r="181" spans="1:14" s="1" customFormat="1" collapsed="1" x14ac:dyDescent="0.45">
      <c r="A181" s="28" t="s">
        <v>83</v>
      </c>
      <c r="B181" s="43">
        <v>606125943</v>
      </c>
      <c r="C181" s="60">
        <v>180128258.99999994</v>
      </c>
      <c r="D181" s="60">
        <v>22499787</v>
      </c>
      <c r="E181" s="61">
        <v>403497897.00000006</v>
      </c>
      <c r="F181" s="60">
        <v>235972140.79217345</v>
      </c>
      <c r="G181" s="60">
        <v>71279106.647281691</v>
      </c>
      <c r="H181" s="60">
        <v>20287169.560544889</v>
      </c>
      <c r="I181" s="60">
        <v>2326445.650616738</v>
      </c>
      <c r="J181" s="60">
        <v>1908602.7013176815</v>
      </c>
      <c r="K181" s="60">
        <v>12728771.889938537</v>
      </c>
      <c r="L181" s="60">
        <v>48695846.758127041</v>
      </c>
      <c r="M181" s="60">
        <v>10299813</v>
      </c>
    </row>
    <row r="182" spans="1:14" s="1" customFormat="1" ht="16" hidden="1" customHeight="1" outlineLevel="1" x14ac:dyDescent="0.45">
      <c r="A182" s="29" t="s">
        <v>84</v>
      </c>
      <c r="B182" s="44">
        <v>50086472</v>
      </c>
      <c r="C182" s="63">
        <v>331094</v>
      </c>
      <c r="D182" s="63">
        <v>391277</v>
      </c>
      <c r="E182" s="64">
        <v>49364101</v>
      </c>
      <c r="F182" s="63">
        <v>33009072</v>
      </c>
      <c r="G182" s="63">
        <v>8338353</v>
      </c>
      <c r="H182" s="63">
        <v>3443329</v>
      </c>
      <c r="I182" s="63">
        <v>281572.5</v>
      </c>
      <c r="J182" s="63">
        <v>265391.5</v>
      </c>
      <c r="K182" s="63">
        <v>1428266</v>
      </c>
      <c r="L182" s="63">
        <v>2488480</v>
      </c>
      <c r="M182" s="63">
        <v>109637</v>
      </c>
    </row>
    <row r="183" spans="1:14" ht="16" hidden="1" customHeight="1" outlineLevel="1" x14ac:dyDescent="0.45">
      <c r="A183" s="29" t="s">
        <v>149</v>
      </c>
      <c r="B183" s="44">
        <v>2349766</v>
      </c>
      <c r="C183" s="63">
        <v>2349766</v>
      </c>
      <c r="D183" s="63">
        <v>0</v>
      </c>
      <c r="E183" s="64">
        <v>0</v>
      </c>
      <c r="F183" s="63">
        <v>0</v>
      </c>
      <c r="G183" s="63">
        <v>0</v>
      </c>
      <c r="H183" s="63">
        <v>0</v>
      </c>
      <c r="I183" s="63">
        <v>0</v>
      </c>
      <c r="J183" s="63">
        <v>0</v>
      </c>
      <c r="K183" s="63">
        <v>0</v>
      </c>
      <c r="L183" s="63">
        <v>0</v>
      </c>
      <c r="M183" s="63">
        <v>0</v>
      </c>
      <c r="N183" s="1"/>
    </row>
    <row r="184" spans="1:14" ht="16" hidden="1" customHeight="1" outlineLevel="1" x14ac:dyDescent="0.45">
      <c r="A184" s="29" t="s">
        <v>85</v>
      </c>
      <c r="B184" s="44">
        <v>30628953</v>
      </c>
      <c r="C184" s="63">
        <v>8261211</v>
      </c>
      <c r="D184" s="63">
        <v>4111830</v>
      </c>
      <c r="E184" s="64">
        <v>18255912</v>
      </c>
      <c r="F184" s="63">
        <v>10634402.807088304</v>
      </c>
      <c r="G184" s="63">
        <v>3326081.6323668081</v>
      </c>
      <c r="H184" s="63">
        <v>549135.56054488732</v>
      </c>
      <c r="I184" s="63">
        <v>232226.63261917565</v>
      </c>
      <c r="J184" s="63">
        <v>225510.69752630609</v>
      </c>
      <c r="K184" s="63">
        <v>847778.59302869218</v>
      </c>
      <c r="L184" s="63">
        <v>1718866.076825826</v>
      </c>
      <c r="M184" s="63">
        <v>721910</v>
      </c>
      <c r="N184" s="1"/>
    </row>
    <row r="185" spans="1:14" ht="16" hidden="1" customHeight="1" outlineLevel="1" x14ac:dyDescent="0.45">
      <c r="A185" s="29" t="s">
        <v>86</v>
      </c>
      <c r="B185" s="44">
        <v>6567150</v>
      </c>
      <c r="C185" s="63">
        <v>1152109</v>
      </c>
      <c r="D185" s="63">
        <v>0</v>
      </c>
      <c r="E185" s="64">
        <v>5415041</v>
      </c>
      <c r="F185" s="63">
        <v>3671233</v>
      </c>
      <c r="G185" s="63">
        <v>1481169</v>
      </c>
      <c r="H185" s="63">
        <v>0</v>
      </c>
      <c r="I185" s="63">
        <v>0</v>
      </c>
      <c r="J185" s="63">
        <v>0</v>
      </c>
      <c r="K185" s="63">
        <v>262639</v>
      </c>
      <c r="L185" s="63">
        <v>0</v>
      </c>
      <c r="M185" s="63">
        <v>0</v>
      </c>
      <c r="N185" s="1"/>
    </row>
    <row r="186" spans="1:14" ht="16" hidden="1" customHeight="1" outlineLevel="1" x14ac:dyDescent="0.45">
      <c r="A186" s="29" t="s">
        <v>150</v>
      </c>
      <c r="B186" s="44">
        <v>0</v>
      </c>
      <c r="C186" s="63">
        <v>0</v>
      </c>
      <c r="D186" s="63">
        <v>0</v>
      </c>
      <c r="E186" s="64">
        <v>0</v>
      </c>
      <c r="F186" s="63">
        <v>0</v>
      </c>
      <c r="G186" s="63">
        <v>0</v>
      </c>
      <c r="H186" s="63">
        <v>0</v>
      </c>
      <c r="I186" s="63">
        <v>0</v>
      </c>
      <c r="J186" s="63">
        <v>0</v>
      </c>
      <c r="K186" s="63">
        <v>0</v>
      </c>
      <c r="L186" s="63">
        <v>0</v>
      </c>
      <c r="M186" s="63">
        <v>0</v>
      </c>
      <c r="N186" s="1"/>
    </row>
    <row r="187" spans="1:14" s="1" customFormat="1" ht="16" hidden="1" customHeight="1" outlineLevel="1" x14ac:dyDescent="0.45">
      <c r="A187" s="29" t="s">
        <v>87</v>
      </c>
      <c r="B187" s="44">
        <v>497279</v>
      </c>
      <c r="C187" s="63">
        <v>0</v>
      </c>
      <c r="D187" s="63">
        <v>0</v>
      </c>
      <c r="E187" s="64">
        <v>497279</v>
      </c>
      <c r="F187" s="63">
        <v>0</v>
      </c>
      <c r="G187" s="63">
        <v>0</v>
      </c>
      <c r="H187" s="63">
        <v>0</v>
      </c>
      <c r="I187" s="63">
        <v>0</v>
      </c>
      <c r="J187" s="63">
        <v>0</v>
      </c>
      <c r="K187" s="63">
        <v>0</v>
      </c>
      <c r="L187" s="63">
        <v>497279</v>
      </c>
      <c r="M187" s="63">
        <v>0</v>
      </c>
    </row>
    <row r="188" spans="1:14" ht="16" hidden="1" customHeight="1" outlineLevel="1" x14ac:dyDescent="0.45">
      <c r="A188" s="29" t="s">
        <v>88</v>
      </c>
      <c r="B188" s="44">
        <v>287137307</v>
      </c>
      <c r="C188" s="63">
        <v>148472569</v>
      </c>
      <c r="D188" s="63">
        <v>17799401</v>
      </c>
      <c r="E188" s="64">
        <v>120865337</v>
      </c>
      <c r="F188" s="63">
        <v>17288859.290578339</v>
      </c>
      <c r="G188" s="63">
        <v>52969189.709421664</v>
      </c>
      <c r="H188" s="63">
        <v>15995683</v>
      </c>
      <c r="I188" s="63">
        <v>891124.51799756219</v>
      </c>
      <c r="J188" s="63">
        <v>888694.50379137555</v>
      </c>
      <c r="K188" s="63">
        <v>8588507.2969098445</v>
      </c>
      <c r="L188" s="63">
        <v>16220049.681301218</v>
      </c>
      <c r="M188" s="63">
        <v>8023229</v>
      </c>
      <c r="N188" s="1"/>
    </row>
    <row r="189" spans="1:14" ht="16" hidden="1" customHeight="1" outlineLevel="1" x14ac:dyDescent="0.45">
      <c r="A189" s="24" t="s">
        <v>89</v>
      </c>
      <c r="B189" s="45">
        <v>226649023</v>
      </c>
      <c r="C189" s="63">
        <v>19311263</v>
      </c>
      <c r="D189" s="63">
        <v>0</v>
      </c>
      <c r="E189" s="64">
        <v>207337760</v>
      </c>
      <c r="F189" s="63">
        <v>170727152.69450676</v>
      </c>
      <c r="G189" s="63">
        <v>4482200.3054932216</v>
      </c>
      <c r="H189" s="63">
        <v>0</v>
      </c>
      <c r="I189" s="63">
        <v>921522</v>
      </c>
      <c r="J189" s="63">
        <v>529006</v>
      </c>
      <c r="K189" s="63">
        <v>1601581</v>
      </c>
      <c r="L189" s="63">
        <v>27631261</v>
      </c>
      <c r="M189" s="63">
        <v>1445037</v>
      </c>
      <c r="N189" s="1"/>
    </row>
    <row r="190" spans="1:14" ht="16" hidden="1" customHeight="1" outlineLevel="1" x14ac:dyDescent="0.45">
      <c r="A190" s="29" t="s">
        <v>209</v>
      </c>
      <c r="B190" s="44">
        <v>0</v>
      </c>
      <c r="C190" s="63">
        <v>0</v>
      </c>
      <c r="D190" s="63">
        <v>0</v>
      </c>
      <c r="E190" s="64">
        <v>0</v>
      </c>
      <c r="F190" s="63">
        <v>0</v>
      </c>
      <c r="G190" s="63">
        <v>0</v>
      </c>
      <c r="H190" s="63">
        <v>0</v>
      </c>
      <c r="I190" s="63">
        <v>0</v>
      </c>
      <c r="J190" s="63">
        <v>0</v>
      </c>
      <c r="K190" s="63">
        <v>0</v>
      </c>
      <c r="L190" s="63">
        <v>0</v>
      </c>
      <c r="M190" s="63">
        <v>0</v>
      </c>
      <c r="N190" s="1"/>
    </row>
    <row r="191" spans="1:14" ht="16" hidden="1" customHeight="1" outlineLevel="1" x14ac:dyDescent="0.45">
      <c r="A191" s="29" t="s">
        <v>90</v>
      </c>
      <c r="B191" s="44">
        <v>2209993</v>
      </c>
      <c r="C191" s="63">
        <v>250247</v>
      </c>
      <c r="D191" s="63">
        <v>197279</v>
      </c>
      <c r="E191" s="64">
        <v>1762467</v>
      </c>
      <c r="F191" s="63">
        <v>641421</v>
      </c>
      <c r="G191" s="63">
        <v>682113</v>
      </c>
      <c r="H191" s="63">
        <v>299022</v>
      </c>
      <c r="I191" s="63">
        <v>0</v>
      </c>
      <c r="J191" s="63">
        <v>0</v>
      </c>
      <c r="K191" s="63">
        <v>0</v>
      </c>
      <c r="L191" s="63">
        <v>139911</v>
      </c>
      <c r="M191" s="63">
        <v>0</v>
      </c>
      <c r="N191" s="1"/>
    </row>
    <row r="192" spans="1:14" ht="16" hidden="1" customHeight="1" outlineLevel="1" x14ac:dyDescent="0.45">
      <c r="A192" s="30" t="s">
        <v>151</v>
      </c>
      <c r="B192" s="46">
        <v>0</v>
      </c>
      <c r="C192" s="63">
        <v>0</v>
      </c>
      <c r="D192" s="63">
        <v>0</v>
      </c>
      <c r="E192" s="64">
        <v>0</v>
      </c>
      <c r="F192" s="63">
        <v>0</v>
      </c>
      <c r="G192" s="63">
        <v>0</v>
      </c>
      <c r="H192" s="63">
        <v>0</v>
      </c>
      <c r="I192" s="63">
        <v>0</v>
      </c>
      <c r="J192" s="63">
        <v>0</v>
      </c>
      <c r="K192" s="63">
        <v>0</v>
      </c>
      <c r="L192" s="63">
        <v>0</v>
      </c>
      <c r="M192" s="63">
        <v>0</v>
      </c>
      <c r="N192" s="1"/>
    </row>
    <row r="193" spans="1:14" s="1" customFormat="1" collapsed="1" x14ac:dyDescent="0.45">
      <c r="A193" s="28" t="s">
        <v>91</v>
      </c>
      <c r="B193" s="43">
        <v>175903431</v>
      </c>
      <c r="C193" s="60">
        <v>8840296</v>
      </c>
      <c r="D193" s="60">
        <v>3339853</v>
      </c>
      <c r="E193" s="61">
        <v>163723282</v>
      </c>
      <c r="F193" s="60">
        <v>70882006.799516916</v>
      </c>
      <c r="G193" s="60">
        <v>6451681.2004830847</v>
      </c>
      <c r="H193" s="60">
        <v>83463509</v>
      </c>
      <c r="I193" s="60">
        <v>79259.5</v>
      </c>
      <c r="J193" s="60">
        <v>79259.5</v>
      </c>
      <c r="K193" s="60">
        <v>623558</v>
      </c>
      <c r="L193" s="60">
        <v>1696483</v>
      </c>
      <c r="M193" s="60">
        <v>447525</v>
      </c>
    </row>
    <row r="194" spans="1:14" ht="16" hidden="1" customHeight="1" outlineLevel="1" x14ac:dyDescent="0.45">
      <c r="A194" s="29" t="s">
        <v>92</v>
      </c>
      <c r="B194" s="44">
        <v>46192417</v>
      </c>
      <c r="C194" s="63">
        <v>4506000</v>
      </c>
      <c r="D194" s="63">
        <v>221185</v>
      </c>
      <c r="E194" s="64">
        <v>41465232</v>
      </c>
      <c r="F194" s="63">
        <v>34558095.478657052</v>
      </c>
      <c r="G194" s="63">
        <v>4633841.5213429462</v>
      </c>
      <c r="H194" s="63">
        <v>371690</v>
      </c>
      <c r="I194" s="63">
        <v>40500</v>
      </c>
      <c r="J194" s="63">
        <v>40500</v>
      </c>
      <c r="K194" s="63">
        <v>454890</v>
      </c>
      <c r="L194" s="63">
        <v>1365715</v>
      </c>
      <c r="M194" s="63">
        <v>0</v>
      </c>
      <c r="N194" s="1"/>
    </row>
    <row r="195" spans="1:14" ht="16" hidden="1" customHeight="1" outlineLevel="1" x14ac:dyDescent="0.45">
      <c r="A195" s="29" t="s">
        <v>93</v>
      </c>
      <c r="B195" s="44">
        <v>97850838</v>
      </c>
      <c r="C195" s="63">
        <v>3711000</v>
      </c>
      <c r="D195" s="63">
        <v>2002957</v>
      </c>
      <c r="E195" s="64">
        <v>92136881</v>
      </c>
      <c r="F195" s="63">
        <v>24305838</v>
      </c>
      <c r="G195" s="63">
        <v>268000</v>
      </c>
      <c r="H195" s="63">
        <v>67360856</v>
      </c>
      <c r="I195" s="63">
        <v>38759.5</v>
      </c>
      <c r="J195" s="63">
        <v>38759.5</v>
      </c>
      <c r="K195" s="63">
        <v>124668</v>
      </c>
      <c r="L195" s="63">
        <v>0</v>
      </c>
      <c r="M195" s="63">
        <v>0</v>
      </c>
      <c r="N195" s="1"/>
    </row>
    <row r="196" spans="1:14" ht="16" hidden="1" customHeight="1" outlineLevel="1" x14ac:dyDescent="0.45">
      <c r="A196" s="29" t="s">
        <v>94</v>
      </c>
      <c r="B196" s="44">
        <v>16360176</v>
      </c>
      <c r="C196" s="63">
        <v>623296.00000000186</v>
      </c>
      <c r="D196" s="63">
        <v>1115711</v>
      </c>
      <c r="E196" s="64">
        <v>14621168.999999998</v>
      </c>
      <c r="F196" s="63">
        <v>12018073.320859861</v>
      </c>
      <c r="G196" s="63">
        <v>1549839.6791401382</v>
      </c>
      <c r="H196" s="63">
        <v>230963</v>
      </c>
      <c r="I196" s="63">
        <v>0</v>
      </c>
      <c r="J196" s="63">
        <v>0</v>
      </c>
      <c r="K196" s="63">
        <v>44000</v>
      </c>
      <c r="L196" s="63">
        <v>330768</v>
      </c>
      <c r="M196" s="63">
        <v>447525</v>
      </c>
      <c r="N196" s="1"/>
    </row>
    <row r="197" spans="1:14" ht="16" hidden="1" customHeight="1" outlineLevel="1" x14ac:dyDescent="0.45">
      <c r="A197" s="29" t="s">
        <v>210</v>
      </c>
      <c r="B197" s="44">
        <v>0</v>
      </c>
      <c r="C197" s="63">
        <v>0</v>
      </c>
      <c r="D197" s="63">
        <v>0</v>
      </c>
      <c r="E197" s="64">
        <v>0</v>
      </c>
      <c r="F197" s="63">
        <v>0</v>
      </c>
      <c r="G197" s="63">
        <v>0</v>
      </c>
      <c r="H197" s="63">
        <v>0</v>
      </c>
      <c r="I197" s="63">
        <v>0</v>
      </c>
      <c r="J197" s="63">
        <v>0</v>
      </c>
      <c r="K197" s="63">
        <v>0</v>
      </c>
      <c r="L197" s="63">
        <v>0</v>
      </c>
      <c r="M197" s="63">
        <v>0</v>
      </c>
      <c r="N197" s="1"/>
    </row>
    <row r="198" spans="1:14" s="1" customFormat="1" ht="16" hidden="1" customHeight="1" outlineLevel="1" x14ac:dyDescent="0.45">
      <c r="A198" s="24" t="s">
        <v>211</v>
      </c>
      <c r="B198" s="45">
        <v>15500000</v>
      </c>
      <c r="C198" s="63">
        <v>0</v>
      </c>
      <c r="D198" s="63">
        <v>0</v>
      </c>
      <c r="E198" s="64">
        <v>15500000</v>
      </c>
      <c r="F198" s="63">
        <v>0</v>
      </c>
      <c r="G198" s="63">
        <v>0</v>
      </c>
      <c r="H198" s="63">
        <v>15500000</v>
      </c>
      <c r="I198" s="63">
        <v>0</v>
      </c>
      <c r="J198" s="63">
        <v>0</v>
      </c>
      <c r="K198" s="63">
        <v>0</v>
      </c>
      <c r="L198" s="63">
        <v>0</v>
      </c>
      <c r="M198" s="63">
        <v>0</v>
      </c>
    </row>
    <row r="199" spans="1:14" s="1" customFormat="1" collapsed="1" x14ac:dyDescent="0.45">
      <c r="A199" s="28" t="s">
        <v>95</v>
      </c>
      <c r="B199" s="43">
        <v>1804536338</v>
      </c>
      <c r="C199" s="69">
        <v>572426591</v>
      </c>
      <c r="D199" s="69">
        <v>155359975</v>
      </c>
      <c r="E199" s="61">
        <v>1076749772</v>
      </c>
      <c r="F199" s="60">
        <v>80761872.33860518</v>
      </c>
      <c r="G199" s="60">
        <v>59915193.66139482</v>
      </c>
      <c r="H199" s="70">
        <v>404031220</v>
      </c>
      <c r="I199" s="70">
        <v>2051228.5</v>
      </c>
      <c r="J199" s="70">
        <v>6751228.5</v>
      </c>
      <c r="K199" s="70">
        <v>8401829</v>
      </c>
      <c r="L199" s="70">
        <v>7518401</v>
      </c>
      <c r="M199" s="60">
        <v>507318799</v>
      </c>
    </row>
    <row r="200" spans="1:14" ht="16" hidden="1" customHeight="1" outlineLevel="1" x14ac:dyDescent="0.45">
      <c r="A200" s="29" t="s">
        <v>152</v>
      </c>
      <c r="B200" s="44">
        <v>561336095</v>
      </c>
      <c r="C200" s="71">
        <v>261336095</v>
      </c>
      <c r="D200" s="71">
        <v>0</v>
      </c>
      <c r="E200" s="64">
        <v>300000000</v>
      </c>
      <c r="F200" s="63">
        <v>0</v>
      </c>
      <c r="G200" s="63">
        <v>0</v>
      </c>
      <c r="H200" s="32">
        <v>0</v>
      </c>
      <c r="I200" s="32">
        <v>0</v>
      </c>
      <c r="J200" s="32">
        <v>0</v>
      </c>
      <c r="K200" s="32">
        <v>0</v>
      </c>
      <c r="L200" s="32">
        <v>0</v>
      </c>
      <c r="M200" s="63">
        <v>300000000</v>
      </c>
      <c r="N200" s="1"/>
    </row>
    <row r="201" spans="1:14" ht="16" hidden="1" customHeight="1" outlineLevel="1" x14ac:dyDescent="0.45">
      <c r="A201" s="29" t="s">
        <v>153</v>
      </c>
      <c r="B201" s="44">
        <v>432759421</v>
      </c>
      <c r="C201" s="71">
        <v>10681155</v>
      </c>
      <c r="D201" s="71">
        <v>4411245</v>
      </c>
      <c r="E201" s="64">
        <v>417667021</v>
      </c>
      <c r="F201" s="63">
        <v>2397288.0317087038</v>
      </c>
      <c r="G201" s="63">
        <v>5167152.9682912966</v>
      </c>
      <c r="H201" s="32">
        <v>222192847</v>
      </c>
      <c r="I201" s="32">
        <v>78823.5</v>
      </c>
      <c r="J201" s="32">
        <v>78823.5</v>
      </c>
      <c r="K201" s="32">
        <v>2758824</v>
      </c>
      <c r="L201" s="32">
        <v>5190401</v>
      </c>
      <c r="M201" s="63">
        <v>179802861</v>
      </c>
      <c r="N201" s="1"/>
    </row>
    <row r="202" spans="1:14" ht="16" hidden="1" customHeight="1" outlineLevel="1" x14ac:dyDescent="0.45">
      <c r="A202" s="29" t="s">
        <v>117</v>
      </c>
      <c r="B202" s="44">
        <v>57093580</v>
      </c>
      <c r="C202" s="71">
        <v>51993580</v>
      </c>
      <c r="D202" s="71">
        <v>0</v>
      </c>
      <c r="E202" s="64">
        <v>5100000</v>
      </c>
      <c r="F202" s="63">
        <v>0</v>
      </c>
      <c r="G202" s="63">
        <v>5100000</v>
      </c>
      <c r="H202" s="32">
        <v>0</v>
      </c>
      <c r="I202" s="32">
        <v>0</v>
      </c>
      <c r="J202" s="32">
        <v>0</v>
      </c>
      <c r="K202" s="32">
        <v>0</v>
      </c>
      <c r="L202" s="32">
        <v>0</v>
      </c>
      <c r="M202" s="63">
        <v>0</v>
      </c>
      <c r="N202" s="1"/>
    </row>
    <row r="203" spans="1:14" ht="16" hidden="1" customHeight="1" outlineLevel="1" x14ac:dyDescent="0.45">
      <c r="A203" s="29" t="s">
        <v>154</v>
      </c>
      <c r="B203" s="44">
        <v>58900</v>
      </c>
      <c r="C203" s="71">
        <v>37000</v>
      </c>
      <c r="D203" s="71">
        <v>21900</v>
      </c>
      <c r="E203" s="64">
        <v>0</v>
      </c>
      <c r="F203" s="63">
        <v>0</v>
      </c>
      <c r="G203" s="63">
        <v>0</v>
      </c>
      <c r="H203" s="32">
        <v>0</v>
      </c>
      <c r="I203" s="32">
        <v>0</v>
      </c>
      <c r="J203" s="32">
        <v>0</v>
      </c>
      <c r="K203" s="32">
        <v>0</v>
      </c>
      <c r="L203" s="32">
        <v>0</v>
      </c>
      <c r="M203" s="63">
        <v>0</v>
      </c>
      <c r="N203" s="1"/>
    </row>
    <row r="204" spans="1:14" ht="16" hidden="1" customHeight="1" outlineLevel="1" x14ac:dyDescent="0.45">
      <c r="A204" s="29" t="s">
        <v>96</v>
      </c>
      <c r="B204" s="44">
        <v>24251394</v>
      </c>
      <c r="C204" s="71">
        <v>792000</v>
      </c>
      <c r="D204" s="71">
        <v>1074000</v>
      </c>
      <c r="E204" s="64">
        <v>22385394</v>
      </c>
      <c r="F204" s="63">
        <v>19216536.567633517</v>
      </c>
      <c r="G204" s="63">
        <v>2847857.432366482</v>
      </c>
      <c r="H204" s="32">
        <v>0</v>
      </c>
      <c r="I204" s="32">
        <v>0</v>
      </c>
      <c r="J204" s="32">
        <v>0</v>
      </c>
      <c r="K204" s="32">
        <v>123000</v>
      </c>
      <c r="L204" s="32">
        <v>128000</v>
      </c>
      <c r="M204" s="63">
        <v>70000</v>
      </c>
      <c r="N204" s="1"/>
    </row>
    <row r="205" spans="1:14" ht="16" hidden="1" customHeight="1" outlineLevel="1" x14ac:dyDescent="0.45">
      <c r="A205" s="29" t="s">
        <v>97</v>
      </c>
      <c r="B205" s="44">
        <v>44700</v>
      </c>
      <c r="C205" s="71">
        <v>15500</v>
      </c>
      <c r="D205" s="71">
        <v>0</v>
      </c>
      <c r="E205" s="64">
        <v>29200</v>
      </c>
      <c r="F205" s="63">
        <v>29200</v>
      </c>
      <c r="G205" s="63">
        <v>0</v>
      </c>
      <c r="H205" s="32">
        <v>0</v>
      </c>
      <c r="I205" s="32">
        <v>0</v>
      </c>
      <c r="J205" s="32">
        <v>0</v>
      </c>
      <c r="K205" s="32">
        <v>0</v>
      </c>
      <c r="L205" s="32">
        <v>0</v>
      </c>
      <c r="M205" s="63">
        <v>0</v>
      </c>
      <c r="N205" s="1"/>
    </row>
    <row r="206" spans="1:14" ht="16" hidden="1" customHeight="1" outlineLevel="1" x14ac:dyDescent="0.45">
      <c r="A206" s="29" t="s">
        <v>98</v>
      </c>
      <c r="B206" s="44">
        <v>250440036</v>
      </c>
      <c r="C206" s="71">
        <v>145240000</v>
      </c>
      <c r="D206" s="71">
        <v>53000000</v>
      </c>
      <c r="E206" s="64">
        <v>52200036</v>
      </c>
      <c r="F206" s="63">
        <v>7960036</v>
      </c>
      <c r="G206" s="63">
        <v>42040000</v>
      </c>
      <c r="H206" s="32">
        <v>0</v>
      </c>
      <c r="I206" s="32">
        <v>0</v>
      </c>
      <c r="J206" s="32">
        <v>0</v>
      </c>
      <c r="K206" s="32">
        <v>0</v>
      </c>
      <c r="L206" s="32">
        <v>2200000</v>
      </c>
      <c r="M206" s="63">
        <v>0</v>
      </c>
      <c r="N206" s="1"/>
    </row>
    <row r="207" spans="1:14" ht="16" hidden="1" customHeight="1" outlineLevel="1" x14ac:dyDescent="0.45">
      <c r="A207" s="29" t="s">
        <v>99</v>
      </c>
      <c r="B207" s="44">
        <v>236571078</v>
      </c>
      <c r="C207" s="71">
        <v>80827167</v>
      </c>
      <c r="D207" s="71">
        <v>0</v>
      </c>
      <c r="E207" s="64">
        <v>155743911</v>
      </c>
      <c r="F207" s="63">
        <v>24935914.37338103</v>
      </c>
      <c r="G207" s="63">
        <v>3023180.6266189711</v>
      </c>
      <c r="H207" s="32">
        <v>95606898</v>
      </c>
      <c r="I207" s="32">
        <v>0</v>
      </c>
      <c r="J207" s="32">
        <v>4700000</v>
      </c>
      <c r="K207" s="32">
        <v>167900</v>
      </c>
      <c r="L207" s="32">
        <v>0</v>
      </c>
      <c r="M207" s="63">
        <v>27310018</v>
      </c>
      <c r="N207" s="1"/>
    </row>
    <row r="208" spans="1:14" ht="16" hidden="1" customHeight="1" outlineLevel="1" x14ac:dyDescent="0.45">
      <c r="A208" s="29" t="s">
        <v>155</v>
      </c>
      <c r="B208" s="44">
        <v>7334034</v>
      </c>
      <c r="C208" s="71">
        <v>7334034</v>
      </c>
      <c r="D208" s="71">
        <v>0</v>
      </c>
      <c r="E208" s="64">
        <v>0</v>
      </c>
      <c r="F208" s="63">
        <v>0</v>
      </c>
      <c r="G208" s="63">
        <v>0</v>
      </c>
      <c r="H208" s="32">
        <v>0</v>
      </c>
      <c r="I208" s="32">
        <v>0</v>
      </c>
      <c r="J208" s="32">
        <v>0</v>
      </c>
      <c r="K208" s="32">
        <v>0</v>
      </c>
      <c r="L208" s="32">
        <v>0</v>
      </c>
      <c r="M208" s="63">
        <v>0</v>
      </c>
      <c r="N208" s="1"/>
    </row>
    <row r="209" spans="1:14" ht="16" hidden="1" customHeight="1" outlineLevel="1" x14ac:dyDescent="0.45">
      <c r="A209" s="29" t="s">
        <v>100</v>
      </c>
      <c r="B209" s="44">
        <v>234647100</v>
      </c>
      <c r="C209" s="71">
        <v>14170060</v>
      </c>
      <c r="D209" s="71">
        <v>96852830</v>
      </c>
      <c r="E209" s="64">
        <v>123624210</v>
      </c>
      <c r="F209" s="63">
        <v>26222897.365881927</v>
      </c>
      <c r="G209" s="63">
        <v>1737002.6341180734</v>
      </c>
      <c r="H209" s="32">
        <v>86231475</v>
      </c>
      <c r="I209" s="32">
        <v>1972405</v>
      </c>
      <c r="J209" s="32">
        <v>1972405</v>
      </c>
      <c r="K209" s="32">
        <v>5352105</v>
      </c>
      <c r="L209" s="32">
        <v>0</v>
      </c>
      <c r="M209" s="63">
        <v>135920</v>
      </c>
      <c r="N209" s="1"/>
    </row>
    <row r="210" spans="1:14" ht="16" hidden="1" customHeight="1" outlineLevel="1" x14ac:dyDescent="0.45">
      <c r="A210" s="24" t="s">
        <v>212</v>
      </c>
      <c r="B210" s="45">
        <v>0</v>
      </c>
      <c r="C210" s="71">
        <v>0</v>
      </c>
      <c r="D210" s="71">
        <v>0</v>
      </c>
      <c r="E210" s="64">
        <v>0</v>
      </c>
      <c r="F210" s="63">
        <v>0</v>
      </c>
      <c r="G210" s="63">
        <v>0</v>
      </c>
      <c r="H210" s="32">
        <v>0</v>
      </c>
      <c r="I210" s="32">
        <v>0</v>
      </c>
      <c r="J210" s="32">
        <v>0</v>
      </c>
      <c r="K210" s="32">
        <v>0</v>
      </c>
      <c r="L210" s="32">
        <v>0</v>
      </c>
      <c r="M210" s="63">
        <v>0</v>
      </c>
      <c r="N210" s="1"/>
    </row>
    <row r="211" spans="1:14" ht="16" hidden="1" customHeight="1" outlineLevel="1" x14ac:dyDescent="0.45">
      <c r="A211" s="29" t="s">
        <v>213</v>
      </c>
      <c r="B211" s="44">
        <v>0</v>
      </c>
      <c r="C211" s="71">
        <v>0</v>
      </c>
      <c r="D211" s="71">
        <v>0</v>
      </c>
      <c r="E211" s="64">
        <v>0</v>
      </c>
      <c r="F211" s="63">
        <v>0</v>
      </c>
      <c r="G211" s="63">
        <v>0</v>
      </c>
      <c r="H211" s="32">
        <v>0</v>
      </c>
      <c r="I211" s="32">
        <v>0</v>
      </c>
      <c r="J211" s="32">
        <v>0</v>
      </c>
      <c r="K211" s="32">
        <v>0</v>
      </c>
      <c r="L211" s="32">
        <v>0</v>
      </c>
      <c r="M211" s="63">
        <v>0</v>
      </c>
      <c r="N211" s="1"/>
    </row>
    <row r="212" spans="1:14" ht="16" hidden="1" customHeight="1" outlineLevel="1" x14ac:dyDescent="0.45">
      <c r="A212" s="24" t="s">
        <v>214</v>
      </c>
      <c r="B212" s="45">
        <v>0</v>
      </c>
      <c r="C212" s="71">
        <v>0</v>
      </c>
      <c r="D212" s="71">
        <v>0</v>
      </c>
      <c r="E212" s="64">
        <v>0</v>
      </c>
      <c r="F212" s="63">
        <v>0</v>
      </c>
      <c r="G212" s="63">
        <v>0</v>
      </c>
      <c r="H212" s="32">
        <v>0</v>
      </c>
      <c r="I212" s="32">
        <v>0</v>
      </c>
      <c r="J212" s="32">
        <v>0</v>
      </c>
      <c r="K212" s="32">
        <v>0</v>
      </c>
      <c r="L212" s="32">
        <v>0</v>
      </c>
      <c r="M212" s="63">
        <v>0</v>
      </c>
      <c r="N212" s="1"/>
    </row>
    <row r="213" spans="1:14" ht="16" hidden="1" customHeight="1" outlineLevel="1" x14ac:dyDescent="0.45">
      <c r="A213" s="29" t="s">
        <v>215</v>
      </c>
      <c r="B213" s="44">
        <v>0</v>
      </c>
      <c r="C213" s="71">
        <v>0</v>
      </c>
      <c r="D213" s="71">
        <v>0</v>
      </c>
      <c r="E213" s="64">
        <v>0</v>
      </c>
      <c r="F213" s="63">
        <v>0</v>
      </c>
      <c r="G213" s="63">
        <v>0</v>
      </c>
      <c r="H213" s="32">
        <v>0</v>
      </c>
      <c r="I213" s="32">
        <v>0</v>
      </c>
      <c r="J213" s="32">
        <v>0</v>
      </c>
      <c r="K213" s="32">
        <v>0</v>
      </c>
      <c r="L213" s="32">
        <v>0</v>
      </c>
      <c r="M213" s="63">
        <v>0</v>
      </c>
      <c r="N213" s="1"/>
    </row>
    <row r="214" spans="1:14" ht="16" hidden="1" customHeight="1" outlineLevel="1" x14ac:dyDescent="0.45">
      <c r="A214" s="29" t="s">
        <v>257</v>
      </c>
      <c r="B214" s="44">
        <v>0</v>
      </c>
      <c r="C214" s="71">
        <v>0</v>
      </c>
      <c r="D214" s="71">
        <v>0</v>
      </c>
      <c r="E214" s="64">
        <v>0</v>
      </c>
      <c r="F214" s="63">
        <v>0</v>
      </c>
      <c r="G214" s="63">
        <v>0</v>
      </c>
      <c r="H214" s="32">
        <v>0</v>
      </c>
      <c r="I214" s="32">
        <v>0</v>
      </c>
      <c r="J214" s="32">
        <v>0</v>
      </c>
      <c r="K214" s="32">
        <v>0</v>
      </c>
      <c r="L214" s="32">
        <v>0</v>
      </c>
      <c r="M214" s="63">
        <v>0</v>
      </c>
      <c r="N214" s="1"/>
    </row>
    <row r="215" spans="1:14" s="1" customFormat="1" collapsed="1" x14ac:dyDescent="0.45">
      <c r="A215" s="28" t="s">
        <v>156</v>
      </c>
      <c r="B215" s="43">
        <v>116037000</v>
      </c>
      <c r="C215" s="69">
        <v>0</v>
      </c>
      <c r="D215" s="69">
        <v>0</v>
      </c>
      <c r="E215" s="61">
        <v>116037000</v>
      </c>
      <c r="F215" s="60">
        <v>45250000</v>
      </c>
      <c r="G215" s="60">
        <v>0</v>
      </c>
      <c r="H215" s="70">
        <v>70787000</v>
      </c>
      <c r="I215" s="70">
        <v>0</v>
      </c>
      <c r="J215" s="70">
        <v>0</v>
      </c>
      <c r="K215" s="70">
        <v>0</v>
      </c>
      <c r="L215" s="70">
        <v>0</v>
      </c>
      <c r="M215" s="60">
        <v>0</v>
      </c>
    </row>
    <row r="216" spans="1:14" ht="16" hidden="1" customHeight="1" outlineLevel="1" x14ac:dyDescent="0.45">
      <c r="A216" s="29" t="s">
        <v>157</v>
      </c>
      <c r="B216" s="44">
        <v>116037000</v>
      </c>
      <c r="C216" s="71">
        <v>0</v>
      </c>
      <c r="D216" s="71">
        <v>0</v>
      </c>
      <c r="E216" s="64">
        <v>116037000</v>
      </c>
      <c r="F216" s="63">
        <v>45250000</v>
      </c>
      <c r="G216" s="63">
        <v>0</v>
      </c>
      <c r="H216" s="32">
        <v>70787000</v>
      </c>
      <c r="I216" s="32">
        <v>0</v>
      </c>
      <c r="J216" s="32">
        <v>0</v>
      </c>
      <c r="K216" s="32">
        <v>0</v>
      </c>
      <c r="L216" s="32">
        <v>0</v>
      </c>
      <c r="M216" s="63">
        <v>0</v>
      </c>
      <c r="N216" s="1"/>
    </row>
    <row r="217" spans="1:14" s="1" customFormat="1" collapsed="1" x14ac:dyDescent="0.45">
      <c r="A217" s="28" t="s">
        <v>101</v>
      </c>
      <c r="B217" s="43">
        <v>3969416906</v>
      </c>
      <c r="C217" s="69">
        <v>-2836938485</v>
      </c>
      <c r="D217" s="69">
        <v>4641818</v>
      </c>
      <c r="E217" s="61">
        <v>6801713573</v>
      </c>
      <c r="F217" s="60">
        <v>3589830728.7485757</v>
      </c>
      <c r="G217" s="60">
        <v>58082991.251424439</v>
      </c>
      <c r="H217" s="70">
        <v>2211109305</v>
      </c>
      <c r="I217" s="70">
        <v>19850122.399999999</v>
      </c>
      <c r="J217" s="70">
        <v>13007041.600000001</v>
      </c>
      <c r="K217" s="70">
        <v>51579569</v>
      </c>
      <c r="L217" s="70">
        <v>811450649</v>
      </c>
      <c r="M217" s="60">
        <v>46803166</v>
      </c>
    </row>
    <row r="218" spans="1:14" s="1" customFormat="1" ht="16" hidden="1" customHeight="1" outlineLevel="1" x14ac:dyDescent="0.45">
      <c r="A218" s="28" t="s">
        <v>166</v>
      </c>
      <c r="B218" s="43">
        <v>0</v>
      </c>
      <c r="C218" s="69">
        <v>-1382493300</v>
      </c>
      <c r="D218" s="69">
        <v>0</v>
      </c>
      <c r="E218" s="61">
        <v>1382493300</v>
      </c>
      <c r="F218" s="60">
        <v>1301838330</v>
      </c>
      <c r="G218" s="60">
        <v>0</v>
      </c>
      <c r="H218" s="70">
        <v>16058300</v>
      </c>
      <c r="I218" s="70">
        <v>353600</v>
      </c>
      <c r="J218" s="70">
        <v>9360</v>
      </c>
      <c r="K218" s="70">
        <v>49369450</v>
      </c>
      <c r="L218" s="70">
        <v>14864260</v>
      </c>
      <c r="M218" s="60">
        <v>0</v>
      </c>
    </row>
    <row r="219" spans="1:14" ht="16" hidden="1" customHeight="1" outlineLevel="1" x14ac:dyDescent="0.45">
      <c r="A219" s="29" t="s">
        <v>216</v>
      </c>
      <c r="B219" s="44">
        <v>0</v>
      </c>
      <c r="C219" s="71">
        <v>0</v>
      </c>
      <c r="D219" s="71">
        <v>0</v>
      </c>
      <c r="E219" s="64">
        <v>0</v>
      </c>
      <c r="F219" s="63">
        <v>0</v>
      </c>
      <c r="G219" s="63">
        <v>0</v>
      </c>
      <c r="H219" s="32">
        <v>0</v>
      </c>
      <c r="I219" s="32">
        <v>0</v>
      </c>
      <c r="J219" s="32">
        <v>0</v>
      </c>
      <c r="K219" s="32">
        <v>0</v>
      </c>
      <c r="L219" s="32">
        <v>0</v>
      </c>
      <c r="M219" s="63">
        <v>0</v>
      </c>
      <c r="N219" s="1"/>
    </row>
    <row r="220" spans="1:14" ht="16" hidden="1" customHeight="1" outlineLevel="1" x14ac:dyDescent="0.45">
      <c r="A220" s="29" t="s">
        <v>102</v>
      </c>
      <c r="B220" s="44">
        <v>3763381</v>
      </c>
      <c r="C220" s="71">
        <v>0</v>
      </c>
      <c r="D220" s="71">
        <v>0</v>
      </c>
      <c r="E220" s="64">
        <v>3763381</v>
      </c>
      <c r="F220" s="63">
        <v>0</v>
      </c>
      <c r="G220" s="63">
        <v>3763381</v>
      </c>
      <c r="H220" s="32">
        <v>0</v>
      </c>
      <c r="I220" s="32">
        <v>0</v>
      </c>
      <c r="J220" s="32">
        <v>0</v>
      </c>
      <c r="K220" s="32">
        <v>0</v>
      </c>
      <c r="L220" s="32">
        <v>0</v>
      </c>
      <c r="M220" s="63">
        <v>0</v>
      </c>
      <c r="N220" s="1"/>
    </row>
    <row r="221" spans="1:14" ht="16" hidden="1" customHeight="1" outlineLevel="1" x14ac:dyDescent="0.45">
      <c r="A221" s="29" t="s">
        <v>103</v>
      </c>
      <c r="B221" s="44">
        <v>39298989</v>
      </c>
      <c r="C221" s="71">
        <v>2349747</v>
      </c>
      <c r="D221" s="71">
        <v>0</v>
      </c>
      <c r="E221" s="64">
        <v>36949242</v>
      </c>
      <c r="F221" s="63">
        <v>34288475</v>
      </c>
      <c r="G221" s="63">
        <v>1996424</v>
      </c>
      <c r="H221" s="32">
        <v>582200</v>
      </c>
      <c r="I221" s="32">
        <v>0</v>
      </c>
      <c r="J221" s="32">
        <v>0</v>
      </c>
      <c r="K221" s="32">
        <v>0</v>
      </c>
      <c r="L221" s="32">
        <v>82143</v>
      </c>
      <c r="M221" s="63">
        <v>0</v>
      </c>
      <c r="N221" s="1"/>
    </row>
    <row r="222" spans="1:14" s="1" customFormat="1" ht="16" hidden="1" customHeight="1" outlineLevel="1" collapsed="1" x14ac:dyDescent="0.45">
      <c r="A222" s="28" t="s">
        <v>104</v>
      </c>
      <c r="B222" s="43">
        <v>0</v>
      </c>
      <c r="C222" s="69">
        <v>-1580982700</v>
      </c>
      <c r="D222" s="69">
        <v>0</v>
      </c>
      <c r="E222" s="61">
        <v>1580982700</v>
      </c>
      <c r="F222" s="60">
        <v>1114464000</v>
      </c>
      <c r="G222" s="60">
        <v>0</v>
      </c>
      <c r="H222" s="70">
        <v>0</v>
      </c>
      <c r="I222" s="70">
        <v>0</v>
      </c>
      <c r="J222" s="70">
        <v>0</v>
      </c>
      <c r="K222" s="70">
        <v>0</v>
      </c>
      <c r="L222" s="70">
        <v>466518700</v>
      </c>
      <c r="M222" s="60">
        <v>0</v>
      </c>
    </row>
    <row r="223" spans="1:14" ht="16" hidden="1" customHeight="1" outlineLevel="1" x14ac:dyDescent="0.45">
      <c r="A223" s="29" t="s">
        <v>116</v>
      </c>
      <c r="B223" s="44">
        <v>204687558</v>
      </c>
      <c r="C223" s="71">
        <v>101796000</v>
      </c>
      <c r="D223" s="71">
        <v>0</v>
      </c>
      <c r="E223" s="64">
        <v>102891558</v>
      </c>
      <c r="F223" s="63">
        <v>21127309</v>
      </c>
      <c r="G223" s="63">
        <v>51748983</v>
      </c>
      <c r="H223" s="32">
        <v>0</v>
      </c>
      <c r="I223" s="32">
        <v>0</v>
      </c>
      <c r="J223" s="32">
        <v>0</v>
      </c>
      <c r="K223" s="32">
        <v>0</v>
      </c>
      <c r="L223" s="32">
        <v>3400129</v>
      </c>
      <c r="M223" s="63">
        <v>26615137</v>
      </c>
      <c r="N223" s="1"/>
    </row>
    <row r="224" spans="1:14" ht="16" hidden="1" customHeight="1" outlineLevel="1" x14ac:dyDescent="0.45">
      <c r="A224" s="29" t="s">
        <v>105</v>
      </c>
      <c r="B224" s="44">
        <v>3717790328</v>
      </c>
      <c r="C224" s="71">
        <v>22391768</v>
      </c>
      <c r="D224" s="71">
        <v>4641818</v>
      </c>
      <c r="E224" s="64">
        <v>3690756742</v>
      </c>
      <c r="F224" s="63">
        <v>1118112614.7485757</v>
      </c>
      <c r="G224" s="63">
        <v>574203.25142443809</v>
      </c>
      <c r="H224" s="32">
        <v>2194468805</v>
      </c>
      <c r="I224" s="72">
        <v>19496522.399999999</v>
      </c>
      <c r="J224" s="72">
        <v>12997681.600000001</v>
      </c>
      <c r="K224" s="72">
        <v>2210119</v>
      </c>
      <c r="L224" s="72">
        <v>322708767</v>
      </c>
      <c r="M224" s="63">
        <v>20188029</v>
      </c>
      <c r="N224" s="1"/>
    </row>
    <row r="225" spans="1:14" ht="16" hidden="1" customHeight="1" outlineLevel="1" x14ac:dyDescent="0.45">
      <c r="A225" s="29" t="s">
        <v>217</v>
      </c>
      <c r="B225" s="44">
        <v>0</v>
      </c>
      <c r="C225" s="71">
        <v>0</v>
      </c>
      <c r="D225" s="71">
        <v>0</v>
      </c>
      <c r="E225" s="64">
        <v>0</v>
      </c>
      <c r="F225" s="63">
        <v>0</v>
      </c>
      <c r="G225" s="63">
        <v>0</v>
      </c>
      <c r="H225" s="32">
        <v>0</v>
      </c>
      <c r="I225" s="32">
        <v>0</v>
      </c>
      <c r="J225" s="32">
        <v>0</v>
      </c>
      <c r="K225" s="32">
        <v>0</v>
      </c>
      <c r="L225" s="32">
        <v>0</v>
      </c>
      <c r="M225" s="63">
        <v>0</v>
      </c>
      <c r="N225" s="1"/>
    </row>
    <row r="226" spans="1:14" ht="16" hidden="1" customHeight="1" outlineLevel="1" x14ac:dyDescent="0.45">
      <c r="A226" s="29" t="s">
        <v>106</v>
      </c>
      <c r="B226" s="44">
        <v>3876650</v>
      </c>
      <c r="C226" s="71">
        <v>0</v>
      </c>
      <c r="D226" s="71">
        <v>0</v>
      </c>
      <c r="E226" s="64">
        <v>3876650</v>
      </c>
      <c r="F226" s="63">
        <v>0</v>
      </c>
      <c r="G226" s="63">
        <v>0</v>
      </c>
      <c r="H226" s="32">
        <v>0</v>
      </c>
      <c r="I226" s="32">
        <v>0</v>
      </c>
      <c r="J226" s="32">
        <v>0</v>
      </c>
      <c r="K226" s="32">
        <v>0</v>
      </c>
      <c r="L226" s="32">
        <v>3876650</v>
      </c>
      <c r="M226" s="63">
        <v>0</v>
      </c>
      <c r="N226" s="1"/>
    </row>
    <row r="227" spans="1:14" s="1" customFormat="1" ht="16" hidden="1" customHeight="1" outlineLevel="1" collapsed="1" x14ac:dyDescent="0.45">
      <c r="A227" s="28" t="s">
        <v>260</v>
      </c>
      <c r="B227" s="43">
        <v>0</v>
      </c>
      <c r="C227" s="69">
        <v>0</v>
      </c>
      <c r="D227" s="69">
        <v>0</v>
      </c>
      <c r="E227" s="61">
        <v>0</v>
      </c>
      <c r="F227" s="60">
        <v>0</v>
      </c>
      <c r="G227" s="60">
        <v>0</v>
      </c>
      <c r="H227" s="70">
        <v>0</v>
      </c>
      <c r="I227" s="70">
        <v>0</v>
      </c>
      <c r="J227" s="70">
        <v>0</v>
      </c>
      <c r="K227" s="70">
        <v>0</v>
      </c>
      <c r="L227" s="70">
        <v>0</v>
      </c>
      <c r="M227" s="60">
        <v>0</v>
      </c>
    </row>
    <row r="228" spans="1:14" s="1" customFormat="1" collapsed="1" x14ac:dyDescent="0.45">
      <c r="A228" s="28" t="s">
        <v>218</v>
      </c>
      <c r="B228" s="43">
        <v>0</v>
      </c>
      <c r="C228" s="69">
        <v>0</v>
      </c>
      <c r="D228" s="69">
        <v>0</v>
      </c>
      <c r="E228" s="61">
        <v>0</v>
      </c>
      <c r="F228" s="60">
        <v>0</v>
      </c>
      <c r="G228" s="60">
        <v>0</v>
      </c>
      <c r="H228" s="70">
        <v>0</v>
      </c>
      <c r="I228" s="70">
        <v>0</v>
      </c>
      <c r="J228" s="70">
        <v>0</v>
      </c>
      <c r="K228" s="70">
        <v>0</v>
      </c>
      <c r="L228" s="70">
        <v>0</v>
      </c>
      <c r="M228" s="60">
        <v>0</v>
      </c>
    </row>
    <row r="229" spans="1:14" s="1" customFormat="1" x14ac:dyDescent="0.45">
      <c r="A229" s="28" t="s">
        <v>107</v>
      </c>
      <c r="B229" s="43">
        <v>746606561</v>
      </c>
      <c r="C229" s="69">
        <v>-106685879</v>
      </c>
      <c r="D229" s="69">
        <v>0</v>
      </c>
      <c r="E229" s="61">
        <v>853292440</v>
      </c>
      <c r="F229" s="60">
        <v>0</v>
      </c>
      <c r="G229" s="60">
        <v>-46026</v>
      </c>
      <c r="H229" s="70">
        <v>34953362</v>
      </c>
      <c r="I229" s="70">
        <v>-25193636</v>
      </c>
      <c r="J229" s="70">
        <v>672419828</v>
      </c>
      <c r="K229" s="70">
        <v>64427007</v>
      </c>
      <c r="L229" s="70">
        <v>106731905</v>
      </c>
      <c r="M229" s="60">
        <v>0</v>
      </c>
    </row>
    <row r="230" spans="1:14" ht="16" hidden="1" customHeight="1" outlineLevel="1" x14ac:dyDescent="0.45">
      <c r="A230" s="29" t="s">
        <v>158</v>
      </c>
      <c r="B230" s="44">
        <v>0</v>
      </c>
      <c r="C230" s="71">
        <v>0</v>
      </c>
      <c r="D230" s="71">
        <v>0</v>
      </c>
      <c r="E230" s="64">
        <v>0</v>
      </c>
      <c r="F230" s="63">
        <v>0</v>
      </c>
      <c r="G230" s="63">
        <v>0</v>
      </c>
      <c r="H230" s="32">
        <v>0</v>
      </c>
      <c r="I230" s="32">
        <v>0</v>
      </c>
      <c r="J230" s="32">
        <v>0</v>
      </c>
      <c r="K230" s="32">
        <v>0</v>
      </c>
      <c r="L230" s="32">
        <v>0</v>
      </c>
      <c r="M230" s="63">
        <v>0</v>
      </c>
      <c r="N230" s="1"/>
    </row>
    <row r="231" spans="1:14" ht="16" hidden="1" customHeight="1" outlineLevel="1" x14ac:dyDescent="0.45">
      <c r="A231" s="29" t="s">
        <v>219</v>
      </c>
      <c r="B231" s="44">
        <v>0</v>
      </c>
      <c r="C231" s="71">
        <v>0</v>
      </c>
      <c r="D231" s="71">
        <v>0</v>
      </c>
      <c r="E231" s="64">
        <v>0</v>
      </c>
      <c r="F231" s="63">
        <v>0</v>
      </c>
      <c r="G231" s="63">
        <v>0</v>
      </c>
      <c r="H231" s="32">
        <v>0</v>
      </c>
      <c r="I231" s="32">
        <v>0</v>
      </c>
      <c r="J231" s="32">
        <v>0</v>
      </c>
      <c r="K231" s="32">
        <v>0</v>
      </c>
      <c r="L231" s="32">
        <v>0</v>
      </c>
      <c r="M231" s="63">
        <v>0</v>
      </c>
      <c r="N231" s="1"/>
    </row>
    <row r="232" spans="1:14" ht="16" hidden="1" customHeight="1" outlineLevel="1" x14ac:dyDescent="0.45">
      <c r="A232" s="29" t="s">
        <v>230</v>
      </c>
      <c r="B232" s="44">
        <v>746606561</v>
      </c>
      <c r="C232" s="71">
        <v>0</v>
      </c>
      <c r="D232" s="71">
        <v>0</v>
      </c>
      <c r="E232" s="64">
        <v>746606561</v>
      </c>
      <c r="F232" s="63">
        <v>0</v>
      </c>
      <c r="G232" s="63">
        <v>0</v>
      </c>
      <c r="H232" s="32">
        <v>34953362</v>
      </c>
      <c r="I232" s="32">
        <v>-25193636</v>
      </c>
      <c r="J232" s="32">
        <v>672419828</v>
      </c>
      <c r="K232" s="32">
        <v>64427007</v>
      </c>
      <c r="L232" s="32">
        <v>0</v>
      </c>
      <c r="M232" s="63">
        <v>0</v>
      </c>
      <c r="N232" s="1"/>
    </row>
    <row r="233" spans="1:14" ht="16" hidden="1" customHeight="1" outlineLevel="1" x14ac:dyDescent="0.45">
      <c r="A233" s="29" t="s">
        <v>220</v>
      </c>
      <c r="B233" s="44">
        <v>0</v>
      </c>
      <c r="C233" s="71">
        <v>0</v>
      </c>
      <c r="D233" s="71">
        <v>0</v>
      </c>
      <c r="E233" s="64">
        <v>0</v>
      </c>
      <c r="F233" s="63">
        <v>0</v>
      </c>
      <c r="G233" s="63">
        <v>0</v>
      </c>
      <c r="H233" s="32">
        <v>0</v>
      </c>
      <c r="I233" s="32">
        <v>0</v>
      </c>
      <c r="J233" s="32">
        <v>0</v>
      </c>
      <c r="K233" s="32">
        <v>0</v>
      </c>
      <c r="L233" s="32">
        <v>0</v>
      </c>
      <c r="M233" s="63">
        <v>0</v>
      </c>
      <c r="N233" s="1"/>
    </row>
    <row r="234" spans="1:14" s="1" customFormat="1" ht="16" hidden="1" customHeight="1" outlineLevel="1" collapsed="1" x14ac:dyDescent="0.45">
      <c r="A234" s="28" t="s">
        <v>108</v>
      </c>
      <c r="B234" s="44">
        <v>0</v>
      </c>
      <c r="C234" s="69">
        <v>46026</v>
      </c>
      <c r="D234" s="69">
        <v>0</v>
      </c>
      <c r="E234" s="61">
        <v>-46026</v>
      </c>
      <c r="F234" s="60">
        <v>0</v>
      </c>
      <c r="G234" s="60">
        <v>-46026</v>
      </c>
      <c r="H234" s="70">
        <v>0</v>
      </c>
      <c r="I234" s="70">
        <v>0</v>
      </c>
      <c r="J234" s="70">
        <v>0</v>
      </c>
      <c r="K234" s="70">
        <v>0</v>
      </c>
      <c r="L234" s="70">
        <v>0</v>
      </c>
      <c r="M234" s="60">
        <v>0</v>
      </c>
    </row>
    <row r="235" spans="1:14" ht="16" hidden="1" customHeight="1" outlineLevel="1" x14ac:dyDescent="0.45">
      <c r="A235" s="29" t="s">
        <v>221</v>
      </c>
      <c r="B235" s="44">
        <v>0</v>
      </c>
      <c r="C235" s="71">
        <v>0</v>
      </c>
      <c r="D235" s="71">
        <v>0</v>
      </c>
      <c r="E235" s="64">
        <v>0</v>
      </c>
      <c r="F235" s="63">
        <v>0</v>
      </c>
      <c r="G235" s="63">
        <v>0</v>
      </c>
      <c r="H235" s="32">
        <v>0</v>
      </c>
      <c r="I235" s="32">
        <v>0</v>
      </c>
      <c r="J235" s="32">
        <v>0</v>
      </c>
      <c r="K235" s="32">
        <v>0</v>
      </c>
      <c r="L235" s="32">
        <v>0</v>
      </c>
      <c r="M235" s="63">
        <v>0</v>
      </c>
      <c r="N235" s="1"/>
    </row>
    <row r="236" spans="1:14" ht="16" hidden="1" customHeight="1" outlineLevel="1" x14ac:dyDescent="0.45">
      <c r="A236" s="29" t="s">
        <v>222</v>
      </c>
      <c r="B236" s="44">
        <v>0</v>
      </c>
      <c r="C236" s="71">
        <v>0</v>
      </c>
      <c r="D236" s="71">
        <v>0</v>
      </c>
      <c r="E236" s="64">
        <v>0</v>
      </c>
      <c r="F236" s="63">
        <v>0</v>
      </c>
      <c r="G236" s="63">
        <v>0</v>
      </c>
      <c r="H236" s="32">
        <v>0</v>
      </c>
      <c r="I236" s="32">
        <v>0</v>
      </c>
      <c r="J236" s="32">
        <v>0</v>
      </c>
      <c r="K236" s="32">
        <v>0</v>
      </c>
      <c r="L236" s="32">
        <v>0</v>
      </c>
      <c r="M236" s="63">
        <v>0</v>
      </c>
      <c r="N236" s="1"/>
    </row>
    <row r="237" spans="1:14" s="1" customFormat="1" ht="16" hidden="1" customHeight="1" outlineLevel="1" collapsed="1" x14ac:dyDescent="0.45">
      <c r="A237" s="28" t="s">
        <v>109</v>
      </c>
      <c r="B237" s="44">
        <v>0</v>
      </c>
      <c r="C237" s="69">
        <v>-106731905</v>
      </c>
      <c r="D237" s="69">
        <v>0</v>
      </c>
      <c r="E237" s="61">
        <v>106731905</v>
      </c>
      <c r="F237" s="60">
        <v>0</v>
      </c>
      <c r="G237" s="60">
        <v>0</v>
      </c>
      <c r="H237" s="70">
        <v>0</v>
      </c>
      <c r="I237" s="70">
        <v>0</v>
      </c>
      <c r="J237" s="70">
        <v>0</v>
      </c>
      <c r="K237" s="70">
        <v>0</v>
      </c>
      <c r="L237" s="70">
        <v>106731905</v>
      </c>
      <c r="M237" s="60">
        <v>0</v>
      </c>
    </row>
    <row r="238" spans="1:14" s="1" customFormat="1" ht="16" customHeight="1" collapsed="1" x14ac:dyDescent="0.45">
      <c r="A238" s="28" t="s">
        <v>110</v>
      </c>
      <c r="B238" s="44">
        <v>20810258</v>
      </c>
      <c r="C238" s="69">
        <v>18310258</v>
      </c>
      <c r="D238" s="69">
        <v>0</v>
      </c>
      <c r="E238" s="61">
        <v>2500000</v>
      </c>
      <c r="F238" s="60">
        <v>0</v>
      </c>
      <c r="G238" s="60">
        <v>0</v>
      </c>
      <c r="H238" s="70">
        <v>0</v>
      </c>
      <c r="I238" s="70">
        <v>0</v>
      </c>
      <c r="J238" s="70">
        <v>0</v>
      </c>
      <c r="K238" s="70">
        <v>0</v>
      </c>
      <c r="L238" s="70">
        <v>0</v>
      </c>
      <c r="M238" s="60">
        <v>2500000</v>
      </c>
    </row>
    <row r="239" spans="1:14" s="1" customFormat="1" collapsed="1" x14ac:dyDescent="0.45">
      <c r="A239" s="27" t="s">
        <v>231</v>
      </c>
      <c r="B239" s="42">
        <v>4143097301</v>
      </c>
      <c r="C239" s="73">
        <v>-1233063018</v>
      </c>
      <c r="D239" s="73">
        <v>-568555061</v>
      </c>
      <c r="E239" s="58">
        <v>5944715380</v>
      </c>
      <c r="F239" s="57">
        <v>3900208835.101891</v>
      </c>
      <c r="G239" s="57">
        <v>1046892561.6753194</v>
      </c>
      <c r="H239" s="57">
        <v>539902744.22278965</v>
      </c>
      <c r="I239" s="57">
        <v>63334248.81254375</v>
      </c>
      <c r="J239" s="57">
        <v>72827707.550900221</v>
      </c>
      <c r="K239" s="57">
        <v>59486264.706382751</v>
      </c>
      <c r="L239" s="57">
        <v>-122686982.06982684</v>
      </c>
      <c r="M239" s="57">
        <v>384750000</v>
      </c>
    </row>
    <row r="240" spans="1:14" s="1" customFormat="1" x14ac:dyDescent="0.45">
      <c r="A240" s="28" t="s">
        <v>268</v>
      </c>
      <c r="B240" s="43">
        <v>88348653</v>
      </c>
      <c r="C240" s="69">
        <v>85748653</v>
      </c>
      <c r="D240" s="69">
        <v>0</v>
      </c>
      <c r="E240" s="61">
        <v>2600000</v>
      </c>
      <c r="F240" s="60">
        <v>0</v>
      </c>
      <c r="G240" s="60">
        <v>2600000</v>
      </c>
      <c r="H240" s="70">
        <v>0</v>
      </c>
      <c r="I240" s="70">
        <v>0</v>
      </c>
      <c r="J240" s="70">
        <v>0</v>
      </c>
      <c r="K240" s="70">
        <v>0</v>
      </c>
      <c r="L240" s="70">
        <v>0</v>
      </c>
      <c r="M240" s="70">
        <v>0</v>
      </c>
    </row>
    <row r="241" spans="1:14" ht="16" hidden="1" customHeight="1" outlineLevel="1" x14ac:dyDescent="0.45">
      <c r="A241" s="29" t="s">
        <v>159</v>
      </c>
      <c r="B241" s="44">
        <v>85748649</v>
      </c>
      <c r="C241" s="71">
        <v>85748649</v>
      </c>
      <c r="D241" s="71">
        <v>0</v>
      </c>
      <c r="E241" s="64">
        <v>0</v>
      </c>
      <c r="F241" s="63">
        <v>0</v>
      </c>
      <c r="G241" s="63">
        <v>0</v>
      </c>
      <c r="H241" s="32">
        <v>0</v>
      </c>
      <c r="I241" s="32">
        <v>0</v>
      </c>
      <c r="J241" s="32">
        <v>0</v>
      </c>
      <c r="K241" s="32">
        <v>0</v>
      </c>
      <c r="L241" s="32">
        <v>0</v>
      </c>
      <c r="M241" s="32">
        <v>0</v>
      </c>
      <c r="N241" s="1"/>
    </row>
    <row r="242" spans="1:14" ht="16" hidden="1" customHeight="1" outlineLevel="1" x14ac:dyDescent="0.45">
      <c r="A242" s="29" t="s">
        <v>160</v>
      </c>
      <c r="B242" s="44">
        <v>0</v>
      </c>
      <c r="C242" s="71">
        <v>0</v>
      </c>
      <c r="D242" s="71">
        <v>0</v>
      </c>
      <c r="E242" s="64">
        <v>0</v>
      </c>
      <c r="F242" s="63">
        <v>0</v>
      </c>
      <c r="G242" s="63">
        <v>0</v>
      </c>
      <c r="H242" s="32">
        <v>0</v>
      </c>
      <c r="I242" s="32">
        <v>0</v>
      </c>
      <c r="J242" s="32">
        <v>0</v>
      </c>
      <c r="K242" s="32">
        <v>0</v>
      </c>
      <c r="L242" s="32">
        <v>0</v>
      </c>
      <c r="M242" s="32">
        <v>0</v>
      </c>
      <c r="N242" s="1"/>
    </row>
    <row r="243" spans="1:14" ht="16" hidden="1" customHeight="1" outlineLevel="1" x14ac:dyDescent="0.45">
      <c r="A243" s="29" t="s">
        <v>258</v>
      </c>
      <c r="B243" s="44">
        <v>0</v>
      </c>
      <c r="C243" s="71">
        <v>0</v>
      </c>
      <c r="D243" s="71">
        <v>0</v>
      </c>
      <c r="E243" s="64">
        <v>0</v>
      </c>
      <c r="F243" s="63">
        <v>0</v>
      </c>
      <c r="G243" s="63">
        <v>0</v>
      </c>
      <c r="H243" s="32">
        <v>0</v>
      </c>
      <c r="I243" s="32">
        <v>0</v>
      </c>
      <c r="J243" s="32">
        <v>0</v>
      </c>
      <c r="K243" s="32">
        <v>0</v>
      </c>
      <c r="L243" s="32">
        <v>0</v>
      </c>
      <c r="M243" s="32">
        <v>0</v>
      </c>
      <c r="N243" s="1"/>
    </row>
    <row r="244" spans="1:14" ht="16" hidden="1" customHeight="1" outlineLevel="1" x14ac:dyDescent="0.45">
      <c r="A244" s="29" t="s">
        <v>223</v>
      </c>
      <c r="B244" s="44">
        <v>0</v>
      </c>
      <c r="C244" s="71">
        <v>0</v>
      </c>
      <c r="D244" s="71">
        <v>0</v>
      </c>
      <c r="E244" s="64">
        <v>0</v>
      </c>
      <c r="F244" s="63">
        <v>0</v>
      </c>
      <c r="G244" s="63">
        <v>0</v>
      </c>
      <c r="H244" s="32">
        <v>0</v>
      </c>
      <c r="I244" s="32">
        <v>0</v>
      </c>
      <c r="J244" s="32">
        <v>0</v>
      </c>
      <c r="K244" s="32">
        <v>0</v>
      </c>
      <c r="L244" s="32">
        <v>0</v>
      </c>
      <c r="M244" s="32">
        <v>0</v>
      </c>
      <c r="N244" s="1"/>
    </row>
    <row r="245" spans="1:14" s="3" customFormat="1" ht="16" hidden="1" customHeight="1" outlineLevel="1" x14ac:dyDescent="0.45">
      <c r="A245" s="33" t="s">
        <v>243</v>
      </c>
      <c r="B245" s="33">
        <v>0</v>
      </c>
      <c r="C245" s="71">
        <v>0</v>
      </c>
      <c r="D245" s="71">
        <v>0</v>
      </c>
      <c r="E245" s="64">
        <v>0</v>
      </c>
      <c r="F245" s="63">
        <v>0</v>
      </c>
      <c r="G245" s="63">
        <v>0</v>
      </c>
      <c r="H245" s="32">
        <v>0</v>
      </c>
      <c r="I245" s="32">
        <v>0</v>
      </c>
      <c r="J245" s="32">
        <v>0</v>
      </c>
      <c r="K245" s="32">
        <v>0</v>
      </c>
      <c r="L245" s="32">
        <v>0</v>
      </c>
      <c r="M245" s="32">
        <v>0</v>
      </c>
      <c r="N245" s="1"/>
    </row>
    <row r="246" spans="1:14" s="3" customFormat="1" ht="16" hidden="1" customHeight="1" outlineLevel="1" x14ac:dyDescent="0.45">
      <c r="A246" s="34" t="s">
        <v>264</v>
      </c>
      <c r="B246" s="33">
        <v>0</v>
      </c>
      <c r="C246" s="71">
        <v>0</v>
      </c>
      <c r="D246" s="71">
        <v>0</v>
      </c>
      <c r="E246" s="64">
        <v>0</v>
      </c>
      <c r="F246" s="63">
        <v>0</v>
      </c>
      <c r="G246" s="63">
        <v>0</v>
      </c>
      <c r="H246" s="32">
        <v>0</v>
      </c>
      <c r="I246" s="32">
        <v>0</v>
      </c>
      <c r="J246" s="32">
        <v>0</v>
      </c>
      <c r="K246" s="32">
        <v>0</v>
      </c>
      <c r="L246" s="32">
        <v>0</v>
      </c>
      <c r="M246" s="32">
        <v>0</v>
      </c>
      <c r="N246" s="1"/>
    </row>
    <row r="247" spans="1:14" s="3" customFormat="1" ht="16" hidden="1" customHeight="1" outlineLevel="1" x14ac:dyDescent="0.45">
      <c r="A247" s="34" t="s">
        <v>247</v>
      </c>
      <c r="B247" s="33">
        <v>0</v>
      </c>
      <c r="C247" s="71">
        <v>0</v>
      </c>
      <c r="D247" s="71">
        <v>0</v>
      </c>
      <c r="E247" s="64">
        <v>0</v>
      </c>
      <c r="F247" s="63">
        <v>0</v>
      </c>
      <c r="G247" s="63">
        <v>0</v>
      </c>
      <c r="H247" s="32">
        <v>0</v>
      </c>
      <c r="I247" s="32">
        <v>0</v>
      </c>
      <c r="J247" s="32">
        <v>0</v>
      </c>
      <c r="K247" s="32">
        <v>0</v>
      </c>
      <c r="L247" s="32">
        <v>0</v>
      </c>
      <c r="M247" s="32">
        <v>0</v>
      </c>
      <c r="N247" s="1"/>
    </row>
    <row r="248" spans="1:14" ht="16" hidden="1" customHeight="1" outlineLevel="1" collapsed="1" x14ac:dyDescent="0.45">
      <c r="A248" s="29" t="s">
        <v>161</v>
      </c>
      <c r="B248" s="44">
        <v>2600004</v>
      </c>
      <c r="C248" s="71">
        <v>4</v>
      </c>
      <c r="D248" s="71">
        <v>0</v>
      </c>
      <c r="E248" s="64">
        <v>2600000</v>
      </c>
      <c r="F248" s="63">
        <v>0</v>
      </c>
      <c r="G248" s="63">
        <v>2600000</v>
      </c>
      <c r="H248" s="32">
        <v>0</v>
      </c>
      <c r="I248" s="32">
        <v>0</v>
      </c>
      <c r="J248" s="32">
        <v>0</v>
      </c>
      <c r="K248" s="32">
        <v>0</v>
      </c>
      <c r="L248" s="32">
        <v>0</v>
      </c>
      <c r="M248" s="32">
        <v>0</v>
      </c>
      <c r="N248" s="1"/>
    </row>
    <row r="249" spans="1:14" ht="16" hidden="1" customHeight="1" outlineLevel="1" x14ac:dyDescent="0.45">
      <c r="A249" s="29" t="s">
        <v>224</v>
      </c>
      <c r="B249" s="44">
        <v>0</v>
      </c>
      <c r="C249" s="71">
        <v>0</v>
      </c>
      <c r="D249" s="71">
        <v>0</v>
      </c>
      <c r="E249" s="64">
        <v>0</v>
      </c>
      <c r="F249" s="63">
        <v>0</v>
      </c>
      <c r="G249" s="63">
        <v>0</v>
      </c>
      <c r="H249" s="32">
        <v>0</v>
      </c>
      <c r="I249" s="32">
        <v>0</v>
      </c>
      <c r="J249" s="32">
        <v>0</v>
      </c>
      <c r="K249" s="32">
        <v>0</v>
      </c>
      <c r="L249" s="32">
        <v>0</v>
      </c>
      <c r="M249" s="32">
        <v>0</v>
      </c>
      <c r="N249" s="1"/>
    </row>
    <row r="250" spans="1:14" s="1" customFormat="1" collapsed="1" x14ac:dyDescent="0.45">
      <c r="A250" s="28" t="s">
        <v>111</v>
      </c>
      <c r="B250" s="43">
        <v>236126560</v>
      </c>
      <c r="C250" s="69">
        <v>236126560</v>
      </c>
      <c r="D250" s="69">
        <v>0</v>
      </c>
      <c r="E250" s="61">
        <v>0</v>
      </c>
      <c r="F250" s="60">
        <v>0</v>
      </c>
      <c r="G250" s="60">
        <v>0</v>
      </c>
      <c r="H250" s="70">
        <v>0</v>
      </c>
      <c r="I250" s="70">
        <v>0</v>
      </c>
      <c r="J250" s="70">
        <v>0</v>
      </c>
      <c r="K250" s="70">
        <v>0</v>
      </c>
      <c r="L250" s="70">
        <v>0</v>
      </c>
      <c r="M250" s="70">
        <v>0</v>
      </c>
    </row>
    <row r="251" spans="1:14" ht="16" hidden="1" customHeight="1" outlineLevel="1" x14ac:dyDescent="0.45">
      <c r="A251" s="29" t="s">
        <v>162</v>
      </c>
      <c r="B251" s="44">
        <v>185452510</v>
      </c>
      <c r="C251" s="71">
        <v>185452510</v>
      </c>
      <c r="D251" s="71">
        <v>0</v>
      </c>
      <c r="E251" s="64">
        <v>0</v>
      </c>
      <c r="F251" s="63">
        <v>0</v>
      </c>
      <c r="G251" s="63">
        <v>0</v>
      </c>
      <c r="H251" s="32">
        <v>0</v>
      </c>
      <c r="I251" s="32">
        <v>0</v>
      </c>
      <c r="J251" s="32">
        <v>0</v>
      </c>
      <c r="K251" s="32">
        <v>0</v>
      </c>
      <c r="L251" s="32">
        <v>0</v>
      </c>
      <c r="M251" s="32">
        <v>0</v>
      </c>
      <c r="N251" s="1"/>
    </row>
    <row r="252" spans="1:14" ht="16" hidden="1" customHeight="1" outlineLevel="1" x14ac:dyDescent="0.45">
      <c r="A252" s="29" t="s">
        <v>251</v>
      </c>
      <c r="B252" s="44">
        <v>0</v>
      </c>
      <c r="C252" s="71">
        <v>0</v>
      </c>
      <c r="D252" s="71">
        <v>0</v>
      </c>
      <c r="E252" s="64">
        <v>0</v>
      </c>
      <c r="F252" s="63">
        <v>0</v>
      </c>
      <c r="G252" s="63">
        <v>0</v>
      </c>
      <c r="H252" s="32">
        <v>0</v>
      </c>
      <c r="I252" s="32">
        <v>0</v>
      </c>
      <c r="J252" s="32">
        <v>0</v>
      </c>
      <c r="K252" s="32">
        <v>0</v>
      </c>
      <c r="L252" s="32">
        <v>0</v>
      </c>
      <c r="M252" s="32">
        <v>0</v>
      </c>
      <c r="N252" s="1"/>
    </row>
    <row r="253" spans="1:14" ht="16" hidden="1" customHeight="1" outlineLevel="1" x14ac:dyDescent="0.45">
      <c r="A253" s="29" t="s">
        <v>314</v>
      </c>
      <c r="B253" s="44">
        <v>0</v>
      </c>
      <c r="C253" s="71">
        <v>0</v>
      </c>
      <c r="D253" s="71">
        <v>0</v>
      </c>
      <c r="E253" s="64">
        <v>0</v>
      </c>
      <c r="F253" s="63">
        <v>0</v>
      </c>
      <c r="G253" s="63">
        <v>0</v>
      </c>
      <c r="H253" s="32">
        <v>0</v>
      </c>
      <c r="I253" s="32">
        <v>0</v>
      </c>
      <c r="J253" s="32">
        <v>0</v>
      </c>
      <c r="K253" s="32">
        <v>0</v>
      </c>
      <c r="L253" s="32">
        <v>0</v>
      </c>
      <c r="M253" s="32">
        <v>0</v>
      </c>
      <c r="N253" s="1"/>
    </row>
    <row r="254" spans="1:14" ht="16" hidden="1" customHeight="1" outlineLevel="1" x14ac:dyDescent="0.45">
      <c r="A254" s="29" t="s">
        <v>225</v>
      </c>
      <c r="B254" s="44">
        <v>0</v>
      </c>
      <c r="C254" s="71">
        <v>0</v>
      </c>
      <c r="D254" s="71">
        <v>0</v>
      </c>
      <c r="E254" s="64">
        <v>0</v>
      </c>
      <c r="F254" s="63">
        <v>0</v>
      </c>
      <c r="G254" s="63">
        <v>0</v>
      </c>
      <c r="H254" s="32">
        <v>0</v>
      </c>
      <c r="I254" s="32">
        <v>0</v>
      </c>
      <c r="J254" s="32">
        <v>0</v>
      </c>
      <c r="K254" s="32">
        <v>0</v>
      </c>
      <c r="L254" s="32">
        <v>0</v>
      </c>
      <c r="M254" s="32">
        <v>0</v>
      </c>
      <c r="N254" s="1"/>
    </row>
    <row r="255" spans="1:14" ht="16" hidden="1" customHeight="1" outlineLevel="1" x14ac:dyDescent="0.45">
      <c r="A255" s="29" t="s">
        <v>226</v>
      </c>
      <c r="B255" s="44">
        <v>50674050</v>
      </c>
      <c r="C255" s="71">
        <v>50674050</v>
      </c>
      <c r="D255" s="71">
        <v>0</v>
      </c>
      <c r="E255" s="64">
        <v>0</v>
      </c>
      <c r="F255" s="63">
        <v>0</v>
      </c>
      <c r="G255" s="63">
        <v>0</v>
      </c>
      <c r="H255" s="32">
        <v>0</v>
      </c>
      <c r="I255" s="32">
        <v>0</v>
      </c>
      <c r="J255" s="32">
        <v>0</v>
      </c>
      <c r="K255" s="32">
        <v>0</v>
      </c>
      <c r="L255" s="32">
        <v>0</v>
      </c>
      <c r="M255" s="32">
        <v>0</v>
      </c>
      <c r="N255" s="1"/>
    </row>
    <row r="256" spans="1:14" ht="16" hidden="1" customHeight="1" outlineLevel="1" x14ac:dyDescent="0.45">
      <c r="A256" s="29" t="s">
        <v>163</v>
      </c>
      <c r="B256" s="44">
        <v>0</v>
      </c>
      <c r="C256" s="71">
        <v>0</v>
      </c>
      <c r="D256" s="71">
        <v>0</v>
      </c>
      <c r="E256" s="64">
        <v>0</v>
      </c>
      <c r="F256" s="63">
        <v>0</v>
      </c>
      <c r="G256" s="63">
        <v>0</v>
      </c>
      <c r="H256" s="32">
        <v>0</v>
      </c>
      <c r="I256" s="32">
        <v>0</v>
      </c>
      <c r="J256" s="32">
        <v>0</v>
      </c>
      <c r="K256" s="32">
        <v>0</v>
      </c>
      <c r="L256" s="32">
        <v>0</v>
      </c>
      <c r="M256" s="32">
        <v>0</v>
      </c>
      <c r="N256" s="1"/>
    </row>
    <row r="257" spans="1:14" ht="16" hidden="1" customHeight="1" outlineLevel="1" x14ac:dyDescent="0.45">
      <c r="A257" s="29" t="s">
        <v>164</v>
      </c>
      <c r="B257" s="44">
        <v>0</v>
      </c>
      <c r="C257" s="71">
        <v>0</v>
      </c>
      <c r="D257" s="71">
        <v>0</v>
      </c>
      <c r="E257" s="64">
        <v>0</v>
      </c>
      <c r="F257" s="63">
        <v>0</v>
      </c>
      <c r="G257" s="63">
        <v>0</v>
      </c>
      <c r="H257" s="32">
        <v>0</v>
      </c>
      <c r="I257" s="32">
        <v>0</v>
      </c>
      <c r="J257" s="32">
        <v>0</v>
      </c>
      <c r="K257" s="32">
        <v>0</v>
      </c>
      <c r="L257" s="32">
        <v>0</v>
      </c>
      <c r="M257" s="32">
        <v>0</v>
      </c>
      <c r="N257" s="1"/>
    </row>
    <row r="258" spans="1:14" ht="16" hidden="1" customHeight="1" outlineLevel="1" x14ac:dyDescent="0.45">
      <c r="A258" s="29" t="s">
        <v>265</v>
      </c>
      <c r="B258" s="44">
        <v>0</v>
      </c>
      <c r="C258" s="71">
        <v>0</v>
      </c>
      <c r="D258" s="71">
        <v>0</v>
      </c>
      <c r="E258" s="64">
        <v>0</v>
      </c>
      <c r="F258" s="63">
        <v>0</v>
      </c>
      <c r="G258" s="63">
        <v>0</v>
      </c>
      <c r="H258" s="32">
        <v>0</v>
      </c>
      <c r="I258" s="32">
        <v>0</v>
      </c>
      <c r="J258" s="32">
        <v>0</v>
      </c>
      <c r="K258" s="32">
        <v>0</v>
      </c>
      <c r="L258" s="32">
        <v>0</v>
      </c>
      <c r="M258" s="32">
        <v>0</v>
      </c>
      <c r="N258" s="1"/>
    </row>
    <row r="259" spans="1:14" ht="16" hidden="1" customHeight="1" outlineLevel="1" x14ac:dyDescent="0.45">
      <c r="A259" s="29" t="s">
        <v>165</v>
      </c>
      <c r="B259" s="44">
        <v>0</v>
      </c>
      <c r="C259" s="71">
        <v>0</v>
      </c>
      <c r="D259" s="71">
        <v>0</v>
      </c>
      <c r="E259" s="64">
        <v>0</v>
      </c>
      <c r="F259" s="63">
        <v>0</v>
      </c>
      <c r="G259" s="63">
        <v>0</v>
      </c>
      <c r="H259" s="32">
        <v>0</v>
      </c>
      <c r="I259" s="32">
        <v>0</v>
      </c>
      <c r="J259" s="32">
        <v>0</v>
      </c>
      <c r="K259" s="32">
        <v>0</v>
      </c>
      <c r="L259" s="32">
        <v>0</v>
      </c>
      <c r="M259" s="32">
        <v>0</v>
      </c>
      <c r="N259" s="1"/>
    </row>
    <row r="260" spans="1:14" s="1" customFormat="1" collapsed="1" x14ac:dyDescent="0.45">
      <c r="A260" s="74" t="s">
        <v>112</v>
      </c>
      <c r="B260" s="76">
        <v>0</v>
      </c>
      <c r="C260" s="76">
        <v>0</v>
      </c>
      <c r="D260" s="76">
        <v>0</v>
      </c>
      <c r="E260" s="77">
        <v>0</v>
      </c>
      <c r="F260" s="78">
        <v>0</v>
      </c>
      <c r="G260" s="78">
        <v>0</v>
      </c>
      <c r="H260" s="79">
        <v>0</v>
      </c>
      <c r="I260" s="79">
        <v>0</v>
      </c>
      <c r="J260" s="79">
        <v>0</v>
      </c>
      <c r="K260" s="79">
        <v>0</v>
      </c>
      <c r="L260" s="79">
        <v>0</v>
      </c>
      <c r="M260" s="79">
        <v>0</v>
      </c>
    </row>
    <row r="261" spans="1:14" s="1" customFormat="1" x14ac:dyDescent="0.45">
      <c r="A261" s="27" t="s">
        <v>232</v>
      </c>
      <c r="B261" s="42">
        <v>3995319394</v>
      </c>
      <c r="C261" s="73">
        <v>-1383440925</v>
      </c>
      <c r="D261" s="73">
        <v>-568555061</v>
      </c>
      <c r="E261" s="58">
        <v>5947315380</v>
      </c>
      <c r="F261" s="57">
        <v>3900208835.101891</v>
      </c>
      <c r="G261" s="57">
        <v>1049492561.6753194</v>
      </c>
      <c r="H261" s="80">
        <v>539902744.22278965</v>
      </c>
      <c r="I261" s="80">
        <v>63334248.81254375</v>
      </c>
      <c r="J261" s="80">
        <v>72827707.550900221</v>
      </c>
      <c r="K261" s="80">
        <v>59486264.706382751</v>
      </c>
      <c r="L261" s="80">
        <v>-122686982.06982684</v>
      </c>
      <c r="M261" s="57">
        <v>384750000</v>
      </c>
    </row>
    <row r="262" spans="1:14" ht="16" hidden="1" customHeight="1" x14ac:dyDescent="0.45">
      <c r="A262" s="83"/>
      <c r="B262" s="35"/>
      <c r="C262" s="84"/>
      <c r="D262" s="36"/>
      <c r="E262" s="36"/>
      <c r="F262" s="85"/>
      <c r="G262" s="36"/>
      <c r="H262" s="36"/>
      <c r="I262" s="36"/>
      <c r="J262" s="36"/>
      <c r="K262" s="36"/>
      <c r="L262" s="85"/>
      <c r="M262" s="36"/>
    </row>
    <row r="263" spans="1:14" s="4" customFormat="1" ht="15" hidden="1" customHeight="1" x14ac:dyDescent="0.45">
      <c r="A263" s="86" t="s">
        <v>298</v>
      </c>
      <c r="B263" s="87"/>
      <c r="C263" s="87"/>
      <c r="D263" s="87"/>
      <c r="E263" s="88">
        <f>SUM(F263:M263)</f>
        <v>1</v>
      </c>
      <c r="F263" s="89">
        <v>0.47</v>
      </c>
      <c r="G263" s="89">
        <v>0.4</v>
      </c>
      <c r="H263" s="89">
        <v>0.05</v>
      </c>
      <c r="I263" s="89">
        <v>1.06E-2</v>
      </c>
      <c r="J263" s="89">
        <v>8.9999999999999993E-3</v>
      </c>
      <c r="K263" s="90">
        <v>2.0400000000000001E-2</v>
      </c>
      <c r="L263" s="90">
        <v>0.02</v>
      </c>
      <c r="M263" s="90">
        <v>0.02</v>
      </c>
    </row>
    <row r="264" spans="1:14" s="4" customFormat="1" ht="15" customHeight="1" x14ac:dyDescent="0.45">
      <c r="A264" s="91"/>
      <c r="B264" s="5"/>
      <c r="C264" s="5"/>
      <c r="D264" s="5"/>
      <c r="E264" s="92"/>
      <c r="F264" s="93"/>
      <c r="G264" s="92"/>
      <c r="H264" s="92"/>
      <c r="I264" s="92"/>
      <c r="J264" s="92"/>
      <c r="K264" s="94"/>
      <c r="L264" s="94"/>
      <c r="M264" s="92"/>
    </row>
    <row r="265" spans="1:14" s="4" customFormat="1" ht="15" customHeight="1" x14ac:dyDescent="0.45">
      <c r="A265" s="95" t="s">
        <v>315</v>
      </c>
      <c r="B265" s="96">
        <v>-568555061</v>
      </c>
      <c r="C265" s="96"/>
      <c r="D265" s="117"/>
      <c r="E265" s="96">
        <v>-568555061.00000012</v>
      </c>
      <c r="F265" s="96">
        <v>-267220878.66999999</v>
      </c>
      <c r="G265" s="96">
        <v>-227422024.40000001</v>
      </c>
      <c r="H265" s="96">
        <v>-28427753.050000001</v>
      </c>
      <c r="I265" s="96">
        <v>-6026683.6465999996</v>
      </c>
      <c r="J265" s="96">
        <v>-5116995.5489999996</v>
      </c>
      <c r="K265" s="96">
        <v>-11598523.2444</v>
      </c>
      <c r="L265" s="96">
        <v>-11371101.220000001</v>
      </c>
      <c r="M265" s="96">
        <v>-11371101.220000001</v>
      </c>
    </row>
    <row r="266" spans="1:14" s="4" customFormat="1" ht="15" customHeight="1" x14ac:dyDescent="0.45">
      <c r="A266" s="97" t="s">
        <v>316</v>
      </c>
      <c r="B266" s="98">
        <v>5376160319</v>
      </c>
      <c r="C266" s="98"/>
      <c r="D266" s="118"/>
      <c r="E266" s="98">
        <v>5376160319.000001</v>
      </c>
      <c r="F266" s="98">
        <v>3632987956.431891</v>
      </c>
      <c r="G266" s="98">
        <v>819470537.27531946</v>
      </c>
      <c r="H266" s="98">
        <v>511474991.17278963</v>
      </c>
      <c r="I266" s="98">
        <v>57307565.165943749</v>
      </c>
      <c r="J266" s="98">
        <v>67710712.001900226</v>
      </c>
      <c r="K266" s="98">
        <v>47887741.461982749</v>
      </c>
      <c r="L266" s="98">
        <v>-134058083.28982684</v>
      </c>
      <c r="M266" s="98">
        <v>373378898.77999997</v>
      </c>
    </row>
    <row r="267" spans="1:14" s="14" customFormat="1" ht="15" customHeight="1" x14ac:dyDescent="0.45">
      <c r="A267" s="35"/>
      <c r="B267" s="35"/>
      <c r="C267" s="36"/>
      <c r="D267" s="36"/>
      <c r="E267" s="36"/>
      <c r="F267" s="36"/>
      <c r="G267" s="36"/>
      <c r="H267" s="35"/>
      <c r="I267" s="35"/>
      <c r="J267" s="35"/>
      <c r="K267" s="35"/>
      <c r="L267" s="35"/>
      <c r="M267" s="36"/>
    </row>
    <row r="268" spans="1:14" ht="14" customHeight="1" x14ac:dyDescent="0.45">
      <c r="A268" s="95" t="s">
        <v>317</v>
      </c>
      <c r="B268" s="96">
        <v>-1233027018</v>
      </c>
      <c r="C268" s="96"/>
      <c r="D268" s="117"/>
      <c r="E268" s="96">
        <v>-1233027017.9999998</v>
      </c>
      <c r="F268" s="96">
        <v>-579522698.45999992</v>
      </c>
      <c r="G268" s="96">
        <v>-493210807.20000005</v>
      </c>
      <c r="H268" s="96">
        <v>-61651350.900000006</v>
      </c>
      <c r="I268" s="96">
        <v>-13070086.390799999</v>
      </c>
      <c r="J268" s="96">
        <v>-11097243.161999999</v>
      </c>
      <c r="K268" s="96">
        <v>-25153751.167200003</v>
      </c>
      <c r="L268" s="96">
        <v>-24660540.359999999</v>
      </c>
      <c r="M268" s="96">
        <v>-24660540.359999999</v>
      </c>
    </row>
    <row r="269" spans="1:14" s="4" customFormat="1" ht="15" customHeight="1" x14ac:dyDescent="0.45">
      <c r="A269" s="99" t="s">
        <v>318</v>
      </c>
      <c r="B269" s="100">
        <v>4143133301</v>
      </c>
      <c r="C269" s="100"/>
      <c r="D269" s="119"/>
      <c r="E269" s="100">
        <v>4143133300.999999</v>
      </c>
      <c r="F269" s="100">
        <v>3053465257.9718909</v>
      </c>
      <c r="G269" s="100">
        <v>326259730.07531941</v>
      </c>
      <c r="H269" s="100">
        <v>449823640.2727896</v>
      </c>
      <c r="I269" s="100">
        <v>44237478.77514375</v>
      </c>
      <c r="J269" s="100">
        <v>56613468.839900225</v>
      </c>
      <c r="K269" s="100">
        <v>22733990.294782747</v>
      </c>
      <c r="L269" s="100">
        <v>-158718623.64982682</v>
      </c>
      <c r="M269" s="100">
        <v>348718358.41999996</v>
      </c>
    </row>
    <row r="270" spans="1:14" s="14" customFormat="1" ht="15" customHeight="1" x14ac:dyDescent="0.45">
      <c r="A270" s="35"/>
      <c r="B270" s="35"/>
      <c r="C270" s="36"/>
      <c r="D270" s="36"/>
      <c r="E270" s="101"/>
      <c r="F270" s="101"/>
      <c r="G270" s="101"/>
      <c r="H270" s="101"/>
      <c r="I270" s="101"/>
      <c r="J270" s="101"/>
      <c r="K270" s="101"/>
      <c r="L270" s="101"/>
      <c r="M270" s="101"/>
    </row>
    <row r="271" spans="1:14" x14ac:dyDescent="0.45">
      <c r="A271" s="102" t="s">
        <v>319</v>
      </c>
      <c r="B271" s="103">
        <v>4143133300.999999</v>
      </c>
      <c r="C271" s="103"/>
      <c r="D271" s="120"/>
      <c r="E271" s="103">
        <v>4143133300.999999</v>
      </c>
      <c r="F271" s="103">
        <v>2986922699.9718909</v>
      </c>
      <c r="G271" s="103">
        <v>392802288.07531941</v>
      </c>
      <c r="H271" s="103">
        <v>449823640.2727896</v>
      </c>
      <c r="I271" s="103">
        <v>44237478.77514375</v>
      </c>
      <c r="J271" s="103">
        <v>56613468.839900225</v>
      </c>
      <c r="K271" s="103">
        <v>22733990.294782747</v>
      </c>
      <c r="L271" s="103">
        <v>-158718623.64982682</v>
      </c>
      <c r="M271" s="103">
        <v>348718358.41999996</v>
      </c>
    </row>
    <row r="272" spans="1:14" s="1" customFormat="1" x14ac:dyDescent="0.45">
      <c r="A272" s="104" t="s">
        <v>320</v>
      </c>
      <c r="B272" s="104">
        <v>66542558</v>
      </c>
      <c r="C272" s="36"/>
      <c r="D272" s="36"/>
      <c r="E272" s="101"/>
      <c r="F272" s="101"/>
      <c r="G272" s="101"/>
      <c r="H272" s="101"/>
      <c r="I272" s="101"/>
      <c r="J272" s="101"/>
      <c r="K272" s="101"/>
      <c r="L272" s="101"/>
      <c r="M272" s="101"/>
    </row>
    <row r="273" spans="1:13" ht="15.65" customHeight="1" x14ac:dyDescent="0.45">
      <c r="A273" s="105" t="s">
        <v>321</v>
      </c>
      <c r="B273" s="106">
        <v>249869980</v>
      </c>
      <c r="C273" s="36"/>
      <c r="D273" s="36"/>
      <c r="E273" s="36"/>
      <c r="F273" s="36"/>
      <c r="G273" s="36"/>
      <c r="H273" s="35"/>
      <c r="I273" s="35"/>
      <c r="J273" s="35"/>
      <c r="K273" s="35"/>
      <c r="L273" s="35"/>
      <c r="M273" s="35"/>
    </row>
    <row r="274" spans="1:13" ht="15.65" hidden="1" customHeight="1" x14ac:dyDescent="0.45">
      <c r="A274" s="37" t="s">
        <v>235</v>
      </c>
      <c r="B274" s="38">
        <f t="shared" ref="B274:M274" si="0">B28-B29-B30-B63-B70-B71-B73-B74-B115-B122-B126-B133-B136-B141-B142-B151-B156-B164-B171-B178-B181-B193-B199-B215-B217-B228-B229-B238</f>
        <v>0</v>
      </c>
      <c r="C274" s="38">
        <f t="shared" si="0"/>
        <v>-2.384185791015625E-6</v>
      </c>
      <c r="D274" s="38">
        <f t="shared" si="0"/>
        <v>0</v>
      </c>
      <c r="E274" s="38">
        <f t="shared" si="0"/>
        <v>3.814697265625E-6</v>
      </c>
      <c r="F274" s="38">
        <f t="shared" si="0"/>
        <v>-9.5367431640625E-7</v>
      </c>
      <c r="G274" s="38">
        <f t="shared" si="0"/>
        <v>3.7997961044311523E-7</v>
      </c>
      <c r="H274" s="38">
        <f t="shared" si="0"/>
        <v>4.76837158203125E-7</v>
      </c>
      <c r="I274" s="38">
        <f t="shared" si="0"/>
        <v>0</v>
      </c>
      <c r="J274" s="38">
        <f t="shared" si="0"/>
        <v>1.1920928955078125E-7</v>
      </c>
      <c r="K274" s="38">
        <f t="shared" si="0"/>
        <v>2.9802322387695313E-8</v>
      </c>
      <c r="L274" s="38">
        <f t="shared" si="0"/>
        <v>-1.1920928955078125E-7</v>
      </c>
      <c r="M274" s="38">
        <f t="shared" si="0"/>
        <v>0</v>
      </c>
    </row>
    <row r="275" spans="1:13" s="4" customFormat="1" ht="15" hidden="1" customHeight="1" x14ac:dyDescent="0.45">
      <c r="A275" s="37" t="s">
        <v>236</v>
      </c>
      <c r="B275" s="38">
        <f t="shared" ref="B275:M275" si="1">B28-B29-SUM(B31:B62)-SUM(B64:B69)-B70-B72-B73-SUM(B75:B114)-SUM(B116:B121)-SUM(B123:B125)-SUM(B127:B132)-B134-SUM(B137:B140)-B141-SUM(B143:B150)-SUM(B152:B155)-SUM(B157:B163)-SUM(B165:B170)-SUM(B172:B177)-SUM(B179:B180)-SUM(B182:B192)-SUM(B194:B198)-SUM(B200:B214)-B216-SUM(B218:B227)-B228-SUM(B230:B237)-B238-B135</f>
        <v>0</v>
      </c>
      <c r="C275" s="38">
        <f t="shared" si="1"/>
        <v>-3.814697265625E-6</v>
      </c>
      <c r="D275" s="38">
        <f t="shared" si="1"/>
        <v>0</v>
      </c>
      <c r="E275" s="38">
        <f t="shared" si="1"/>
        <v>3.814697265625E-6</v>
      </c>
      <c r="F275" s="38">
        <f t="shared" si="1"/>
        <v>-4.76837158203125E-7</v>
      </c>
      <c r="G275" s="38">
        <f t="shared" si="1"/>
        <v>1.3411045074462891E-7</v>
      </c>
      <c r="H275" s="38">
        <f t="shared" si="1"/>
        <v>4.76837158203125E-7</v>
      </c>
      <c r="I275" s="38">
        <f t="shared" si="1"/>
        <v>0</v>
      </c>
      <c r="J275" s="38">
        <f t="shared" si="1"/>
        <v>1.1920928955078125E-7</v>
      </c>
      <c r="K275" s="38">
        <f t="shared" si="1"/>
        <v>0</v>
      </c>
      <c r="L275" s="38">
        <f t="shared" si="1"/>
        <v>-1.1920928955078125E-7</v>
      </c>
      <c r="M275" s="38">
        <f t="shared" si="1"/>
        <v>0</v>
      </c>
    </row>
    <row r="276" spans="1:13" s="4" customFormat="1" ht="15" hidden="1" customHeight="1" x14ac:dyDescent="0.45">
      <c r="A276" s="37" t="s">
        <v>237</v>
      </c>
      <c r="B276" s="38">
        <f t="shared" ref="B276:M276" si="2">B3-B25-B28-B239</f>
        <v>0</v>
      </c>
      <c r="C276" s="38">
        <f t="shared" si="2"/>
        <v>3.814697265625E-6</v>
      </c>
      <c r="D276" s="38">
        <f t="shared" si="2"/>
        <v>0</v>
      </c>
      <c r="E276" s="38">
        <f t="shared" si="2"/>
        <v>0</v>
      </c>
      <c r="F276" s="38">
        <f t="shared" si="2"/>
        <v>0</v>
      </c>
      <c r="G276" s="38">
        <f t="shared" si="2"/>
        <v>0</v>
      </c>
      <c r="H276" s="38">
        <f t="shared" si="2"/>
        <v>0</v>
      </c>
      <c r="I276" s="38">
        <f t="shared" si="2"/>
        <v>0</v>
      </c>
      <c r="J276" s="38">
        <f t="shared" si="2"/>
        <v>0</v>
      </c>
      <c r="K276" s="38">
        <f t="shared" si="2"/>
        <v>0</v>
      </c>
      <c r="L276" s="38">
        <f t="shared" si="2"/>
        <v>0</v>
      </c>
      <c r="M276" s="38">
        <f t="shared" si="2"/>
        <v>0</v>
      </c>
    </row>
    <row r="277" spans="1:13" s="4" customFormat="1" ht="15" hidden="1" customHeight="1" x14ac:dyDescent="0.45">
      <c r="A277" s="37" t="s">
        <v>238</v>
      </c>
      <c r="B277" s="38">
        <f t="shared" ref="B277:M277" si="3">B239+B240-B250-B261-B260</f>
        <v>0</v>
      </c>
      <c r="C277" s="38">
        <f t="shared" si="3"/>
        <v>0</v>
      </c>
      <c r="D277" s="38">
        <f t="shared" si="3"/>
        <v>0</v>
      </c>
      <c r="E277" s="38">
        <f t="shared" si="3"/>
        <v>0</v>
      </c>
      <c r="F277" s="38">
        <f t="shared" si="3"/>
        <v>0</v>
      </c>
      <c r="G277" s="38">
        <f t="shared" si="3"/>
        <v>0</v>
      </c>
      <c r="H277" s="38">
        <f t="shared" si="3"/>
        <v>0</v>
      </c>
      <c r="I277" s="38">
        <f t="shared" si="3"/>
        <v>0</v>
      </c>
      <c r="J277" s="38">
        <f t="shared" si="3"/>
        <v>0</v>
      </c>
      <c r="K277" s="38">
        <f t="shared" si="3"/>
        <v>0</v>
      </c>
      <c r="L277" s="38">
        <f t="shared" si="3"/>
        <v>0</v>
      </c>
      <c r="M277" s="38">
        <f t="shared" si="3"/>
        <v>0</v>
      </c>
    </row>
    <row r="278" spans="1:13" s="4" customFormat="1" ht="15" hidden="1" customHeight="1" x14ac:dyDescent="0.45">
      <c r="A278" s="32" t="s">
        <v>244</v>
      </c>
      <c r="B278" s="32">
        <f t="shared" ref="B278:M278" si="4">B240-B241-B242-B244-B248-B249-B245-B247-B243-B246</f>
        <v>0</v>
      </c>
      <c r="C278" s="32">
        <f t="shared" si="4"/>
        <v>0</v>
      </c>
      <c r="D278" s="32">
        <f t="shared" si="4"/>
        <v>0</v>
      </c>
      <c r="E278" s="32">
        <f t="shared" si="4"/>
        <v>0</v>
      </c>
      <c r="F278" s="32">
        <f t="shared" si="4"/>
        <v>0</v>
      </c>
      <c r="G278" s="32">
        <f t="shared" si="4"/>
        <v>0</v>
      </c>
      <c r="H278" s="32">
        <f t="shared" si="4"/>
        <v>0</v>
      </c>
      <c r="I278" s="32">
        <f t="shared" si="4"/>
        <v>0</v>
      </c>
      <c r="J278" s="32">
        <f t="shared" si="4"/>
        <v>0</v>
      </c>
      <c r="K278" s="32">
        <f t="shared" si="4"/>
        <v>0</v>
      </c>
      <c r="L278" s="32">
        <f t="shared" si="4"/>
        <v>0</v>
      </c>
      <c r="M278" s="32">
        <f t="shared" si="4"/>
        <v>0</v>
      </c>
    </row>
    <row r="279" spans="1:13" ht="15.65" hidden="1" customHeight="1" x14ac:dyDescent="0.45">
      <c r="A279" s="32" t="s">
        <v>245</v>
      </c>
      <c r="B279" s="32">
        <f t="shared" ref="B279:M279" si="5">B250-B251-B254-B255-B256-B257-B259-B252-B253-B258</f>
        <v>0</v>
      </c>
      <c r="C279" s="32">
        <f t="shared" si="5"/>
        <v>0</v>
      </c>
      <c r="D279" s="32">
        <f t="shared" si="5"/>
        <v>0</v>
      </c>
      <c r="E279" s="32">
        <f t="shared" si="5"/>
        <v>0</v>
      </c>
      <c r="F279" s="32">
        <f t="shared" si="5"/>
        <v>0</v>
      </c>
      <c r="G279" s="32">
        <f t="shared" si="5"/>
        <v>0</v>
      </c>
      <c r="H279" s="32">
        <f t="shared" si="5"/>
        <v>0</v>
      </c>
      <c r="I279" s="32">
        <f t="shared" si="5"/>
        <v>0</v>
      </c>
      <c r="J279" s="32">
        <f t="shared" si="5"/>
        <v>0</v>
      </c>
      <c r="K279" s="32">
        <f t="shared" si="5"/>
        <v>0</v>
      </c>
      <c r="L279" s="32">
        <f t="shared" si="5"/>
        <v>0</v>
      </c>
      <c r="M279" s="32">
        <f t="shared" si="5"/>
        <v>0</v>
      </c>
    </row>
    <row r="280" spans="1:13" ht="15.65" hidden="1" customHeight="1" x14ac:dyDescent="0.45">
      <c r="A280" s="35"/>
      <c r="B280" s="35"/>
      <c r="C280" s="36"/>
      <c r="D280" s="36"/>
      <c r="E280" s="36"/>
      <c r="F280" s="36"/>
      <c r="G280" s="36"/>
      <c r="H280" s="35"/>
      <c r="I280" s="35"/>
      <c r="J280" s="35"/>
      <c r="K280" s="35"/>
      <c r="L280" s="35"/>
      <c r="M280" s="36"/>
    </row>
    <row r="281" spans="1:13" ht="15.65" hidden="1" customHeight="1" x14ac:dyDescent="0.45">
      <c r="A281" s="39" t="s">
        <v>239</v>
      </c>
      <c r="B281" s="38">
        <f>B4+B14+B21-B26-B53-B81-B131-B162-B168-B175-B189-B198-B210-B212-B218-B219-B221-B224-B230-B231-B232-B234-B235-B236-B227</f>
        <v>9314739049</v>
      </c>
      <c r="C281" s="38">
        <f>C4+C14+C21-C26-C53-C81-C131-C162-C168-C175-C189-C198-C210-C212-C219-C221-C224-C230-C231-C232-C235-C236</f>
        <v>-640735852</v>
      </c>
      <c r="D281" s="38"/>
      <c r="E281" s="38">
        <f>E4+E14+E21-E26-E53-E81-E131-E162-E168-E175-E189-E198-E210-E212-E218-E219-E221-E224-E230-E231-E232-E234-E235-E236-E227</f>
        <v>8573158170</v>
      </c>
      <c r="F281" s="38">
        <f>F4+F14+F21-F26-F53-F81-F131-F162-F168-F175-F189-F198-F210-F212-F218-F219-F221-F224-F230-F231-F232-F234-F235-F236-F227</f>
        <v>7117441801.5569172</v>
      </c>
      <c r="G281" s="38">
        <f>G4+G14+G21-G26-G53-G81-G131-G162-G168-G175-G189-G198-G210-G212-G218-G219-G221-G224-G230-G231-G232-G234-G235-G236-G227</f>
        <v>185018154.44308233</v>
      </c>
      <c r="H281" s="38">
        <f t="shared" ref="H281:L281" si="6">H4+H14+H21-H26-H53-H81-H131-H162-H168-H175-H189-H198-H210-H212-H218-H219-H221-H224-H230-H231-H232-H234-H235-H236-H227-H164-H215</f>
        <v>252569950</v>
      </c>
      <c r="I281" s="38">
        <f t="shared" si="6"/>
        <v>65991017.099999994</v>
      </c>
      <c r="J281" s="38">
        <f t="shared" si="6"/>
        <v>36114248.899999976</v>
      </c>
      <c r="K281" s="38">
        <f t="shared" si="6"/>
        <v>100379118</v>
      </c>
      <c r="L281" s="38">
        <f t="shared" si="6"/>
        <v>-299041643</v>
      </c>
      <c r="M281" s="38">
        <f>M4+M14+M21-M26-M53-M81-M131-M162-M168-M175-M189-M198-M210-M212-M218-M219-M221-M224-M230-M231-M232-M234-M235-M236-M227</f>
        <v>977310198</v>
      </c>
    </row>
    <row r="282" spans="1:13" s="4" customFormat="1" ht="15" hidden="1" customHeight="1" x14ac:dyDescent="0.45">
      <c r="A282" s="40" t="s">
        <v>240</v>
      </c>
      <c r="B282" s="38">
        <f>B18-B109-B163-B165-B170-B192-B222-B226-B237</f>
        <v>2777639578</v>
      </c>
      <c r="C282" s="38">
        <f>C18-C109-C163-C165-C170-C192-C226-C113</f>
        <v>-6548354</v>
      </c>
      <c r="D282" s="38"/>
      <c r="E282" s="38">
        <f t="shared" ref="E282:M282" si="7">E18-E109-E163-E165-E170-E192-E222-E226-E237-E113</f>
        <v>1096473327</v>
      </c>
      <c r="F282" s="38">
        <f t="shared" si="7"/>
        <v>235995917</v>
      </c>
      <c r="G282" s="38">
        <f t="shared" si="7"/>
        <v>-23933047</v>
      </c>
      <c r="H282" s="38">
        <f t="shared" si="7"/>
        <v>78432728</v>
      </c>
      <c r="I282" s="38">
        <f t="shared" si="7"/>
        <v>2303632</v>
      </c>
      <c r="J282" s="38">
        <f t="shared" si="7"/>
        <v>0</v>
      </c>
      <c r="K282" s="38">
        <f t="shared" si="7"/>
        <v>43103219</v>
      </c>
      <c r="L282" s="38">
        <f t="shared" si="7"/>
        <v>760570878</v>
      </c>
      <c r="M282" s="38">
        <f t="shared" si="7"/>
        <v>0</v>
      </c>
    </row>
    <row r="283" spans="1:13" s="4" customFormat="1" ht="15" hidden="1" customHeight="1" x14ac:dyDescent="0.45">
      <c r="A283" s="37" t="s">
        <v>241</v>
      </c>
      <c r="B283" s="41">
        <f>SUBTOTAL(9,B281:B282)</f>
        <v>12092378627</v>
      </c>
      <c r="C283" s="41">
        <f t="shared" ref="C283" si="8">SUBTOTAL(9,C281:C282)</f>
        <v>-647284206</v>
      </c>
      <c r="D283" s="41"/>
      <c r="E283" s="41">
        <f t="shared" ref="E283:L283" si="9">SUBTOTAL(9,E281:E282)</f>
        <v>9669631497</v>
      </c>
      <c r="F283" s="41">
        <f t="shared" si="9"/>
        <v>7353437718.5569172</v>
      </c>
      <c r="G283" s="41">
        <f>SUBTOTAL(9,G281:G282)</f>
        <v>161085107.44308233</v>
      </c>
      <c r="H283" s="41">
        <f>SUBTOTAL(9,H281:H282)</f>
        <v>331002678</v>
      </c>
      <c r="I283" s="41">
        <f t="shared" si="9"/>
        <v>68294649.099999994</v>
      </c>
      <c r="J283" s="41">
        <f t="shared" si="9"/>
        <v>36114248.899999976</v>
      </c>
      <c r="K283" s="41">
        <f t="shared" si="9"/>
        <v>143482337</v>
      </c>
      <c r="L283" s="41">
        <f t="shared" si="9"/>
        <v>461529235</v>
      </c>
      <c r="M283" s="41">
        <f>SUBTOTAL(9,M281:M282)</f>
        <v>977310198</v>
      </c>
    </row>
    <row r="284" spans="1:13" s="4" customFormat="1" ht="15" hidden="1" customHeight="1" x14ac:dyDescent="0.45">
      <c r="A284" s="9" t="s">
        <v>241</v>
      </c>
      <c r="B284" s="10">
        <f>SUBTOTAL(9,B282:B283)</f>
        <v>2777639578</v>
      </c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</row>
    <row r="285" spans="1:13" collapsed="1" x14ac:dyDescent="0.45">
      <c r="H285" s="3"/>
      <c r="I285" s="3"/>
      <c r="J285" s="3"/>
      <c r="K285" s="3"/>
      <c r="L285" s="3"/>
      <c r="M285" s="2"/>
    </row>
    <row r="286" spans="1:13" x14ac:dyDescent="0.45">
      <c r="E286" s="20"/>
      <c r="F286" s="20"/>
      <c r="G286" s="20"/>
      <c r="H286" s="20"/>
      <c r="M286" s="2"/>
    </row>
    <row r="287" spans="1:13" x14ac:dyDescent="0.45">
      <c r="H287" s="3"/>
      <c r="I287" s="3"/>
      <c r="J287" s="3"/>
      <c r="K287" s="3"/>
      <c r="L287" s="3"/>
    </row>
    <row r="288" spans="1:13" x14ac:dyDescent="0.45">
      <c r="B288" s="3"/>
      <c r="H288" s="3"/>
      <c r="I288" s="3"/>
      <c r="J288" s="3"/>
      <c r="K288" s="3"/>
      <c r="L288" s="3"/>
    </row>
    <row r="289" spans="8:12" x14ac:dyDescent="0.45">
      <c r="H289" s="3"/>
      <c r="I289" s="3"/>
      <c r="J289" s="3"/>
      <c r="K289" s="3"/>
      <c r="L289" s="3"/>
    </row>
    <row r="290" spans="8:12" x14ac:dyDescent="0.45">
      <c r="H290" s="3"/>
      <c r="I290" s="3"/>
      <c r="J290" s="3"/>
      <c r="K290" s="3"/>
      <c r="L290" s="3"/>
    </row>
    <row r="293" spans="8:12" x14ac:dyDescent="0.45">
      <c r="H293" s="3"/>
      <c r="I293" s="3"/>
      <c r="J293" s="3"/>
      <c r="K293" s="3"/>
      <c r="L293" s="3"/>
    </row>
    <row r="295" spans="8:12" x14ac:dyDescent="0.45">
      <c r="H295" s="3"/>
      <c r="I295" s="3"/>
      <c r="J295" s="3"/>
      <c r="K295" s="3"/>
      <c r="L295" s="3"/>
    </row>
  </sheetData>
  <mergeCells count="8">
    <mergeCell ref="I1:L1"/>
    <mergeCell ref="M1:M2"/>
    <mergeCell ref="A1:A2"/>
    <mergeCell ref="B1:B2"/>
    <mergeCell ref="C1:C2"/>
    <mergeCell ref="D1:D2"/>
    <mergeCell ref="E1:E2"/>
    <mergeCell ref="F1:H1"/>
  </mergeCells>
  <phoneticPr fontId="2" type="noConversion"/>
  <pageMargins left="0.75" right="0.75" top="1" bottom="1" header="0.5" footer="0.5"/>
  <pageSetup paperSize="8" scale="60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66DA8-1539-4AB7-BC0F-59E11F3D6D68}">
  <sheetPr>
    <tabColor rgb="FFFFC000"/>
    <pageSetUpPr fitToPage="1"/>
  </sheetPr>
  <dimension ref="A1:N295"/>
  <sheetViews>
    <sheetView showGridLines="0" zoomScale="85" zoomScaleNormal="85" zoomScaleSheetLayoutView="85" workbookViewId="0">
      <pane xSplit="2" ySplit="3" topLeftCell="C4" activePane="bottomRight" state="frozen"/>
      <selection activeCell="J2" sqref="J2:J253"/>
      <selection pane="topRight" activeCell="J2" sqref="J2:J253"/>
      <selection pane="bottomLeft" activeCell="J2" sqref="J2:J253"/>
      <selection pane="bottomRight" sqref="A1:A2"/>
    </sheetView>
  </sheetViews>
  <sheetFormatPr defaultColWidth="9.08984375" defaultRowHeight="16" outlineLevelRow="1" x14ac:dyDescent="0.45"/>
  <cols>
    <col min="1" max="1" width="36.36328125" style="2" customWidth="1"/>
    <col min="2" max="2" width="19.08984375" style="2" customWidth="1"/>
    <col min="3" max="7" width="19.08984375" style="3" customWidth="1"/>
    <col min="8" max="12" width="19.08984375" style="2" customWidth="1"/>
    <col min="13" max="13" width="19.08984375" style="3" customWidth="1"/>
    <col min="14" max="16384" width="9.08984375" style="2"/>
  </cols>
  <sheetData>
    <row r="1" spans="1:14" s="1" customFormat="1" ht="15.65" customHeight="1" x14ac:dyDescent="0.45">
      <c r="A1" s="213" t="s">
        <v>313</v>
      </c>
      <c r="B1" s="210" t="s">
        <v>233</v>
      </c>
      <c r="C1" s="210" t="s">
        <v>250</v>
      </c>
      <c r="D1" s="210" t="s">
        <v>288</v>
      </c>
      <c r="E1" s="210" t="s">
        <v>167</v>
      </c>
      <c r="F1" s="204" t="s">
        <v>289</v>
      </c>
      <c r="G1" s="205"/>
      <c r="H1" s="212"/>
      <c r="I1" s="204" t="s">
        <v>290</v>
      </c>
      <c r="J1" s="205"/>
      <c r="K1" s="205"/>
      <c r="L1" s="212"/>
      <c r="M1" s="202" t="s">
        <v>291</v>
      </c>
    </row>
    <row r="2" spans="1:14" s="1" customFormat="1" ht="15.65" customHeight="1" x14ac:dyDescent="0.45">
      <c r="A2" s="214"/>
      <c r="B2" s="211"/>
      <c r="C2" s="211"/>
      <c r="D2" s="211"/>
      <c r="E2" s="211"/>
      <c r="F2" s="135" t="s">
        <v>248</v>
      </c>
      <c r="G2" s="135" t="s">
        <v>242</v>
      </c>
      <c r="H2" s="26" t="s">
        <v>365</v>
      </c>
      <c r="I2" s="26" t="s">
        <v>168</v>
      </c>
      <c r="J2" s="26" t="s">
        <v>169</v>
      </c>
      <c r="K2" s="26" t="s">
        <v>294</v>
      </c>
      <c r="L2" s="26" t="s">
        <v>295</v>
      </c>
      <c r="M2" s="203"/>
    </row>
    <row r="3" spans="1:14" s="1" customFormat="1" ht="15.65" customHeight="1" x14ac:dyDescent="0.45">
      <c r="A3" s="27" t="s">
        <v>0</v>
      </c>
      <c r="B3" s="42">
        <v>53755464550</v>
      </c>
      <c r="C3" s="57">
        <v>-3352832497</v>
      </c>
      <c r="D3" s="57">
        <v>202513363</v>
      </c>
      <c r="E3" s="58">
        <v>56905783684</v>
      </c>
      <c r="F3" s="57">
        <v>26239636276.801842</v>
      </c>
      <c r="G3" s="57">
        <v>3600057999.1981578</v>
      </c>
      <c r="H3" s="59">
        <v>15226669650</v>
      </c>
      <c r="I3" s="59">
        <v>946505027</v>
      </c>
      <c r="J3" s="59">
        <v>751965957</v>
      </c>
      <c r="K3" s="59">
        <v>2796434915</v>
      </c>
      <c r="L3" s="57">
        <v>1524598319</v>
      </c>
      <c r="M3" s="57">
        <v>5819915540</v>
      </c>
    </row>
    <row r="4" spans="1:14" s="1" customFormat="1" x14ac:dyDescent="0.45">
      <c r="A4" s="28" t="s">
        <v>1</v>
      </c>
      <c r="B4" s="43">
        <v>31317966244</v>
      </c>
      <c r="C4" s="60">
        <v>36464223</v>
      </c>
      <c r="D4" s="60">
        <v>95816181</v>
      </c>
      <c r="E4" s="61">
        <v>31185685840</v>
      </c>
      <c r="F4" s="60">
        <v>12977559472</v>
      </c>
      <c r="G4" s="60">
        <v>175940816</v>
      </c>
      <c r="H4" s="62">
        <v>10161443100</v>
      </c>
      <c r="I4" s="62">
        <v>240329969</v>
      </c>
      <c r="J4" s="62">
        <v>13172277</v>
      </c>
      <c r="K4" s="62">
        <v>1915884024</v>
      </c>
      <c r="L4" s="62">
        <v>58194564</v>
      </c>
      <c r="M4" s="60">
        <v>5643161618</v>
      </c>
    </row>
    <row r="5" spans="1:14" s="1" customFormat="1" ht="16" hidden="1" customHeight="1" outlineLevel="1" x14ac:dyDescent="0.45">
      <c r="A5" s="29" t="s">
        <v>2</v>
      </c>
      <c r="B5" s="44">
        <v>8266206579</v>
      </c>
      <c r="C5" s="63">
        <v>5912818</v>
      </c>
      <c r="D5" s="63">
        <v>94523182</v>
      </c>
      <c r="E5" s="64">
        <v>8165770579</v>
      </c>
      <c r="F5" s="63">
        <v>22792550</v>
      </c>
      <c r="G5" s="63">
        <v>173869000</v>
      </c>
      <c r="H5" s="65">
        <v>795350041</v>
      </c>
      <c r="I5" s="65">
        <v>91269089</v>
      </c>
      <c r="J5" s="65">
        <v>3904100</v>
      </c>
      <c r="K5" s="65">
        <v>1495393363</v>
      </c>
      <c r="L5" s="65">
        <v>14000</v>
      </c>
      <c r="M5" s="63">
        <v>5583178436</v>
      </c>
    </row>
    <row r="6" spans="1:14" ht="16" hidden="1" customHeight="1" outlineLevel="1" x14ac:dyDescent="0.45">
      <c r="A6" s="29" t="s">
        <v>3</v>
      </c>
      <c r="B6" s="44">
        <v>0</v>
      </c>
      <c r="C6" s="63">
        <v>0</v>
      </c>
      <c r="D6" s="63">
        <v>0</v>
      </c>
      <c r="E6" s="64">
        <v>0</v>
      </c>
      <c r="F6" s="63">
        <v>0</v>
      </c>
      <c r="G6" s="63">
        <v>0</v>
      </c>
      <c r="H6" s="65">
        <v>0</v>
      </c>
      <c r="I6" s="65">
        <v>0</v>
      </c>
      <c r="J6" s="65">
        <v>0</v>
      </c>
      <c r="K6" s="65">
        <v>0</v>
      </c>
      <c r="L6" s="65">
        <v>0</v>
      </c>
      <c r="M6" s="63">
        <v>0</v>
      </c>
      <c r="N6" s="1"/>
    </row>
    <row r="7" spans="1:14" ht="16" hidden="1" customHeight="1" outlineLevel="1" x14ac:dyDescent="0.45">
      <c r="A7" s="29" t="s">
        <v>170</v>
      </c>
      <c r="B7" s="44">
        <v>0</v>
      </c>
      <c r="C7" s="63">
        <v>0</v>
      </c>
      <c r="D7" s="63">
        <v>0</v>
      </c>
      <c r="E7" s="64">
        <v>0</v>
      </c>
      <c r="F7" s="63">
        <v>0</v>
      </c>
      <c r="G7" s="63">
        <v>0</v>
      </c>
      <c r="H7" s="65">
        <v>0</v>
      </c>
      <c r="I7" s="65">
        <v>0</v>
      </c>
      <c r="J7" s="65">
        <v>0</v>
      </c>
      <c r="K7" s="65">
        <v>0</v>
      </c>
      <c r="L7" s="65">
        <v>0</v>
      </c>
      <c r="M7" s="63">
        <v>0</v>
      </c>
      <c r="N7" s="1"/>
    </row>
    <row r="8" spans="1:14" ht="16" hidden="1" customHeight="1" outlineLevel="1" x14ac:dyDescent="0.45">
      <c r="A8" s="29" t="s">
        <v>4</v>
      </c>
      <c r="B8" s="44">
        <v>22411440813</v>
      </c>
      <c r="C8" s="63">
        <v>30551405</v>
      </c>
      <c r="D8" s="63">
        <v>0</v>
      </c>
      <c r="E8" s="64">
        <v>22380889408</v>
      </c>
      <c r="F8" s="63">
        <v>12490030759</v>
      </c>
      <c r="G8" s="63">
        <v>2071816</v>
      </c>
      <c r="H8" s="65">
        <v>9262374456</v>
      </c>
      <c r="I8" s="65">
        <v>149020698</v>
      </c>
      <c r="J8" s="65">
        <v>1355000</v>
      </c>
      <c r="K8" s="65">
        <v>417856115</v>
      </c>
      <c r="L8" s="65">
        <v>58180564</v>
      </c>
      <c r="M8" s="63">
        <v>0</v>
      </c>
      <c r="N8" s="1"/>
    </row>
    <row r="9" spans="1:14" ht="16" hidden="1" customHeight="1" outlineLevel="1" x14ac:dyDescent="0.45">
      <c r="A9" s="29" t="s">
        <v>5</v>
      </c>
      <c r="B9" s="44">
        <v>256565666</v>
      </c>
      <c r="C9" s="63">
        <v>0</v>
      </c>
      <c r="D9" s="63">
        <v>1292999</v>
      </c>
      <c r="E9" s="64">
        <v>255272667</v>
      </c>
      <c r="F9" s="63">
        <v>205748985</v>
      </c>
      <c r="G9" s="63">
        <v>0</v>
      </c>
      <c r="H9" s="65">
        <v>15772500</v>
      </c>
      <c r="I9" s="65">
        <v>40182</v>
      </c>
      <c r="J9" s="65">
        <v>0</v>
      </c>
      <c r="K9" s="65">
        <v>91000</v>
      </c>
      <c r="L9" s="65">
        <v>0</v>
      </c>
      <c r="M9" s="63">
        <v>33620000</v>
      </c>
      <c r="N9" s="1"/>
    </row>
    <row r="10" spans="1:14" ht="16" hidden="1" customHeight="1" outlineLevel="1" x14ac:dyDescent="0.45">
      <c r="A10" s="29" t="s">
        <v>118</v>
      </c>
      <c r="B10" s="44">
        <v>41911269</v>
      </c>
      <c r="C10" s="63">
        <v>0</v>
      </c>
      <c r="D10" s="63">
        <v>0</v>
      </c>
      <c r="E10" s="64">
        <v>41911269</v>
      </c>
      <c r="F10" s="63">
        <v>0</v>
      </c>
      <c r="G10" s="63">
        <v>0</v>
      </c>
      <c r="H10" s="65">
        <v>31454546</v>
      </c>
      <c r="I10" s="65">
        <v>0</v>
      </c>
      <c r="J10" s="65">
        <v>7913177</v>
      </c>
      <c r="K10" s="65">
        <v>2543546</v>
      </c>
      <c r="L10" s="65">
        <v>0</v>
      </c>
      <c r="M10" s="63">
        <v>0</v>
      </c>
      <c r="N10" s="1"/>
    </row>
    <row r="11" spans="1:14" ht="16" hidden="1" customHeight="1" outlineLevel="1" x14ac:dyDescent="0.45">
      <c r="A11" s="29" t="s">
        <v>6</v>
      </c>
      <c r="B11" s="44">
        <v>315478735</v>
      </c>
      <c r="C11" s="63">
        <v>0</v>
      </c>
      <c r="D11" s="63">
        <v>0</v>
      </c>
      <c r="E11" s="64">
        <v>315478735</v>
      </c>
      <c r="F11" s="63">
        <v>258987178</v>
      </c>
      <c r="G11" s="63">
        <v>0</v>
      </c>
      <c r="H11" s="65">
        <v>56491557</v>
      </c>
      <c r="I11" s="65">
        <v>0</v>
      </c>
      <c r="J11" s="65">
        <v>0</v>
      </c>
      <c r="K11" s="65">
        <v>0</v>
      </c>
      <c r="L11" s="65">
        <v>0</v>
      </c>
      <c r="M11" s="63">
        <v>0</v>
      </c>
      <c r="N11" s="1"/>
    </row>
    <row r="12" spans="1:14" ht="16" hidden="1" customHeight="1" outlineLevel="1" x14ac:dyDescent="0.45">
      <c r="A12" s="29" t="s">
        <v>299</v>
      </c>
      <c r="B12" s="44">
        <v>26363182</v>
      </c>
      <c r="C12" s="63">
        <v>0</v>
      </c>
      <c r="D12" s="63">
        <v>0</v>
      </c>
      <c r="E12" s="64">
        <v>26363182</v>
      </c>
      <c r="F12" s="63">
        <v>0</v>
      </c>
      <c r="G12" s="63">
        <v>0</v>
      </c>
      <c r="H12" s="65">
        <v>0</v>
      </c>
      <c r="I12" s="65">
        <v>0</v>
      </c>
      <c r="J12" s="65">
        <v>0</v>
      </c>
      <c r="K12" s="65">
        <v>0</v>
      </c>
      <c r="L12" s="65">
        <v>0</v>
      </c>
      <c r="M12" s="63">
        <v>26363182</v>
      </c>
      <c r="N12" s="1"/>
    </row>
    <row r="13" spans="1:14" ht="16" customHeight="1" collapsed="1" x14ac:dyDescent="0.45">
      <c r="A13" s="28" t="s">
        <v>7</v>
      </c>
      <c r="B13" s="43">
        <v>22437498306</v>
      </c>
      <c r="C13" s="60">
        <v>-3389296720</v>
      </c>
      <c r="D13" s="60">
        <v>106697182</v>
      </c>
      <c r="E13" s="61">
        <v>25720097844</v>
      </c>
      <c r="F13" s="60">
        <v>13262076804.801842</v>
      </c>
      <c r="G13" s="60">
        <v>3424117183.1981578</v>
      </c>
      <c r="H13" s="62">
        <v>5065226550</v>
      </c>
      <c r="I13" s="62">
        <v>706175058</v>
      </c>
      <c r="J13" s="62">
        <v>738793680</v>
      </c>
      <c r="K13" s="62">
        <v>880550891</v>
      </c>
      <c r="L13" s="62">
        <v>1466403755</v>
      </c>
      <c r="M13" s="60">
        <v>176753922</v>
      </c>
      <c r="N13" s="1"/>
    </row>
    <row r="14" spans="1:14" s="1" customFormat="1" ht="16" hidden="1" customHeight="1" outlineLevel="1" collapsed="1" x14ac:dyDescent="0.45">
      <c r="A14" s="24" t="s">
        <v>8</v>
      </c>
      <c r="B14" s="45">
        <v>13470607922</v>
      </c>
      <c r="C14" s="63">
        <v>-46737891</v>
      </c>
      <c r="D14" s="63">
        <v>1818182</v>
      </c>
      <c r="E14" s="64">
        <v>13515527631</v>
      </c>
      <c r="F14" s="63">
        <v>8598334488</v>
      </c>
      <c r="G14" s="63">
        <v>66898581</v>
      </c>
      <c r="H14" s="65">
        <v>3439832790</v>
      </c>
      <c r="I14" s="65">
        <v>112853740</v>
      </c>
      <c r="J14" s="65">
        <v>594944844</v>
      </c>
      <c r="K14" s="65">
        <v>580330675</v>
      </c>
      <c r="L14" s="65">
        <v>36704601</v>
      </c>
      <c r="M14" s="63">
        <v>85627912</v>
      </c>
    </row>
    <row r="15" spans="1:14" ht="16" hidden="1" customHeight="1" outlineLevel="1" x14ac:dyDescent="0.45">
      <c r="A15" s="29" t="s">
        <v>9</v>
      </c>
      <c r="B15" s="44">
        <v>117324742</v>
      </c>
      <c r="C15" s="63">
        <v>0</v>
      </c>
      <c r="D15" s="63">
        <v>0</v>
      </c>
      <c r="E15" s="64">
        <v>117324742</v>
      </c>
      <c r="F15" s="63">
        <v>11764728</v>
      </c>
      <c r="G15" s="63">
        <v>0</v>
      </c>
      <c r="H15" s="65">
        <v>11348544</v>
      </c>
      <c r="I15" s="65">
        <v>0</v>
      </c>
      <c r="J15" s="65">
        <v>0</v>
      </c>
      <c r="K15" s="65">
        <v>0</v>
      </c>
      <c r="L15" s="65">
        <v>77185460</v>
      </c>
      <c r="M15" s="63">
        <v>17026010</v>
      </c>
      <c r="N15" s="1"/>
    </row>
    <row r="16" spans="1:14" ht="16" hidden="1" customHeight="1" outlineLevel="1" x14ac:dyDescent="0.45">
      <c r="A16" s="29" t="s">
        <v>10</v>
      </c>
      <c r="B16" s="44">
        <v>4290243788</v>
      </c>
      <c r="C16" s="63">
        <v>-84738071</v>
      </c>
      <c r="D16" s="63">
        <v>0</v>
      </c>
      <c r="E16" s="64">
        <v>4374981859</v>
      </c>
      <c r="F16" s="63">
        <v>2448040708.8018427</v>
      </c>
      <c r="G16" s="63">
        <v>857668517.19815755</v>
      </c>
      <c r="H16" s="65">
        <v>500087383</v>
      </c>
      <c r="I16" s="65">
        <v>75600208</v>
      </c>
      <c r="J16" s="65">
        <v>139138018</v>
      </c>
      <c r="K16" s="65">
        <v>235733989</v>
      </c>
      <c r="L16" s="65">
        <v>118713035</v>
      </c>
      <c r="M16" s="63">
        <v>0</v>
      </c>
      <c r="N16" s="1"/>
    </row>
    <row r="17" spans="1:14" ht="16" hidden="1" customHeight="1" outlineLevel="1" x14ac:dyDescent="0.45">
      <c r="A17" s="29" t="s">
        <v>11</v>
      </c>
      <c r="B17" s="44">
        <v>71409785</v>
      </c>
      <c r="C17" s="63">
        <v>1168927</v>
      </c>
      <c r="D17" s="63">
        <v>0</v>
      </c>
      <c r="E17" s="64">
        <v>70240858</v>
      </c>
      <c r="F17" s="63">
        <v>63415812</v>
      </c>
      <c r="G17" s="63">
        <v>34500</v>
      </c>
      <c r="H17" s="65">
        <v>5656228</v>
      </c>
      <c r="I17" s="65">
        <v>28500</v>
      </c>
      <c r="J17" s="65">
        <v>670818</v>
      </c>
      <c r="K17" s="65">
        <v>435000</v>
      </c>
      <c r="L17" s="65">
        <v>0</v>
      </c>
      <c r="M17" s="63">
        <v>0</v>
      </c>
      <c r="N17" s="1"/>
    </row>
    <row r="18" spans="1:14" ht="16" hidden="1" customHeight="1" outlineLevel="1" x14ac:dyDescent="0.45">
      <c r="A18" s="30" t="s">
        <v>12</v>
      </c>
      <c r="B18" s="46">
        <v>2724674850</v>
      </c>
      <c r="C18" s="63">
        <v>-26478628</v>
      </c>
      <c r="D18" s="63">
        <v>0</v>
      </c>
      <c r="E18" s="64">
        <v>2751153478</v>
      </c>
      <c r="F18" s="63">
        <v>1475069197</v>
      </c>
      <c r="G18" s="63">
        <v>-484415</v>
      </c>
      <c r="H18" s="65">
        <v>34261818</v>
      </c>
      <c r="I18" s="65">
        <v>1827274</v>
      </c>
      <c r="J18" s="65">
        <v>0</v>
      </c>
      <c r="K18" s="65">
        <v>6678945</v>
      </c>
      <c r="L18" s="65">
        <v>1233800659</v>
      </c>
      <c r="M18" s="63">
        <v>0</v>
      </c>
      <c r="N18" s="1"/>
    </row>
    <row r="19" spans="1:14" ht="16" hidden="1" customHeight="1" outlineLevel="1" x14ac:dyDescent="0.45">
      <c r="A19" s="29" t="s">
        <v>119</v>
      </c>
      <c r="B19" s="44">
        <v>-3235146197</v>
      </c>
      <c r="C19" s="63">
        <v>-3235146197</v>
      </c>
      <c r="D19" s="63">
        <v>0</v>
      </c>
      <c r="E19" s="64">
        <v>0</v>
      </c>
      <c r="F19" s="63">
        <v>0</v>
      </c>
      <c r="G19" s="63">
        <v>0</v>
      </c>
      <c r="H19" s="65">
        <v>0</v>
      </c>
      <c r="I19" s="65">
        <v>0</v>
      </c>
      <c r="J19" s="65">
        <v>0</v>
      </c>
      <c r="K19" s="65">
        <v>0</v>
      </c>
      <c r="L19" s="65">
        <v>0</v>
      </c>
      <c r="M19" s="63">
        <v>0</v>
      </c>
      <c r="N19" s="1"/>
    </row>
    <row r="20" spans="1:14" ht="16" hidden="1" customHeight="1" outlineLevel="1" x14ac:dyDescent="0.45">
      <c r="A20" s="29" t="s">
        <v>120</v>
      </c>
      <c r="B20" s="44">
        <v>0</v>
      </c>
      <c r="C20" s="63">
        <v>0</v>
      </c>
      <c r="D20" s="63">
        <v>0</v>
      </c>
      <c r="E20" s="64">
        <v>0</v>
      </c>
      <c r="F20" s="63">
        <v>0</v>
      </c>
      <c r="G20" s="63">
        <v>0</v>
      </c>
      <c r="H20" s="65">
        <v>0</v>
      </c>
      <c r="I20" s="65">
        <v>0</v>
      </c>
      <c r="J20" s="65">
        <v>0</v>
      </c>
      <c r="K20" s="65">
        <v>0</v>
      </c>
      <c r="L20" s="65">
        <v>0</v>
      </c>
      <c r="M20" s="63">
        <v>0</v>
      </c>
      <c r="N20" s="1"/>
    </row>
    <row r="21" spans="1:14" ht="16" hidden="1" customHeight="1" outlineLevel="1" x14ac:dyDescent="0.45">
      <c r="A21" s="24" t="s">
        <v>13</v>
      </c>
      <c r="B21" s="45">
        <v>625147122</v>
      </c>
      <c r="C21" s="63">
        <v>0</v>
      </c>
      <c r="D21" s="63">
        <v>0</v>
      </c>
      <c r="E21" s="64">
        <v>625147122</v>
      </c>
      <c r="F21" s="63">
        <v>420000</v>
      </c>
      <c r="G21" s="63">
        <v>0</v>
      </c>
      <c r="H21" s="65">
        <v>81922837</v>
      </c>
      <c r="I21" s="65">
        <v>515865336</v>
      </c>
      <c r="J21" s="65">
        <v>0</v>
      </c>
      <c r="K21" s="65">
        <v>26938949</v>
      </c>
      <c r="L21" s="65">
        <v>0</v>
      </c>
      <c r="M21" s="63">
        <v>0</v>
      </c>
      <c r="N21" s="1"/>
    </row>
    <row r="22" spans="1:14" s="1" customFormat="1" ht="16" hidden="1" customHeight="1" outlineLevel="1" x14ac:dyDescent="0.45">
      <c r="A22" s="29" t="s">
        <v>121</v>
      </c>
      <c r="B22" s="44">
        <v>3705569283</v>
      </c>
      <c r="C22" s="63">
        <v>0</v>
      </c>
      <c r="D22" s="63">
        <v>104879000</v>
      </c>
      <c r="E22" s="64">
        <v>3600690283</v>
      </c>
      <c r="F22" s="63">
        <v>0</v>
      </c>
      <c r="G22" s="63">
        <v>2500000000</v>
      </c>
      <c r="H22" s="65">
        <v>992116950</v>
      </c>
      <c r="I22" s="65">
        <v>0</v>
      </c>
      <c r="J22" s="65">
        <v>4040000</v>
      </c>
      <c r="K22" s="65">
        <v>30433333</v>
      </c>
      <c r="L22" s="65">
        <v>0</v>
      </c>
      <c r="M22" s="63">
        <v>74100000</v>
      </c>
    </row>
    <row r="23" spans="1:14" ht="16" hidden="1" customHeight="1" outlineLevel="1" x14ac:dyDescent="0.45">
      <c r="A23" s="29" t="s">
        <v>249</v>
      </c>
      <c r="B23" s="44">
        <v>667667011</v>
      </c>
      <c r="C23" s="63">
        <v>2635140</v>
      </c>
      <c r="D23" s="63">
        <v>0</v>
      </c>
      <c r="E23" s="64">
        <v>665031871</v>
      </c>
      <c r="F23" s="63">
        <v>665031871</v>
      </c>
      <c r="G23" s="63">
        <v>0</v>
      </c>
      <c r="H23" s="65">
        <v>0</v>
      </c>
      <c r="I23" s="65">
        <v>0</v>
      </c>
      <c r="J23" s="65">
        <v>0</v>
      </c>
      <c r="K23" s="65">
        <v>0</v>
      </c>
      <c r="L23" s="65">
        <v>0</v>
      </c>
      <c r="M23" s="63">
        <v>0</v>
      </c>
      <c r="N23" s="1"/>
    </row>
    <row r="24" spans="1:14" ht="16" hidden="1" customHeight="1" outlineLevel="1" x14ac:dyDescent="0.45">
      <c r="A24" s="24" t="s">
        <v>287</v>
      </c>
      <c r="B24" s="45">
        <v>0</v>
      </c>
      <c r="C24" s="63">
        <v>0</v>
      </c>
      <c r="D24" s="63">
        <v>0</v>
      </c>
      <c r="E24" s="64">
        <v>0</v>
      </c>
      <c r="F24" s="63">
        <v>0</v>
      </c>
      <c r="G24" s="63">
        <v>0</v>
      </c>
      <c r="H24" s="65">
        <v>0</v>
      </c>
      <c r="I24" s="65">
        <v>0</v>
      </c>
      <c r="J24" s="65">
        <v>0</v>
      </c>
      <c r="K24" s="65">
        <v>0</v>
      </c>
      <c r="L24" s="65">
        <v>0</v>
      </c>
      <c r="M24" s="63">
        <v>0</v>
      </c>
      <c r="N24" s="1"/>
    </row>
    <row r="25" spans="1:14" ht="16" customHeight="1" collapsed="1" x14ac:dyDescent="0.45">
      <c r="A25" s="27" t="s">
        <v>14</v>
      </c>
      <c r="B25" s="42">
        <v>35789968887</v>
      </c>
      <c r="C25" s="57">
        <v>1536929333</v>
      </c>
      <c r="D25" s="57">
        <v>0</v>
      </c>
      <c r="E25" s="58">
        <v>34253039554</v>
      </c>
      <c r="F25" s="58">
        <v>14850136586</v>
      </c>
      <c r="G25" s="58">
        <v>27789000</v>
      </c>
      <c r="H25" s="58">
        <v>11693925818</v>
      </c>
      <c r="I25" s="58">
        <v>877094670</v>
      </c>
      <c r="J25" s="58">
        <v>-200859749</v>
      </c>
      <c r="K25" s="58">
        <v>2253480236</v>
      </c>
      <c r="L25" s="58">
        <v>81159184</v>
      </c>
      <c r="M25" s="58">
        <v>4670313809</v>
      </c>
      <c r="N25" s="1"/>
    </row>
    <row r="26" spans="1:14" s="1" customFormat="1" ht="16" hidden="1" customHeight="1" outlineLevel="1" collapsed="1" x14ac:dyDescent="0.45">
      <c r="A26" s="28" t="s">
        <v>15</v>
      </c>
      <c r="B26" s="43">
        <v>35789968887</v>
      </c>
      <c r="C26" s="60">
        <v>1536929333</v>
      </c>
      <c r="D26" s="60">
        <v>0</v>
      </c>
      <c r="E26" s="61">
        <v>34253039554</v>
      </c>
      <c r="F26" s="60">
        <v>14850136586</v>
      </c>
      <c r="G26" s="60">
        <v>27789000</v>
      </c>
      <c r="H26" s="62">
        <v>11693925818</v>
      </c>
      <c r="I26" s="62">
        <v>877094670</v>
      </c>
      <c r="J26" s="62">
        <v>-200859749</v>
      </c>
      <c r="K26" s="62">
        <v>2253480236</v>
      </c>
      <c r="L26" s="62">
        <v>81159184</v>
      </c>
      <c r="M26" s="60">
        <v>4670313809</v>
      </c>
    </row>
    <row r="27" spans="1:14" s="1" customFormat="1" ht="16" customHeight="1" collapsed="1" x14ac:dyDescent="0.45">
      <c r="A27" s="27" t="s">
        <v>16</v>
      </c>
      <c r="B27" s="42">
        <v>17965495663</v>
      </c>
      <c r="C27" s="57">
        <v>-4889761830</v>
      </c>
      <c r="D27" s="57">
        <v>202513363</v>
      </c>
      <c r="E27" s="58">
        <v>22652744130</v>
      </c>
      <c r="F27" s="57">
        <v>11389499690.801842</v>
      </c>
      <c r="G27" s="57">
        <v>3572268999.1981578</v>
      </c>
      <c r="H27" s="59">
        <v>3532743832</v>
      </c>
      <c r="I27" s="59">
        <v>69410357</v>
      </c>
      <c r="J27" s="59">
        <v>952825706</v>
      </c>
      <c r="K27" s="59">
        <v>542954679</v>
      </c>
      <c r="L27" s="59">
        <v>1443439135</v>
      </c>
      <c r="M27" s="57">
        <v>1149601731</v>
      </c>
    </row>
    <row r="28" spans="1:14" s="1" customFormat="1" collapsed="1" x14ac:dyDescent="0.45">
      <c r="A28" s="27" t="s">
        <v>17</v>
      </c>
      <c r="B28" s="42">
        <v>17643204990</v>
      </c>
      <c r="C28" s="57">
        <v>-332508557</v>
      </c>
      <c r="D28" s="57">
        <v>525225710</v>
      </c>
      <c r="E28" s="58">
        <v>17450487837</v>
      </c>
      <c r="F28" s="57">
        <v>8722220101.1461506</v>
      </c>
      <c r="G28" s="57">
        <v>2223901798.6718235</v>
      </c>
      <c r="H28" s="59">
        <v>2803598571.1820259</v>
      </c>
      <c r="I28" s="59">
        <v>6343317.8105402123</v>
      </c>
      <c r="J28" s="59">
        <v>836767059.57204568</v>
      </c>
      <c r="K28" s="59">
        <v>439965079.36023349</v>
      </c>
      <c r="L28" s="59">
        <v>1792507482.2571807</v>
      </c>
      <c r="M28" s="57">
        <v>625184427</v>
      </c>
    </row>
    <row r="29" spans="1:14" s="1" customFormat="1" x14ac:dyDescent="0.45">
      <c r="A29" s="28" t="s">
        <v>18</v>
      </c>
      <c r="B29" s="43">
        <v>107876570</v>
      </c>
      <c r="C29" s="60">
        <v>33960440</v>
      </c>
      <c r="D29" s="60">
        <v>16220000</v>
      </c>
      <c r="E29" s="61">
        <v>57696130</v>
      </c>
      <c r="F29" s="60">
        <v>44638484.452360779</v>
      </c>
      <c r="G29" s="60">
        <v>1538165.5476392214</v>
      </c>
      <c r="H29" s="62">
        <v>0</v>
      </c>
      <c r="I29" s="62">
        <v>1464732.4394790297</v>
      </c>
      <c r="J29" s="62">
        <v>1758433.8727528667</v>
      </c>
      <c r="K29" s="62">
        <v>7054198.7746015489</v>
      </c>
      <c r="L29" s="62">
        <v>1242114.9131665544</v>
      </c>
      <c r="M29" s="60">
        <v>0</v>
      </c>
    </row>
    <row r="30" spans="1:14" s="1" customFormat="1" x14ac:dyDescent="0.45">
      <c r="A30" s="28" t="s">
        <v>19</v>
      </c>
      <c r="B30" s="43">
        <v>6368542380</v>
      </c>
      <c r="C30" s="66">
        <v>373881070</v>
      </c>
      <c r="D30" s="60">
        <v>156545530</v>
      </c>
      <c r="E30" s="61">
        <v>5838115780</v>
      </c>
      <c r="F30" s="60">
        <v>3511029872.3578491</v>
      </c>
      <c r="G30" s="60">
        <v>1136827122.195318</v>
      </c>
      <c r="H30" s="62">
        <v>413818625.4468329</v>
      </c>
      <c r="I30" s="62">
        <v>40660078.026456803</v>
      </c>
      <c r="J30" s="62">
        <v>48813050.454406761</v>
      </c>
      <c r="K30" s="62">
        <v>195820250.07342055</v>
      </c>
      <c r="L30" s="62">
        <v>414505331.4457159</v>
      </c>
      <c r="M30" s="60">
        <v>76641450</v>
      </c>
    </row>
    <row r="31" spans="1:14" s="1" customFormat="1" ht="16" hidden="1" customHeight="1" outlineLevel="1" x14ac:dyDescent="0.45">
      <c r="A31" s="29" t="s">
        <v>20</v>
      </c>
      <c r="B31" s="44">
        <v>696611020</v>
      </c>
      <c r="C31" s="63">
        <v>171774809.99999994</v>
      </c>
      <c r="D31" s="63">
        <v>60044400</v>
      </c>
      <c r="E31" s="64">
        <v>464791810.00000006</v>
      </c>
      <c r="F31" s="63">
        <v>217178716.26586828</v>
      </c>
      <c r="G31" s="63">
        <v>91942985.484720141</v>
      </c>
      <c r="H31" s="65">
        <v>26578078.249411583</v>
      </c>
      <c r="I31" s="65">
        <v>7932719.2499139691</v>
      </c>
      <c r="J31" s="65">
        <v>8044547.5491499053</v>
      </c>
      <c r="K31" s="65">
        <v>17446881.694840379</v>
      </c>
      <c r="L31" s="65">
        <v>53306251.506095745</v>
      </c>
      <c r="M31" s="63">
        <v>42361630</v>
      </c>
    </row>
    <row r="32" spans="1:14" ht="16" hidden="1" customHeight="1" outlineLevel="1" x14ac:dyDescent="0.45">
      <c r="A32" s="29" t="s">
        <v>21</v>
      </c>
      <c r="B32" s="44">
        <v>129394750</v>
      </c>
      <c r="C32" s="63">
        <v>31863490</v>
      </c>
      <c r="D32" s="63">
        <v>11104510</v>
      </c>
      <c r="E32" s="64">
        <v>86426750</v>
      </c>
      <c r="F32" s="63">
        <v>40671043.454802394</v>
      </c>
      <c r="G32" s="63">
        <v>16737515.230773248</v>
      </c>
      <c r="H32" s="65">
        <v>4895571.3144243555</v>
      </c>
      <c r="I32" s="65">
        <v>1466505.8207538666</v>
      </c>
      <c r="J32" s="65">
        <v>1489167.2349776381</v>
      </c>
      <c r="K32" s="65">
        <v>3253147.8458785769</v>
      </c>
      <c r="L32" s="65">
        <v>10154529.098389918</v>
      </c>
      <c r="M32" s="63">
        <v>7759270</v>
      </c>
      <c r="N32" s="1"/>
    </row>
    <row r="33" spans="1:14" ht="16" hidden="1" customHeight="1" outlineLevel="1" x14ac:dyDescent="0.45">
      <c r="A33" s="29" t="s">
        <v>22</v>
      </c>
      <c r="B33" s="44">
        <v>33400010</v>
      </c>
      <c r="C33" s="63">
        <v>8300000</v>
      </c>
      <c r="D33" s="63">
        <v>2800000</v>
      </c>
      <c r="E33" s="64">
        <v>22300010</v>
      </c>
      <c r="F33" s="63">
        <v>9906959.6770275086</v>
      </c>
      <c r="G33" s="63">
        <v>3256002.9536901889</v>
      </c>
      <c r="H33" s="65">
        <v>1114457.3692823022</v>
      </c>
      <c r="I33" s="65">
        <v>441879.23529908923</v>
      </c>
      <c r="J33" s="65">
        <v>460302.43831427232</v>
      </c>
      <c r="K33" s="65">
        <v>1142493.3671085269</v>
      </c>
      <c r="L33" s="65">
        <v>4277914.9592781113</v>
      </c>
      <c r="M33" s="63">
        <v>1700000</v>
      </c>
      <c r="N33" s="1"/>
    </row>
    <row r="34" spans="1:14" ht="16" hidden="1" customHeight="1" outlineLevel="1" x14ac:dyDescent="0.45">
      <c r="A34" s="29" t="s">
        <v>171</v>
      </c>
      <c r="B34" s="44">
        <v>656290</v>
      </c>
      <c r="C34" s="63">
        <v>0</v>
      </c>
      <c r="D34" s="63">
        <v>0</v>
      </c>
      <c r="E34" s="64">
        <v>656290</v>
      </c>
      <c r="F34" s="63">
        <v>0</v>
      </c>
      <c r="G34" s="63">
        <v>0</v>
      </c>
      <c r="H34" s="65">
        <v>656290</v>
      </c>
      <c r="I34" s="65">
        <v>0</v>
      </c>
      <c r="J34" s="65">
        <v>0</v>
      </c>
      <c r="K34" s="65">
        <v>0</v>
      </c>
      <c r="L34" s="65">
        <v>0</v>
      </c>
      <c r="M34" s="63">
        <v>0</v>
      </c>
      <c r="N34" s="1"/>
    </row>
    <row r="35" spans="1:14" ht="16" hidden="1" customHeight="1" outlineLevel="1" x14ac:dyDescent="0.45">
      <c r="A35" s="29" t="s">
        <v>23</v>
      </c>
      <c r="B35" s="44">
        <v>12414830</v>
      </c>
      <c r="C35" s="63">
        <v>1546160</v>
      </c>
      <c r="D35" s="63">
        <v>332940</v>
      </c>
      <c r="E35" s="64">
        <v>10535730</v>
      </c>
      <c r="F35" s="63">
        <v>6624083.1392683461</v>
      </c>
      <c r="G35" s="63">
        <v>2984366.8607316539</v>
      </c>
      <c r="H35" s="65">
        <v>75730</v>
      </c>
      <c r="I35" s="65">
        <v>0</v>
      </c>
      <c r="J35" s="65">
        <v>0</v>
      </c>
      <c r="K35" s="65">
        <v>0</v>
      </c>
      <c r="L35" s="65">
        <v>263810</v>
      </c>
      <c r="M35" s="63">
        <v>587740</v>
      </c>
      <c r="N35" s="1"/>
    </row>
    <row r="36" spans="1:14" ht="16" hidden="1" customHeight="1" outlineLevel="1" x14ac:dyDescent="0.45">
      <c r="A36" s="29" t="s">
        <v>24</v>
      </c>
      <c r="B36" s="44">
        <v>20770510</v>
      </c>
      <c r="C36" s="63">
        <v>6822970</v>
      </c>
      <c r="D36" s="63">
        <v>1618410</v>
      </c>
      <c r="E36" s="64">
        <v>12329130</v>
      </c>
      <c r="F36" s="63">
        <v>4930460.6130101848</v>
      </c>
      <c r="G36" s="63">
        <v>3075762.9391600103</v>
      </c>
      <c r="H36" s="65">
        <v>561316.44782980473</v>
      </c>
      <c r="I36" s="65">
        <v>178920.89815948557</v>
      </c>
      <c r="J36" s="65">
        <v>214537.62888100132</v>
      </c>
      <c r="K36" s="65">
        <v>1355452.0671227896</v>
      </c>
      <c r="L36" s="65">
        <v>418609.4058367234</v>
      </c>
      <c r="M36" s="63">
        <v>1594070</v>
      </c>
      <c r="N36" s="1"/>
    </row>
    <row r="37" spans="1:14" ht="16" hidden="1" customHeight="1" outlineLevel="1" x14ac:dyDescent="0.45">
      <c r="A37" s="29" t="s">
        <v>122</v>
      </c>
      <c r="B37" s="44">
        <v>328061080</v>
      </c>
      <c r="C37" s="63">
        <v>20517050</v>
      </c>
      <c r="D37" s="63">
        <v>0</v>
      </c>
      <c r="E37" s="64">
        <v>307544030</v>
      </c>
      <c r="F37" s="63">
        <v>20823000</v>
      </c>
      <c r="G37" s="63">
        <v>0</v>
      </c>
      <c r="H37" s="65">
        <v>278189820</v>
      </c>
      <c r="I37" s="65">
        <v>0</v>
      </c>
      <c r="J37" s="65">
        <v>0</v>
      </c>
      <c r="K37" s="65">
        <v>8531210</v>
      </c>
      <c r="L37" s="65">
        <v>0</v>
      </c>
      <c r="M37" s="63">
        <v>0</v>
      </c>
      <c r="N37" s="1"/>
    </row>
    <row r="38" spans="1:14" ht="16" hidden="1" customHeight="1" outlineLevel="1" x14ac:dyDescent="0.45">
      <c r="A38" s="29" t="s">
        <v>123</v>
      </c>
      <c r="B38" s="44">
        <v>57175740</v>
      </c>
      <c r="C38" s="63">
        <v>3316640</v>
      </c>
      <c r="D38" s="63">
        <v>0</v>
      </c>
      <c r="E38" s="64">
        <v>53859100</v>
      </c>
      <c r="F38" s="63">
        <v>3741380</v>
      </c>
      <c r="G38" s="63">
        <v>0</v>
      </c>
      <c r="H38" s="65">
        <v>48672780</v>
      </c>
      <c r="I38" s="65">
        <v>0</v>
      </c>
      <c r="J38" s="65">
        <v>0</v>
      </c>
      <c r="K38" s="65">
        <v>1444940</v>
      </c>
      <c r="L38" s="65">
        <v>0</v>
      </c>
      <c r="M38" s="63">
        <v>0</v>
      </c>
      <c r="N38" s="1"/>
    </row>
    <row r="39" spans="1:14" ht="16" hidden="1" customHeight="1" outlineLevel="1" x14ac:dyDescent="0.45">
      <c r="A39" s="29" t="s">
        <v>124</v>
      </c>
      <c r="B39" s="44">
        <v>1093550</v>
      </c>
      <c r="C39" s="63">
        <v>0</v>
      </c>
      <c r="D39" s="63">
        <v>0</v>
      </c>
      <c r="E39" s="64">
        <v>1093550</v>
      </c>
      <c r="F39" s="63">
        <v>0</v>
      </c>
      <c r="G39" s="63">
        <v>0</v>
      </c>
      <c r="H39" s="65">
        <v>1093550</v>
      </c>
      <c r="I39" s="65">
        <v>0</v>
      </c>
      <c r="J39" s="65">
        <v>0</v>
      </c>
      <c r="K39" s="65">
        <v>0</v>
      </c>
      <c r="L39" s="65">
        <v>0</v>
      </c>
      <c r="M39" s="63">
        <v>0</v>
      </c>
      <c r="N39" s="1"/>
    </row>
    <row r="40" spans="1:14" ht="16" hidden="1" customHeight="1" outlineLevel="1" x14ac:dyDescent="0.45">
      <c r="A40" s="29" t="s">
        <v>125</v>
      </c>
      <c r="B40" s="44">
        <v>0</v>
      </c>
      <c r="C40" s="63">
        <v>0</v>
      </c>
      <c r="D40" s="63">
        <v>0</v>
      </c>
      <c r="E40" s="64">
        <v>0</v>
      </c>
      <c r="F40" s="63">
        <v>0</v>
      </c>
      <c r="G40" s="63">
        <v>0</v>
      </c>
      <c r="H40" s="65">
        <v>0</v>
      </c>
      <c r="I40" s="65">
        <v>0</v>
      </c>
      <c r="J40" s="65">
        <v>0</v>
      </c>
      <c r="K40" s="65">
        <v>0</v>
      </c>
      <c r="L40" s="65">
        <v>0</v>
      </c>
      <c r="M40" s="63">
        <v>0</v>
      </c>
      <c r="N40" s="1"/>
    </row>
    <row r="41" spans="1:14" ht="16" hidden="1" customHeight="1" outlineLevel="1" x14ac:dyDescent="0.45">
      <c r="A41" s="29" t="s">
        <v>172</v>
      </c>
      <c r="B41" s="44">
        <v>515090</v>
      </c>
      <c r="C41" s="63">
        <v>44070</v>
      </c>
      <c r="D41" s="63">
        <v>0</v>
      </c>
      <c r="E41" s="64">
        <v>471020</v>
      </c>
      <c r="F41" s="63">
        <v>0</v>
      </c>
      <c r="G41" s="63">
        <v>0</v>
      </c>
      <c r="H41" s="65">
        <v>471020</v>
      </c>
      <c r="I41" s="65">
        <v>0</v>
      </c>
      <c r="J41" s="65">
        <v>0</v>
      </c>
      <c r="K41" s="65">
        <v>0</v>
      </c>
      <c r="L41" s="65">
        <v>0</v>
      </c>
      <c r="M41" s="63">
        <v>0</v>
      </c>
      <c r="N41" s="1"/>
    </row>
    <row r="42" spans="1:14" ht="16" hidden="1" customHeight="1" outlineLevel="1" x14ac:dyDescent="0.45">
      <c r="A42" s="29" t="s">
        <v>173</v>
      </c>
      <c r="B42" s="44">
        <v>0</v>
      </c>
      <c r="C42" s="63">
        <v>0</v>
      </c>
      <c r="D42" s="63">
        <v>0</v>
      </c>
      <c r="E42" s="64">
        <v>0</v>
      </c>
      <c r="F42" s="63">
        <v>0</v>
      </c>
      <c r="G42" s="63">
        <v>0</v>
      </c>
      <c r="H42" s="65">
        <v>0</v>
      </c>
      <c r="I42" s="65">
        <v>0</v>
      </c>
      <c r="J42" s="65">
        <v>0</v>
      </c>
      <c r="K42" s="65">
        <v>0</v>
      </c>
      <c r="L42" s="65">
        <v>0</v>
      </c>
      <c r="M42" s="63">
        <v>0</v>
      </c>
      <c r="N42" s="1"/>
    </row>
    <row r="43" spans="1:14" ht="16" hidden="1" customHeight="1" outlineLevel="1" x14ac:dyDescent="0.45">
      <c r="A43" s="29" t="s">
        <v>25</v>
      </c>
      <c r="B43" s="44">
        <v>27590000</v>
      </c>
      <c r="C43" s="63">
        <v>7130000</v>
      </c>
      <c r="D43" s="63">
        <v>2480000</v>
      </c>
      <c r="E43" s="64">
        <v>17980000</v>
      </c>
      <c r="F43" s="63">
        <v>8363681.1003621751</v>
      </c>
      <c r="G43" s="63">
        <v>3868646.8337529982</v>
      </c>
      <c r="H43" s="65">
        <v>1097672.0658848262</v>
      </c>
      <c r="I43" s="65">
        <v>271917.32233039162</v>
      </c>
      <c r="J43" s="65">
        <v>279821.10308394028</v>
      </c>
      <c r="K43" s="65">
        <v>654835.09847028507</v>
      </c>
      <c r="L43" s="65">
        <v>1893426.476115383</v>
      </c>
      <c r="M43" s="63">
        <v>1550000</v>
      </c>
      <c r="N43" s="1"/>
    </row>
    <row r="44" spans="1:14" ht="16" hidden="1" customHeight="1" outlineLevel="1" x14ac:dyDescent="0.45">
      <c r="A44" s="29" t="s">
        <v>174</v>
      </c>
      <c r="B44" s="44">
        <v>0</v>
      </c>
      <c r="C44" s="63">
        <v>0</v>
      </c>
      <c r="D44" s="63">
        <v>0</v>
      </c>
      <c r="E44" s="64">
        <v>0</v>
      </c>
      <c r="F44" s="63">
        <v>0</v>
      </c>
      <c r="G44" s="63">
        <v>0</v>
      </c>
      <c r="H44" s="65">
        <v>0</v>
      </c>
      <c r="I44" s="65">
        <v>0</v>
      </c>
      <c r="J44" s="65">
        <v>0</v>
      </c>
      <c r="K44" s="65">
        <v>0</v>
      </c>
      <c r="L44" s="65">
        <v>0</v>
      </c>
      <c r="M44" s="63">
        <v>0</v>
      </c>
      <c r="N44" s="1"/>
    </row>
    <row r="45" spans="1:14" ht="16" hidden="1" customHeight="1" outlineLevel="1" x14ac:dyDescent="0.45">
      <c r="A45" s="29" t="s">
        <v>126</v>
      </c>
      <c r="B45" s="44">
        <v>24005000</v>
      </c>
      <c r="C45" s="63">
        <v>1560000</v>
      </c>
      <c r="D45" s="63">
        <v>0</v>
      </c>
      <c r="E45" s="64">
        <v>22445000</v>
      </c>
      <c r="F45" s="63">
        <v>1550000</v>
      </c>
      <c r="G45" s="63">
        <v>0</v>
      </c>
      <c r="H45" s="65">
        <v>20275000</v>
      </c>
      <c r="I45" s="65">
        <v>0</v>
      </c>
      <c r="J45" s="65">
        <v>0</v>
      </c>
      <c r="K45" s="65">
        <v>620000</v>
      </c>
      <c r="L45" s="65">
        <v>0</v>
      </c>
      <c r="M45" s="63">
        <v>0</v>
      </c>
      <c r="N45" s="1"/>
    </row>
    <row r="46" spans="1:14" ht="16" hidden="1" customHeight="1" outlineLevel="1" x14ac:dyDescent="0.45">
      <c r="A46" s="29" t="s">
        <v>175</v>
      </c>
      <c r="B46" s="44">
        <v>0</v>
      </c>
      <c r="C46" s="63">
        <v>0</v>
      </c>
      <c r="D46" s="63">
        <v>0</v>
      </c>
      <c r="E46" s="64">
        <v>0</v>
      </c>
      <c r="F46" s="63">
        <v>0</v>
      </c>
      <c r="G46" s="63">
        <v>0</v>
      </c>
      <c r="H46" s="65">
        <v>0</v>
      </c>
      <c r="I46" s="65">
        <v>0</v>
      </c>
      <c r="J46" s="65">
        <v>0</v>
      </c>
      <c r="K46" s="65">
        <v>0</v>
      </c>
      <c r="L46" s="65">
        <v>0</v>
      </c>
      <c r="M46" s="63">
        <v>0</v>
      </c>
      <c r="N46" s="1"/>
    </row>
    <row r="47" spans="1:14" ht="16" hidden="1" customHeight="1" outlineLevel="1" x14ac:dyDescent="0.45">
      <c r="A47" s="29" t="s">
        <v>176</v>
      </c>
      <c r="B47" s="44">
        <v>0</v>
      </c>
      <c r="C47" s="63">
        <v>0</v>
      </c>
      <c r="D47" s="63">
        <v>0</v>
      </c>
      <c r="E47" s="64">
        <v>0</v>
      </c>
      <c r="F47" s="63">
        <v>0</v>
      </c>
      <c r="G47" s="63">
        <v>0</v>
      </c>
      <c r="H47" s="65">
        <v>0</v>
      </c>
      <c r="I47" s="65">
        <v>0</v>
      </c>
      <c r="J47" s="65">
        <v>0</v>
      </c>
      <c r="K47" s="65">
        <v>0</v>
      </c>
      <c r="L47" s="65">
        <v>0</v>
      </c>
      <c r="M47" s="63">
        <v>0</v>
      </c>
      <c r="N47" s="1"/>
    </row>
    <row r="48" spans="1:14" ht="16" hidden="1" customHeight="1" outlineLevel="1" x14ac:dyDescent="0.45">
      <c r="A48" s="29" t="s">
        <v>26</v>
      </c>
      <c r="B48" s="44">
        <v>3852882180</v>
      </c>
      <c r="C48" s="63">
        <v>87067890</v>
      </c>
      <c r="D48" s="63">
        <v>62046710</v>
      </c>
      <c r="E48" s="64">
        <v>3703767580</v>
      </c>
      <c r="F48" s="63">
        <v>2458699919.5908628</v>
      </c>
      <c r="G48" s="63">
        <v>785976180.40913725</v>
      </c>
      <c r="H48" s="65">
        <v>22970400</v>
      </c>
      <c r="I48" s="65">
        <v>24368034.5</v>
      </c>
      <c r="J48" s="65">
        <v>30921915.5</v>
      </c>
      <c r="K48" s="65">
        <v>127276480</v>
      </c>
      <c r="L48" s="65">
        <v>237340310</v>
      </c>
      <c r="M48" s="63">
        <v>16214340</v>
      </c>
      <c r="N48" s="1"/>
    </row>
    <row r="49" spans="1:14" ht="16" hidden="1" customHeight="1" outlineLevel="1" x14ac:dyDescent="0.45">
      <c r="A49" s="29" t="s">
        <v>27</v>
      </c>
      <c r="B49" s="44">
        <v>697484940</v>
      </c>
      <c r="C49" s="63">
        <v>14649690</v>
      </c>
      <c r="D49" s="63">
        <v>10367750</v>
      </c>
      <c r="E49" s="64">
        <v>672467500</v>
      </c>
      <c r="F49" s="63">
        <v>450883909.37585121</v>
      </c>
      <c r="G49" s="63">
        <v>144144510.62414879</v>
      </c>
      <c r="H49" s="65">
        <v>4148230</v>
      </c>
      <c r="I49" s="65">
        <v>3882351</v>
      </c>
      <c r="J49" s="65">
        <v>4745509</v>
      </c>
      <c r="K49" s="65">
        <v>21786790</v>
      </c>
      <c r="L49" s="65">
        <v>40136800</v>
      </c>
      <c r="M49" s="63">
        <v>2739400</v>
      </c>
      <c r="N49" s="1"/>
    </row>
    <row r="50" spans="1:14" ht="16" hidden="1" customHeight="1" outlineLevel="1" x14ac:dyDescent="0.45">
      <c r="A50" s="29" t="s">
        <v>28</v>
      </c>
      <c r="B50" s="44">
        <v>123335560</v>
      </c>
      <c r="C50" s="63">
        <v>5764530</v>
      </c>
      <c r="D50" s="63">
        <v>600000</v>
      </c>
      <c r="E50" s="64">
        <v>116971030</v>
      </c>
      <c r="F50" s="63">
        <v>87532300</v>
      </c>
      <c r="G50" s="63">
        <v>23793560</v>
      </c>
      <c r="H50" s="65">
        <v>1200000</v>
      </c>
      <c r="I50" s="65">
        <v>405000</v>
      </c>
      <c r="J50" s="65">
        <v>495000</v>
      </c>
      <c r="K50" s="65">
        <v>3545170</v>
      </c>
      <c r="L50" s="65">
        <v>0</v>
      </c>
      <c r="M50" s="63">
        <v>0</v>
      </c>
      <c r="N50" s="1"/>
    </row>
    <row r="51" spans="1:14" ht="16" hidden="1" customHeight="1" outlineLevel="1" x14ac:dyDescent="0.45">
      <c r="A51" s="29" t="s">
        <v>29</v>
      </c>
      <c r="B51" s="44">
        <v>270330000</v>
      </c>
      <c r="C51" s="63">
        <v>5630000</v>
      </c>
      <c r="D51" s="63">
        <v>4185000</v>
      </c>
      <c r="E51" s="64">
        <v>260515000</v>
      </c>
      <c r="F51" s="63">
        <v>174581779.31557</v>
      </c>
      <c r="G51" s="63">
        <v>54463220.684429996</v>
      </c>
      <c r="H51" s="65">
        <v>1550000</v>
      </c>
      <c r="I51" s="65">
        <v>1712750</v>
      </c>
      <c r="J51" s="65">
        <v>2162250</v>
      </c>
      <c r="K51" s="65">
        <v>8695000</v>
      </c>
      <c r="L51" s="65">
        <v>16215000</v>
      </c>
      <c r="M51" s="63">
        <v>1135000</v>
      </c>
      <c r="N51" s="1"/>
    </row>
    <row r="52" spans="1:14" ht="16" hidden="1" customHeight="1" outlineLevel="1" x14ac:dyDescent="0.45">
      <c r="A52" s="29" t="s">
        <v>127</v>
      </c>
      <c r="B52" s="44">
        <v>120000</v>
      </c>
      <c r="C52" s="63">
        <v>60000</v>
      </c>
      <c r="D52" s="63">
        <v>60000</v>
      </c>
      <c r="E52" s="64">
        <v>0</v>
      </c>
      <c r="F52" s="63">
        <v>0</v>
      </c>
      <c r="G52" s="63">
        <v>0</v>
      </c>
      <c r="H52" s="65">
        <v>0</v>
      </c>
      <c r="I52" s="65">
        <v>0</v>
      </c>
      <c r="J52" s="65">
        <v>0</v>
      </c>
      <c r="K52" s="65">
        <v>0</v>
      </c>
      <c r="L52" s="65">
        <v>0</v>
      </c>
      <c r="M52" s="63">
        <v>0</v>
      </c>
      <c r="N52" s="1"/>
    </row>
    <row r="53" spans="1:14" ht="16" hidden="1" customHeight="1" outlineLevel="1" x14ac:dyDescent="0.45">
      <c r="A53" s="29" t="s">
        <v>177</v>
      </c>
      <c r="B53" s="44">
        <v>0</v>
      </c>
      <c r="C53" s="63">
        <v>0</v>
      </c>
      <c r="D53" s="63">
        <v>0</v>
      </c>
      <c r="E53" s="64">
        <v>0</v>
      </c>
      <c r="F53" s="63">
        <v>0</v>
      </c>
      <c r="G53" s="63">
        <v>0</v>
      </c>
      <c r="H53" s="65">
        <v>0</v>
      </c>
      <c r="I53" s="65">
        <v>0</v>
      </c>
      <c r="J53" s="65">
        <v>0</v>
      </c>
      <c r="K53" s="65">
        <v>0</v>
      </c>
      <c r="L53" s="65">
        <v>0</v>
      </c>
      <c r="M53" s="63">
        <v>0</v>
      </c>
      <c r="N53" s="1"/>
    </row>
    <row r="54" spans="1:14" ht="16" hidden="1" customHeight="1" outlineLevel="1" x14ac:dyDescent="0.45">
      <c r="A54" s="29" t="s">
        <v>30</v>
      </c>
      <c r="B54" s="44">
        <v>20225050</v>
      </c>
      <c r="C54" s="63">
        <v>3738740</v>
      </c>
      <c r="D54" s="63">
        <v>0</v>
      </c>
      <c r="E54" s="64">
        <v>16486310</v>
      </c>
      <c r="F54" s="63">
        <v>14708870</v>
      </c>
      <c r="G54" s="63">
        <v>477590</v>
      </c>
      <c r="H54" s="65">
        <v>0</v>
      </c>
      <c r="I54" s="65">
        <v>0</v>
      </c>
      <c r="J54" s="65">
        <v>0</v>
      </c>
      <c r="K54" s="65">
        <v>0</v>
      </c>
      <c r="L54" s="65">
        <v>1299850</v>
      </c>
      <c r="M54" s="63">
        <v>0</v>
      </c>
      <c r="N54" s="1"/>
    </row>
    <row r="55" spans="1:14" ht="16" hidden="1" customHeight="1" outlineLevel="1" x14ac:dyDescent="0.45">
      <c r="A55" s="29" t="s">
        <v>128</v>
      </c>
      <c r="B55" s="44">
        <v>47816090</v>
      </c>
      <c r="C55" s="63">
        <v>0</v>
      </c>
      <c r="D55" s="63">
        <v>0</v>
      </c>
      <c r="E55" s="64">
        <v>47816090</v>
      </c>
      <c r="F55" s="63">
        <v>0</v>
      </c>
      <c r="G55" s="63">
        <v>0</v>
      </c>
      <c r="H55" s="65">
        <v>0</v>
      </c>
      <c r="I55" s="65">
        <v>0</v>
      </c>
      <c r="J55" s="65">
        <v>0</v>
      </c>
      <c r="K55" s="65">
        <v>0</v>
      </c>
      <c r="L55" s="65">
        <v>47816090</v>
      </c>
      <c r="M55" s="63">
        <v>0</v>
      </c>
      <c r="N55" s="1"/>
    </row>
    <row r="56" spans="1:14" ht="16" hidden="1" customHeight="1" outlineLevel="1" x14ac:dyDescent="0.45">
      <c r="A56" s="29" t="s">
        <v>129</v>
      </c>
      <c r="B56" s="44">
        <v>727930</v>
      </c>
      <c r="C56" s="63">
        <v>0</v>
      </c>
      <c r="D56" s="63">
        <v>0</v>
      </c>
      <c r="E56" s="64">
        <v>727930</v>
      </c>
      <c r="F56" s="63">
        <v>0</v>
      </c>
      <c r="G56" s="63">
        <v>0</v>
      </c>
      <c r="H56" s="65">
        <v>0</v>
      </c>
      <c r="I56" s="65">
        <v>0</v>
      </c>
      <c r="J56" s="65">
        <v>0</v>
      </c>
      <c r="K56" s="65">
        <v>0</v>
      </c>
      <c r="L56" s="65">
        <v>727930</v>
      </c>
      <c r="M56" s="63">
        <v>0</v>
      </c>
      <c r="N56" s="1"/>
    </row>
    <row r="57" spans="1:14" ht="16" hidden="1" customHeight="1" outlineLevel="1" x14ac:dyDescent="0.45">
      <c r="A57" s="29" t="s">
        <v>178</v>
      </c>
      <c r="B57" s="44">
        <v>0</v>
      </c>
      <c r="C57" s="63">
        <v>0</v>
      </c>
      <c r="D57" s="63">
        <v>0</v>
      </c>
      <c r="E57" s="64">
        <v>0</v>
      </c>
      <c r="F57" s="63">
        <v>0</v>
      </c>
      <c r="G57" s="63">
        <v>0</v>
      </c>
      <c r="H57" s="65">
        <v>0</v>
      </c>
      <c r="I57" s="65">
        <v>0</v>
      </c>
      <c r="J57" s="65">
        <v>0</v>
      </c>
      <c r="K57" s="65">
        <v>0</v>
      </c>
      <c r="L57" s="65">
        <v>0</v>
      </c>
      <c r="M57" s="63">
        <v>0</v>
      </c>
      <c r="N57" s="1"/>
    </row>
    <row r="58" spans="1:14" ht="16" hidden="1" customHeight="1" outlineLevel="1" x14ac:dyDescent="0.45">
      <c r="A58" s="29" t="s">
        <v>31</v>
      </c>
      <c r="B58" s="44">
        <v>14176130</v>
      </c>
      <c r="C58" s="63">
        <v>2495030</v>
      </c>
      <c r="D58" s="63">
        <v>307730</v>
      </c>
      <c r="E58" s="64">
        <v>11373370</v>
      </c>
      <c r="F58" s="63">
        <v>8084998.10591322</v>
      </c>
      <c r="G58" s="63">
        <v>2885391.8940867805</v>
      </c>
      <c r="H58" s="65">
        <v>268710</v>
      </c>
      <c r="I58" s="65">
        <v>0</v>
      </c>
      <c r="J58" s="65">
        <v>0</v>
      </c>
      <c r="K58" s="65">
        <v>67850</v>
      </c>
      <c r="L58" s="65">
        <v>66420</v>
      </c>
      <c r="M58" s="63">
        <v>0</v>
      </c>
      <c r="N58" s="1"/>
    </row>
    <row r="59" spans="1:14" ht="16" hidden="1" customHeight="1" outlineLevel="1" x14ac:dyDescent="0.45">
      <c r="A59" s="29" t="s">
        <v>113</v>
      </c>
      <c r="B59" s="44">
        <v>0</v>
      </c>
      <c r="C59" s="63">
        <v>0</v>
      </c>
      <c r="D59" s="63">
        <v>0</v>
      </c>
      <c r="E59" s="64">
        <v>0</v>
      </c>
      <c r="F59" s="63">
        <v>0</v>
      </c>
      <c r="G59" s="63">
        <v>0</v>
      </c>
      <c r="H59" s="65">
        <v>0</v>
      </c>
      <c r="I59" s="65">
        <v>0</v>
      </c>
      <c r="J59" s="65">
        <v>0</v>
      </c>
      <c r="K59" s="65">
        <v>0</v>
      </c>
      <c r="L59" s="65">
        <v>0</v>
      </c>
      <c r="M59" s="63">
        <v>0</v>
      </c>
      <c r="N59" s="1"/>
    </row>
    <row r="60" spans="1:14" ht="16" hidden="1" customHeight="1" outlineLevel="1" x14ac:dyDescent="0.45">
      <c r="A60" s="29" t="s">
        <v>32</v>
      </c>
      <c r="B60" s="44">
        <v>9756630</v>
      </c>
      <c r="C60" s="63">
        <v>1600000</v>
      </c>
      <c r="D60" s="63">
        <v>598080</v>
      </c>
      <c r="E60" s="64">
        <v>7558550</v>
      </c>
      <c r="F60" s="63">
        <v>2748771.7193130539</v>
      </c>
      <c r="G60" s="63">
        <v>3221388.2806869461</v>
      </c>
      <c r="H60" s="65">
        <v>0</v>
      </c>
      <c r="I60" s="65">
        <v>0</v>
      </c>
      <c r="J60" s="65">
        <v>0</v>
      </c>
      <c r="K60" s="65">
        <v>0</v>
      </c>
      <c r="L60" s="65">
        <v>588390</v>
      </c>
      <c r="M60" s="63">
        <v>1000000</v>
      </c>
      <c r="N60" s="1"/>
    </row>
    <row r="61" spans="1:14" ht="16" hidden="1" customHeight="1" outlineLevel="1" x14ac:dyDescent="0.45">
      <c r="A61" s="24" t="s">
        <v>130</v>
      </c>
      <c r="B61" s="44">
        <v>0</v>
      </c>
      <c r="C61" s="63">
        <v>0</v>
      </c>
      <c r="D61" s="63">
        <v>0</v>
      </c>
      <c r="E61" s="64">
        <v>0</v>
      </c>
      <c r="F61" s="63">
        <v>0</v>
      </c>
      <c r="G61" s="63">
        <v>0</v>
      </c>
      <c r="H61" s="65">
        <v>0</v>
      </c>
      <c r="I61" s="65">
        <v>0</v>
      </c>
      <c r="J61" s="65">
        <v>0</v>
      </c>
      <c r="K61" s="65">
        <v>0</v>
      </c>
      <c r="L61" s="65">
        <v>0</v>
      </c>
      <c r="M61" s="63">
        <v>0</v>
      </c>
      <c r="N61" s="1"/>
    </row>
    <row r="62" spans="1:14" ht="16" hidden="1" customHeight="1" outlineLevel="1" x14ac:dyDescent="0.45">
      <c r="A62" s="29" t="s">
        <v>267</v>
      </c>
      <c r="B62" s="44">
        <v>0</v>
      </c>
      <c r="C62" s="63">
        <v>0</v>
      </c>
      <c r="D62" s="63">
        <v>0</v>
      </c>
      <c r="E62" s="64">
        <v>0</v>
      </c>
      <c r="F62" s="63">
        <v>0</v>
      </c>
      <c r="G62" s="63">
        <v>0</v>
      </c>
      <c r="H62" s="65">
        <v>0</v>
      </c>
      <c r="I62" s="65">
        <v>0</v>
      </c>
      <c r="J62" s="65">
        <v>0</v>
      </c>
      <c r="K62" s="65">
        <v>0</v>
      </c>
      <c r="L62" s="65">
        <v>0</v>
      </c>
      <c r="M62" s="63">
        <v>0</v>
      </c>
      <c r="N62" s="1"/>
    </row>
    <row r="63" spans="1:14" ht="16" customHeight="1" collapsed="1" x14ac:dyDescent="0.45">
      <c r="A63" s="28" t="s">
        <v>33</v>
      </c>
      <c r="B63" s="43">
        <v>941343684</v>
      </c>
      <c r="C63" s="60">
        <v>904458164</v>
      </c>
      <c r="D63" s="60">
        <v>0</v>
      </c>
      <c r="E63" s="61">
        <v>36885520</v>
      </c>
      <c r="F63" s="60">
        <v>1150000</v>
      </c>
      <c r="G63" s="60">
        <v>0</v>
      </c>
      <c r="H63" s="62">
        <v>28865520</v>
      </c>
      <c r="I63" s="62">
        <v>0</v>
      </c>
      <c r="J63" s="62">
        <v>0</v>
      </c>
      <c r="K63" s="62">
        <v>870000</v>
      </c>
      <c r="L63" s="62">
        <v>6000000</v>
      </c>
      <c r="M63" s="60">
        <v>0</v>
      </c>
      <c r="N63" s="1"/>
    </row>
    <row r="64" spans="1:14" s="1" customFormat="1" ht="16" hidden="1" customHeight="1" outlineLevel="1" collapsed="1" x14ac:dyDescent="0.45">
      <c r="A64" s="29" t="s">
        <v>34</v>
      </c>
      <c r="B64" s="44">
        <v>115597020</v>
      </c>
      <c r="C64" s="63">
        <v>115597020</v>
      </c>
      <c r="D64" s="63">
        <v>0</v>
      </c>
      <c r="E64" s="64">
        <v>0</v>
      </c>
      <c r="F64" s="63">
        <v>0</v>
      </c>
      <c r="G64" s="63">
        <v>0</v>
      </c>
      <c r="H64" s="65">
        <v>0</v>
      </c>
      <c r="I64" s="65">
        <v>0</v>
      </c>
      <c r="J64" s="65">
        <v>0</v>
      </c>
      <c r="K64" s="65">
        <v>0</v>
      </c>
      <c r="L64" s="65">
        <v>0</v>
      </c>
      <c r="M64" s="63">
        <v>0</v>
      </c>
    </row>
    <row r="65" spans="1:14" ht="16" hidden="1" customHeight="1" outlineLevel="1" x14ac:dyDescent="0.45">
      <c r="A65" s="29" t="s">
        <v>179</v>
      </c>
      <c r="B65" s="44">
        <v>184797144</v>
      </c>
      <c r="C65" s="63">
        <v>184797144</v>
      </c>
      <c r="D65" s="63">
        <v>0</v>
      </c>
      <c r="E65" s="64">
        <v>0</v>
      </c>
      <c r="F65" s="63">
        <v>0</v>
      </c>
      <c r="G65" s="63">
        <v>0</v>
      </c>
      <c r="H65" s="65">
        <v>0</v>
      </c>
      <c r="I65" s="65">
        <v>0</v>
      </c>
      <c r="J65" s="65">
        <v>0</v>
      </c>
      <c r="K65" s="65">
        <v>0</v>
      </c>
      <c r="L65" s="65">
        <v>0</v>
      </c>
      <c r="M65" s="63">
        <v>0</v>
      </c>
      <c r="N65" s="1"/>
    </row>
    <row r="66" spans="1:14" ht="16" hidden="1" customHeight="1" outlineLevel="1" x14ac:dyDescent="0.45">
      <c r="A66" s="29" t="s">
        <v>180</v>
      </c>
      <c r="B66" s="44">
        <v>0</v>
      </c>
      <c r="C66" s="63">
        <v>0</v>
      </c>
      <c r="D66" s="63">
        <v>0</v>
      </c>
      <c r="E66" s="64">
        <v>0</v>
      </c>
      <c r="F66" s="63">
        <v>0</v>
      </c>
      <c r="G66" s="63">
        <v>0</v>
      </c>
      <c r="H66" s="65">
        <v>0</v>
      </c>
      <c r="I66" s="65">
        <v>0</v>
      </c>
      <c r="J66" s="65">
        <v>0</v>
      </c>
      <c r="K66" s="65">
        <v>0</v>
      </c>
      <c r="L66" s="65">
        <v>0</v>
      </c>
      <c r="M66" s="63">
        <v>0</v>
      </c>
      <c r="N66" s="1"/>
    </row>
    <row r="67" spans="1:14" ht="16" hidden="1" customHeight="1" outlineLevel="1" x14ac:dyDescent="0.45">
      <c r="A67" s="29" t="s">
        <v>131</v>
      </c>
      <c r="B67" s="44">
        <v>33125520</v>
      </c>
      <c r="C67" s="63">
        <v>2240000</v>
      </c>
      <c r="D67" s="63">
        <v>0</v>
      </c>
      <c r="E67" s="64">
        <v>30885520</v>
      </c>
      <c r="F67" s="63">
        <v>1150000</v>
      </c>
      <c r="G67" s="63">
        <v>0</v>
      </c>
      <c r="H67" s="65">
        <v>28865520</v>
      </c>
      <c r="I67" s="65">
        <v>0</v>
      </c>
      <c r="J67" s="65">
        <v>0</v>
      </c>
      <c r="K67" s="65">
        <v>870000</v>
      </c>
      <c r="L67" s="65">
        <v>0</v>
      </c>
      <c r="M67" s="63">
        <v>0</v>
      </c>
      <c r="N67" s="1"/>
    </row>
    <row r="68" spans="1:14" ht="16" hidden="1" customHeight="1" outlineLevel="1" x14ac:dyDescent="0.45">
      <c r="A68" s="29" t="s">
        <v>35</v>
      </c>
      <c r="B68" s="44">
        <v>601824000</v>
      </c>
      <c r="C68" s="63">
        <v>601824000</v>
      </c>
      <c r="D68" s="63">
        <v>0</v>
      </c>
      <c r="E68" s="64">
        <v>0</v>
      </c>
      <c r="F68" s="63">
        <v>0</v>
      </c>
      <c r="G68" s="63">
        <v>0</v>
      </c>
      <c r="H68" s="65">
        <v>0</v>
      </c>
      <c r="I68" s="65">
        <v>0</v>
      </c>
      <c r="J68" s="65">
        <v>0</v>
      </c>
      <c r="K68" s="65">
        <v>0</v>
      </c>
      <c r="L68" s="65">
        <v>0</v>
      </c>
      <c r="M68" s="63">
        <v>0</v>
      </c>
      <c r="N68" s="1"/>
    </row>
    <row r="69" spans="1:14" ht="16" hidden="1" customHeight="1" outlineLevel="1" x14ac:dyDescent="0.45">
      <c r="A69" s="29" t="s">
        <v>132</v>
      </c>
      <c r="B69" s="44">
        <v>6000000</v>
      </c>
      <c r="C69" s="63">
        <v>0</v>
      </c>
      <c r="D69" s="63">
        <v>0</v>
      </c>
      <c r="E69" s="64">
        <v>6000000</v>
      </c>
      <c r="F69" s="63">
        <v>0</v>
      </c>
      <c r="G69" s="63">
        <v>0</v>
      </c>
      <c r="H69" s="65">
        <v>0</v>
      </c>
      <c r="I69" s="65">
        <v>0</v>
      </c>
      <c r="J69" s="65">
        <v>0</v>
      </c>
      <c r="K69" s="65">
        <v>0</v>
      </c>
      <c r="L69" s="65">
        <v>6000000</v>
      </c>
      <c r="M69" s="63">
        <v>0</v>
      </c>
      <c r="N69" s="1"/>
    </row>
    <row r="70" spans="1:14" ht="16" customHeight="1" collapsed="1" x14ac:dyDescent="0.45">
      <c r="A70" s="28" t="s">
        <v>133</v>
      </c>
      <c r="B70" s="43">
        <v>7090160</v>
      </c>
      <c r="C70" s="60">
        <v>1012880</v>
      </c>
      <c r="D70" s="60">
        <v>0</v>
      </c>
      <c r="E70" s="61">
        <v>6077280</v>
      </c>
      <c r="F70" s="60">
        <v>0</v>
      </c>
      <c r="G70" s="60">
        <v>0</v>
      </c>
      <c r="H70" s="62">
        <v>0</v>
      </c>
      <c r="I70" s="62">
        <v>0</v>
      </c>
      <c r="J70" s="62">
        <v>4051520</v>
      </c>
      <c r="K70" s="62">
        <v>2025760</v>
      </c>
      <c r="L70" s="62">
        <v>0</v>
      </c>
      <c r="M70" s="60">
        <v>0</v>
      </c>
      <c r="N70" s="1"/>
    </row>
    <row r="71" spans="1:14" s="1" customFormat="1" collapsed="1" x14ac:dyDescent="0.45">
      <c r="A71" s="28" t="s">
        <v>36</v>
      </c>
      <c r="B71" s="43">
        <v>743627707</v>
      </c>
      <c r="C71" s="60">
        <v>50799054</v>
      </c>
      <c r="D71" s="60">
        <v>17848569</v>
      </c>
      <c r="E71" s="61">
        <v>674980084</v>
      </c>
      <c r="F71" s="60">
        <v>417765272.08053756</v>
      </c>
      <c r="G71" s="60">
        <v>125196768.82088152</v>
      </c>
      <c r="H71" s="62">
        <v>40546817.098580927</v>
      </c>
      <c r="I71" s="62">
        <v>4628957.2218148476</v>
      </c>
      <c r="J71" s="62">
        <v>5020807.0033309665</v>
      </c>
      <c r="K71" s="62">
        <v>20661350.16133431</v>
      </c>
      <c r="L71" s="62">
        <v>53649993.613519877</v>
      </c>
      <c r="M71" s="60">
        <v>7510118</v>
      </c>
    </row>
    <row r="72" spans="1:14" s="1" customFormat="1" ht="16" hidden="1" customHeight="1" outlineLevel="1" x14ac:dyDescent="0.45">
      <c r="A72" s="29" t="s">
        <v>37</v>
      </c>
      <c r="B72" s="44">
        <v>743627707</v>
      </c>
      <c r="C72" s="63">
        <v>50799054</v>
      </c>
      <c r="D72" s="63">
        <v>17848569</v>
      </c>
      <c r="E72" s="64">
        <v>674980084</v>
      </c>
      <c r="F72" s="63">
        <v>417765272.08053756</v>
      </c>
      <c r="G72" s="63">
        <v>125196768.82088152</v>
      </c>
      <c r="H72" s="65">
        <v>40546817.098580927</v>
      </c>
      <c r="I72" s="65">
        <v>4628957.2218148476</v>
      </c>
      <c r="J72" s="65">
        <v>5020807.0033309665</v>
      </c>
      <c r="K72" s="65">
        <v>20661350.16133431</v>
      </c>
      <c r="L72" s="65">
        <v>53649993.613519877</v>
      </c>
      <c r="M72" s="63">
        <v>7510118</v>
      </c>
    </row>
    <row r="73" spans="1:14" ht="16" customHeight="1" collapsed="1" x14ac:dyDescent="0.45">
      <c r="A73" s="28" t="s">
        <v>181</v>
      </c>
      <c r="B73" s="43">
        <v>8543053</v>
      </c>
      <c r="C73" s="60">
        <v>-10956947</v>
      </c>
      <c r="D73" s="60">
        <v>500000</v>
      </c>
      <c r="E73" s="61">
        <v>19000000</v>
      </c>
      <c r="F73" s="60">
        <v>14500000</v>
      </c>
      <c r="G73" s="60">
        <v>4000000</v>
      </c>
      <c r="H73" s="62">
        <v>0</v>
      </c>
      <c r="I73" s="62">
        <v>0</v>
      </c>
      <c r="J73" s="62">
        <v>0</v>
      </c>
      <c r="K73" s="62">
        <v>0</v>
      </c>
      <c r="L73" s="62">
        <v>500000</v>
      </c>
      <c r="M73" s="60">
        <v>0</v>
      </c>
      <c r="N73" s="1"/>
    </row>
    <row r="74" spans="1:14" s="1" customFormat="1" collapsed="1" x14ac:dyDescent="0.45">
      <c r="A74" s="28" t="s">
        <v>38</v>
      </c>
      <c r="B74" s="43">
        <v>3387016985</v>
      </c>
      <c r="C74" s="60">
        <v>310573296.99999952</v>
      </c>
      <c r="D74" s="60">
        <v>33262856</v>
      </c>
      <c r="E74" s="61">
        <v>3043180832.0000005</v>
      </c>
      <c r="F74" s="60">
        <v>2140749883.7934289</v>
      </c>
      <c r="G74" s="60">
        <v>385708815.55302072</v>
      </c>
      <c r="H74" s="62">
        <v>166286358.65355054</v>
      </c>
      <c r="I74" s="62">
        <v>12648810.387417428</v>
      </c>
      <c r="J74" s="62">
        <v>11277807.256358616</v>
      </c>
      <c r="K74" s="62">
        <v>58455680.291692197</v>
      </c>
      <c r="L74" s="62">
        <v>256653375.06453174</v>
      </c>
      <c r="M74" s="60">
        <v>11400101</v>
      </c>
    </row>
    <row r="75" spans="1:14" s="1" customFormat="1" ht="16" hidden="1" customHeight="1" outlineLevel="1" x14ac:dyDescent="0.45">
      <c r="A75" s="29" t="s">
        <v>39</v>
      </c>
      <c r="B75" s="44">
        <v>0</v>
      </c>
      <c r="C75" s="63">
        <v>0</v>
      </c>
      <c r="D75" s="63">
        <v>0</v>
      </c>
      <c r="E75" s="64">
        <v>0</v>
      </c>
      <c r="F75" s="63">
        <v>0</v>
      </c>
      <c r="G75" s="63">
        <v>0</v>
      </c>
      <c r="H75" s="65">
        <v>0</v>
      </c>
      <c r="I75" s="65">
        <v>0</v>
      </c>
      <c r="J75" s="65">
        <v>0</v>
      </c>
      <c r="K75" s="65">
        <v>0</v>
      </c>
      <c r="L75" s="65">
        <v>0</v>
      </c>
      <c r="M75" s="63">
        <v>0</v>
      </c>
    </row>
    <row r="76" spans="1:14" ht="16" hidden="1" customHeight="1" outlineLevel="1" x14ac:dyDescent="0.45">
      <c r="A76" s="29" t="s">
        <v>40</v>
      </c>
      <c r="B76" s="44">
        <v>66355500</v>
      </c>
      <c r="C76" s="63">
        <v>3438062.9999999925</v>
      </c>
      <c r="D76" s="63">
        <v>1382486</v>
      </c>
      <c r="E76" s="64">
        <v>61534951.000000007</v>
      </c>
      <c r="F76" s="63">
        <v>39182410.421988763</v>
      </c>
      <c r="G76" s="63">
        <v>10299845.884909367</v>
      </c>
      <c r="H76" s="65">
        <v>4165171.693101869</v>
      </c>
      <c r="I76" s="65">
        <v>384337.41310547816</v>
      </c>
      <c r="J76" s="65">
        <v>443011.56586768379</v>
      </c>
      <c r="K76" s="65">
        <v>1791905.6184189811</v>
      </c>
      <c r="L76" s="65">
        <v>4663482.4026078563</v>
      </c>
      <c r="M76" s="63">
        <v>604786</v>
      </c>
      <c r="N76" s="1"/>
    </row>
    <row r="77" spans="1:14" ht="16" hidden="1" customHeight="1" outlineLevel="1" x14ac:dyDescent="0.45">
      <c r="A77" s="29" t="s">
        <v>41</v>
      </c>
      <c r="B77" s="44">
        <v>370066270</v>
      </c>
      <c r="C77" s="63">
        <v>25280140.00000006</v>
      </c>
      <c r="D77" s="63">
        <v>8882340</v>
      </c>
      <c r="E77" s="64">
        <v>335903789.99999994</v>
      </c>
      <c r="F77" s="63">
        <v>207900856.46494818</v>
      </c>
      <c r="G77" s="63">
        <v>62304163.158694625</v>
      </c>
      <c r="H77" s="65">
        <v>20178120.376357198</v>
      </c>
      <c r="I77" s="65">
        <v>2303600.5869510798</v>
      </c>
      <c r="J77" s="65">
        <v>2498604.516263024</v>
      </c>
      <c r="K77" s="65">
        <v>10282119.942753095</v>
      </c>
      <c r="L77" s="65">
        <v>26698914.954032801</v>
      </c>
      <c r="M77" s="63">
        <v>3737410</v>
      </c>
      <c r="N77" s="1"/>
    </row>
    <row r="78" spans="1:14" ht="16" hidden="1" customHeight="1" outlineLevel="1" x14ac:dyDescent="0.45">
      <c r="A78" s="29" t="s">
        <v>42</v>
      </c>
      <c r="B78" s="44">
        <v>350748470</v>
      </c>
      <c r="C78" s="63">
        <v>18591869.99999994</v>
      </c>
      <c r="D78" s="63">
        <v>7852940</v>
      </c>
      <c r="E78" s="64">
        <v>324303660.00000006</v>
      </c>
      <c r="F78" s="63">
        <v>200720913.89886105</v>
      </c>
      <c r="G78" s="63">
        <v>62297220.954778418</v>
      </c>
      <c r="H78" s="65">
        <v>20962625.14636055</v>
      </c>
      <c r="I78" s="65">
        <v>2168675.6157806888</v>
      </c>
      <c r="J78" s="65">
        <v>2531324.5109613645</v>
      </c>
      <c r="K78" s="65">
        <v>9958202.4579129498</v>
      </c>
      <c r="L78" s="65">
        <v>22332557.415344998</v>
      </c>
      <c r="M78" s="63">
        <v>3332140</v>
      </c>
      <c r="N78" s="1"/>
    </row>
    <row r="79" spans="1:14" ht="16" hidden="1" customHeight="1" outlineLevel="1" x14ac:dyDescent="0.45">
      <c r="A79" s="29" t="s">
        <v>43</v>
      </c>
      <c r="B79" s="44">
        <v>149881530</v>
      </c>
      <c r="C79" s="63">
        <v>7373124</v>
      </c>
      <c r="D79" s="63">
        <v>3131340</v>
      </c>
      <c r="E79" s="64">
        <v>139377066</v>
      </c>
      <c r="F79" s="63">
        <v>88748414.149236113</v>
      </c>
      <c r="G79" s="63">
        <v>23329221.385763437</v>
      </c>
      <c r="H79" s="65">
        <v>9434141.4650004562</v>
      </c>
      <c r="I79" s="65">
        <v>870527.65995422588</v>
      </c>
      <c r="J79" s="65">
        <v>1003425.2187528317</v>
      </c>
      <c r="K79" s="65">
        <v>4058675.6943583712</v>
      </c>
      <c r="L79" s="65">
        <v>10562815.42693457</v>
      </c>
      <c r="M79" s="63">
        <v>1369845</v>
      </c>
      <c r="N79" s="1"/>
    </row>
    <row r="80" spans="1:14" ht="16" hidden="1" customHeight="1" outlineLevel="1" x14ac:dyDescent="0.45">
      <c r="A80" s="29" t="s">
        <v>134</v>
      </c>
      <c r="B80" s="44">
        <v>2100000</v>
      </c>
      <c r="C80" s="63">
        <v>2100000</v>
      </c>
      <c r="D80" s="63">
        <v>0</v>
      </c>
      <c r="E80" s="64">
        <v>0</v>
      </c>
      <c r="F80" s="63">
        <v>0</v>
      </c>
      <c r="G80" s="63">
        <v>0</v>
      </c>
      <c r="H80" s="65">
        <v>0</v>
      </c>
      <c r="I80" s="65">
        <v>0</v>
      </c>
      <c r="J80" s="65">
        <v>0</v>
      </c>
      <c r="K80" s="65">
        <v>0</v>
      </c>
      <c r="L80" s="65">
        <v>0</v>
      </c>
      <c r="M80" s="63">
        <v>0</v>
      </c>
      <c r="N80" s="1"/>
    </row>
    <row r="81" spans="1:14" ht="16" hidden="1" customHeight="1" outlineLevel="1" x14ac:dyDescent="0.45">
      <c r="A81" s="24" t="s">
        <v>44</v>
      </c>
      <c r="B81" s="45">
        <v>1633062131</v>
      </c>
      <c r="C81" s="63">
        <v>26871535</v>
      </c>
      <c r="D81" s="63">
        <v>320000</v>
      </c>
      <c r="E81" s="64">
        <v>1605870596</v>
      </c>
      <c r="F81" s="63">
        <v>1245493577</v>
      </c>
      <c r="G81" s="63">
        <v>206081250</v>
      </c>
      <c r="H81" s="65">
        <v>104604800</v>
      </c>
      <c r="I81" s="65">
        <v>6279215.2652678685</v>
      </c>
      <c r="J81" s="65">
        <v>3818764.8719625613</v>
      </c>
      <c r="K81" s="65">
        <v>30071237.128538802</v>
      </c>
      <c r="L81" s="65">
        <v>8555751.7342307679</v>
      </c>
      <c r="M81" s="63">
        <v>966000</v>
      </c>
      <c r="N81" s="1"/>
    </row>
    <row r="82" spans="1:14" ht="16" hidden="1" customHeight="1" outlineLevel="1" x14ac:dyDescent="0.45">
      <c r="A82" s="29" t="s">
        <v>45</v>
      </c>
      <c r="B82" s="44">
        <v>43747710</v>
      </c>
      <c r="C82" s="63">
        <v>2530000</v>
      </c>
      <c r="D82" s="63">
        <v>4600000</v>
      </c>
      <c r="E82" s="64">
        <v>36617710</v>
      </c>
      <c r="F82" s="63">
        <v>13088088.353271123</v>
      </c>
      <c r="G82" s="63">
        <v>5581911.646728876</v>
      </c>
      <c r="H82" s="65">
        <v>3100000</v>
      </c>
      <c r="I82" s="65">
        <v>275000</v>
      </c>
      <c r="J82" s="65">
        <v>425000</v>
      </c>
      <c r="K82" s="65">
        <v>400000</v>
      </c>
      <c r="L82" s="65">
        <v>12947710</v>
      </c>
      <c r="M82" s="63">
        <v>800000</v>
      </c>
      <c r="N82" s="1"/>
    </row>
    <row r="83" spans="1:14" ht="16" hidden="1" customHeight="1" outlineLevel="1" x14ac:dyDescent="0.45">
      <c r="A83" s="29" t="s">
        <v>46</v>
      </c>
      <c r="B83" s="44">
        <v>192191508</v>
      </c>
      <c r="C83" s="63">
        <v>188218008</v>
      </c>
      <c r="D83" s="63">
        <v>3192500</v>
      </c>
      <c r="E83" s="64">
        <v>781000</v>
      </c>
      <c r="F83" s="63">
        <v>312578.98134073796</v>
      </c>
      <c r="G83" s="63">
        <v>14273.441003998749</v>
      </c>
      <c r="H83" s="65">
        <v>3147.577655263311</v>
      </c>
      <c r="I83" s="65">
        <v>57345.846358085822</v>
      </c>
      <c r="J83" s="65">
        <v>68844.572551151854</v>
      </c>
      <c r="K83" s="65">
        <v>276179.44970999548</v>
      </c>
      <c r="L83" s="65">
        <v>48630.131380766841</v>
      </c>
      <c r="M83" s="63">
        <v>0</v>
      </c>
      <c r="N83" s="1"/>
    </row>
    <row r="84" spans="1:14" ht="16" hidden="1" customHeight="1" outlineLevel="1" x14ac:dyDescent="0.45">
      <c r="A84" s="29" t="s">
        <v>47</v>
      </c>
      <c r="B84" s="44">
        <v>9768101</v>
      </c>
      <c r="C84" s="63">
        <v>700917</v>
      </c>
      <c r="D84" s="63">
        <v>0</v>
      </c>
      <c r="E84" s="64">
        <v>9067184</v>
      </c>
      <c r="F84" s="63">
        <v>7367327.9655965948</v>
      </c>
      <c r="G84" s="63">
        <v>1206943.0344034054</v>
      </c>
      <c r="H84" s="65">
        <v>231277</v>
      </c>
      <c r="I84" s="65">
        <v>0</v>
      </c>
      <c r="J84" s="65">
        <v>0</v>
      </c>
      <c r="K84" s="65">
        <v>145090</v>
      </c>
      <c r="L84" s="65">
        <v>33636</v>
      </c>
      <c r="M84" s="63">
        <v>82910</v>
      </c>
      <c r="N84" s="1"/>
    </row>
    <row r="85" spans="1:14" ht="16" hidden="1" customHeight="1" outlineLevel="1" x14ac:dyDescent="0.45">
      <c r="A85" s="29" t="s">
        <v>246</v>
      </c>
      <c r="B85" s="44">
        <v>17700000</v>
      </c>
      <c r="C85" s="63">
        <v>3200000</v>
      </c>
      <c r="D85" s="63">
        <v>0</v>
      </c>
      <c r="E85" s="64">
        <v>14500000</v>
      </c>
      <c r="F85" s="63">
        <v>14500000</v>
      </c>
      <c r="G85" s="63">
        <v>0</v>
      </c>
      <c r="H85" s="65">
        <v>0</v>
      </c>
      <c r="I85" s="65">
        <v>0</v>
      </c>
      <c r="J85" s="65">
        <v>0</v>
      </c>
      <c r="K85" s="65">
        <v>0</v>
      </c>
      <c r="L85" s="65">
        <v>0</v>
      </c>
      <c r="M85" s="63">
        <v>0</v>
      </c>
      <c r="N85" s="1"/>
    </row>
    <row r="86" spans="1:14" ht="16" hidden="1" customHeight="1" outlineLevel="1" x14ac:dyDescent="0.45">
      <c r="A86" s="29" t="s">
        <v>48</v>
      </c>
      <c r="B86" s="44">
        <v>41967330</v>
      </c>
      <c r="C86" s="63">
        <v>4039780</v>
      </c>
      <c r="D86" s="63">
        <v>2610150</v>
      </c>
      <c r="E86" s="64">
        <v>35317400</v>
      </c>
      <c r="F86" s="63">
        <v>20622555.853540324</v>
      </c>
      <c r="G86" s="63">
        <v>8413944.1464596782</v>
      </c>
      <c r="H86" s="65">
        <v>2148810</v>
      </c>
      <c r="I86" s="65">
        <v>275108</v>
      </c>
      <c r="J86" s="65">
        <v>373832</v>
      </c>
      <c r="K86" s="65">
        <v>1002270</v>
      </c>
      <c r="L86" s="65">
        <v>2383870</v>
      </c>
      <c r="M86" s="63">
        <v>97010</v>
      </c>
      <c r="N86" s="1"/>
    </row>
    <row r="87" spans="1:14" ht="16" hidden="1" customHeight="1" outlineLevel="1" x14ac:dyDescent="0.45">
      <c r="A87" s="29" t="s">
        <v>49</v>
      </c>
      <c r="B87" s="44">
        <v>3810900</v>
      </c>
      <c r="C87" s="63">
        <v>161699.99999999953</v>
      </c>
      <c r="D87" s="63">
        <v>511100</v>
      </c>
      <c r="E87" s="64">
        <v>3138100.0000000005</v>
      </c>
      <c r="F87" s="63">
        <v>2256024.8595865029</v>
      </c>
      <c r="G87" s="63">
        <v>315097.50852696068</v>
      </c>
      <c r="H87" s="65">
        <v>84177.631886536503</v>
      </c>
      <c r="I87" s="65">
        <v>0</v>
      </c>
      <c r="J87" s="65">
        <v>0</v>
      </c>
      <c r="K87" s="65">
        <v>0</v>
      </c>
      <c r="L87" s="65">
        <v>342800</v>
      </c>
      <c r="M87" s="63">
        <v>140000</v>
      </c>
      <c r="N87" s="1"/>
    </row>
    <row r="88" spans="1:14" ht="16" hidden="1" customHeight="1" outlineLevel="1" x14ac:dyDescent="0.45">
      <c r="A88" s="29" t="s">
        <v>182</v>
      </c>
      <c r="B88" s="44">
        <v>0</v>
      </c>
      <c r="C88" s="63">
        <v>0</v>
      </c>
      <c r="D88" s="63">
        <v>0</v>
      </c>
      <c r="E88" s="64">
        <v>0</v>
      </c>
      <c r="F88" s="63">
        <v>0</v>
      </c>
      <c r="G88" s="63">
        <v>0</v>
      </c>
      <c r="H88" s="65">
        <v>0</v>
      </c>
      <c r="I88" s="65">
        <v>0</v>
      </c>
      <c r="J88" s="65">
        <v>0</v>
      </c>
      <c r="K88" s="65">
        <v>0</v>
      </c>
      <c r="L88" s="65">
        <v>0</v>
      </c>
      <c r="M88" s="63">
        <v>0</v>
      </c>
      <c r="N88" s="1"/>
    </row>
    <row r="89" spans="1:14" ht="16" hidden="1" customHeight="1" outlineLevel="1" x14ac:dyDescent="0.45">
      <c r="A89" s="29" t="s">
        <v>50</v>
      </c>
      <c r="B89" s="44">
        <v>700000</v>
      </c>
      <c r="C89" s="63">
        <v>300000</v>
      </c>
      <c r="D89" s="63">
        <v>100000</v>
      </c>
      <c r="E89" s="64">
        <v>300000</v>
      </c>
      <c r="F89" s="63">
        <v>0</v>
      </c>
      <c r="G89" s="63">
        <v>300000</v>
      </c>
      <c r="H89" s="65">
        <v>0</v>
      </c>
      <c r="I89" s="65">
        <v>0</v>
      </c>
      <c r="J89" s="65">
        <v>0</v>
      </c>
      <c r="K89" s="65">
        <v>0</v>
      </c>
      <c r="L89" s="65">
        <v>0</v>
      </c>
      <c r="M89" s="63">
        <v>0</v>
      </c>
      <c r="N89" s="1"/>
    </row>
    <row r="90" spans="1:14" ht="16" hidden="1" customHeight="1" outlineLevel="1" x14ac:dyDescent="0.45">
      <c r="A90" s="29" t="s">
        <v>183</v>
      </c>
      <c r="B90" s="44">
        <v>300000</v>
      </c>
      <c r="C90" s="63">
        <v>0</v>
      </c>
      <c r="D90" s="63">
        <v>0</v>
      </c>
      <c r="E90" s="64">
        <v>300000</v>
      </c>
      <c r="F90" s="63">
        <v>0</v>
      </c>
      <c r="G90" s="63">
        <v>0</v>
      </c>
      <c r="H90" s="65">
        <v>300000</v>
      </c>
      <c r="I90" s="65">
        <v>0</v>
      </c>
      <c r="J90" s="65">
        <v>0</v>
      </c>
      <c r="K90" s="65">
        <v>0</v>
      </c>
      <c r="L90" s="65">
        <v>0</v>
      </c>
      <c r="M90" s="63">
        <v>0</v>
      </c>
      <c r="N90" s="1"/>
    </row>
    <row r="91" spans="1:14" ht="16" hidden="1" customHeight="1" outlineLevel="1" x14ac:dyDescent="0.45">
      <c r="A91" s="29" t="s">
        <v>51</v>
      </c>
      <c r="B91" s="44">
        <v>6900000</v>
      </c>
      <c r="C91" s="63">
        <v>100000</v>
      </c>
      <c r="D91" s="63">
        <v>0</v>
      </c>
      <c r="E91" s="64">
        <v>6800000</v>
      </c>
      <c r="F91" s="63">
        <v>4900000</v>
      </c>
      <c r="G91" s="63">
        <v>1900000</v>
      </c>
      <c r="H91" s="65">
        <v>0</v>
      </c>
      <c r="I91" s="65">
        <v>0</v>
      </c>
      <c r="J91" s="65">
        <v>0</v>
      </c>
      <c r="K91" s="65">
        <v>0</v>
      </c>
      <c r="L91" s="65">
        <v>0</v>
      </c>
      <c r="M91" s="63">
        <v>0</v>
      </c>
      <c r="N91" s="1"/>
    </row>
    <row r="92" spans="1:14" ht="16" hidden="1" customHeight="1" outlineLevel="1" x14ac:dyDescent="0.45">
      <c r="A92" s="31" t="s">
        <v>227</v>
      </c>
      <c r="B92" s="47">
        <v>1000000</v>
      </c>
      <c r="C92" s="63">
        <v>0</v>
      </c>
      <c r="D92" s="63">
        <v>0</v>
      </c>
      <c r="E92" s="64">
        <v>1000000</v>
      </c>
      <c r="F92" s="63">
        <v>0</v>
      </c>
      <c r="G92" s="63">
        <v>0</v>
      </c>
      <c r="H92" s="65">
        <v>0</v>
      </c>
      <c r="I92" s="65">
        <v>0</v>
      </c>
      <c r="J92" s="65">
        <v>0</v>
      </c>
      <c r="K92" s="65">
        <v>0</v>
      </c>
      <c r="L92" s="65">
        <v>1000000</v>
      </c>
      <c r="M92" s="63">
        <v>0</v>
      </c>
      <c r="N92" s="1"/>
    </row>
    <row r="93" spans="1:14" ht="16" hidden="1" customHeight="1" outlineLevel="1" x14ac:dyDescent="0.45">
      <c r="A93" s="29" t="s">
        <v>184</v>
      </c>
      <c r="B93" s="44">
        <v>0</v>
      </c>
      <c r="C93" s="63">
        <v>0</v>
      </c>
      <c r="D93" s="63">
        <v>0</v>
      </c>
      <c r="E93" s="64">
        <v>0</v>
      </c>
      <c r="F93" s="63">
        <v>0</v>
      </c>
      <c r="G93" s="63">
        <v>0</v>
      </c>
      <c r="H93" s="65">
        <v>0</v>
      </c>
      <c r="I93" s="65">
        <v>0</v>
      </c>
      <c r="J93" s="65">
        <v>0</v>
      </c>
      <c r="K93" s="65">
        <v>0</v>
      </c>
      <c r="L93" s="65">
        <v>0</v>
      </c>
      <c r="M93" s="63">
        <v>0</v>
      </c>
      <c r="N93" s="1"/>
    </row>
    <row r="94" spans="1:14" ht="16" hidden="1" customHeight="1" outlineLevel="1" x14ac:dyDescent="0.45">
      <c r="A94" s="31" t="s">
        <v>185</v>
      </c>
      <c r="B94" s="47">
        <v>0</v>
      </c>
      <c r="C94" s="63">
        <v>0</v>
      </c>
      <c r="D94" s="63">
        <v>0</v>
      </c>
      <c r="E94" s="64">
        <v>0</v>
      </c>
      <c r="F94" s="63">
        <v>0</v>
      </c>
      <c r="G94" s="63">
        <v>0</v>
      </c>
      <c r="H94" s="65">
        <v>0</v>
      </c>
      <c r="I94" s="65">
        <v>0</v>
      </c>
      <c r="J94" s="65">
        <v>0</v>
      </c>
      <c r="K94" s="65">
        <v>0</v>
      </c>
      <c r="L94" s="65">
        <v>0</v>
      </c>
      <c r="M94" s="63">
        <v>0</v>
      </c>
      <c r="N94" s="1"/>
    </row>
    <row r="95" spans="1:14" ht="16" hidden="1" customHeight="1" outlineLevel="1" x14ac:dyDescent="0.45">
      <c r="A95" s="29" t="s">
        <v>186</v>
      </c>
      <c r="B95" s="44">
        <v>0</v>
      </c>
      <c r="C95" s="63">
        <v>0</v>
      </c>
      <c r="D95" s="63">
        <v>0</v>
      </c>
      <c r="E95" s="64">
        <v>0</v>
      </c>
      <c r="F95" s="63">
        <v>0</v>
      </c>
      <c r="G95" s="63">
        <v>0</v>
      </c>
      <c r="H95" s="65">
        <v>0</v>
      </c>
      <c r="I95" s="65">
        <v>0</v>
      </c>
      <c r="J95" s="65">
        <v>0</v>
      </c>
      <c r="K95" s="65">
        <v>0</v>
      </c>
      <c r="L95" s="65">
        <v>0</v>
      </c>
      <c r="M95" s="63">
        <v>0</v>
      </c>
      <c r="N95" s="1"/>
    </row>
    <row r="96" spans="1:14" ht="16" hidden="1" customHeight="1" outlineLevel="1" x14ac:dyDescent="0.45">
      <c r="A96" s="31" t="s">
        <v>228</v>
      </c>
      <c r="B96" s="47">
        <v>0</v>
      </c>
      <c r="C96" s="63">
        <v>0</v>
      </c>
      <c r="D96" s="63">
        <v>0</v>
      </c>
      <c r="E96" s="64">
        <v>0</v>
      </c>
      <c r="F96" s="63">
        <v>0</v>
      </c>
      <c r="G96" s="63">
        <v>0</v>
      </c>
      <c r="H96" s="65">
        <v>0</v>
      </c>
      <c r="I96" s="65">
        <v>0</v>
      </c>
      <c r="J96" s="65">
        <v>0</v>
      </c>
      <c r="K96" s="65">
        <v>0</v>
      </c>
      <c r="L96" s="65">
        <v>0</v>
      </c>
      <c r="M96" s="63">
        <v>0</v>
      </c>
      <c r="N96" s="1"/>
    </row>
    <row r="97" spans="1:14" ht="16" hidden="1" customHeight="1" outlineLevel="1" x14ac:dyDescent="0.45">
      <c r="A97" s="29" t="s">
        <v>135</v>
      </c>
      <c r="B97" s="44">
        <v>0</v>
      </c>
      <c r="C97" s="63">
        <v>0</v>
      </c>
      <c r="D97" s="63">
        <v>0</v>
      </c>
      <c r="E97" s="64">
        <v>0</v>
      </c>
      <c r="F97" s="63">
        <v>0</v>
      </c>
      <c r="G97" s="63">
        <v>0</v>
      </c>
      <c r="H97" s="65">
        <v>0</v>
      </c>
      <c r="I97" s="65">
        <v>0</v>
      </c>
      <c r="J97" s="65">
        <v>0</v>
      </c>
      <c r="K97" s="65">
        <v>0</v>
      </c>
      <c r="L97" s="65">
        <v>0</v>
      </c>
      <c r="M97" s="63">
        <v>0</v>
      </c>
      <c r="N97" s="1"/>
    </row>
    <row r="98" spans="1:14" ht="16" hidden="1" customHeight="1" outlineLevel="1" x14ac:dyDescent="0.45">
      <c r="A98" s="29" t="s">
        <v>52</v>
      </c>
      <c r="B98" s="44">
        <v>0</v>
      </c>
      <c r="C98" s="63">
        <v>0</v>
      </c>
      <c r="D98" s="63">
        <v>0</v>
      </c>
      <c r="E98" s="64">
        <v>0</v>
      </c>
      <c r="F98" s="63">
        <v>0</v>
      </c>
      <c r="G98" s="63">
        <v>0</v>
      </c>
      <c r="H98" s="65">
        <v>0</v>
      </c>
      <c r="I98" s="65">
        <v>0</v>
      </c>
      <c r="J98" s="65">
        <v>0</v>
      </c>
      <c r="K98" s="65">
        <v>0</v>
      </c>
      <c r="L98" s="65">
        <v>0</v>
      </c>
      <c r="M98" s="63">
        <v>0</v>
      </c>
      <c r="N98" s="1"/>
    </row>
    <row r="99" spans="1:14" ht="16" hidden="1" customHeight="1" outlineLevel="1" x14ac:dyDescent="0.45">
      <c r="A99" s="31" t="s">
        <v>187</v>
      </c>
      <c r="B99" s="47">
        <v>0</v>
      </c>
      <c r="C99" s="63">
        <v>0</v>
      </c>
      <c r="D99" s="63">
        <v>0</v>
      </c>
      <c r="E99" s="64">
        <v>0</v>
      </c>
      <c r="F99" s="63">
        <v>0</v>
      </c>
      <c r="G99" s="63">
        <v>0</v>
      </c>
      <c r="H99" s="65">
        <v>0</v>
      </c>
      <c r="I99" s="65">
        <v>0</v>
      </c>
      <c r="J99" s="65">
        <v>0</v>
      </c>
      <c r="K99" s="65">
        <v>0</v>
      </c>
      <c r="L99" s="65">
        <v>0</v>
      </c>
      <c r="M99" s="63">
        <v>0</v>
      </c>
      <c r="N99" s="1"/>
    </row>
    <row r="100" spans="1:14" ht="16" hidden="1" customHeight="1" outlineLevel="1" x14ac:dyDescent="0.45">
      <c r="A100" s="24" t="s">
        <v>114</v>
      </c>
      <c r="B100" s="44">
        <v>0</v>
      </c>
      <c r="C100" s="63">
        <v>0</v>
      </c>
      <c r="D100" s="63">
        <v>0</v>
      </c>
      <c r="E100" s="64">
        <v>0</v>
      </c>
      <c r="F100" s="63">
        <v>0</v>
      </c>
      <c r="G100" s="63">
        <v>0</v>
      </c>
      <c r="H100" s="65">
        <v>0</v>
      </c>
      <c r="I100" s="65">
        <v>0</v>
      </c>
      <c r="J100" s="65">
        <v>0</v>
      </c>
      <c r="K100" s="65">
        <v>0</v>
      </c>
      <c r="L100" s="65">
        <v>0</v>
      </c>
      <c r="M100" s="63">
        <v>0</v>
      </c>
      <c r="N100" s="1"/>
    </row>
    <row r="101" spans="1:14" ht="16" hidden="1" customHeight="1" outlineLevel="1" x14ac:dyDescent="0.45">
      <c r="A101" s="29" t="s">
        <v>188</v>
      </c>
      <c r="B101" s="44">
        <v>0</v>
      </c>
      <c r="C101" s="63">
        <v>0</v>
      </c>
      <c r="D101" s="63">
        <v>0</v>
      </c>
      <c r="E101" s="64">
        <v>0</v>
      </c>
      <c r="F101" s="63">
        <v>0</v>
      </c>
      <c r="G101" s="63">
        <v>0</v>
      </c>
      <c r="H101" s="65">
        <v>0</v>
      </c>
      <c r="I101" s="65">
        <v>0</v>
      </c>
      <c r="J101" s="65">
        <v>0</v>
      </c>
      <c r="K101" s="65">
        <v>0</v>
      </c>
      <c r="L101" s="65">
        <v>0</v>
      </c>
      <c r="M101" s="63">
        <v>0</v>
      </c>
      <c r="N101" s="1"/>
    </row>
    <row r="102" spans="1:14" ht="16" hidden="1" customHeight="1" outlineLevel="1" x14ac:dyDescent="0.45">
      <c r="A102" s="29" t="s">
        <v>259</v>
      </c>
      <c r="B102" s="44">
        <v>0</v>
      </c>
      <c r="C102" s="63">
        <v>0</v>
      </c>
      <c r="D102" s="63">
        <v>0</v>
      </c>
      <c r="E102" s="64">
        <v>0</v>
      </c>
      <c r="F102" s="63">
        <v>0</v>
      </c>
      <c r="G102" s="63">
        <v>0</v>
      </c>
      <c r="H102" s="65">
        <v>0</v>
      </c>
      <c r="I102" s="65">
        <v>0</v>
      </c>
      <c r="J102" s="65">
        <v>0</v>
      </c>
      <c r="K102" s="65">
        <v>0</v>
      </c>
      <c r="L102" s="65">
        <v>0</v>
      </c>
      <c r="M102" s="63">
        <v>0</v>
      </c>
      <c r="N102" s="1"/>
    </row>
    <row r="103" spans="1:14" ht="16" hidden="1" customHeight="1" outlineLevel="1" x14ac:dyDescent="0.45">
      <c r="A103" s="29" t="s">
        <v>189</v>
      </c>
      <c r="B103" s="44">
        <v>3133000</v>
      </c>
      <c r="C103" s="63">
        <v>0</v>
      </c>
      <c r="D103" s="63">
        <v>0</v>
      </c>
      <c r="E103" s="64">
        <v>3133000</v>
      </c>
      <c r="F103" s="63">
        <v>3002087.811171867</v>
      </c>
      <c r="G103" s="63">
        <v>130912.18882813286</v>
      </c>
      <c r="H103" s="65">
        <v>0</v>
      </c>
      <c r="I103" s="65">
        <v>0</v>
      </c>
      <c r="J103" s="65">
        <v>0</v>
      </c>
      <c r="K103" s="65">
        <v>0</v>
      </c>
      <c r="L103" s="65">
        <v>0</v>
      </c>
      <c r="M103" s="63">
        <v>0</v>
      </c>
      <c r="N103" s="1"/>
    </row>
    <row r="104" spans="1:14" ht="16" hidden="1" customHeight="1" outlineLevel="1" x14ac:dyDescent="0.45">
      <c r="A104" s="29" t="s">
        <v>115</v>
      </c>
      <c r="B104" s="44">
        <v>0</v>
      </c>
      <c r="C104" s="63">
        <v>0</v>
      </c>
      <c r="D104" s="63">
        <v>0</v>
      </c>
      <c r="E104" s="64">
        <v>0</v>
      </c>
      <c r="F104" s="63">
        <v>0</v>
      </c>
      <c r="G104" s="63">
        <v>0</v>
      </c>
      <c r="H104" s="65">
        <v>0</v>
      </c>
      <c r="I104" s="65">
        <v>0</v>
      </c>
      <c r="J104" s="65">
        <v>0</v>
      </c>
      <c r="K104" s="65">
        <v>0</v>
      </c>
      <c r="L104" s="65">
        <v>0</v>
      </c>
      <c r="M104" s="63">
        <v>0</v>
      </c>
      <c r="N104" s="1"/>
    </row>
    <row r="105" spans="1:14" ht="16" hidden="1" customHeight="1" outlineLevel="1" x14ac:dyDescent="0.45">
      <c r="A105" s="29" t="s">
        <v>53</v>
      </c>
      <c r="B105" s="44">
        <v>8300000</v>
      </c>
      <c r="C105" s="63">
        <v>350000.00000000093</v>
      </c>
      <c r="D105" s="63">
        <v>250000</v>
      </c>
      <c r="E105" s="64">
        <v>7699999.9999999991</v>
      </c>
      <c r="F105" s="63">
        <v>5032516.0001300555</v>
      </c>
      <c r="G105" s="63">
        <v>963396.23668129044</v>
      </c>
      <c r="H105" s="65">
        <v>654087.76318865363</v>
      </c>
      <c r="I105" s="65">
        <v>35000</v>
      </c>
      <c r="J105" s="65">
        <v>115000</v>
      </c>
      <c r="K105" s="65">
        <v>200000</v>
      </c>
      <c r="L105" s="65">
        <v>500000</v>
      </c>
      <c r="M105" s="63">
        <v>200000</v>
      </c>
      <c r="N105" s="1"/>
    </row>
    <row r="106" spans="1:14" ht="16" hidden="1" customHeight="1" outlineLevel="1" x14ac:dyDescent="0.45">
      <c r="A106" s="29" t="s">
        <v>54</v>
      </c>
      <c r="B106" s="44">
        <v>4631000</v>
      </c>
      <c r="C106" s="63">
        <v>318400</v>
      </c>
      <c r="D106" s="63">
        <v>200000</v>
      </c>
      <c r="E106" s="64">
        <v>4112600</v>
      </c>
      <c r="F106" s="63">
        <v>2271964.0337574482</v>
      </c>
      <c r="G106" s="63">
        <v>1020635.9662425519</v>
      </c>
      <c r="H106" s="65">
        <v>420000</v>
      </c>
      <c r="I106" s="65">
        <v>0</v>
      </c>
      <c r="J106" s="65">
        <v>0</v>
      </c>
      <c r="K106" s="65">
        <v>200000</v>
      </c>
      <c r="L106" s="65">
        <v>200000</v>
      </c>
      <c r="M106" s="63">
        <v>0</v>
      </c>
      <c r="N106" s="1"/>
    </row>
    <row r="107" spans="1:14" ht="16" hidden="1" customHeight="1" outlineLevel="1" x14ac:dyDescent="0.45">
      <c r="A107" s="29" t="s">
        <v>55</v>
      </c>
      <c r="B107" s="44">
        <v>2030000</v>
      </c>
      <c r="C107" s="63">
        <v>280000</v>
      </c>
      <c r="D107" s="63">
        <v>70000</v>
      </c>
      <c r="E107" s="64">
        <v>1680000</v>
      </c>
      <c r="F107" s="63">
        <v>840000</v>
      </c>
      <c r="G107" s="63">
        <v>560000</v>
      </c>
      <c r="H107" s="65">
        <v>0</v>
      </c>
      <c r="I107" s="65">
        <v>0</v>
      </c>
      <c r="J107" s="65">
        <v>0</v>
      </c>
      <c r="K107" s="65">
        <v>70000</v>
      </c>
      <c r="L107" s="65">
        <v>140000</v>
      </c>
      <c r="M107" s="63">
        <v>70000</v>
      </c>
      <c r="N107" s="1"/>
    </row>
    <row r="108" spans="1:14" ht="16" hidden="1" customHeight="1" outlineLevel="1" x14ac:dyDescent="0.45">
      <c r="A108" s="29" t="s">
        <v>190</v>
      </c>
      <c r="B108" s="44">
        <v>0</v>
      </c>
      <c r="C108" s="63">
        <v>0</v>
      </c>
      <c r="D108" s="63">
        <v>0</v>
      </c>
      <c r="E108" s="64">
        <v>0</v>
      </c>
      <c r="F108" s="63">
        <v>0</v>
      </c>
      <c r="G108" s="63">
        <v>0</v>
      </c>
      <c r="H108" s="65">
        <v>0</v>
      </c>
      <c r="I108" s="65">
        <v>0</v>
      </c>
      <c r="J108" s="65">
        <v>0</v>
      </c>
      <c r="K108" s="65">
        <v>0</v>
      </c>
      <c r="L108" s="65">
        <v>0</v>
      </c>
      <c r="M108" s="63">
        <v>0</v>
      </c>
      <c r="N108" s="1"/>
    </row>
    <row r="109" spans="1:14" ht="16" hidden="1" customHeight="1" outlineLevel="1" x14ac:dyDescent="0.45">
      <c r="A109" s="30" t="s">
        <v>56</v>
      </c>
      <c r="B109" s="46">
        <v>453277375</v>
      </c>
      <c r="C109" s="63">
        <v>1373600</v>
      </c>
      <c r="D109" s="63">
        <v>160000</v>
      </c>
      <c r="E109" s="64">
        <v>451743775</v>
      </c>
      <c r="F109" s="63">
        <v>284510568</v>
      </c>
      <c r="G109" s="63">
        <v>990000</v>
      </c>
      <c r="H109" s="65">
        <v>0</v>
      </c>
      <c r="I109" s="65">
        <v>0</v>
      </c>
      <c r="J109" s="65">
        <v>0</v>
      </c>
      <c r="K109" s="65">
        <v>0</v>
      </c>
      <c r="L109" s="65">
        <v>166243207</v>
      </c>
      <c r="M109" s="63">
        <v>0</v>
      </c>
      <c r="N109" s="1"/>
    </row>
    <row r="110" spans="1:14" ht="16" hidden="1" customHeight="1" outlineLevel="1" x14ac:dyDescent="0.45">
      <c r="A110" s="29" t="s">
        <v>229</v>
      </c>
      <c r="B110" s="44">
        <v>0</v>
      </c>
      <c r="C110" s="63">
        <v>0</v>
      </c>
      <c r="D110" s="63">
        <v>0</v>
      </c>
      <c r="E110" s="64">
        <v>0</v>
      </c>
      <c r="F110" s="63">
        <v>0</v>
      </c>
      <c r="G110" s="63">
        <v>0</v>
      </c>
      <c r="H110" s="65">
        <v>0</v>
      </c>
      <c r="I110" s="65">
        <v>0</v>
      </c>
      <c r="J110" s="65">
        <v>0</v>
      </c>
      <c r="K110" s="65">
        <v>0</v>
      </c>
      <c r="L110" s="65">
        <v>0</v>
      </c>
      <c r="M110" s="63">
        <v>0</v>
      </c>
      <c r="N110" s="1"/>
    </row>
    <row r="111" spans="1:14" ht="16" hidden="1" customHeight="1" outlineLevel="1" x14ac:dyDescent="0.45">
      <c r="A111" s="29" t="s">
        <v>253</v>
      </c>
      <c r="B111" s="44">
        <v>0</v>
      </c>
      <c r="C111" s="63">
        <v>0</v>
      </c>
      <c r="D111" s="63">
        <v>0</v>
      </c>
      <c r="E111" s="64">
        <v>0</v>
      </c>
      <c r="F111" s="63">
        <v>0</v>
      </c>
      <c r="G111" s="63">
        <v>0</v>
      </c>
      <c r="H111" s="65">
        <v>0</v>
      </c>
      <c r="I111" s="65">
        <v>0</v>
      </c>
      <c r="J111" s="65">
        <v>0</v>
      </c>
      <c r="K111" s="65">
        <v>0</v>
      </c>
      <c r="L111" s="65">
        <v>0</v>
      </c>
      <c r="M111" s="63">
        <v>0</v>
      </c>
      <c r="N111" s="1"/>
    </row>
    <row r="112" spans="1:14" ht="16" hidden="1" customHeight="1" outlineLevel="1" x14ac:dyDescent="0.45">
      <c r="A112" s="29" t="s">
        <v>255</v>
      </c>
      <c r="B112" s="44">
        <v>0</v>
      </c>
      <c r="C112" s="63">
        <v>0</v>
      </c>
      <c r="D112" s="63">
        <v>0</v>
      </c>
      <c r="E112" s="64">
        <v>0</v>
      </c>
      <c r="F112" s="63">
        <v>0</v>
      </c>
      <c r="G112" s="63">
        <v>0</v>
      </c>
      <c r="H112" s="65">
        <v>0</v>
      </c>
      <c r="I112" s="65">
        <v>0</v>
      </c>
      <c r="J112" s="65">
        <v>0</v>
      </c>
      <c r="K112" s="65">
        <v>0</v>
      </c>
      <c r="L112" s="65">
        <v>0</v>
      </c>
      <c r="M112" s="63">
        <v>0</v>
      </c>
      <c r="N112" s="1"/>
    </row>
    <row r="113" spans="1:14" ht="16" hidden="1" customHeight="1" outlineLevel="1" x14ac:dyDescent="0.45">
      <c r="A113" s="29" t="s">
        <v>254</v>
      </c>
      <c r="B113" s="44">
        <v>0</v>
      </c>
      <c r="C113" s="63">
        <v>0</v>
      </c>
      <c r="D113" s="63">
        <v>0</v>
      </c>
      <c r="E113" s="64">
        <v>0</v>
      </c>
      <c r="F113" s="63">
        <v>0</v>
      </c>
      <c r="G113" s="63">
        <v>0</v>
      </c>
      <c r="H113" s="65">
        <v>0</v>
      </c>
      <c r="I113" s="65">
        <v>0</v>
      </c>
      <c r="J113" s="65">
        <v>0</v>
      </c>
      <c r="K113" s="65">
        <v>0</v>
      </c>
      <c r="L113" s="65">
        <v>0</v>
      </c>
      <c r="M113" s="63">
        <v>0</v>
      </c>
      <c r="N113" s="1"/>
    </row>
    <row r="114" spans="1:14" ht="16" hidden="1" customHeight="1" outlineLevel="1" x14ac:dyDescent="0.45">
      <c r="A114" s="29" t="s">
        <v>269</v>
      </c>
      <c r="B114" s="44">
        <v>25346160</v>
      </c>
      <c r="C114" s="63">
        <v>25346160</v>
      </c>
      <c r="D114" s="63">
        <v>0</v>
      </c>
      <c r="E114" s="64">
        <v>0</v>
      </c>
      <c r="F114" s="63">
        <v>0</v>
      </c>
      <c r="G114" s="63">
        <v>0</v>
      </c>
      <c r="H114" s="65">
        <v>0</v>
      </c>
      <c r="I114" s="65">
        <v>0</v>
      </c>
      <c r="J114" s="65">
        <v>0</v>
      </c>
      <c r="K114" s="65">
        <v>0</v>
      </c>
      <c r="L114" s="65">
        <v>0</v>
      </c>
      <c r="M114" s="63">
        <v>0</v>
      </c>
      <c r="N114" s="1"/>
    </row>
    <row r="115" spans="1:14" ht="16" customHeight="1" collapsed="1" x14ac:dyDescent="0.45">
      <c r="A115" s="28" t="s">
        <v>57</v>
      </c>
      <c r="B115" s="43">
        <v>35999037</v>
      </c>
      <c r="C115" s="60">
        <v>8076170</v>
      </c>
      <c r="D115" s="60">
        <v>3488900</v>
      </c>
      <c r="E115" s="61">
        <v>24433967</v>
      </c>
      <c r="F115" s="60">
        <v>11195692.559808873</v>
      </c>
      <c r="G115" s="60">
        <v>5494724.4401911283</v>
      </c>
      <c r="H115" s="62">
        <v>623350</v>
      </c>
      <c r="I115" s="62">
        <v>359300</v>
      </c>
      <c r="J115" s="62">
        <v>279000</v>
      </c>
      <c r="K115" s="62">
        <v>1197300</v>
      </c>
      <c r="L115" s="62">
        <v>4013100</v>
      </c>
      <c r="M115" s="60">
        <v>1271500</v>
      </c>
      <c r="N115" s="1"/>
    </row>
    <row r="116" spans="1:14" s="1" customFormat="1" ht="16" hidden="1" customHeight="1" outlineLevel="1" collapsed="1" x14ac:dyDescent="0.45">
      <c r="A116" s="29" t="s">
        <v>58</v>
      </c>
      <c r="B116" s="44">
        <v>15814497</v>
      </c>
      <c r="C116" s="63">
        <v>1600670</v>
      </c>
      <c r="D116" s="63">
        <v>966900</v>
      </c>
      <c r="E116" s="64">
        <v>13246927</v>
      </c>
      <c r="F116" s="63">
        <v>6397288.1862882264</v>
      </c>
      <c r="G116" s="63">
        <v>2783738.8137117741</v>
      </c>
      <c r="H116" s="65">
        <v>0</v>
      </c>
      <c r="I116" s="65">
        <v>80300</v>
      </c>
      <c r="J116" s="65">
        <v>0</v>
      </c>
      <c r="K116" s="65">
        <v>783300</v>
      </c>
      <c r="L116" s="65">
        <v>2958800</v>
      </c>
      <c r="M116" s="63">
        <v>243500</v>
      </c>
    </row>
    <row r="117" spans="1:14" ht="16" hidden="1" customHeight="1" outlineLevel="1" x14ac:dyDescent="0.45">
      <c r="A117" s="29" t="s">
        <v>266</v>
      </c>
      <c r="B117" s="44">
        <v>178500</v>
      </c>
      <c r="C117" s="63">
        <v>0</v>
      </c>
      <c r="D117" s="63">
        <v>0</v>
      </c>
      <c r="E117" s="64">
        <v>178500</v>
      </c>
      <c r="F117" s="63">
        <v>168706.54358466854</v>
      </c>
      <c r="G117" s="63">
        <v>9793.4564153314532</v>
      </c>
      <c r="H117" s="65">
        <v>0</v>
      </c>
      <c r="I117" s="65">
        <v>0</v>
      </c>
      <c r="J117" s="65">
        <v>0</v>
      </c>
      <c r="K117" s="65">
        <v>0</v>
      </c>
      <c r="L117" s="65">
        <v>0</v>
      </c>
      <c r="M117" s="63">
        <v>0</v>
      </c>
      <c r="N117" s="1"/>
    </row>
    <row r="118" spans="1:14" ht="16" hidden="1" customHeight="1" outlineLevel="1" x14ac:dyDescent="0.45">
      <c r="A118" s="29" t="s">
        <v>296</v>
      </c>
      <c r="B118" s="44">
        <v>0</v>
      </c>
      <c r="C118" s="63">
        <v>0</v>
      </c>
      <c r="D118" s="63">
        <v>0</v>
      </c>
      <c r="E118" s="64">
        <v>0</v>
      </c>
      <c r="F118" s="63">
        <v>0</v>
      </c>
      <c r="G118" s="63">
        <v>0</v>
      </c>
      <c r="H118" s="65">
        <v>0</v>
      </c>
      <c r="I118" s="65">
        <v>0</v>
      </c>
      <c r="J118" s="65">
        <v>0</v>
      </c>
      <c r="K118" s="65">
        <v>0</v>
      </c>
      <c r="L118" s="65">
        <v>0</v>
      </c>
      <c r="M118" s="63">
        <v>0</v>
      </c>
      <c r="N118" s="1"/>
    </row>
    <row r="119" spans="1:14" ht="16" hidden="1" customHeight="1" outlineLevel="1" x14ac:dyDescent="0.45">
      <c r="A119" s="29" t="s">
        <v>270</v>
      </c>
      <c r="B119" s="44">
        <v>8461190</v>
      </c>
      <c r="C119" s="63">
        <v>1562300</v>
      </c>
      <c r="D119" s="63">
        <v>222000</v>
      </c>
      <c r="E119" s="64">
        <v>6676890</v>
      </c>
      <c r="F119" s="63">
        <v>3829697.8299359772</v>
      </c>
      <c r="G119" s="63">
        <v>2301192.1700640228</v>
      </c>
      <c r="H119" s="65">
        <v>78000</v>
      </c>
      <c r="I119" s="65">
        <v>79000</v>
      </c>
      <c r="J119" s="65">
        <v>79000</v>
      </c>
      <c r="K119" s="65">
        <v>114000</v>
      </c>
      <c r="L119" s="65">
        <v>168000</v>
      </c>
      <c r="M119" s="63">
        <v>28000</v>
      </c>
      <c r="N119" s="1"/>
    </row>
    <row r="120" spans="1:14" ht="16" hidden="1" customHeight="1" outlineLevel="1" x14ac:dyDescent="0.45">
      <c r="A120" s="29" t="s">
        <v>271</v>
      </c>
      <c r="B120" s="44">
        <v>1399490</v>
      </c>
      <c r="C120" s="63">
        <v>1399490</v>
      </c>
      <c r="D120" s="63">
        <v>0</v>
      </c>
      <c r="E120" s="64">
        <v>0</v>
      </c>
      <c r="F120" s="63">
        <v>0</v>
      </c>
      <c r="G120" s="63">
        <v>0</v>
      </c>
      <c r="H120" s="65">
        <v>0</v>
      </c>
      <c r="I120" s="65">
        <v>0</v>
      </c>
      <c r="J120" s="65">
        <v>0</v>
      </c>
      <c r="K120" s="65">
        <v>0</v>
      </c>
      <c r="L120" s="65">
        <v>0</v>
      </c>
      <c r="M120" s="63">
        <v>0</v>
      </c>
      <c r="N120" s="1"/>
    </row>
    <row r="121" spans="1:14" ht="16" hidden="1" customHeight="1" outlineLevel="1" x14ac:dyDescent="0.45">
      <c r="A121" s="29" t="s">
        <v>297</v>
      </c>
      <c r="B121" s="44">
        <v>10145360</v>
      </c>
      <c r="C121" s="63">
        <v>3513710</v>
      </c>
      <c r="D121" s="63">
        <v>2300000</v>
      </c>
      <c r="E121" s="64">
        <v>4331650</v>
      </c>
      <c r="F121" s="63">
        <v>800000</v>
      </c>
      <c r="G121" s="63">
        <v>400000</v>
      </c>
      <c r="H121" s="65">
        <v>545350</v>
      </c>
      <c r="I121" s="65">
        <v>200000</v>
      </c>
      <c r="J121" s="65">
        <v>200000</v>
      </c>
      <c r="K121" s="65">
        <v>300000</v>
      </c>
      <c r="L121" s="65">
        <v>886300</v>
      </c>
      <c r="M121" s="63">
        <v>1000000</v>
      </c>
      <c r="N121" s="1"/>
    </row>
    <row r="122" spans="1:14" s="1" customFormat="1" collapsed="1" x14ac:dyDescent="0.45">
      <c r="A122" s="28" t="s">
        <v>136</v>
      </c>
      <c r="B122" s="43">
        <v>22031000</v>
      </c>
      <c r="C122" s="60">
        <v>21231000</v>
      </c>
      <c r="D122" s="60">
        <v>0</v>
      </c>
      <c r="E122" s="61">
        <v>800000</v>
      </c>
      <c r="F122" s="60">
        <v>100000</v>
      </c>
      <c r="G122" s="60">
        <v>0</v>
      </c>
      <c r="H122" s="62">
        <v>0</v>
      </c>
      <c r="I122" s="62">
        <v>0</v>
      </c>
      <c r="J122" s="62">
        <v>0</v>
      </c>
      <c r="K122" s="62">
        <v>500000</v>
      </c>
      <c r="L122" s="62">
        <v>0</v>
      </c>
      <c r="M122" s="60">
        <v>200000</v>
      </c>
    </row>
    <row r="123" spans="1:14" ht="16" hidden="1" customHeight="1" outlineLevel="1" x14ac:dyDescent="0.45">
      <c r="A123" s="29" t="s">
        <v>137</v>
      </c>
      <c r="B123" s="44">
        <v>0</v>
      </c>
      <c r="C123" s="63">
        <v>0</v>
      </c>
      <c r="D123" s="63">
        <v>0</v>
      </c>
      <c r="E123" s="64">
        <v>0</v>
      </c>
      <c r="F123" s="63">
        <v>0</v>
      </c>
      <c r="G123" s="63">
        <v>0</v>
      </c>
      <c r="H123" s="65">
        <v>0</v>
      </c>
      <c r="I123" s="65">
        <v>0</v>
      </c>
      <c r="J123" s="65">
        <v>0</v>
      </c>
      <c r="K123" s="65">
        <v>0</v>
      </c>
      <c r="L123" s="65">
        <v>0</v>
      </c>
      <c r="M123" s="63">
        <v>0</v>
      </c>
      <c r="N123" s="1"/>
    </row>
    <row r="124" spans="1:14" ht="16" hidden="1" customHeight="1" outlineLevel="1" x14ac:dyDescent="0.45">
      <c r="A124" s="29" t="s">
        <v>191</v>
      </c>
      <c r="B124" s="44">
        <v>0</v>
      </c>
      <c r="C124" s="63">
        <v>0</v>
      </c>
      <c r="D124" s="63">
        <v>0</v>
      </c>
      <c r="E124" s="64">
        <v>0</v>
      </c>
      <c r="F124" s="63">
        <v>0</v>
      </c>
      <c r="G124" s="63">
        <v>0</v>
      </c>
      <c r="H124" s="65">
        <v>0</v>
      </c>
      <c r="I124" s="65">
        <v>0</v>
      </c>
      <c r="J124" s="65">
        <v>0</v>
      </c>
      <c r="K124" s="65">
        <v>0</v>
      </c>
      <c r="L124" s="65">
        <v>0</v>
      </c>
      <c r="M124" s="63">
        <v>0</v>
      </c>
      <c r="N124" s="1"/>
    </row>
    <row r="125" spans="1:14" ht="16" hidden="1" customHeight="1" outlineLevel="1" x14ac:dyDescent="0.45">
      <c r="A125" s="29" t="s">
        <v>138</v>
      </c>
      <c r="B125" s="44">
        <v>22031000</v>
      </c>
      <c r="C125" s="63">
        <v>21231000</v>
      </c>
      <c r="D125" s="63">
        <v>0</v>
      </c>
      <c r="E125" s="64">
        <v>800000</v>
      </c>
      <c r="F125" s="63">
        <v>100000</v>
      </c>
      <c r="G125" s="63">
        <v>0</v>
      </c>
      <c r="H125" s="65">
        <v>0</v>
      </c>
      <c r="I125" s="65">
        <v>0</v>
      </c>
      <c r="J125" s="65">
        <v>0</v>
      </c>
      <c r="K125" s="65">
        <v>500000</v>
      </c>
      <c r="L125" s="65">
        <v>0</v>
      </c>
      <c r="M125" s="63">
        <v>200000</v>
      </c>
      <c r="N125" s="1"/>
    </row>
    <row r="126" spans="1:14" s="1" customFormat="1" collapsed="1" x14ac:dyDescent="0.45">
      <c r="A126" s="28" t="s">
        <v>59</v>
      </c>
      <c r="B126" s="43">
        <v>82841229</v>
      </c>
      <c r="C126" s="60">
        <v>32307168</v>
      </c>
      <c r="D126" s="60">
        <v>1321409</v>
      </c>
      <c r="E126" s="61">
        <v>49212652</v>
      </c>
      <c r="F126" s="60">
        <v>14947483.425953012</v>
      </c>
      <c r="G126" s="60">
        <v>8725652.574046988</v>
      </c>
      <c r="H126" s="62">
        <v>9721858</v>
      </c>
      <c r="I126" s="62">
        <v>461157.5</v>
      </c>
      <c r="J126" s="62">
        <v>12365359.5</v>
      </c>
      <c r="K126" s="62">
        <v>1732128</v>
      </c>
      <c r="L126" s="62">
        <v>311926</v>
      </c>
      <c r="M126" s="60">
        <v>947087</v>
      </c>
    </row>
    <row r="127" spans="1:14" ht="16" hidden="1" customHeight="1" outlineLevel="1" x14ac:dyDescent="0.45">
      <c r="A127" s="29" t="s">
        <v>60</v>
      </c>
      <c r="B127" s="44">
        <v>32223863</v>
      </c>
      <c r="C127" s="63">
        <v>13320944</v>
      </c>
      <c r="D127" s="63">
        <v>662081</v>
      </c>
      <c r="E127" s="64">
        <v>18240838</v>
      </c>
      <c r="F127" s="63">
        <v>9181110.6760598756</v>
      </c>
      <c r="G127" s="63">
        <v>7728975.3239401253</v>
      </c>
      <c r="H127" s="65">
        <v>745137</v>
      </c>
      <c r="I127" s="65">
        <v>0</v>
      </c>
      <c r="J127" s="65">
        <v>0</v>
      </c>
      <c r="K127" s="65">
        <v>462538</v>
      </c>
      <c r="L127" s="65">
        <v>69086</v>
      </c>
      <c r="M127" s="63">
        <v>53991</v>
      </c>
      <c r="N127" s="1"/>
    </row>
    <row r="128" spans="1:14" ht="16" hidden="1" customHeight="1" outlineLevel="1" x14ac:dyDescent="0.45">
      <c r="A128" s="29" t="s">
        <v>61</v>
      </c>
      <c r="B128" s="44">
        <v>27101405</v>
      </c>
      <c r="C128" s="63">
        <v>11574929</v>
      </c>
      <c r="D128" s="63">
        <v>0</v>
      </c>
      <c r="E128" s="64">
        <v>15526476</v>
      </c>
      <c r="F128" s="63">
        <v>0</v>
      </c>
      <c r="G128" s="63">
        <v>0</v>
      </c>
      <c r="H128" s="65">
        <v>2957126</v>
      </c>
      <c r="I128" s="65">
        <v>0</v>
      </c>
      <c r="J128" s="65">
        <v>11843562</v>
      </c>
      <c r="K128" s="65">
        <v>173297</v>
      </c>
      <c r="L128" s="65">
        <v>0</v>
      </c>
      <c r="M128" s="63">
        <v>552491</v>
      </c>
      <c r="N128" s="1"/>
    </row>
    <row r="129" spans="1:14" ht="16" hidden="1" customHeight="1" outlineLevel="1" x14ac:dyDescent="0.45">
      <c r="A129" s="29" t="s">
        <v>62</v>
      </c>
      <c r="B129" s="44">
        <v>16058781</v>
      </c>
      <c r="C129" s="63">
        <v>7254575</v>
      </c>
      <c r="D129" s="63">
        <v>647368</v>
      </c>
      <c r="E129" s="64">
        <v>8156838</v>
      </c>
      <c r="F129" s="63">
        <v>0</v>
      </c>
      <c r="G129" s="63">
        <v>0</v>
      </c>
      <c r="H129" s="65">
        <v>5998945</v>
      </c>
      <c r="I129" s="65">
        <v>453157.5</v>
      </c>
      <c r="J129" s="65">
        <v>453157.5</v>
      </c>
      <c r="K129" s="65">
        <v>949473</v>
      </c>
      <c r="L129" s="65">
        <v>0</v>
      </c>
      <c r="M129" s="63">
        <v>302105</v>
      </c>
      <c r="N129" s="1"/>
    </row>
    <row r="130" spans="1:14" ht="16" hidden="1" customHeight="1" outlineLevel="1" x14ac:dyDescent="0.45">
      <c r="A130" s="29" t="s">
        <v>63</v>
      </c>
      <c r="B130" s="44">
        <v>7457180</v>
      </c>
      <c r="C130" s="63">
        <v>156720</v>
      </c>
      <c r="D130" s="63">
        <v>11960</v>
      </c>
      <c r="E130" s="64">
        <v>7288500</v>
      </c>
      <c r="F130" s="63">
        <v>5766372.7498931363</v>
      </c>
      <c r="G130" s="63">
        <v>996677.25010686368</v>
      </c>
      <c r="H130" s="65">
        <v>20650</v>
      </c>
      <c r="I130" s="65">
        <v>8000</v>
      </c>
      <c r="J130" s="65">
        <v>68640</v>
      </c>
      <c r="K130" s="65">
        <v>146820</v>
      </c>
      <c r="L130" s="65">
        <v>242840</v>
      </c>
      <c r="M130" s="63">
        <v>38500</v>
      </c>
      <c r="N130" s="1"/>
    </row>
    <row r="131" spans="1:14" ht="16" hidden="1" customHeight="1" outlineLevel="1" x14ac:dyDescent="0.45">
      <c r="A131" s="24" t="s">
        <v>192</v>
      </c>
      <c r="B131" s="45">
        <v>0</v>
      </c>
      <c r="C131" s="63">
        <v>0</v>
      </c>
      <c r="D131" s="63">
        <v>0</v>
      </c>
      <c r="E131" s="64">
        <v>0</v>
      </c>
      <c r="F131" s="63">
        <v>0</v>
      </c>
      <c r="G131" s="63">
        <v>0</v>
      </c>
      <c r="H131" s="65">
        <v>0</v>
      </c>
      <c r="I131" s="65">
        <v>0</v>
      </c>
      <c r="J131" s="65">
        <v>0</v>
      </c>
      <c r="K131" s="65">
        <v>0</v>
      </c>
      <c r="L131" s="65">
        <v>0</v>
      </c>
      <c r="M131" s="63">
        <v>0</v>
      </c>
      <c r="N131" s="1"/>
    </row>
    <row r="132" spans="1:14" ht="16" hidden="1" customHeight="1" outlineLevel="1" x14ac:dyDescent="0.45">
      <c r="A132" s="29" t="s">
        <v>193</v>
      </c>
      <c r="B132" s="44">
        <v>0</v>
      </c>
      <c r="C132" s="63">
        <v>0</v>
      </c>
      <c r="D132" s="63">
        <v>0</v>
      </c>
      <c r="E132" s="64">
        <v>0</v>
      </c>
      <c r="F132" s="63">
        <v>0</v>
      </c>
      <c r="G132" s="63">
        <v>0</v>
      </c>
      <c r="H132" s="65">
        <v>0</v>
      </c>
      <c r="I132" s="65">
        <v>0</v>
      </c>
      <c r="J132" s="65">
        <v>0</v>
      </c>
      <c r="K132" s="65">
        <v>0</v>
      </c>
      <c r="L132" s="65">
        <v>0</v>
      </c>
      <c r="M132" s="63">
        <v>0</v>
      </c>
      <c r="N132" s="1"/>
    </row>
    <row r="133" spans="1:14" s="1" customFormat="1" collapsed="1" x14ac:dyDescent="0.45">
      <c r="A133" s="28" t="s">
        <v>64</v>
      </c>
      <c r="B133" s="43">
        <v>83281161</v>
      </c>
      <c r="C133" s="60">
        <v>1315387</v>
      </c>
      <c r="D133" s="60">
        <v>0</v>
      </c>
      <c r="E133" s="61">
        <v>81965774</v>
      </c>
      <c r="F133" s="60">
        <v>74854695.426616073</v>
      </c>
      <c r="G133" s="60">
        <v>6788644.5733839236</v>
      </c>
      <c r="H133" s="62">
        <v>0</v>
      </c>
      <c r="I133" s="62">
        <v>0</v>
      </c>
      <c r="J133" s="62">
        <v>0</v>
      </c>
      <c r="K133" s="62">
        <v>0</v>
      </c>
      <c r="L133" s="62">
        <v>0</v>
      </c>
      <c r="M133" s="60">
        <v>322434</v>
      </c>
    </row>
    <row r="134" spans="1:14" ht="16" hidden="1" customHeight="1" outlineLevel="1" x14ac:dyDescent="0.45">
      <c r="A134" s="29" t="s">
        <v>65</v>
      </c>
      <c r="B134" s="44">
        <v>83281161</v>
      </c>
      <c r="C134" s="63">
        <v>1315387</v>
      </c>
      <c r="D134" s="63">
        <v>0</v>
      </c>
      <c r="E134" s="64">
        <v>81965774</v>
      </c>
      <c r="F134" s="63">
        <v>74854695.426616073</v>
      </c>
      <c r="G134" s="63">
        <v>6788644.5733839236</v>
      </c>
      <c r="H134" s="65">
        <v>0</v>
      </c>
      <c r="I134" s="65">
        <v>0</v>
      </c>
      <c r="J134" s="65">
        <v>0</v>
      </c>
      <c r="K134" s="65">
        <v>0</v>
      </c>
      <c r="L134" s="65">
        <v>0</v>
      </c>
      <c r="M134" s="63">
        <v>322434</v>
      </c>
      <c r="N134" s="1"/>
    </row>
    <row r="135" spans="1:14" ht="16" hidden="1" customHeight="1" outlineLevel="1" x14ac:dyDescent="0.45">
      <c r="A135" s="29" t="s">
        <v>261</v>
      </c>
      <c r="B135" s="44">
        <v>0</v>
      </c>
      <c r="C135" s="63">
        <v>0</v>
      </c>
      <c r="D135" s="63">
        <v>0</v>
      </c>
      <c r="E135" s="64">
        <v>0</v>
      </c>
      <c r="F135" s="63">
        <v>0</v>
      </c>
      <c r="G135" s="63">
        <v>0</v>
      </c>
      <c r="H135" s="65">
        <v>0</v>
      </c>
      <c r="I135" s="65">
        <v>0</v>
      </c>
      <c r="J135" s="65">
        <v>0</v>
      </c>
      <c r="K135" s="65">
        <v>0</v>
      </c>
      <c r="L135" s="65">
        <v>0</v>
      </c>
      <c r="M135" s="63">
        <v>0</v>
      </c>
      <c r="N135" s="1"/>
    </row>
    <row r="136" spans="1:14" s="1" customFormat="1" collapsed="1" x14ac:dyDescent="0.45">
      <c r="A136" s="28" t="s">
        <v>139</v>
      </c>
      <c r="B136" s="43">
        <v>15553900</v>
      </c>
      <c r="C136" s="60">
        <v>15553900</v>
      </c>
      <c r="D136" s="60">
        <v>0</v>
      </c>
      <c r="E136" s="61">
        <v>0</v>
      </c>
      <c r="F136" s="60">
        <v>0</v>
      </c>
      <c r="G136" s="60">
        <v>0</v>
      </c>
      <c r="H136" s="62">
        <v>0</v>
      </c>
      <c r="I136" s="62">
        <v>0</v>
      </c>
      <c r="J136" s="62">
        <v>0</v>
      </c>
      <c r="K136" s="62">
        <v>0</v>
      </c>
      <c r="L136" s="62">
        <v>0</v>
      </c>
      <c r="M136" s="60">
        <v>0</v>
      </c>
    </row>
    <row r="137" spans="1:14" ht="16" hidden="1" customHeight="1" outlineLevel="1" x14ac:dyDescent="0.45">
      <c r="A137" s="29" t="s">
        <v>140</v>
      </c>
      <c r="B137" s="43">
        <v>0</v>
      </c>
      <c r="C137" s="60">
        <v>0</v>
      </c>
      <c r="D137" s="60">
        <v>0</v>
      </c>
      <c r="E137" s="64">
        <v>0</v>
      </c>
      <c r="F137" s="63">
        <v>0</v>
      </c>
      <c r="G137" s="63">
        <v>0</v>
      </c>
      <c r="H137" s="65">
        <v>0</v>
      </c>
      <c r="I137" s="65">
        <v>0</v>
      </c>
      <c r="J137" s="65">
        <v>0</v>
      </c>
      <c r="K137" s="65">
        <v>0</v>
      </c>
      <c r="L137" s="65">
        <v>0</v>
      </c>
      <c r="M137" s="63">
        <v>0</v>
      </c>
      <c r="N137" s="1"/>
    </row>
    <row r="138" spans="1:14" ht="16" hidden="1" customHeight="1" outlineLevel="1" x14ac:dyDescent="0.45">
      <c r="A138" s="29" t="s">
        <v>194</v>
      </c>
      <c r="B138" s="43">
        <v>0</v>
      </c>
      <c r="C138" s="60">
        <v>0</v>
      </c>
      <c r="D138" s="60">
        <v>0</v>
      </c>
      <c r="E138" s="64">
        <v>0</v>
      </c>
      <c r="F138" s="63">
        <v>0</v>
      </c>
      <c r="G138" s="63">
        <v>0</v>
      </c>
      <c r="H138" s="65">
        <v>0</v>
      </c>
      <c r="I138" s="65">
        <v>0</v>
      </c>
      <c r="J138" s="65">
        <v>0</v>
      </c>
      <c r="K138" s="65">
        <v>0</v>
      </c>
      <c r="L138" s="65">
        <v>0</v>
      </c>
      <c r="M138" s="63">
        <v>0</v>
      </c>
      <c r="N138" s="1"/>
    </row>
    <row r="139" spans="1:14" ht="16" hidden="1" customHeight="1" outlineLevel="1" x14ac:dyDescent="0.45">
      <c r="A139" s="29" t="s">
        <v>195</v>
      </c>
      <c r="B139" s="44">
        <v>0</v>
      </c>
      <c r="C139" s="63">
        <v>0</v>
      </c>
      <c r="D139" s="63">
        <v>0</v>
      </c>
      <c r="E139" s="64">
        <v>0</v>
      </c>
      <c r="F139" s="63">
        <v>0</v>
      </c>
      <c r="G139" s="63">
        <v>0</v>
      </c>
      <c r="H139" s="65">
        <v>0</v>
      </c>
      <c r="I139" s="65">
        <v>0</v>
      </c>
      <c r="J139" s="65">
        <v>0</v>
      </c>
      <c r="K139" s="65">
        <v>0</v>
      </c>
      <c r="L139" s="65">
        <v>0</v>
      </c>
      <c r="M139" s="63">
        <v>0</v>
      </c>
      <c r="N139" s="1"/>
    </row>
    <row r="140" spans="1:14" ht="16" hidden="1" customHeight="1" outlineLevel="1" x14ac:dyDescent="0.45">
      <c r="A140" s="29" t="s">
        <v>141</v>
      </c>
      <c r="B140" s="44">
        <v>15553900</v>
      </c>
      <c r="C140" s="63">
        <v>15553900</v>
      </c>
      <c r="D140" s="63">
        <v>0</v>
      </c>
      <c r="E140" s="64">
        <v>0</v>
      </c>
      <c r="F140" s="63">
        <v>0</v>
      </c>
      <c r="G140" s="63">
        <v>0</v>
      </c>
      <c r="H140" s="65">
        <v>0</v>
      </c>
      <c r="I140" s="65">
        <v>0</v>
      </c>
      <c r="J140" s="65">
        <v>0</v>
      </c>
      <c r="K140" s="65">
        <v>0</v>
      </c>
      <c r="L140" s="65">
        <v>0</v>
      </c>
      <c r="M140" s="63">
        <v>0</v>
      </c>
      <c r="N140" s="1"/>
    </row>
    <row r="141" spans="1:14" s="1" customFormat="1" collapsed="1" x14ac:dyDescent="0.45">
      <c r="A141" s="28" t="s">
        <v>66</v>
      </c>
      <c r="B141" s="43">
        <v>43394409</v>
      </c>
      <c r="C141" s="66">
        <v>0</v>
      </c>
      <c r="D141" s="66">
        <v>0</v>
      </c>
      <c r="E141" s="61">
        <v>43394409</v>
      </c>
      <c r="F141" s="60">
        <v>11950354.816326832</v>
      </c>
      <c r="G141" s="60">
        <v>2444055.1836731667</v>
      </c>
      <c r="H141" s="62">
        <v>0</v>
      </c>
      <c r="I141" s="62">
        <v>0</v>
      </c>
      <c r="J141" s="62">
        <v>0</v>
      </c>
      <c r="K141" s="62">
        <v>0</v>
      </c>
      <c r="L141" s="62">
        <v>0</v>
      </c>
      <c r="M141" s="60">
        <v>28999999</v>
      </c>
    </row>
    <row r="142" spans="1:14" s="1" customFormat="1" x14ac:dyDescent="0.45">
      <c r="A142" s="28" t="s">
        <v>67</v>
      </c>
      <c r="B142" s="43">
        <v>916123631</v>
      </c>
      <c r="C142" s="66">
        <v>204118713</v>
      </c>
      <c r="D142" s="66">
        <v>33245285</v>
      </c>
      <c r="E142" s="61">
        <v>678759633</v>
      </c>
      <c r="F142" s="60">
        <v>300262823.67725801</v>
      </c>
      <c r="G142" s="60">
        <v>264767064.32274202</v>
      </c>
      <c r="H142" s="62">
        <v>32183969</v>
      </c>
      <c r="I142" s="62">
        <v>4734406.5</v>
      </c>
      <c r="J142" s="62">
        <v>4734406.5</v>
      </c>
      <c r="K142" s="62">
        <v>29830548</v>
      </c>
      <c r="L142" s="62">
        <v>24730915</v>
      </c>
      <c r="M142" s="60">
        <v>17515500</v>
      </c>
    </row>
    <row r="143" spans="1:14" ht="16" hidden="1" customHeight="1" outlineLevel="1" x14ac:dyDescent="0.45">
      <c r="A143" s="29" t="s">
        <v>68</v>
      </c>
      <c r="B143" s="44">
        <v>175957311</v>
      </c>
      <c r="C143" s="67">
        <v>14904311</v>
      </c>
      <c r="D143" s="67">
        <v>1352000</v>
      </c>
      <c r="E143" s="64">
        <v>159701000</v>
      </c>
      <c r="F143" s="63">
        <v>25792618.540541373</v>
      </c>
      <c r="G143" s="63">
        <v>117199381.45945862</v>
      </c>
      <c r="H143" s="65">
        <v>0</v>
      </c>
      <c r="I143" s="65">
        <v>0</v>
      </c>
      <c r="J143" s="65">
        <v>0</v>
      </c>
      <c r="K143" s="65">
        <v>1078000</v>
      </c>
      <c r="L143" s="65">
        <v>15631000</v>
      </c>
      <c r="M143" s="63">
        <v>0</v>
      </c>
      <c r="N143" s="1"/>
    </row>
    <row r="144" spans="1:14" ht="16" hidden="1" customHeight="1" outlineLevel="1" x14ac:dyDescent="0.45">
      <c r="A144" s="29" t="s">
        <v>196</v>
      </c>
      <c r="B144" s="44">
        <v>0</v>
      </c>
      <c r="C144" s="67">
        <v>0</v>
      </c>
      <c r="D144" s="67">
        <v>0</v>
      </c>
      <c r="E144" s="64">
        <v>0</v>
      </c>
      <c r="F144" s="63">
        <v>0</v>
      </c>
      <c r="G144" s="63">
        <v>0</v>
      </c>
      <c r="H144" s="65">
        <v>0</v>
      </c>
      <c r="I144" s="65">
        <v>0</v>
      </c>
      <c r="J144" s="65">
        <v>0</v>
      </c>
      <c r="K144" s="65">
        <v>0</v>
      </c>
      <c r="L144" s="65">
        <v>0</v>
      </c>
      <c r="M144" s="63">
        <v>0</v>
      </c>
      <c r="N144" s="1"/>
    </row>
    <row r="145" spans="1:14" ht="16" hidden="1" customHeight="1" outlineLevel="1" x14ac:dyDescent="0.45">
      <c r="A145" s="29" t="s">
        <v>69</v>
      </c>
      <c r="B145" s="44">
        <v>361048838</v>
      </c>
      <c r="C145" s="67">
        <v>82423064</v>
      </c>
      <c r="D145" s="67">
        <v>18200280</v>
      </c>
      <c r="E145" s="64">
        <v>260425494</v>
      </c>
      <c r="F145" s="63">
        <v>91743387.936900094</v>
      </c>
      <c r="G145" s="63">
        <v>104838916.06309989</v>
      </c>
      <c r="H145" s="65">
        <v>14625668</v>
      </c>
      <c r="I145" s="65">
        <v>2976135.5</v>
      </c>
      <c r="J145" s="65">
        <v>2976135.5</v>
      </c>
      <c r="K145" s="65">
        <v>23449181</v>
      </c>
      <c r="L145" s="65">
        <v>4355070</v>
      </c>
      <c r="M145" s="63">
        <v>15461000</v>
      </c>
      <c r="N145" s="1"/>
    </row>
    <row r="146" spans="1:14" ht="16" hidden="1" customHeight="1" outlineLevel="1" x14ac:dyDescent="0.45">
      <c r="A146" s="29" t="s">
        <v>70</v>
      </c>
      <c r="B146" s="44">
        <v>301335702</v>
      </c>
      <c r="C146" s="67">
        <v>30096358</v>
      </c>
      <c r="D146" s="67">
        <v>12606205</v>
      </c>
      <c r="E146" s="64">
        <v>258633139</v>
      </c>
      <c r="F146" s="63">
        <v>182726817.19981652</v>
      </c>
      <c r="G146" s="63">
        <v>42728766.80018349</v>
      </c>
      <c r="H146" s="65">
        <v>17558301</v>
      </c>
      <c r="I146" s="65">
        <v>1758271</v>
      </c>
      <c r="J146" s="65">
        <v>1758271</v>
      </c>
      <c r="K146" s="65">
        <v>5303367</v>
      </c>
      <c r="L146" s="65">
        <v>4744845</v>
      </c>
      <c r="M146" s="63">
        <v>2054500</v>
      </c>
      <c r="N146" s="1"/>
    </row>
    <row r="147" spans="1:14" ht="16" hidden="1" customHeight="1" outlineLevel="1" x14ac:dyDescent="0.45">
      <c r="A147" s="29" t="s">
        <v>142</v>
      </c>
      <c r="B147" s="44">
        <v>77781780</v>
      </c>
      <c r="C147" s="63">
        <v>76694980</v>
      </c>
      <c r="D147" s="63">
        <v>1086800</v>
      </c>
      <c r="E147" s="64">
        <v>0</v>
      </c>
      <c r="F147" s="63">
        <v>0</v>
      </c>
      <c r="G147" s="63">
        <v>0</v>
      </c>
      <c r="H147" s="65">
        <v>0</v>
      </c>
      <c r="I147" s="65">
        <v>0</v>
      </c>
      <c r="J147" s="65">
        <v>0</v>
      </c>
      <c r="K147" s="65">
        <v>0</v>
      </c>
      <c r="L147" s="65">
        <v>0</v>
      </c>
      <c r="M147" s="63">
        <v>0</v>
      </c>
      <c r="N147" s="1"/>
    </row>
    <row r="148" spans="1:14" ht="16" hidden="1" customHeight="1" outlineLevel="1" x14ac:dyDescent="0.45">
      <c r="A148" s="29" t="s">
        <v>197</v>
      </c>
      <c r="B148" s="44">
        <v>0</v>
      </c>
      <c r="C148" s="63">
        <v>0</v>
      </c>
      <c r="D148" s="63">
        <v>0</v>
      </c>
      <c r="E148" s="64">
        <v>0</v>
      </c>
      <c r="F148" s="63">
        <v>0</v>
      </c>
      <c r="G148" s="63">
        <v>0</v>
      </c>
      <c r="H148" s="65">
        <v>0</v>
      </c>
      <c r="I148" s="65">
        <v>0</v>
      </c>
      <c r="J148" s="65">
        <v>0</v>
      </c>
      <c r="K148" s="65">
        <v>0</v>
      </c>
      <c r="L148" s="65">
        <v>0</v>
      </c>
      <c r="M148" s="63">
        <v>0</v>
      </c>
      <c r="N148" s="1"/>
    </row>
    <row r="149" spans="1:14" ht="16" hidden="1" customHeight="1" outlineLevel="1" x14ac:dyDescent="0.45">
      <c r="A149" s="29" t="s">
        <v>262</v>
      </c>
      <c r="B149" s="44">
        <v>0</v>
      </c>
      <c r="C149" s="63">
        <v>0</v>
      </c>
      <c r="D149" s="63">
        <v>0</v>
      </c>
      <c r="E149" s="64">
        <v>0</v>
      </c>
      <c r="F149" s="63">
        <v>0</v>
      </c>
      <c r="G149" s="63">
        <v>0</v>
      </c>
      <c r="H149" s="65">
        <v>0</v>
      </c>
      <c r="I149" s="65">
        <v>0</v>
      </c>
      <c r="J149" s="65">
        <v>0</v>
      </c>
      <c r="K149" s="65">
        <v>0</v>
      </c>
      <c r="L149" s="65">
        <v>0</v>
      </c>
      <c r="M149" s="63">
        <v>0</v>
      </c>
      <c r="N149" s="1"/>
    </row>
    <row r="150" spans="1:14" ht="16" hidden="1" customHeight="1" outlineLevel="1" x14ac:dyDescent="0.45">
      <c r="A150" s="29" t="s">
        <v>263</v>
      </c>
      <c r="B150" s="44">
        <v>0</v>
      </c>
      <c r="C150" s="63">
        <v>0</v>
      </c>
      <c r="D150" s="63">
        <v>0</v>
      </c>
      <c r="E150" s="64">
        <v>0</v>
      </c>
      <c r="F150" s="63">
        <v>0</v>
      </c>
      <c r="G150" s="63">
        <v>0</v>
      </c>
      <c r="H150" s="65">
        <v>0</v>
      </c>
      <c r="I150" s="65">
        <v>0</v>
      </c>
      <c r="J150" s="65">
        <v>0</v>
      </c>
      <c r="K150" s="65">
        <v>0</v>
      </c>
      <c r="L150" s="65">
        <v>0</v>
      </c>
      <c r="M150" s="63">
        <v>0</v>
      </c>
      <c r="N150" s="1"/>
    </row>
    <row r="151" spans="1:14" s="1" customFormat="1" collapsed="1" x14ac:dyDescent="0.45">
      <c r="A151" s="28" t="s">
        <v>71</v>
      </c>
      <c r="B151" s="43">
        <v>72204940</v>
      </c>
      <c r="C151" s="60">
        <v>72204940</v>
      </c>
      <c r="D151" s="60">
        <v>0</v>
      </c>
      <c r="E151" s="61">
        <v>0</v>
      </c>
      <c r="F151" s="60">
        <v>0</v>
      </c>
      <c r="G151" s="60">
        <v>0</v>
      </c>
      <c r="H151" s="62">
        <v>0</v>
      </c>
      <c r="I151" s="62">
        <v>0</v>
      </c>
      <c r="J151" s="62">
        <v>0</v>
      </c>
      <c r="K151" s="62">
        <v>0</v>
      </c>
      <c r="L151" s="62">
        <v>0</v>
      </c>
      <c r="M151" s="60">
        <v>0</v>
      </c>
    </row>
    <row r="152" spans="1:14" ht="16" hidden="1" customHeight="1" outlineLevel="1" x14ac:dyDescent="0.45">
      <c r="A152" s="29" t="s">
        <v>143</v>
      </c>
      <c r="B152" s="44">
        <v>4000000</v>
      </c>
      <c r="C152" s="63">
        <v>4000000</v>
      </c>
      <c r="D152" s="63">
        <v>0</v>
      </c>
      <c r="E152" s="64">
        <v>0</v>
      </c>
      <c r="F152" s="63">
        <v>0</v>
      </c>
      <c r="G152" s="63">
        <v>0</v>
      </c>
      <c r="H152" s="65">
        <v>0</v>
      </c>
      <c r="I152" s="65">
        <v>0</v>
      </c>
      <c r="J152" s="65">
        <v>0</v>
      </c>
      <c r="K152" s="65">
        <v>0</v>
      </c>
      <c r="L152" s="65">
        <v>0</v>
      </c>
      <c r="M152" s="63">
        <v>0</v>
      </c>
      <c r="N152" s="1"/>
    </row>
    <row r="153" spans="1:14" ht="16" hidden="1" customHeight="1" outlineLevel="1" x14ac:dyDescent="0.45">
      <c r="A153" s="29" t="s">
        <v>72</v>
      </c>
      <c r="B153" s="44">
        <v>11838699</v>
      </c>
      <c r="C153" s="63">
        <v>11838699</v>
      </c>
      <c r="D153" s="63">
        <v>0</v>
      </c>
      <c r="E153" s="64">
        <v>0</v>
      </c>
      <c r="F153" s="63">
        <v>0</v>
      </c>
      <c r="G153" s="63">
        <v>0</v>
      </c>
      <c r="H153" s="65">
        <v>0</v>
      </c>
      <c r="I153" s="65">
        <v>0</v>
      </c>
      <c r="J153" s="65">
        <v>0</v>
      </c>
      <c r="K153" s="65">
        <v>0</v>
      </c>
      <c r="L153" s="65">
        <v>0</v>
      </c>
      <c r="M153" s="63">
        <v>0</v>
      </c>
      <c r="N153" s="1"/>
    </row>
    <row r="154" spans="1:14" ht="16" hidden="1" customHeight="1" outlineLevel="1" x14ac:dyDescent="0.45">
      <c r="A154" s="29" t="s">
        <v>144</v>
      </c>
      <c r="B154" s="44">
        <v>56366241</v>
      </c>
      <c r="C154" s="63">
        <v>56366241</v>
      </c>
      <c r="D154" s="63">
        <v>0</v>
      </c>
      <c r="E154" s="64">
        <v>0</v>
      </c>
      <c r="F154" s="63">
        <v>0</v>
      </c>
      <c r="G154" s="63">
        <v>0</v>
      </c>
      <c r="H154" s="65">
        <v>0</v>
      </c>
      <c r="I154" s="65">
        <v>0</v>
      </c>
      <c r="J154" s="65">
        <v>0</v>
      </c>
      <c r="K154" s="65">
        <v>0</v>
      </c>
      <c r="L154" s="65">
        <v>0</v>
      </c>
      <c r="M154" s="63">
        <v>0</v>
      </c>
      <c r="N154" s="1"/>
    </row>
    <row r="155" spans="1:14" ht="16" hidden="1" customHeight="1" outlineLevel="1" x14ac:dyDescent="0.45">
      <c r="A155" s="29" t="s">
        <v>145</v>
      </c>
      <c r="B155" s="44">
        <v>0</v>
      </c>
      <c r="C155" s="63">
        <v>0</v>
      </c>
      <c r="D155" s="63">
        <v>0</v>
      </c>
      <c r="E155" s="64">
        <v>0</v>
      </c>
      <c r="F155" s="63">
        <v>0</v>
      </c>
      <c r="G155" s="63">
        <v>0</v>
      </c>
      <c r="H155" s="65">
        <v>0</v>
      </c>
      <c r="I155" s="65">
        <v>0</v>
      </c>
      <c r="J155" s="65">
        <v>0</v>
      </c>
      <c r="K155" s="65">
        <v>0</v>
      </c>
      <c r="L155" s="65">
        <v>0</v>
      </c>
      <c r="M155" s="63">
        <v>0</v>
      </c>
      <c r="N155" s="1"/>
    </row>
    <row r="156" spans="1:14" s="1" customFormat="1" collapsed="1" x14ac:dyDescent="0.45">
      <c r="A156" s="28" t="s">
        <v>73</v>
      </c>
      <c r="B156" s="43">
        <v>106488830</v>
      </c>
      <c r="C156" s="60">
        <v>9234664</v>
      </c>
      <c r="D156" s="60">
        <v>2130245</v>
      </c>
      <c r="E156" s="61">
        <v>95123921</v>
      </c>
      <c r="F156" s="60">
        <v>18342468.099355221</v>
      </c>
      <c r="G156" s="60">
        <v>49138063.980063468</v>
      </c>
      <c r="H156" s="62">
        <v>860837.92058131273</v>
      </c>
      <c r="I156" s="62">
        <v>466853.23839843157</v>
      </c>
      <c r="J156" s="62">
        <v>1052833.0335324446</v>
      </c>
      <c r="K156" s="62">
        <v>4766255.2512423927</v>
      </c>
      <c r="L156" s="62">
        <v>20280809.476826731</v>
      </c>
      <c r="M156" s="60">
        <v>215800</v>
      </c>
    </row>
    <row r="157" spans="1:14" ht="16" hidden="1" customHeight="1" outlineLevel="1" x14ac:dyDescent="0.45">
      <c r="A157" s="29" t="s">
        <v>74</v>
      </c>
      <c r="B157" s="44">
        <v>28246335</v>
      </c>
      <c r="C157" s="63">
        <v>4206820</v>
      </c>
      <c r="D157" s="63">
        <v>131150</v>
      </c>
      <c r="E157" s="64">
        <v>23908365</v>
      </c>
      <c r="F157" s="63">
        <v>6862940.1840072451</v>
      </c>
      <c r="G157" s="63">
        <v>13027074.815992756</v>
      </c>
      <c r="H157" s="65">
        <v>60150</v>
      </c>
      <c r="I157" s="65">
        <v>87231.399500181476</v>
      </c>
      <c r="J157" s="65">
        <v>356949.39645419107</v>
      </c>
      <c r="K157" s="65">
        <v>1126394.1276771661</v>
      </c>
      <c r="L157" s="65">
        <v>2221825.0763684614</v>
      </c>
      <c r="M157" s="63">
        <v>165800</v>
      </c>
      <c r="N157" s="1"/>
    </row>
    <row r="158" spans="1:14" ht="16" hidden="1" customHeight="1" outlineLevel="1" x14ac:dyDescent="0.45">
      <c r="A158" s="29" t="s">
        <v>75</v>
      </c>
      <c r="B158" s="44">
        <v>11712602</v>
      </c>
      <c r="C158" s="63">
        <v>2703229.0000000009</v>
      </c>
      <c r="D158" s="63">
        <v>1999095</v>
      </c>
      <c r="E158" s="64">
        <v>7010277.9999999991</v>
      </c>
      <c r="F158" s="63">
        <v>3657042.8224577075</v>
      </c>
      <c r="G158" s="63">
        <v>435708.2569609799</v>
      </c>
      <c r="H158" s="65">
        <v>800687.92058131273</v>
      </c>
      <c r="I158" s="65">
        <v>379621.83889825008</v>
      </c>
      <c r="J158" s="65">
        <v>695883.63707825355</v>
      </c>
      <c r="K158" s="65">
        <v>929749.12356522633</v>
      </c>
      <c r="L158" s="65">
        <v>61584.400458270051</v>
      </c>
      <c r="M158" s="63">
        <v>50000</v>
      </c>
      <c r="N158" s="1"/>
    </row>
    <row r="159" spans="1:14" ht="16" hidden="1" customHeight="1" outlineLevel="1" x14ac:dyDescent="0.45">
      <c r="A159" s="29" t="s">
        <v>76</v>
      </c>
      <c r="B159" s="44">
        <v>18725896</v>
      </c>
      <c r="C159" s="63">
        <v>490000</v>
      </c>
      <c r="D159" s="63">
        <v>0</v>
      </c>
      <c r="E159" s="64">
        <v>18235896</v>
      </c>
      <c r="F159" s="63">
        <v>2420919</v>
      </c>
      <c r="G159" s="63">
        <v>1408716</v>
      </c>
      <c r="H159" s="65">
        <v>0</v>
      </c>
      <c r="I159" s="65">
        <v>0</v>
      </c>
      <c r="J159" s="65">
        <v>0</v>
      </c>
      <c r="K159" s="65">
        <v>2265772</v>
      </c>
      <c r="L159" s="65">
        <v>12140489</v>
      </c>
      <c r="M159" s="63">
        <v>0</v>
      </c>
      <c r="N159" s="1"/>
    </row>
    <row r="160" spans="1:14" ht="16" hidden="1" customHeight="1" outlineLevel="1" x14ac:dyDescent="0.45">
      <c r="A160" s="29" t="s">
        <v>77</v>
      </c>
      <c r="B160" s="44">
        <v>47803997</v>
      </c>
      <c r="C160" s="63">
        <v>1834615</v>
      </c>
      <c r="D160" s="63">
        <v>0</v>
      </c>
      <c r="E160" s="64">
        <v>45969382</v>
      </c>
      <c r="F160" s="63">
        <v>5401566.0928902701</v>
      </c>
      <c r="G160" s="63">
        <v>34266564.90710973</v>
      </c>
      <c r="H160" s="65">
        <v>0</v>
      </c>
      <c r="I160" s="65">
        <v>0</v>
      </c>
      <c r="J160" s="65">
        <v>0</v>
      </c>
      <c r="K160" s="65">
        <v>444340</v>
      </c>
      <c r="L160" s="65">
        <v>5856911</v>
      </c>
      <c r="M160" s="63">
        <v>0</v>
      </c>
      <c r="N160" s="1"/>
    </row>
    <row r="161" spans="1:14" ht="16" hidden="1" customHeight="1" outlineLevel="1" x14ac:dyDescent="0.45">
      <c r="A161" s="29" t="s">
        <v>198</v>
      </c>
      <c r="B161" s="44">
        <v>0</v>
      </c>
      <c r="C161" s="63">
        <v>0</v>
      </c>
      <c r="D161" s="63">
        <v>0</v>
      </c>
      <c r="E161" s="64">
        <v>0</v>
      </c>
      <c r="F161" s="63">
        <v>0</v>
      </c>
      <c r="G161" s="63">
        <v>0</v>
      </c>
      <c r="H161" s="65">
        <v>0</v>
      </c>
      <c r="I161" s="65">
        <v>0</v>
      </c>
      <c r="J161" s="65">
        <v>0</v>
      </c>
      <c r="K161" s="65">
        <v>0</v>
      </c>
      <c r="L161" s="65">
        <v>0</v>
      </c>
      <c r="M161" s="63">
        <v>0</v>
      </c>
      <c r="N161" s="1"/>
    </row>
    <row r="162" spans="1:14" ht="16" hidden="1" customHeight="1" outlineLevel="1" x14ac:dyDescent="0.45">
      <c r="A162" s="24" t="s">
        <v>199</v>
      </c>
      <c r="B162" s="45">
        <v>0</v>
      </c>
      <c r="C162" s="63">
        <v>0</v>
      </c>
      <c r="D162" s="63">
        <v>0</v>
      </c>
      <c r="E162" s="64">
        <v>0</v>
      </c>
      <c r="F162" s="63">
        <v>0</v>
      </c>
      <c r="G162" s="63">
        <v>0</v>
      </c>
      <c r="H162" s="65">
        <v>0</v>
      </c>
      <c r="I162" s="65">
        <v>0</v>
      </c>
      <c r="J162" s="65">
        <v>0</v>
      </c>
      <c r="K162" s="65">
        <v>0</v>
      </c>
      <c r="L162" s="65">
        <v>0</v>
      </c>
      <c r="M162" s="63">
        <v>0</v>
      </c>
      <c r="N162" s="1"/>
    </row>
    <row r="163" spans="1:14" ht="16" hidden="1" customHeight="1" outlineLevel="1" x14ac:dyDescent="0.45">
      <c r="A163" s="30" t="s">
        <v>200</v>
      </c>
      <c r="B163" s="46">
        <v>0</v>
      </c>
      <c r="C163" s="63">
        <v>0</v>
      </c>
      <c r="D163" s="63">
        <v>0</v>
      </c>
      <c r="E163" s="64">
        <v>0</v>
      </c>
      <c r="F163" s="63">
        <v>0</v>
      </c>
      <c r="G163" s="63">
        <v>0</v>
      </c>
      <c r="H163" s="65">
        <v>0</v>
      </c>
      <c r="I163" s="65">
        <v>0</v>
      </c>
      <c r="J163" s="65">
        <v>0</v>
      </c>
      <c r="K163" s="65">
        <v>0</v>
      </c>
      <c r="L163" s="65">
        <v>0</v>
      </c>
      <c r="M163" s="63">
        <v>0</v>
      </c>
      <c r="N163" s="1"/>
    </row>
    <row r="164" spans="1:14" s="1" customFormat="1" collapsed="1" x14ac:dyDescent="0.45">
      <c r="A164" s="28" t="s">
        <v>78</v>
      </c>
      <c r="B164" s="43">
        <v>396328752</v>
      </c>
      <c r="C164" s="60">
        <v>2068500</v>
      </c>
      <c r="D164" s="60">
        <v>128611525</v>
      </c>
      <c r="E164" s="61">
        <v>265648727</v>
      </c>
      <c r="F164" s="60">
        <v>102311100</v>
      </c>
      <c r="G164" s="60">
        <v>75623109</v>
      </c>
      <c r="H164" s="62">
        <v>37802568</v>
      </c>
      <c r="I164" s="62">
        <v>1193421.5</v>
      </c>
      <c r="J164" s="62">
        <v>1193421.5</v>
      </c>
      <c r="K164" s="62">
        <v>4496656</v>
      </c>
      <c r="L164" s="62">
        <v>0</v>
      </c>
      <c r="M164" s="60">
        <v>43028451</v>
      </c>
    </row>
    <row r="165" spans="1:14" ht="16" hidden="1" customHeight="1" outlineLevel="1" x14ac:dyDescent="0.45">
      <c r="A165" s="30" t="s">
        <v>201</v>
      </c>
      <c r="B165" s="46">
        <v>0</v>
      </c>
      <c r="C165" s="63">
        <v>0</v>
      </c>
      <c r="D165" s="63">
        <v>0</v>
      </c>
      <c r="E165" s="64">
        <v>0</v>
      </c>
      <c r="F165" s="63">
        <v>0</v>
      </c>
      <c r="G165" s="63">
        <v>0</v>
      </c>
      <c r="H165" s="65">
        <v>0</v>
      </c>
      <c r="I165" s="65">
        <v>0</v>
      </c>
      <c r="J165" s="65">
        <v>0</v>
      </c>
      <c r="K165" s="65">
        <v>0</v>
      </c>
      <c r="L165" s="65">
        <v>0</v>
      </c>
      <c r="M165" s="63">
        <v>0</v>
      </c>
      <c r="N165" s="1"/>
    </row>
    <row r="166" spans="1:14" ht="16" hidden="1" customHeight="1" outlineLevel="1" x14ac:dyDescent="0.45">
      <c r="A166" s="29" t="s">
        <v>79</v>
      </c>
      <c r="B166" s="44">
        <v>396328752</v>
      </c>
      <c r="C166" s="63">
        <v>2068500</v>
      </c>
      <c r="D166" s="63">
        <v>128611525</v>
      </c>
      <c r="E166" s="64">
        <v>265648727</v>
      </c>
      <c r="F166" s="63">
        <v>102311100</v>
      </c>
      <c r="G166" s="63">
        <v>75623109</v>
      </c>
      <c r="H166" s="65">
        <v>37802568</v>
      </c>
      <c r="I166" s="65">
        <v>1193421.5</v>
      </c>
      <c r="J166" s="65">
        <v>1193421.5</v>
      </c>
      <c r="K166" s="65">
        <v>4496656</v>
      </c>
      <c r="L166" s="65">
        <v>0</v>
      </c>
      <c r="M166" s="63">
        <v>43028451</v>
      </c>
      <c r="N166" s="1"/>
    </row>
    <row r="167" spans="1:14" ht="16" hidden="1" customHeight="1" outlineLevel="1" x14ac:dyDescent="0.45">
      <c r="A167" s="29" t="s">
        <v>202</v>
      </c>
      <c r="B167" s="44">
        <v>0</v>
      </c>
      <c r="C167" s="63">
        <v>0</v>
      </c>
      <c r="D167" s="63">
        <v>0</v>
      </c>
      <c r="E167" s="64">
        <v>0</v>
      </c>
      <c r="F167" s="63">
        <v>0</v>
      </c>
      <c r="G167" s="63">
        <v>0</v>
      </c>
      <c r="H167" s="65">
        <v>0</v>
      </c>
      <c r="I167" s="65">
        <v>0</v>
      </c>
      <c r="J167" s="65">
        <v>0</v>
      </c>
      <c r="K167" s="65">
        <v>0</v>
      </c>
      <c r="L167" s="65">
        <v>0</v>
      </c>
      <c r="M167" s="63">
        <v>0</v>
      </c>
      <c r="N167" s="1"/>
    </row>
    <row r="168" spans="1:14" ht="16" hidden="1" customHeight="1" outlineLevel="1" x14ac:dyDescent="0.45">
      <c r="A168" s="29" t="s">
        <v>203</v>
      </c>
      <c r="B168" s="44">
        <v>0</v>
      </c>
      <c r="C168" s="63">
        <v>0</v>
      </c>
      <c r="D168" s="63">
        <v>0</v>
      </c>
      <c r="E168" s="64">
        <v>0</v>
      </c>
      <c r="F168" s="63">
        <v>0</v>
      </c>
      <c r="G168" s="63">
        <v>0</v>
      </c>
      <c r="H168" s="65">
        <v>0</v>
      </c>
      <c r="I168" s="65">
        <v>0</v>
      </c>
      <c r="J168" s="65">
        <v>0</v>
      </c>
      <c r="K168" s="65">
        <v>0</v>
      </c>
      <c r="L168" s="65">
        <v>0</v>
      </c>
      <c r="M168" s="63">
        <v>0</v>
      </c>
      <c r="N168" s="1"/>
    </row>
    <row r="169" spans="1:14" ht="16" hidden="1" customHeight="1" outlineLevel="1" x14ac:dyDescent="0.45">
      <c r="A169" s="29" t="s">
        <v>204</v>
      </c>
      <c r="B169" s="44">
        <v>0</v>
      </c>
      <c r="C169" s="63">
        <v>0</v>
      </c>
      <c r="D169" s="63">
        <v>0</v>
      </c>
      <c r="E169" s="64">
        <v>0</v>
      </c>
      <c r="F169" s="63">
        <v>0</v>
      </c>
      <c r="G169" s="63">
        <v>0</v>
      </c>
      <c r="H169" s="65">
        <v>0</v>
      </c>
      <c r="I169" s="65">
        <v>0</v>
      </c>
      <c r="J169" s="65">
        <v>0</v>
      </c>
      <c r="K169" s="65">
        <v>0</v>
      </c>
      <c r="L169" s="65">
        <v>0</v>
      </c>
      <c r="M169" s="63">
        <v>0</v>
      </c>
      <c r="N169" s="1"/>
    </row>
    <row r="170" spans="1:14" ht="16" hidden="1" customHeight="1" outlineLevel="1" x14ac:dyDescent="0.45">
      <c r="A170" s="30" t="s">
        <v>205</v>
      </c>
      <c r="B170" s="46">
        <v>0</v>
      </c>
      <c r="C170" s="63">
        <v>0</v>
      </c>
      <c r="D170" s="63">
        <v>0</v>
      </c>
      <c r="E170" s="64">
        <v>0</v>
      </c>
      <c r="F170" s="63">
        <v>0</v>
      </c>
      <c r="G170" s="63">
        <v>0</v>
      </c>
      <c r="H170" s="65">
        <v>0</v>
      </c>
      <c r="I170" s="65">
        <v>0</v>
      </c>
      <c r="J170" s="65">
        <v>0</v>
      </c>
      <c r="K170" s="65">
        <v>0</v>
      </c>
      <c r="L170" s="65">
        <v>0</v>
      </c>
      <c r="M170" s="63">
        <v>0</v>
      </c>
      <c r="N170" s="1"/>
    </row>
    <row r="171" spans="1:14" s="1" customFormat="1" ht="16" hidden="1" customHeight="1" outlineLevel="1" collapsed="1" x14ac:dyDescent="0.45">
      <c r="A171" s="28" t="s">
        <v>80</v>
      </c>
      <c r="B171" s="43">
        <v>32552112</v>
      </c>
      <c r="C171" s="60">
        <v>16562628</v>
      </c>
      <c r="D171" s="60">
        <v>4861377</v>
      </c>
      <c r="E171" s="61">
        <v>11128107</v>
      </c>
      <c r="F171" s="60">
        <v>2620462</v>
      </c>
      <c r="G171" s="60">
        <v>1703098</v>
      </c>
      <c r="H171" s="62">
        <v>1286818</v>
      </c>
      <c r="I171" s="62">
        <v>0</v>
      </c>
      <c r="J171" s="62">
        <v>0</v>
      </c>
      <c r="K171" s="62">
        <v>0</v>
      </c>
      <c r="L171" s="62">
        <v>5517729</v>
      </c>
      <c r="M171" s="60">
        <v>0</v>
      </c>
    </row>
    <row r="172" spans="1:14" ht="16" hidden="1" customHeight="1" outlineLevel="1" x14ac:dyDescent="0.45">
      <c r="A172" s="29" t="s">
        <v>81</v>
      </c>
      <c r="B172" s="44">
        <v>12011489</v>
      </c>
      <c r="C172" s="63">
        <v>389003</v>
      </c>
      <c r="D172" s="63">
        <v>4861377</v>
      </c>
      <c r="E172" s="64">
        <v>6761109</v>
      </c>
      <c r="F172" s="63">
        <v>382644</v>
      </c>
      <c r="G172" s="63">
        <v>860736</v>
      </c>
      <c r="H172" s="65">
        <v>0</v>
      </c>
      <c r="I172" s="65">
        <v>0</v>
      </c>
      <c r="J172" s="65">
        <v>0</v>
      </c>
      <c r="K172" s="65">
        <v>0</v>
      </c>
      <c r="L172" s="65">
        <v>5517729</v>
      </c>
      <c r="M172" s="63">
        <v>0</v>
      </c>
      <c r="N172" s="1"/>
    </row>
    <row r="173" spans="1:14" ht="16" hidden="1" customHeight="1" outlineLevel="1" x14ac:dyDescent="0.45">
      <c r="A173" s="29" t="s">
        <v>206</v>
      </c>
      <c r="B173" s="44">
        <v>9489765</v>
      </c>
      <c r="C173" s="63">
        <v>9489765</v>
      </c>
      <c r="D173" s="63">
        <v>0</v>
      </c>
      <c r="E173" s="64">
        <v>0</v>
      </c>
      <c r="F173" s="63">
        <v>0</v>
      </c>
      <c r="G173" s="63">
        <v>0</v>
      </c>
      <c r="H173" s="65">
        <v>0</v>
      </c>
      <c r="I173" s="65">
        <v>0</v>
      </c>
      <c r="J173" s="65">
        <v>0</v>
      </c>
      <c r="K173" s="65">
        <v>0</v>
      </c>
      <c r="L173" s="65">
        <v>0</v>
      </c>
      <c r="M173" s="63">
        <v>0</v>
      </c>
      <c r="N173" s="1"/>
    </row>
    <row r="174" spans="1:14" ht="16" hidden="1" customHeight="1" outlineLevel="1" x14ac:dyDescent="0.45">
      <c r="A174" s="29" t="s">
        <v>82</v>
      </c>
      <c r="B174" s="44">
        <v>11050858</v>
      </c>
      <c r="C174" s="63">
        <v>6683860</v>
      </c>
      <c r="D174" s="63">
        <v>0</v>
      </c>
      <c r="E174" s="64">
        <v>4366998</v>
      </c>
      <c r="F174" s="63">
        <v>2237818</v>
      </c>
      <c r="G174" s="63">
        <v>842362</v>
      </c>
      <c r="H174" s="65">
        <v>1286818</v>
      </c>
      <c r="I174" s="65">
        <v>0</v>
      </c>
      <c r="J174" s="65">
        <v>0</v>
      </c>
      <c r="K174" s="65">
        <v>0</v>
      </c>
      <c r="L174" s="65">
        <v>0</v>
      </c>
      <c r="M174" s="63">
        <v>0</v>
      </c>
      <c r="N174" s="1"/>
    </row>
    <row r="175" spans="1:14" ht="16" hidden="1" customHeight="1" outlineLevel="1" x14ac:dyDescent="0.45">
      <c r="A175" s="29" t="s">
        <v>207</v>
      </c>
      <c r="B175" s="44">
        <v>0</v>
      </c>
      <c r="C175" s="63">
        <v>0</v>
      </c>
      <c r="D175" s="63">
        <v>0</v>
      </c>
      <c r="E175" s="64">
        <v>0</v>
      </c>
      <c r="F175" s="63">
        <v>0</v>
      </c>
      <c r="G175" s="63">
        <v>0</v>
      </c>
      <c r="H175" s="65">
        <v>0</v>
      </c>
      <c r="I175" s="65">
        <v>0</v>
      </c>
      <c r="J175" s="65">
        <v>0</v>
      </c>
      <c r="K175" s="65">
        <v>0</v>
      </c>
      <c r="L175" s="65">
        <v>0</v>
      </c>
      <c r="M175" s="63">
        <v>0</v>
      </c>
      <c r="N175" s="1"/>
    </row>
    <row r="176" spans="1:14" ht="16" hidden="1" customHeight="1" outlineLevel="1" x14ac:dyDescent="0.45">
      <c r="A176" s="29" t="s">
        <v>256</v>
      </c>
      <c r="B176" s="44">
        <v>0</v>
      </c>
      <c r="C176" s="63">
        <v>0</v>
      </c>
      <c r="D176" s="63">
        <v>0</v>
      </c>
      <c r="E176" s="64">
        <v>0</v>
      </c>
      <c r="F176" s="63">
        <v>0</v>
      </c>
      <c r="G176" s="63">
        <v>0</v>
      </c>
      <c r="H176" s="65">
        <v>0</v>
      </c>
      <c r="I176" s="65">
        <v>0</v>
      </c>
      <c r="J176" s="65">
        <v>0</v>
      </c>
      <c r="K176" s="65">
        <v>0</v>
      </c>
      <c r="L176" s="65">
        <v>0</v>
      </c>
      <c r="M176" s="63">
        <v>0</v>
      </c>
      <c r="N176" s="1"/>
    </row>
    <row r="177" spans="1:14" ht="16" hidden="1" customHeight="1" outlineLevel="1" x14ac:dyDescent="0.45">
      <c r="A177" s="29" t="s">
        <v>208</v>
      </c>
      <c r="B177" s="44">
        <v>0</v>
      </c>
      <c r="C177" s="63">
        <v>0</v>
      </c>
      <c r="D177" s="63">
        <v>0</v>
      </c>
      <c r="E177" s="64">
        <v>0</v>
      </c>
      <c r="F177" s="63">
        <v>0</v>
      </c>
      <c r="G177" s="63">
        <v>0</v>
      </c>
      <c r="H177" s="65">
        <v>0</v>
      </c>
      <c r="I177" s="65">
        <v>0</v>
      </c>
      <c r="J177" s="65">
        <v>0</v>
      </c>
      <c r="K177" s="65">
        <v>0</v>
      </c>
      <c r="L177" s="65">
        <v>0</v>
      </c>
      <c r="M177" s="63">
        <v>0</v>
      </c>
      <c r="N177" s="1"/>
    </row>
    <row r="178" spans="1:14" s="1" customFormat="1" collapsed="1" x14ac:dyDescent="0.45">
      <c r="A178" s="28" t="s">
        <v>146</v>
      </c>
      <c r="B178" s="43">
        <v>355091</v>
      </c>
      <c r="C178" s="60">
        <v>355091</v>
      </c>
      <c r="D178" s="60">
        <v>0</v>
      </c>
      <c r="E178" s="61">
        <v>0</v>
      </c>
      <c r="F178" s="60">
        <v>0</v>
      </c>
      <c r="G178" s="60">
        <v>0</v>
      </c>
      <c r="H178" s="62">
        <v>0</v>
      </c>
      <c r="I178" s="62">
        <v>0</v>
      </c>
      <c r="J178" s="62">
        <v>0</v>
      </c>
      <c r="K178" s="62">
        <v>0</v>
      </c>
      <c r="L178" s="62">
        <v>0</v>
      </c>
      <c r="M178" s="60">
        <v>0</v>
      </c>
    </row>
    <row r="179" spans="1:14" ht="16" hidden="1" customHeight="1" outlineLevel="1" x14ac:dyDescent="0.45">
      <c r="A179" s="29" t="s">
        <v>147</v>
      </c>
      <c r="B179" s="44">
        <v>355091</v>
      </c>
      <c r="C179" s="63">
        <v>355091</v>
      </c>
      <c r="D179" s="63">
        <v>0</v>
      </c>
      <c r="E179" s="64">
        <v>0</v>
      </c>
      <c r="F179" s="63">
        <v>0</v>
      </c>
      <c r="G179" s="63">
        <v>0</v>
      </c>
      <c r="H179" s="65">
        <v>0</v>
      </c>
      <c r="I179" s="65">
        <v>0</v>
      </c>
      <c r="J179" s="65">
        <v>0</v>
      </c>
      <c r="K179" s="65">
        <v>0</v>
      </c>
      <c r="L179" s="65">
        <v>0</v>
      </c>
      <c r="M179" s="63">
        <v>0</v>
      </c>
      <c r="N179" s="1"/>
    </row>
    <row r="180" spans="1:14" ht="16" hidden="1" customHeight="1" outlineLevel="1" x14ac:dyDescent="0.45">
      <c r="A180" s="29" t="s">
        <v>148</v>
      </c>
      <c r="B180" s="43">
        <v>0</v>
      </c>
      <c r="C180" s="63">
        <v>0</v>
      </c>
      <c r="D180" s="63">
        <v>0</v>
      </c>
      <c r="E180" s="64">
        <v>0</v>
      </c>
      <c r="F180" s="63">
        <v>0</v>
      </c>
      <c r="G180" s="63">
        <v>0</v>
      </c>
      <c r="H180" s="65">
        <v>0</v>
      </c>
      <c r="I180" s="65">
        <v>0</v>
      </c>
      <c r="J180" s="65">
        <v>0</v>
      </c>
      <c r="K180" s="65">
        <v>0</v>
      </c>
      <c r="L180" s="65">
        <v>0</v>
      </c>
      <c r="M180" s="63">
        <v>0</v>
      </c>
      <c r="N180" s="1"/>
    </row>
    <row r="181" spans="1:14" s="1" customFormat="1" collapsed="1" x14ac:dyDescent="0.45">
      <c r="A181" s="28" t="s">
        <v>83</v>
      </c>
      <c r="B181" s="43">
        <v>421449661</v>
      </c>
      <c r="C181" s="60">
        <v>79046839</v>
      </c>
      <c r="D181" s="60">
        <v>14000955</v>
      </c>
      <c r="E181" s="61">
        <v>328401867</v>
      </c>
      <c r="F181" s="60">
        <v>202760068.42174387</v>
      </c>
      <c r="G181" s="60">
        <v>55291883.515775889</v>
      </c>
      <c r="H181" s="60">
        <v>14101448.062480235</v>
      </c>
      <c r="I181" s="60">
        <v>1998296.9969736752</v>
      </c>
      <c r="J181" s="60">
        <v>1706768.4516640585</v>
      </c>
      <c r="K181" s="60">
        <v>10503045.80794248</v>
      </c>
      <c r="L181" s="60">
        <v>30948238.743419785</v>
      </c>
      <c r="M181" s="60">
        <v>11092117</v>
      </c>
    </row>
    <row r="182" spans="1:14" s="1" customFormat="1" ht="16" hidden="1" customHeight="1" outlineLevel="1" x14ac:dyDescent="0.45">
      <c r="A182" s="29" t="s">
        <v>84</v>
      </c>
      <c r="B182" s="44">
        <v>59661357</v>
      </c>
      <c r="C182" s="63">
        <v>1021648</v>
      </c>
      <c r="D182" s="63">
        <v>373167</v>
      </c>
      <c r="E182" s="64">
        <v>58266542</v>
      </c>
      <c r="F182" s="63">
        <v>39507068</v>
      </c>
      <c r="G182" s="63">
        <v>9083160</v>
      </c>
      <c r="H182" s="63">
        <v>4181130</v>
      </c>
      <c r="I182" s="63">
        <v>268031</v>
      </c>
      <c r="J182" s="63">
        <v>217659</v>
      </c>
      <c r="K182" s="63">
        <v>1908548</v>
      </c>
      <c r="L182" s="63">
        <v>2989310</v>
      </c>
      <c r="M182" s="63">
        <v>111636</v>
      </c>
    </row>
    <row r="183" spans="1:14" ht="16" hidden="1" customHeight="1" outlineLevel="1" x14ac:dyDescent="0.45">
      <c r="A183" s="29" t="s">
        <v>149</v>
      </c>
      <c r="B183" s="44">
        <v>1896863</v>
      </c>
      <c r="C183" s="63">
        <v>1896863</v>
      </c>
      <c r="D183" s="63">
        <v>0</v>
      </c>
      <c r="E183" s="64">
        <v>0</v>
      </c>
      <c r="F183" s="63">
        <v>0</v>
      </c>
      <c r="G183" s="63">
        <v>0</v>
      </c>
      <c r="H183" s="63">
        <v>0</v>
      </c>
      <c r="I183" s="63">
        <v>0</v>
      </c>
      <c r="J183" s="63">
        <v>0</v>
      </c>
      <c r="K183" s="63">
        <v>0</v>
      </c>
      <c r="L183" s="63">
        <v>0</v>
      </c>
      <c r="M183" s="63">
        <v>0</v>
      </c>
      <c r="N183" s="1"/>
    </row>
    <row r="184" spans="1:14" ht="16" hidden="1" customHeight="1" outlineLevel="1" x14ac:dyDescent="0.45">
      <c r="A184" s="29" t="s">
        <v>85</v>
      </c>
      <c r="B184" s="44">
        <v>26392668</v>
      </c>
      <c r="C184" s="63">
        <v>6993929.0000000019</v>
      </c>
      <c r="D184" s="63">
        <v>3345976</v>
      </c>
      <c r="E184" s="64">
        <v>16052762.999999998</v>
      </c>
      <c r="F184" s="63">
        <v>10303726.578205869</v>
      </c>
      <c r="G184" s="63">
        <v>2824357.3593138955</v>
      </c>
      <c r="H184" s="63">
        <v>81308.062480234308</v>
      </c>
      <c r="I184" s="63">
        <v>198928.88471138477</v>
      </c>
      <c r="J184" s="63">
        <v>219198.56388699854</v>
      </c>
      <c r="K184" s="63">
        <v>800934.52033889783</v>
      </c>
      <c r="L184" s="63">
        <v>1321470.0310627189</v>
      </c>
      <c r="M184" s="63">
        <v>302839</v>
      </c>
      <c r="N184" s="1"/>
    </row>
    <row r="185" spans="1:14" ht="16" hidden="1" customHeight="1" outlineLevel="1" x14ac:dyDescent="0.45">
      <c r="A185" s="29" t="s">
        <v>86</v>
      </c>
      <c r="B185" s="44">
        <v>5775109</v>
      </c>
      <c r="C185" s="63">
        <v>1078919</v>
      </c>
      <c r="D185" s="63">
        <v>0</v>
      </c>
      <c r="E185" s="64">
        <v>4696190</v>
      </c>
      <c r="F185" s="63">
        <v>3308871</v>
      </c>
      <c r="G185" s="63">
        <v>1247046</v>
      </c>
      <c r="H185" s="63">
        <v>0</v>
      </c>
      <c r="I185" s="63">
        <v>0</v>
      </c>
      <c r="J185" s="63">
        <v>0</v>
      </c>
      <c r="K185" s="63">
        <v>140273</v>
      </c>
      <c r="L185" s="63">
        <v>0</v>
      </c>
      <c r="M185" s="63">
        <v>0</v>
      </c>
      <c r="N185" s="1"/>
    </row>
    <row r="186" spans="1:14" ht="16" hidden="1" customHeight="1" outlineLevel="1" x14ac:dyDescent="0.45">
      <c r="A186" s="29" t="s">
        <v>150</v>
      </c>
      <c r="B186" s="44">
        <v>0</v>
      </c>
      <c r="C186" s="63">
        <v>0</v>
      </c>
      <c r="D186" s="63">
        <v>0</v>
      </c>
      <c r="E186" s="64">
        <v>0</v>
      </c>
      <c r="F186" s="63">
        <v>0</v>
      </c>
      <c r="G186" s="63">
        <v>0</v>
      </c>
      <c r="H186" s="63">
        <v>0</v>
      </c>
      <c r="I186" s="63">
        <v>0</v>
      </c>
      <c r="J186" s="63">
        <v>0</v>
      </c>
      <c r="K186" s="63">
        <v>0</v>
      </c>
      <c r="L186" s="63">
        <v>0</v>
      </c>
      <c r="M186" s="63">
        <v>0</v>
      </c>
      <c r="N186" s="1"/>
    </row>
    <row r="187" spans="1:14" s="1" customFormat="1" ht="16" hidden="1" customHeight="1" outlineLevel="1" x14ac:dyDescent="0.45">
      <c r="A187" s="29" t="s">
        <v>87</v>
      </c>
      <c r="B187" s="44">
        <v>2357263</v>
      </c>
      <c r="C187" s="63">
        <v>0</v>
      </c>
      <c r="D187" s="63">
        <v>0</v>
      </c>
      <c r="E187" s="64">
        <v>2357263</v>
      </c>
      <c r="F187" s="63">
        <v>454545</v>
      </c>
      <c r="G187" s="63">
        <v>1902718</v>
      </c>
      <c r="H187" s="63">
        <v>0</v>
      </c>
      <c r="I187" s="63">
        <v>0</v>
      </c>
      <c r="J187" s="63">
        <v>0</v>
      </c>
      <c r="K187" s="63">
        <v>0</v>
      </c>
      <c r="L187" s="63">
        <v>0</v>
      </c>
      <c r="M187" s="63">
        <v>0</v>
      </c>
    </row>
    <row r="188" spans="1:14" ht="16" hidden="1" customHeight="1" outlineLevel="1" x14ac:dyDescent="0.45">
      <c r="A188" s="29" t="s">
        <v>88</v>
      </c>
      <c r="B188" s="44">
        <v>131458447</v>
      </c>
      <c r="C188" s="63">
        <v>50927685</v>
      </c>
      <c r="D188" s="63">
        <v>10079534</v>
      </c>
      <c r="E188" s="64">
        <v>70451228</v>
      </c>
      <c r="F188" s="63">
        <v>11749355.063391268</v>
      </c>
      <c r="G188" s="63">
        <v>33827222.936608732</v>
      </c>
      <c r="H188" s="63">
        <v>9540189</v>
      </c>
      <c r="I188" s="63">
        <v>597192.11226229032</v>
      </c>
      <c r="J188" s="63">
        <v>606043.88777705992</v>
      </c>
      <c r="K188" s="63">
        <v>4199226.2876035823</v>
      </c>
      <c r="L188" s="63">
        <v>2904666.7123570675</v>
      </c>
      <c r="M188" s="63">
        <v>7027332</v>
      </c>
      <c r="N188" s="1"/>
    </row>
    <row r="189" spans="1:14" ht="16" hidden="1" customHeight="1" outlineLevel="1" x14ac:dyDescent="0.45">
      <c r="A189" s="24" t="s">
        <v>89</v>
      </c>
      <c r="B189" s="45">
        <v>191438256</v>
      </c>
      <c r="C189" s="63">
        <v>17030974</v>
      </c>
      <c r="D189" s="63">
        <v>0</v>
      </c>
      <c r="E189" s="64">
        <v>174407282</v>
      </c>
      <c r="F189" s="63">
        <v>136392314.78014675</v>
      </c>
      <c r="G189" s="63">
        <v>5650152.2198532596</v>
      </c>
      <c r="H189" s="63">
        <v>0</v>
      </c>
      <c r="I189" s="63">
        <v>934145</v>
      </c>
      <c r="J189" s="63">
        <v>663867</v>
      </c>
      <c r="K189" s="63">
        <v>3454064</v>
      </c>
      <c r="L189" s="63">
        <v>23662429</v>
      </c>
      <c r="M189" s="63">
        <v>3650310</v>
      </c>
      <c r="N189" s="1"/>
    </row>
    <row r="190" spans="1:14" ht="16" hidden="1" customHeight="1" outlineLevel="1" x14ac:dyDescent="0.45">
      <c r="A190" s="29" t="s">
        <v>209</v>
      </c>
      <c r="B190" s="44">
        <v>0</v>
      </c>
      <c r="C190" s="63">
        <v>0</v>
      </c>
      <c r="D190" s="63">
        <v>0</v>
      </c>
      <c r="E190" s="64">
        <v>0</v>
      </c>
      <c r="F190" s="63">
        <v>0</v>
      </c>
      <c r="G190" s="63">
        <v>0</v>
      </c>
      <c r="H190" s="63">
        <v>0</v>
      </c>
      <c r="I190" s="63">
        <v>0</v>
      </c>
      <c r="J190" s="63">
        <v>0</v>
      </c>
      <c r="K190" s="63">
        <v>0</v>
      </c>
      <c r="L190" s="63">
        <v>0</v>
      </c>
      <c r="M190" s="63">
        <v>0</v>
      </c>
      <c r="N190" s="1"/>
    </row>
    <row r="191" spans="1:14" ht="16" hidden="1" customHeight="1" outlineLevel="1" x14ac:dyDescent="0.45">
      <c r="A191" s="29" t="s">
        <v>90</v>
      </c>
      <c r="B191" s="44">
        <v>2469698</v>
      </c>
      <c r="C191" s="63">
        <v>96821</v>
      </c>
      <c r="D191" s="63">
        <v>202278</v>
      </c>
      <c r="E191" s="64">
        <v>2170599</v>
      </c>
      <c r="F191" s="63">
        <v>1044188</v>
      </c>
      <c r="G191" s="63">
        <v>757227</v>
      </c>
      <c r="H191" s="63">
        <v>298821</v>
      </c>
      <c r="I191" s="63">
        <v>0</v>
      </c>
      <c r="J191" s="63">
        <v>0</v>
      </c>
      <c r="K191" s="63">
        <v>0</v>
      </c>
      <c r="L191" s="63">
        <v>70363</v>
      </c>
      <c r="M191" s="63">
        <v>0</v>
      </c>
      <c r="N191" s="1"/>
    </row>
    <row r="192" spans="1:14" ht="16" hidden="1" customHeight="1" outlineLevel="1" x14ac:dyDescent="0.45">
      <c r="A192" s="30" t="s">
        <v>151</v>
      </c>
      <c r="B192" s="46">
        <v>0</v>
      </c>
      <c r="C192" s="63">
        <v>0</v>
      </c>
      <c r="D192" s="63">
        <v>0</v>
      </c>
      <c r="E192" s="64">
        <v>0</v>
      </c>
      <c r="F192" s="63">
        <v>0</v>
      </c>
      <c r="G192" s="63">
        <v>0</v>
      </c>
      <c r="H192" s="63">
        <v>0</v>
      </c>
      <c r="I192" s="63">
        <v>0</v>
      </c>
      <c r="J192" s="63">
        <v>0</v>
      </c>
      <c r="K192" s="63">
        <v>0</v>
      </c>
      <c r="L192" s="63">
        <v>0</v>
      </c>
      <c r="M192" s="63">
        <v>0</v>
      </c>
      <c r="N192" s="1"/>
    </row>
    <row r="193" spans="1:14" s="1" customFormat="1" collapsed="1" x14ac:dyDescent="0.45">
      <c r="A193" s="28" t="s">
        <v>91</v>
      </c>
      <c r="B193" s="43">
        <v>99719472</v>
      </c>
      <c r="C193" s="60">
        <v>14884198</v>
      </c>
      <c r="D193" s="60">
        <v>3748973</v>
      </c>
      <c r="E193" s="61">
        <v>81086301</v>
      </c>
      <c r="F193" s="60">
        <v>42436486.240115292</v>
      </c>
      <c r="G193" s="60">
        <v>5605105.7598847076</v>
      </c>
      <c r="H193" s="60">
        <v>28566180</v>
      </c>
      <c r="I193" s="60">
        <v>204946</v>
      </c>
      <c r="J193" s="60">
        <v>204946</v>
      </c>
      <c r="K193" s="60">
        <v>1435161</v>
      </c>
      <c r="L193" s="60">
        <v>1639676</v>
      </c>
      <c r="M193" s="60">
        <v>993800</v>
      </c>
    </row>
    <row r="194" spans="1:14" ht="16" hidden="1" customHeight="1" outlineLevel="1" x14ac:dyDescent="0.45">
      <c r="A194" s="29" t="s">
        <v>92</v>
      </c>
      <c r="B194" s="44">
        <v>30088158</v>
      </c>
      <c r="C194" s="63">
        <v>1233304</v>
      </c>
      <c r="D194" s="63">
        <v>126450</v>
      </c>
      <c r="E194" s="64">
        <v>28728404</v>
      </c>
      <c r="F194" s="63">
        <v>22923448.534645919</v>
      </c>
      <c r="G194" s="63">
        <v>3551155.4653540822</v>
      </c>
      <c r="H194" s="63">
        <v>553990</v>
      </c>
      <c r="I194" s="63">
        <v>23640</v>
      </c>
      <c r="J194" s="63">
        <v>23640</v>
      </c>
      <c r="K194" s="63">
        <v>546510</v>
      </c>
      <c r="L194" s="63">
        <v>1106020</v>
      </c>
      <c r="M194" s="63">
        <v>0</v>
      </c>
      <c r="N194" s="1"/>
    </row>
    <row r="195" spans="1:14" ht="16" hidden="1" customHeight="1" outlineLevel="1" x14ac:dyDescent="0.45">
      <c r="A195" s="29" t="s">
        <v>93</v>
      </c>
      <c r="B195" s="44">
        <v>52736541</v>
      </c>
      <c r="C195" s="63">
        <v>13407000</v>
      </c>
      <c r="D195" s="63">
        <v>1864610</v>
      </c>
      <c r="E195" s="64">
        <v>37464931</v>
      </c>
      <c r="F195" s="63">
        <v>7799741</v>
      </c>
      <c r="G195" s="63">
        <v>558000</v>
      </c>
      <c r="H195" s="63">
        <v>27933019</v>
      </c>
      <c r="I195" s="63">
        <v>181306</v>
      </c>
      <c r="J195" s="63">
        <v>181306</v>
      </c>
      <c r="K195" s="63">
        <v>811559</v>
      </c>
      <c r="L195" s="63">
        <v>0</v>
      </c>
      <c r="M195" s="63">
        <v>0</v>
      </c>
      <c r="N195" s="1"/>
    </row>
    <row r="196" spans="1:14" ht="16" hidden="1" customHeight="1" outlineLevel="1" x14ac:dyDescent="0.45">
      <c r="A196" s="29" t="s">
        <v>94</v>
      </c>
      <c r="B196" s="44">
        <v>16894773</v>
      </c>
      <c r="C196" s="63">
        <v>243894</v>
      </c>
      <c r="D196" s="63">
        <v>1757913</v>
      </c>
      <c r="E196" s="64">
        <v>14892966</v>
      </c>
      <c r="F196" s="63">
        <v>11713296.705469374</v>
      </c>
      <c r="G196" s="63">
        <v>1495950.2945306255</v>
      </c>
      <c r="H196" s="63">
        <v>79171</v>
      </c>
      <c r="I196" s="63">
        <v>0</v>
      </c>
      <c r="J196" s="63">
        <v>0</v>
      </c>
      <c r="K196" s="63">
        <v>77092</v>
      </c>
      <c r="L196" s="63">
        <v>533656</v>
      </c>
      <c r="M196" s="63">
        <v>993800</v>
      </c>
      <c r="N196" s="1"/>
    </row>
    <row r="197" spans="1:14" ht="16" hidden="1" customHeight="1" outlineLevel="1" x14ac:dyDescent="0.45">
      <c r="A197" s="29" t="s">
        <v>210</v>
      </c>
      <c r="B197" s="44">
        <v>0</v>
      </c>
      <c r="C197" s="63">
        <v>0</v>
      </c>
      <c r="D197" s="63">
        <v>0</v>
      </c>
      <c r="E197" s="64">
        <v>0</v>
      </c>
      <c r="F197" s="63">
        <v>0</v>
      </c>
      <c r="G197" s="63">
        <v>0</v>
      </c>
      <c r="H197" s="63">
        <v>0</v>
      </c>
      <c r="I197" s="63">
        <v>0</v>
      </c>
      <c r="J197" s="63">
        <v>0</v>
      </c>
      <c r="K197" s="63">
        <v>0</v>
      </c>
      <c r="L197" s="63">
        <v>0</v>
      </c>
      <c r="M197" s="63">
        <v>0</v>
      </c>
      <c r="N197" s="1"/>
    </row>
    <row r="198" spans="1:14" s="1" customFormat="1" ht="16" hidden="1" customHeight="1" outlineLevel="1" x14ac:dyDescent="0.45">
      <c r="A198" s="24" t="s">
        <v>211</v>
      </c>
      <c r="B198" s="45">
        <v>0</v>
      </c>
      <c r="C198" s="63">
        <v>0</v>
      </c>
      <c r="D198" s="63">
        <v>0</v>
      </c>
      <c r="E198" s="64">
        <v>0</v>
      </c>
      <c r="F198" s="63">
        <v>0</v>
      </c>
      <c r="G198" s="63">
        <v>0</v>
      </c>
      <c r="H198" s="63">
        <v>0</v>
      </c>
      <c r="I198" s="63">
        <v>0</v>
      </c>
      <c r="J198" s="63">
        <v>0</v>
      </c>
      <c r="K198" s="63">
        <v>0</v>
      </c>
      <c r="L198" s="63">
        <v>0</v>
      </c>
      <c r="M198" s="63">
        <v>0</v>
      </c>
    </row>
    <row r="199" spans="1:14" s="1" customFormat="1" collapsed="1" x14ac:dyDescent="0.45">
      <c r="A199" s="28" t="s">
        <v>95</v>
      </c>
      <c r="B199" s="43">
        <v>1573002244</v>
      </c>
      <c r="C199" s="69">
        <v>486010075</v>
      </c>
      <c r="D199" s="69">
        <v>104798268</v>
      </c>
      <c r="E199" s="61">
        <v>982193901</v>
      </c>
      <c r="F199" s="60">
        <v>79706352.794797078</v>
      </c>
      <c r="G199" s="60">
        <v>69285130.205202922</v>
      </c>
      <c r="H199" s="70">
        <v>449405548</v>
      </c>
      <c r="I199" s="70">
        <v>2367727</v>
      </c>
      <c r="J199" s="70">
        <v>2367727</v>
      </c>
      <c r="K199" s="70">
        <v>27028353</v>
      </c>
      <c r="L199" s="70">
        <v>5280529</v>
      </c>
      <c r="M199" s="60">
        <v>346752534</v>
      </c>
    </row>
    <row r="200" spans="1:14" ht="16" hidden="1" customHeight="1" outlineLevel="1" x14ac:dyDescent="0.45">
      <c r="A200" s="29" t="s">
        <v>152</v>
      </c>
      <c r="B200" s="44">
        <v>299806930</v>
      </c>
      <c r="C200" s="71">
        <v>299785504</v>
      </c>
      <c r="D200" s="71">
        <v>0</v>
      </c>
      <c r="E200" s="64">
        <v>21426</v>
      </c>
      <c r="F200" s="63">
        <v>0</v>
      </c>
      <c r="G200" s="63">
        <v>0</v>
      </c>
      <c r="H200" s="32">
        <v>0</v>
      </c>
      <c r="I200" s="32">
        <v>0</v>
      </c>
      <c r="J200" s="32">
        <v>0</v>
      </c>
      <c r="K200" s="32">
        <v>0</v>
      </c>
      <c r="L200" s="32">
        <v>0</v>
      </c>
      <c r="M200" s="63">
        <v>21426</v>
      </c>
      <c r="N200" s="1"/>
    </row>
    <row r="201" spans="1:14" ht="16" hidden="1" customHeight="1" outlineLevel="1" x14ac:dyDescent="0.45">
      <c r="A201" s="29" t="s">
        <v>153</v>
      </c>
      <c r="B201" s="44">
        <v>627416248</v>
      </c>
      <c r="C201" s="71">
        <v>2286026</v>
      </c>
      <c r="D201" s="71">
        <v>4506985</v>
      </c>
      <c r="E201" s="64">
        <v>620623237</v>
      </c>
      <c r="F201" s="63">
        <v>1995901.8695956196</v>
      </c>
      <c r="G201" s="63">
        <v>3873563.1304043806</v>
      </c>
      <c r="H201" s="32">
        <v>284449738</v>
      </c>
      <c r="I201" s="32">
        <v>78823.5</v>
      </c>
      <c r="J201" s="32">
        <v>78823.5</v>
      </c>
      <c r="K201" s="32">
        <v>2758824</v>
      </c>
      <c r="L201" s="32">
        <v>5152529</v>
      </c>
      <c r="M201" s="63">
        <v>322235034</v>
      </c>
      <c r="N201" s="1"/>
    </row>
    <row r="202" spans="1:14" ht="16" hidden="1" customHeight="1" outlineLevel="1" x14ac:dyDescent="0.45">
      <c r="A202" s="29" t="s">
        <v>117</v>
      </c>
      <c r="B202" s="44">
        <v>83089310</v>
      </c>
      <c r="C202" s="71">
        <v>75744290</v>
      </c>
      <c r="D202" s="71">
        <v>0</v>
      </c>
      <c r="E202" s="64">
        <v>7345020</v>
      </c>
      <c r="F202" s="63">
        <v>0</v>
      </c>
      <c r="G202" s="63">
        <v>7345020</v>
      </c>
      <c r="H202" s="32">
        <v>0</v>
      </c>
      <c r="I202" s="32">
        <v>0</v>
      </c>
      <c r="J202" s="32">
        <v>0</v>
      </c>
      <c r="K202" s="32">
        <v>0</v>
      </c>
      <c r="L202" s="32">
        <v>0</v>
      </c>
      <c r="M202" s="63">
        <v>0</v>
      </c>
      <c r="N202" s="1"/>
    </row>
    <row r="203" spans="1:14" ht="16" hidden="1" customHeight="1" outlineLevel="1" x14ac:dyDescent="0.45">
      <c r="A203" s="29" t="s">
        <v>154</v>
      </c>
      <c r="B203" s="44">
        <v>95876</v>
      </c>
      <c r="C203" s="71">
        <v>95240</v>
      </c>
      <c r="D203" s="71">
        <v>636</v>
      </c>
      <c r="E203" s="64">
        <v>0</v>
      </c>
      <c r="F203" s="63">
        <v>0</v>
      </c>
      <c r="G203" s="63">
        <v>0</v>
      </c>
      <c r="H203" s="32">
        <v>0</v>
      </c>
      <c r="I203" s="32">
        <v>0</v>
      </c>
      <c r="J203" s="32">
        <v>0</v>
      </c>
      <c r="K203" s="32">
        <v>0</v>
      </c>
      <c r="L203" s="32">
        <v>0</v>
      </c>
      <c r="M203" s="63">
        <v>0</v>
      </c>
      <c r="N203" s="1"/>
    </row>
    <row r="204" spans="1:14" ht="16" hidden="1" customHeight="1" outlineLevel="1" x14ac:dyDescent="0.45">
      <c r="A204" s="29" t="s">
        <v>96</v>
      </c>
      <c r="B204" s="44">
        <v>24563165</v>
      </c>
      <c r="C204" s="71">
        <v>792000</v>
      </c>
      <c r="D204" s="71">
        <v>1053000</v>
      </c>
      <c r="E204" s="64">
        <v>22718165</v>
      </c>
      <c r="F204" s="63">
        <v>18468878.962688275</v>
      </c>
      <c r="G204" s="63">
        <v>3728286.0373117267</v>
      </c>
      <c r="H204" s="32">
        <v>0</v>
      </c>
      <c r="I204" s="32">
        <v>0</v>
      </c>
      <c r="J204" s="32">
        <v>0</v>
      </c>
      <c r="K204" s="32">
        <v>323000</v>
      </c>
      <c r="L204" s="32">
        <v>128000</v>
      </c>
      <c r="M204" s="63">
        <v>70000</v>
      </c>
      <c r="N204" s="1"/>
    </row>
    <row r="205" spans="1:14" ht="16" hidden="1" customHeight="1" outlineLevel="1" x14ac:dyDescent="0.45">
      <c r="A205" s="29" t="s">
        <v>97</v>
      </c>
      <c r="B205" s="44">
        <v>20600</v>
      </c>
      <c r="C205" s="71">
        <v>14000</v>
      </c>
      <c r="D205" s="71">
        <v>0</v>
      </c>
      <c r="E205" s="64">
        <v>6600</v>
      </c>
      <c r="F205" s="63">
        <v>6600</v>
      </c>
      <c r="G205" s="63">
        <v>0</v>
      </c>
      <c r="H205" s="32">
        <v>0</v>
      </c>
      <c r="I205" s="32">
        <v>0</v>
      </c>
      <c r="J205" s="32">
        <v>0</v>
      </c>
      <c r="K205" s="32">
        <v>0</v>
      </c>
      <c r="L205" s="32">
        <v>0</v>
      </c>
      <c r="M205" s="63">
        <v>0</v>
      </c>
      <c r="N205" s="1"/>
    </row>
    <row r="206" spans="1:14" ht="16" hidden="1" customHeight="1" outlineLevel="1" x14ac:dyDescent="0.45">
      <c r="A206" s="29" t="s">
        <v>98</v>
      </c>
      <c r="B206" s="44">
        <v>82526787</v>
      </c>
      <c r="C206" s="71">
        <v>7180000</v>
      </c>
      <c r="D206" s="71">
        <v>0</v>
      </c>
      <c r="E206" s="64">
        <v>75346787</v>
      </c>
      <c r="F206" s="63">
        <v>10487956</v>
      </c>
      <c r="G206" s="63">
        <v>50170000</v>
      </c>
      <c r="H206" s="32">
        <v>0</v>
      </c>
      <c r="I206" s="32">
        <v>0</v>
      </c>
      <c r="J206" s="32">
        <v>0</v>
      </c>
      <c r="K206" s="32">
        <v>14688831</v>
      </c>
      <c r="L206" s="32">
        <v>0</v>
      </c>
      <c r="M206" s="63">
        <v>0</v>
      </c>
      <c r="N206" s="1"/>
    </row>
    <row r="207" spans="1:14" ht="16" hidden="1" customHeight="1" outlineLevel="1" x14ac:dyDescent="0.45">
      <c r="A207" s="29" t="s">
        <v>99</v>
      </c>
      <c r="B207" s="44">
        <v>231028791</v>
      </c>
      <c r="C207" s="71">
        <v>81000322</v>
      </c>
      <c r="D207" s="71">
        <v>0</v>
      </c>
      <c r="E207" s="64">
        <v>150028469</v>
      </c>
      <c r="F207" s="63">
        <v>22881484.376814496</v>
      </c>
      <c r="G207" s="63">
        <v>3267492.6231855038</v>
      </c>
      <c r="H207" s="32">
        <v>102107948</v>
      </c>
      <c r="I207" s="32">
        <v>0</v>
      </c>
      <c r="J207" s="32">
        <v>0</v>
      </c>
      <c r="K207" s="32">
        <v>557900</v>
      </c>
      <c r="L207" s="32">
        <v>0</v>
      </c>
      <c r="M207" s="63">
        <v>21213644</v>
      </c>
      <c r="N207" s="1"/>
    </row>
    <row r="208" spans="1:14" ht="16" hidden="1" customHeight="1" outlineLevel="1" x14ac:dyDescent="0.45">
      <c r="A208" s="29" t="s">
        <v>155</v>
      </c>
      <c r="B208" s="44">
        <v>5871383</v>
      </c>
      <c r="C208" s="71">
        <v>5871383</v>
      </c>
      <c r="D208" s="71">
        <v>0</v>
      </c>
      <c r="E208" s="64">
        <v>0</v>
      </c>
      <c r="F208" s="63">
        <v>0</v>
      </c>
      <c r="G208" s="63">
        <v>0</v>
      </c>
      <c r="H208" s="32">
        <v>0</v>
      </c>
      <c r="I208" s="32">
        <v>0</v>
      </c>
      <c r="J208" s="32">
        <v>0</v>
      </c>
      <c r="K208" s="32">
        <v>0</v>
      </c>
      <c r="L208" s="32">
        <v>0</v>
      </c>
      <c r="M208" s="63">
        <v>0</v>
      </c>
      <c r="N208" s="1"/>
    </row>
    <row r="209" spans="1:14" ht="16" hidden="1" customHeight="1" outlineLevel="1" x14ac:dyDescent="0.45">
      <c r="A209" s="29" t="s">
        <v>100</v>
      </c>
      <c r="B209" s="44">
        <v>217250800</v>
      </c>
      <c r="C209" s="71">
        <v>13241310</v>
      </c>
      <c r="D209" s="71">
        <v>99237647</v>
      </c>
      <c r="E209" s="64">
        <v>104771843</v>
      </c>
      <c r="F209" s="63">
        <v>25865531.585698687</v>
      </c>
      <c r="G209" s="63">
        <v>900768.41430131602</v>
      </c>
      <c r="H209" s="32">
        <v>62847862</v>
      </c>
      <c r="I209" s="32">
        <v>2288903.5</v>
      </c>
      <c r="J209" s="32">
        <v>2288903.5</v>
      </c>
      <c r="K209" s="32">
        <v>7367444</v>
      </c>
      <c r="L209" s="32">
        <v>0</v>
      </c>
      <c r="M209" s="63">
        <v>3212430</v>
      </c>
      <c r="N209" s="1"/>
    </row>
    <row r="210" spans="1:14" ht="16" hidden="1" customHeight="1" outlineLevel="1" x14ac:dyDescent="0.45">
      <c r="A210" s="24" t="s">
        <v>212</v>
      </c>
      <c r="B210" s="45">
        <v>0</v>
      </c>
      <c r="C210" s="71">
        <v>0</v>
      </c>
      <c r="D210" s="71">
        <v>0</v>
      </c>
      <c r="E210" s="64">
        <v>0</v>
      </c>
      <c r="F210" s="63">
        <v>0</v>
      </c>
      <c r="G210" s="63">
        <v>0</v>
      </c>
      <c r="H210" s="32">
        <v>0</v>
      </c>
      <c r="I210" s="32">
        <v>0</v>
      </c>
      <c r="J210" s="32">
        <v>0</v>
      </c>
      <c r="K210" s="32">
        <v>0</v>
      </c>
      <c r="L210" s="32">
        <v>0</v>
      </c>
      <c r="M210" s="63">
        <v>0</v>
      </c>
      <c r="N210" s="1"/>
    </row>
    <row r="211" spans="1:14" ht="16" hidden="1" customHeight="1" outlineLevel="1" x14ac:dyDescent="0.45">
      <c r="A211" s="29" t="s">
        <v>213</v>
      </c>
      <c r="B211" s="44">
        <v>0</v>
      </c>
      <c r="C211" s="71">
        <v>0</v>
      </c>
      <c r="D211" s="71">
        <v>0</v>
      </c>
      <c r="E211" s="64">
        <v>0</v>
      </c>
      <c r="F211" s="63">
        <v>0</v>
      </c>
      <c r="G211" s="63">
        <v>0</v>
      </c>
      <c r="H211" s="32">
        <v>0</v>
      </c>
      <c r="I211" s="32">
        <v>0</v>
      </c>
      <c r="J211" s="32">
        <v>0</v>
      </c>
      <c r="K211" s="32">
        <v>0</v>
      </c>
      <c r="L211" s="32">
        <v>0</v>
      </c>
      <c r="M211" s="63">
        <v>0</v>
      </c>
      <c r="N211" s="1"/>
    </row>
    <row r="212" spans="1:14" ht="16" hidden="1" customHeight="1" outlineLevel="1" x14ac:dyDescent="0.45">
      <c r="A212" s="24" t="s">
        <v>214</v>
      </c>
      <c r="B212" s="45">
        <v>0</v>
      </c>
      <c r="C212" s="71">
        <v>0</v>
      </c>
      <c r="D212" s="71">
        <v>0</v>
      </c>
      <c r="E212" s="64">
        <v>0</v>
      </c>
      <c r="F212" s="63">
        <v>0</v>
      </c>
      <c r="G212" s="63">
        <v>0</v>
      </c>
      <c r="H212" s="32">
        <v>0</v>
      </c>
      <c r="I212" s="32">
        <v>0</v>
      </c>
      <c r="J212" s="32">
        <v>0</v>
      </c>
      <c r="K212" s="32">
        <v>0</v>
      </c>
      <c r="L212" s="32">
        <v>0</v>
      </c>
      <c r="M212" s="63">
        <v>0</v>
      </c>
      <c r="N212" s="1"/>
    </row>
    <row r="213" spans="1:14" ht="16" hidden="1" customHeight="1" outlineLevel="1" x14ac:dyDescent="0.45">
      <c r="A213" s="29" t="s">
        <v>215</v>
      </c>
      <c r="B213" s="44">
        <v>0</v>
      </c>
      <c r="C213" s="71">
        <v>0</v>
      </c>
      <c r="D213" s="71">
        <v>0</v>
      </c>
      <c r="E213" s="64">
        <v>0</v>
      </c>
      <c r="F213" s="63">
        <v>0</v>
      </c>
      <c r="G213" s="63">
        <v>0</v>
      </c>
      <c r="H213" s="32">
        <v>0</v>
      </c>
      <c r="I213" s="32">
        <v>0</v>
      </c>
      <c r="J213" s="32">
        <v>0</v>
      </c>
      <c r="K213" s="32">
        <v>0</v>
      </c>
      <c r="L213" s="32">
        <v>0</v>
      </c>
      <c r="M213" s="63">
        <v>0</v>
      </c>
      <c r="N213" s="1"/>
    </row>
    <row r="214" spans="1:14" ht="16" hidden="1" customHeight="1" outlineLevel="1" x14ac:dyDescent="0.45">
      <c r="A214" s="29" t="s">
        <v>257</v>
      </c>
      <c r="B214" s="44">
        <v>1332354</v>
      </c>
      <c r="C214" s="71">
        <v>0</v>
      </c>
      <c r="D214" s="71">
        <v>0</v>
      </c>
      <c r="E214" s="64">
        <v>1332354</v>
      </c>
      <c r="F214" s="63">
        <v>0</v>
      </c>
      <c r="G214" s="63">
        <v>0</v>
      </c>
      <c r="H214" s="32">
        <v>0</v>
      </c>
      <c r="I214" s="32">
        <v>0</v>
      </c>
      <c r="J214" s="32">
        <v>0</v>
      </c>
      <c r="K214" s="32">
        <v>1332354</v>
      </c>
      <c r="L214" s="32">
        <v>0</v>
      </c>
      <c r="M214" s="63">
        <v>0</v>
      </c>
      <c r="N214" s="1"/>
    </row>
    <row r="215" spans="1:14" s="1" customFormat="1" collapsed="1" x14ac:dyDescent="0.45">
      <c r="A215" s="28" t="s">
        <v>156</v>
      </c>
      <c r="B215" s="43">
        <v>72410000</v>
      </c>
      <c r="C215" s="69">
        <v>0</v>
      </c>
      <c r="D215" s="69">
        <v>0</v>
      </c>
      <c r="E215" s="61">
        <v>72410000</v>
      </c>
      <c r="F215" s="60">
        <v>45350000</v>
      </c>
      <c r="G215" s="60">
        <v>0</v>
      </c>
      <c r="H215" s="70">
        <v>27060000</v>
      </c>
      <c r="I215" s="70">
        <v>0</v>
      </c>
      <c r="J215" s="70">
        <v>0</v>
      </c>
      <c r="K215" s="70">
        <v>0</v>
      </c>
      <c r="L215" s="70">
        <v>0</v>
      </c>
      <c r="M215" s="60">
        <v>0</v>
      </c>
    </row>
    <row r="216" spans="1:14" ht="16" hidden="1" customHeight="1" outlineLevel="1" x14ac:dyDescent="0.45">
      <c r="A216" s="29" t="s">
        <v>157</v>
      </c>
      <c r="B216" s="44">
        <v>72410000</v>
      </c>
      <c r="C216" s="71">
        <v>0</v>
      </c>
      <c r="D216" s="71">
        <v>0</v>
      </c>
      <c r="E216" s="64">
        <v>72410000</v>
      </c>
      <c r="F216" s="63">
        <v>45350000</v>
      </c>
      <c r="G216" s="63">
        <v>0</v>
      </c>
      <c r="H216" s="32">
        <v>27060000</v>
      </c>
      <c r="I216" s="32">
        <v>0</v>
      </c>
      <c r="J216" s="32">
        <v>0</v>
      </c>
      <c r="K216" s="32">
        <v>0</v>
      </c>
      <c r="L216" s="32">
        <v>0</v>
      </c>
      <c r="M216" s="63">
        <v>0</v>
      </c>
      <c r="N216" s="1"/>
    </row>
    <row r="217" spans="1:14" s="1" customFormat="1" collapsed="1" x14ac:dyDescent="0.45">
      <c r="A217" s="28" t="s">
        <v>101</v>
      </c>
      <c r="B217" s="43">
        <v>1549347855</v>
      </c>
      <c r="C217" s="69">
        <v>-2911245459</v>
      </c>
      <c r="D217" s="69">
        <v>4641818</v>
      </c>
      <c r="E217" s="61">
        <v>4455951496</v>
      </c>
      <c r="F217" s="60">
        <v>1685548601</v>
      </c>
      <c r="G217" s="60">
        <v>24695044</v>
      </c>
      <c r="H217" s="70">
        <v>1539937668</v>
      </c>
      <c r="I217" s="70">
        <v>12200175</v>
      </c>
      <c r="J217" s="70">
        <v>12326514</v>
      </c>
      <c r="K217" s="70">
        <v>203417450</v>
      </c>
      <c r="L217" s="70">
        <v>902032508</v>
      </c>
      <c r="M217" s="60">
        <v>75793536</v>
      </c>
    </row>
    <row r="218" spans="1:14" s="1" customFormat="1" ht="16" hidden="1" customHeight="1" outlineLevel="1" x14ac:dyDescent="0.45">
      <c r="A218" s="28" t="s">
        <v>166</v>
      </c>
      <c r="B218" s="43">
        <v>0</v>
      </c>
      <c r="C218" s="69">
        <v>-900672416</v>
      </c>
      <c r="D218" s="69">
        <v>0</v>
      </c>
      <c r="E218" s="61">
        <v>900672416</v>
      </c>
      <c r="F218" s="60">
        <v>669818706</v>
      </c>
      <c r="G218" s="60">
        <v>0</v>
      </c>
      <c r="H218" s="70">
        <v>3658400</v>
      </c>
      <c r="I218" s="70">
        <v>177600</v>
      </c>
      <c r="J218" s="70">
        <v>154460</v>
      </c>
      <c r="K218" s="70">
        <v>203065450</v>
      </c>
      <c r="L218" s="70">
        <v>23797800</v>
      </c>
      <c r="M218" s="60">
        <v>0</v>
      </c>
    </row>
    <row r="219" spans="1:14" ht="16" hidden="1" customHeight="1" outlineLevel="1" x14ac:dyDescent="0.45">
      <c r="A219" s="29" t="s">
        <v>216</v>
      </c>
      <c r="B219" s="44">
        <v>0</v>
      </c>
      <c r="C219" s="71">
        <v>0</v>
      </c>
      <c r="D219" s="71">
        <v>0</v>
      </c>
      <c r="E219" s="64">
        <v>0</v>
      </c>
      <c r="F219" s="63">
        <v>0</v>
      </c>
      <c r="G219" s="63">
        <v>0</v>
      </c>
      <c r="H219" s="32">
        <v>0</v>
      </c>
      <c r="I219" s="32">
        <v>0</v>
      </c>
      <c r="J219" s="32">
        <v>0</v>
      </c>
      <c r="K219" s="32">
        <v>0</v>
      </c>
      <c r="L219" s="32">
        <v>0</v>
      </c>
      <c r="M219" s="63">
        <v>0</v>
      </c>
      <c r="N219" s="1"/>
    </row>
    <row r="220" spans="1:14" ht="16" hidden="1" customHeight="1" outlineLevel="1" x14ac:dyDescent="0.45">
      <c r="A220" s="29" t="s">
        <v>102</v>
      </c>
      <c r="B220" s="44">
        <v>0</v>
      </c>
      <c r="C220" s="71">
        <v>0</v>
      </c>
      <c r="D220" s="71">
        <v>0</v>
      </c>
      <c r="E220" s="64">
        <v>0</v>
      </c>
      <c r="F220" s="63">
        <v>0</v>
      </c>
      <c r="G220" s="63">
        <v>0</v>
      </c>
      <c r="H220" s="32">
        <v>0</v>
      </c>
      <c r="I220" s="32">
        <v>0</v>
      </c>
      <c r="J220" s="32">
        <v>0</v>
      </c>
      <c r="K220" s="32">
        <v>0</v>
      </c>
      <c r="L220" s="32">
        <v>0</v>
      </c>
      <c r="M220" s="63">
        <v>0</v>
      </c>
      <c r="N220" s="1"/>
    </row>
    <row r="221" spans="1:14" ht="16" hidden="1" customHeight="1" outlineLevel="1" x14ac:dyDescent="0.45">
      <c r="A221" s="29" t="s">
        <v>103</v>
      </c>
      <c r="B221" s="44">
        <v>16448010</v>
      </c>
      <c r="C221" s="71">
        <v>1443751</v>
      </c>
      <c r="D221" s="71">
        <v>0</v>
      </c>
      <c r="E221" s="64">
        <v>15004259</v>
      </c>
      <c r="F221" s="63">
        <v>13589480</v>
      </c>
      <c r="G221" s="63">
        <v>0</v>
      </c>
      <c r="H221" s="32">
        <v>583300</v>
      </c>
      <c r="I221" s="32">
        <v>0</v>
      </c>
      <c r="J221" s="32">
        <v>149479</v>
      </c>
      <c r="K221" s="32">
        <v>0</v>
      </c>
      <c r="L221" s="32">
        <v>682000</v>
      </c>
      <c r="M221" s="63">
        <v>0</v>
      </c>
      <c r="N221" s="1"/>
    </row>
    <row r="222" spans="1:14" s="1" customFormat="1" ht="16" hidden="1" customHeight="1" outlineLevel="1" collapsed="1" x14ac:dyDescent="0.45">
      <c r="A222" s="28" t="s">
        <v>104</v>
      </c>
      <c r="B222" s="43">
        <v>0</v>
      </c>
      <c r="C222" s="69">
        <v>-2258371304</v>
      </c>
      <c r="D222" s="69">
        <v>0</v>
      </c>
      <c r="E222" s="61">
        <v>2258371304</v>
      </c>
      <c r="F222" s="60">
        <v>1653896000</v>
      </c>
      <c r="G222" s="60">
        <v>0</v>
      </c>
      <c r="H222" s="70">
        <v>0</v>
      </c>
      <c r="I222" s="70">
        <v>0</v>
      </c>
      <c r="J222" s="70">
        <v>0</v>
      </c>
      <c r="K222" s="70">
        <v>0</v>
      </c>
      <c r="L222" s="70">
        <v>604475304</v>
      </c>
      <c r="M222" s="60">
        <v>0</v>
      </c>
    </row>
    <row r="223" spans="1:14" ht="16" hidden="1" customHeight="1" outlineLevel="1" x14ac:dyDescent="0.45">
      <c r="A223" s="29" t="s">
        <v>116</v>
      </c>
      <c r="B223" s="44">
        <v>262391094</v>
      </c>
      <c r="C223" s="71">
        <v>206110255</v>
      </c>
      <c r="D223" s="71">
        <v>0</v>
      </c>
      <c r="E223" s="64">
        <v>56280839</v>
      </c>
      <c r="F223" s="63">
        <v>16950350</v>
      </c>
      <c r="G223" s="63">
        <v>24695044</v>
      </c>
      <c r="H223" s="32">
        <v>0</v>
      </c>
      <c r="I223" s="32">
        <v>0</v>
      </c>
      <c r="J223" s="32">
        <v>0</v>
      </c>
      <c r="K223" s="32">
        <v>0</v>
      </c>
      <c r="L223" s="32">
        <v>376999</v>
      </c>
      <c r="M223" s="63">
        <v>14258446</v>
      </c>
      <c r="N223" s="1"/>
    </row>
    <row r="224" spans="1:14" ht="16" hidden="1" customHeight="1" outlineLevel="1" x14ac:dyDescent="0.45">
      <c r="A224" s="29" t="s">
        <v>105</v>
      </c>
      <c r="B224" s="44">
        <v>1270508751</v>
      </c>
      <c r="C224" s="71">
        <v>40244255</v>
      </c>
      <c r="D224" s="71">
        <v>4641818</v>
      </c>
      <c r="E224" s="64">
        <v>1225622678</v>
      </c>
      <c r="F224" s="63">
        <v>-668705935</v>
      </c>
      <c r="G224" s="63">
        <v>0</v>
      </c>
      <c r="H224" s="32">
        <v>1535695968</v>
      </c>
      <c r="I224" s="72">
        <v>12022575</v>
      </c>
      <c r="J224" s="72">
        <v>12022575</v>
      </c>
      <c r="K224" s="72">
        <v>352000</v>
      </c>
      <c r="L224" s="72">
        <v>272700405</v>
      </c>
      <c r="M224" s="63">
        <v>61535090</v>
      </c>
      <c r="N224" s="1"/>
    </row>
    <row r="225" spans="1:14" ht="16" hidden="1" customHeight="1" outlineLevel="1" x14ac:dyDescent="0.45">
      <c r="A225" s="29" t="s">
        <v>217</v>
      </c>
      <c r="B225" s="44">
        <v>0</v>
      </c>
      <c r="C225" s="71">
        <v>0</v>
      </c>
      <c r="D225" s="71">
        <v>0</v>
      </c>
      <c r="E225" s="64">
        <v>0</v>
      </c>
      <c r="F225" s="63">
        <v>0</v>
      </c>
      <c r="G225" s="63">
        <v>0</v>
      </c>
      <c r="H225" s="32">
        <v>0</v>
      </c>
      <c r="I225" s="32">
        <v>0</v>
      </c>
      <c r="J225" s="32">
        <v>0</v>
      </c>
      <c r="K225" s="32">
        <v>0</v>
      </c>
      <c r="L225" s="32">
        <v>0</v>
      </c>
      <c r="M225" s="63">
        <v>0</v>
      </c>
      <c r="N225" s="1"/>
    </row>
    <row r="226" spans="1:14" ht="16" hidden="1" customHeight="1" outlineLevel="1" x14ac:dyDescent="0.45">
      <c r="A226" s="29" t="s">
        <v>106</v>
      </c>
      <c r="B226" s="44">
        <v>0</v>
      </c>
      <c r="C226" s="71">
        <v>0</v>
      </c>
      <c r="D226" s="71">
        <v>0</v>
      </c>
      <c r="E226" s="64">
        <v>0</v>
      </c>
      <c r="F226" s="63">
        <v>0</v>
      </c>
      <c r="G226" s="63">
        <v>0</v>
      </c>
      <c r="H226" s="32">
        <v>0</v>
      </c>
      <c r="I226" s="32">
        <v>0</v>
      </c>
      <c r="J226" s="32">
        <v>0</v>
      </c>
      <c r="K226" s="32">
        <v>0</v>
      </c>
      <c r="L226" s="32">
        <v>0</v>
      </c>
      <c r="M226" s="63">
        <v>0</v>
      </c>
      <c r="N226" s="1"/>
    </row>
    <row r="227" spans="1:14" s="1" customFormat="1" ht="16" hidden="1" customHeight="1" outlineLevel="1" collapsed="1" x14ac:dyDescent="0.45">
      <c r="A227" s="28" t="s">
        <v>260</v>
      </c>
      <c r="B227" s="43">
        <v>0</v>
      </c>
      <c r="C227" s="69">
        <v>0</v>
      </c>
      <c r="D227" s="69">
        <v>0</v>
      </c>
      <c r="E227" s="61">
        <v>0</v>
      </c>
      <c r="F227" s="60">
        <v>0</v>
      </c>
      <c r="G227" s="60">
        <v>0</v>
      </c>
      <c r="H227" s="70">
        <v>0</v>
      </c>
      <c r="I227" s="70">
        <v>0</v>
      </c>
      <c r="J227" s="70">
        <v>0</v>
      </c>
      <c r="K227" s="70">
        <v>0</v>
      </c>
      <c r="L227" s="70">
        <v>0</v>
      </c>
      <c r="M227" s="60">
        <v>0</v>
      </c>
    </row>
    <row r="228" spans="1:14" s="1" customFormat="1" collapsed="1" x14ac:dyDescent="0.45">
      <c r="A228" s="28" t="s">
        <v>218</v>
      </c>
      <c r="B228" s="43">
        <v>0</v>
      </c>
      <c r="C228" s="69">
        <v>0</v>
      </c>
      <c r="D228" s="69">
        <v>0</v>
      </c>
      <c r="E228" s="61">
        <v>0</v>
      </c>
      <c r="F228" s="60">
        <v>0</v>
      </c>
      <c r="G228" s="60">
        <v>0</v>
      </c>
      <c r="H228" s="70">
        <v>0</v>
      </c>
      <c r="I228" s="70">
        <v>0</v>
      </c>
      <c r="J228" s="70">
        <v>0</v>
      </c>
      <c r="K228" s="70">
        <v>0</v>
      </c>
      <c r="L228" s="70">
        <v>0</v>
      </c>
      <c r="M228" s="60">
        <v>0</v>
      </c>
    </row>
    <row r="229" spans="1:14" s="1" customFormat="1" x14ac:dyDescent="0.45">
      <c r="A229" s="28" t="s">
        <v>107</v>
      </c>
      <c r="B229" s="43">
        <v>535270869</v>
      </c>
      <c r="C229" s="69">
        <v>-66270587</v>
      </c>
      <c r="D229" s="69">
        <v>0</v>
      </c>
      <c r="E229" s="61">
        <v>601541456</v>
      </c>
      <c r="F229" s="60">
        <v>0</v>
      </c>
      <c r="G229" s="60">
        <v>1069351</v>
      </c>
      <c r="H229" s="70">
        <v>12531005</v>
      </c>
      <c r="I229" s="70">
        <v>-77045544</v>
      </c>
      <c r="J229" s="70">
        <v>729614465</v>
      </c>
      <c r="K229" s="70">
        <v>-129829057</v>
      </c>
      <c r="L229" s="70">
        <v>65201236</v>
      </c>
      <c r="M229" s="60">
        <v>0</v>
      </c>
    </row>
    <row r="230" spans="1:14" ht="16" hidden="1" customHeight="1" outlineLevel="1" x14ac:dyDescent="0.45">
      <c r="A230" s="29" t="s">
        <v>158</v>
      </c>
      <c r="B230" s="44">
        <v>0</v>
      </c>
      <c r="C230" s="71">
        <v>0</v>
      </c>
      <c r="D230" s="71">
        <v>0</v>
      </c>
      <c r="E230" s="64">
        <v>0</v>
      </c>
      <c r="F230" s="63">
        <v>0</v>
      </c>
      <c r="G230" s="63">
        <v>0</v>
      </c>
      <c r="H230" s="32">
        <v>0</v>
      </c>
      <c r="I230" s="32">
        <v>0</v>
      </c>
      <c r="J230" s="32">
        <v>0</v>
      </c>
      <c r="K230" s="32">
        <v>0</v>
      </c>
      <c r="L230" s="32">
        <v>0</v>
      </c>
      <c r="M230" s="63">
        <v>0</v>
      </c>
      <c r="N230" s="1"/>
    </row>
    <row r="231" spans="1:14" ht="16" hidden="1" customHeight="1" outlineLevel="1" x14ac:dyDescent="0.45">
      <c r="A231" s="29" t="s">
        <v>219</v>
      </c>
      <c r="B231" s="44">
        <v>0</v>
      </c>
      <c r="C231" s="71">
        <v>0</v>
      </c>
      <c r="D231" s="71">
        <v>0</v>
      </c>
      <c r="E231" s="64">
        <v>0</v>
      </c>
      <c r="F231" s="63">
        <v>0</v>
      </c>
      <c r="G231" s="63">
        <v>0</v>
      </c>
      <c r="H231" s="32">
        <v>0</v>
      </c>
      <c r="I231" s="32">
        <v>0</v>
      </c>
      <c r="J231" s="32">
        <v>0</v>
      </c>
      <c r="K231" s="32">
        <v>0</v>
      </c>
      <c r="L231" s="32">
        <v>0</v>
      </c>
      <c r="M231" s="63">
        <v>0</v>
      </c>
      <c r="N231" s="1"/>
    </row>
    <row r="232" spans="1:14" ht="16" hidden="1" customHeight="1" outlineLevel="1" x14ac:dyDescent="0.45">
      <c r="A232" s="29" t="s">
        <v>230</v>
      </c>
      <c r="B232" s="44">
        <v>535270869</v>
      </c>
      <c r="C232" s="71">
        <v>0</v>
      </c>
      <c r="D232" s="71">
        <v>0</v>
      </c>
      <c r="E232" s="64">
        <v>535270869</v>
      </c>
      <c r="F232" s="63">
        <v>0</v>
      </c>
      <c r="G232" s="63">
        <v>0</v>
      </c>
      <c r="H232" s="32">
        <v>12531005</v>
      </c>
      <c r="I232" s="32">
        <v>-77045544</v>
      </c>
      <c r="J232" s="32">
        <v>729614465</v>
      </c>
      <c r="K232" s="32">
        <v>-129829057</v>
      </c>
      <c r="L232" s="32">
        <v>0</v>
      </c>
      <c r="M232" s="63">
        <v>0</v>
      </c>
      <c r="N232" s="1"/>
    </row>
    <row r="233" spans="1:14" ht="16" hidden="1" customHeight="1" outlineLevel="1" x14ac:dyDescent="0.45">
      <c r="A233" s="29" t="s">
        <v>220</v>
      </c>
      <c r="B233" s="44">
        <v>0</v>
      </c>
      <c r="C233" s="71">
        <v>0</v>
      </c>
      <c r="D233" s="71">
        <v>0</v>
      </c>
      <c r="E233" s="64">
        <v>0</v>
      </c>
      <c r="F233" s="63">
        <v>0</v>
      </c>
      <c r="G233" s="63">
        <v>0</v>
      </c>
      <c r="H233" s="32">
        <v>0</v>
      </c>
      <c r="I233" s="32">
        <v>0</v>
      </c>
      <c r="J233" s="32">
        <v>0</v>
      </c>
      <c r="K233" s="32">
        <v>0</v>
      </c>
      <c r="L233" s="32">
        <v>0</v>
      </c>
      <c r="M233" s="63">
        <v>0</v>
      </c>
      <c r="N233" s="1"/>
    </row>
    <row r="234" spans="1:14" s="1" customFormat="1" ht="16" hidden="1" customHeight="1" outlineLevel="1" collapsed="1" x14ac:dyDescent="0.45">
      <c r="A234" s="28" t="s">
        <v>108</v>
      </c>
      <c r="B234" s="44">
        <v>0</v>
      </c>
      <c r="C234" s="69">
        <v>-1069351</v>
      </c>
      <c r="D234" s="69">
        <v>0</v>
      </c>
      <c r="E234" s="61">
        <v>1069351</v>
      </c>
      <c r="F234" s="60">
        <v>0</v>
      </c>
      <c r="G234" s="60">
        <v>1069351</v>
      </c>
      <c r="H234" s="70">
        <v>0</v>
      </c>
      <c r="I234" s="70">
        <v>0</v>
      </c>
      <c r="J234" s="70">
        <v>0</v>
      </c>
      <c r="K234" s="70">
        <v>0</v>
      </c>
      <c r="L234" s="70">
        <v>0</v>
      </c>
      <c r="M234" s="60">
        <v>0</v>
      </c>
    </row>
    <row r="235" spans="1:14" ht="16" hidden="1" customHeight="1" outlineLevel="1" x14ac:dyDescent="0.45">
      <c r="A235" s="29" t="s">
        <v>221</v>
      </c>
      <c r="B235" s="44">
        <v>0</v>
      </c>
      <c r="C235" s="71">
        <v>0</v>
      </c>
      <c r="D235" s="71">
        <v>0</v>
      </c>
      <c r="E235" s="64">
        <v>0</v>
      </c>
      <c r="F235" s="63">
        <v>0</v>
      </c>
      <c r="G235" s="63">
        <v>0</v>
      </c>
      <c r="H235" s="32">
        <v>0</v>
      </c>
      <c r="I235" s="32">
        <v>0</v>
      </c>
      <c r="J235" s="32">
        <v>0</v>
      </c>
      <c r="K235" s="32">
        <v>0</v>
      </c>
      <c r="L235" s="32">
        <v>0</v>
      </c>
      <c r="M235" s="63">
        <v>0</v>
      </c>
      <c r="N235" s="1"/>
    </row>
    <row r="236" spans="1:14" ht="16" hidden="1" customHeight="1" outlineLevel="1" x14ac:dyDescent="0.45">
      <c r="A236" s="29" t="s">
        <v>222</v>
      </c>
      <c r="B236" s="44">
        <v>0</v>
      </c>
      <c r="C236" s="71">
        <v>0</v>
      </c>
      <c r="D236" s="71">
        <v>0</v>
      </c>
      <c r="E236" s="64">
        <v>0</v>
      </c>
      <c r="F236" s="63">
        <v>0</v>
      </c>
      <c r="G236" s="63">
        <v>0</v>
      </c>
      <c r="H236" s="32">
        <v>0</v>
      </c>
      <c r="I236" s="32">
        <v>0</v>
      </c>
      <c r="J236" s="32">
        <v>0</v>
      </c>
      <c r="K236" s="32">
        <v>0</v>
      </c>
      <c r="L236" s="32">
        <v>0</v>
      </c>
      <c r="M236" s="63">
        <v>0</v>
      </c>
      <c r="N236" s="1"/>
    </row>
    <row r="237" spans="1:14" s="1" customFormat="1" ht="16" hidden="1" customHeight="1" outlineLevel="1" collapsed="1" x14ac:dyDescent="0.45">
      <c r="A237" s="28" t="s">
        <v>109</v>
      </c>
      <c r="B237" s="44">
        <v>0</v>
      </c>
      <c r="C237" s="69">
        <v>-65201236</v>
      </c>
      <c r="D237" s="69">
        <v>0</v>
      </c>
      <c r="E237" s="61">
        <v>65201236</v>
      </c>
      <c r="F237" s="60">
        <v>0</v>
      </c>
      <c r="G237" s="60">
        <v>0</v>
      </c>
      <c r="H237" s="70">
        <v>0</v>
      </c>
      <c r="I237" s="70">
        <v>0</v>
      </c>
      <c r="J237" s="70">
        <v>0</v>
      </c>
      <c r="K237" s="70">
        <v>0</v>
      </c>
      <c r="L237" s="70">
        <v>65201236</v>
      </c>
      <c r="M237" s="60">
        <v>0</v>
      </c>
    </row>
    <row r="238" spans="1:14" s="1" customFormat="1" ht="16" customHeight="1" collapsed="1" x14ac:dyDescent="0.45">
      <c r="A238" s="28" t="s">
        <v>110</v>
      </c>
      <c r="B238" s="44">
        <v>20810258</v>
      </c>
      <c r="C238" s="69">
        <v>18310258</v>
      </c>
      <c r="D238" s="69">
        <v>0</v>
      </c>
      <c r="E238" s="61">
        <v>2500000</v>
      </c>
      <c r="F238" s="60">
        <v>0</v>
      </c>
      <c r="G238" s="60">
        <v>0</v>
      </c>
      <c r="H238" s="70">
        <v>0</v>
      </c>
      <c r="I238" s="70">
        <v>0</v>
      </c>
      <c r="J238" s="70">
        <v>0</v>
      </c>
      <c r="K238" s="70">
        <v>0</v>
      </c>
      <c r="L238" s="70">
        <v>0</v>
      </c>
      <c r="M238" s="60">
        <v>2500000</v>
      </c>
    </row>
    <row r="239" spans="1:14" s="1" customFormat="1" collapsed="1" x14ac:dyDescent="0.45">
      <c r="A239" s="27" t="s">
        <v>231</v>
      </c>
      <c r="B239" s="42">
        <v>322290673</v>
      </c>
      <c r="C239" s="73">
        <v>-4557253273.000001</v>
      </c>
      <c r="D239" s="73">
        <v>-322712347</v>
      </c>
      <c r="E239" s="58">
        <v>5202256293.000001</v>
      </c>
      <c r="F239" s="57">
        <v>2667279589.6556921</v>
      </c>
      <c r="G239" s="57">
        <v>1348367200.5263338</v>
      </c>
      <c r="H239" s="57">
        <v>729145260.81797409</v>
      </c>
      <c r="I239" s="57">
        <v>63067039.189459786</v>
      </c>
      <c r="J239" s="57">
        <v>116058646.42795432</v>
      </c>
      <c r="K239" s="57">
        <v>102989599.63976651</v>
      </c>
      <c r="L239" s="57">
        <v>-349068347.25718057</v>
      </c>
      <c r="M239" s="57">
        <v>524417304</v>
      </c>
    </row>
    <row r="240" spans="1:14" s="1" customFormat="1" x14ac:dyDescent="0.45">
      <c r="A240" s="28" t="s">
        <v>268</v>
      </c>
      <c r="B240" s="43">
        <v>284986485</v>
      </c>
      <c r="C240" s="69">
        <v>283586485</v>
      </c>
      <c r="D240" s="69">
        <v>0</v>
      </c>
      <c r="E240" s="61">
        <v>1400000</v>
      </c>
      <c r="F240" s="60">
        <v>0</v>
      </c>
      <c r="G240" s="60">
        <v>1400000</v>
      </c>
      <c r="H240" s="70">
        <v>0</v>
      </c>
      <c r="I240" s="70">
        <v>0</v>
      </c>
      <c r="J240" s="70">
        <v>0</v>
      </c>
      <c r="K240" s="70">
        <v>0</v>
      </c>
      <c r="L240" s="70">
        <v>0</v>
      </c>
      <c r="M240" s="70">
        <v>0</v>
      </c>
    </row>
    <row r="241" spans="1:14" ht="16" hidden="1" customHeight="1" outlineLevel="1" x14ac:dyDescent="0.45">
      <c r="A241" s="29" t="s">
        <v>159</v>
      </c>
      <c r="B241" s="44">
        <v>119431285</v>
      </c>
      <c r="C241" s="71">
        <v>119431285</v>
      </c>
      <c r="D241" s="71">
        <v>0</v>
      </c>
      <c r="E241" s="64">
        <v>0</v>
      </c>
      <c r="F241" s="63">
        <v>0</v>
      </c>
      <c r="G241" s="63">
        <v>0</v>
      </c>
      <c r="H241" s="32">
        <v>0</v>
      </c>
      <c r="I241" s="32">
        <v>0</v>
      </c>
      <c r="J241" s="32">
        <v>0</v>
      </c>
      <c r="K241" s="32">
        <v>0</v>
      </c>
      <c r="L241" s="32">
        <v>0</v>
      </c>
      <c r="M241" s="32">
        <v>0</v>
      </c>
      <c r="N241" s="1"/>
    </row>
    <row r="242" spans="1:14" ht="16" hidden="1" customHeight="1" outlineLevel="1" x14ac:dyDescent="0.45">
      <c r="A242" s="29" t="s">
        <v>160</v>
      </c>
      <c r="B242" s="44">
        <v>164155200</v>
      </c>
      <c r="C242" s="71">
        <v>164155200</v>
      </c>
      <c r="D242" s="71">
        <v>0</v>
      </c>
      <c r="E242" s="64">
        <v>0</v>
      </c>
      <c r="F242" s="63">
        <v>0</v>
      </c>
      <c r="G242" s="63">
        <v>0</v>
      </c>
      <c r="H242" s="32">
        <v>0</v>
      </c>
      <c r="I242" s="32">
        <v>0</v>
      </c>
      <c r="J242" s="32">
        <v>0</v>
      </c>
      <c r="K242" s="32">
        <v>0</v>
      </c>
      <c r="L242" s="32">
        <v>0</v>
      </c>
      <c r="M242" s="32">
        <v>0</v>
      </c>
      <c r="N242" s="1"/>
    </row>
    <row r="243" spans="1:14" ht="16" hidden="1" customHeight="1" outlineLevel="1" x14ac:dyDescent="0.45">
      <c r="A243" s="29" t="s">
        <v>258</v>
      </c>
      <c r="B243" s="44">
        <v>0</v>
      </c>
      <c r="C243" s="71">
        <v>0</v>
      </c>
      <c r="D243" s="71">
        <v>0</v>
      </c>
      <c r="E243" s="64">
        <v>0</v>
      </c>
      <c r="F243" s="63">
        <v>0</v>
      </c>
      <c r="G243" s="63">
        <v>0</v>
      </c>
      <c r="H243" s="32">
        <v>0</v>
      </c>
      <c r="I243" s="32">
        <v>0</v>
      </c>
      <c r="J243" s="32">
        <v>0</v>
      </c>
      <c r="K243" s="32">
        <v>0</v>
      </c>
      <c r="L243" s="32">
        <v>0</v>
      </c>
      <c r="M243" s="32">
        <v>0</v>
      </c>
      <c r="N243" s="1"/>
    </row>
    <row r="244" spans="1:14" ht="16" hidden="1" customHeight="1" outlineLevel="1" x14ac:dyDescent="0.45">
      <c r="A244" s="29" t="s">
        <v>223</v>
      </c>
      <c r="B244" s="44">
        <v>0</v>
      </c>
      <c r="C244" s="71">
        <v>0</v>
      </c>
      <c r="D244" s="71">
        <v>0</v>
      </c>
      <c r="E244" s="64">
        <v>0</v>
      </c>
      <c r="F244" s="63">
        <v>0</v>
      </c>
      <c r="G244" s="63">
        <v>0</v>
      </c>
      <c r="H244" s="32">
        <v>0</v>
      </c>
      <c r="I244" s="32">
        <v>0</v>
      </c>
      <c r="J244" s="32">
        <v>0</v>
      </c>
      <c r="K244" s="32">
        <v>0</v>
      </c>
      <c r="L244" s="32">
        <v>0</v>
      </c>
      <c r="M244" s="32">
        <v>0</v>
      </c>
      <c r="N244" s="1"/>
    </row>
    <row r="245" spans="1:14" s="3" customFormat="1" ht="16" hidden="1" customHeight="1" outlineLevel="1" x14ac:dyDescent="0.45">
      <c r="A245" s="33" t="s">
        <v>243</v>
      </c>
      <c r="B245" s="33">
        <v>0</v>
      </c>
      <c r="C245" s="71">
        <v>0</v>
      </c>
      <c r="D245" s="71">
        <v>0</v>
      </c>
      <c r="E245" s="64">
        <v>0</v>
      </c>
      <c r="F245" s="63">
        <v>0</v>
      </c>
      <c r="G245" s="63">
        <v>0</v>
      </c>
      <c r="H245" s="32">
        <v>0</v>
      </c>
      <c r="I245" s="32">
        <v>0</v>
      </c>
      <c r="J245" s="32">
        <v>0</v>
      </c>
      <c r="K245" s="32">
        <v>0</v>
      </c>
      <c r="L245" s="32">
        <v>0</v>
      </c>
      <c r="M245" s="32">
        <v>0</v>
      </c>
      <c r="N245" s="1"/>
    </row>
    <row r="246" spans="1:14" s="3" customFormat="1" ht="16" hidden="1" customHeight="1" outlineLevel="1" x14ac:dyDescent="0.45">
      <c r="A246" s="34" t="s">
        <v>264</v>
      </c>
      <c r="B246" s="33">
        <v>0</v>
      </c>
      <c r="C246" s="71">
        <v>0</v>
      </c>
      <c r="D246" s="71">
        <v>0</v>
      </c>
      <c r="E246" s="64">
        <v>0</v>
      </c>
      <c r="F246" s="63">
        <v>0</v>
      </c>
      <c r="G246" s="63">
        <v>0</v>
      </c>
      <c r="H246" s="32">
        <v>0</v>
      </c>
      <c r="I246" s="32">
        <v>0</v>
      </c>
      <c r="J246" s="32">
        <v>0</v>
      </c>
      <c r="K246" s="32">
        <v>0</v>
      </c>
      <c r="L246" s="32">
        <v>0</v>
      </c>
      <c r="M246" s="32">
        <v>0</v>
      </c>
      <c r="N246" s="1"/>
    </row>
    <row r="247" spans="1:14" s="3" customFormat="1" ht="16" hidden="1" customHeight="1" outlineLevel="1" x14ac:dyDescent="0.45">
      <c r="A247" s="34" t="s">
        <v>247</v>
      </c>
      <c r="B247" s="33">
        <v>0</v>
      </c>
      <c r="C247" s="71">
        <v>0</v>
      </c>
      <c r="D247" s="71">
        <v>0</v>
      </c>
      <c r="E247" s="64">
        <v>0</v>
      </c>
      <c r="F247" s="63">
        <v>0</v>
      </c>
      <c r="G247" s="63">
        <v>0</v>
      </c>
      <c r="H247" s="32">
        <v>0</v>
      </c>
      <c r="I247" s="32">
        <v>0</v>
      </c>
      <c r="J247" s="32">
        <v>0</v>
      </c>
      <c r="K247" s="32">
        <v>0</v>
      </c>
      <c r="L247" s="32">
        <v>0</v>
      </c>
      <c r="M247" s="32">
        <v>0</v>
      </c>
      <c r="N247" s="1"/>
    </row>
    <row r="248" spans="1:14" ht="16" hidden="1" customHeight="1" outlineLevel="1" collapsed="1" x14ac:dyDescent="0.45">
      <c r="A248" s="29" t="s">
        <v>161</v>
      </c>
      <c r="B248" s="44">
        <v>1400000</v>
      </c>
      <c r="C248" s="71">
        <v>0</v>
      </c>
      <c r="D248" s="71">
        <v>0</v>
      </c>
      <c r="E248" s="64">
        <v>1400000</v>
      </c>
      <c r="F248" s="63">
        <v>0</v>
      </c>
      <c r="G248" s="63">
        <v>1400000</v>
      </c>
      <c r="H248" s="32">
        <v>0</v>
      </c>
      <c r="I248" s="32">
        <v>0</v>
      </c>
      <c r="J248" s="32">
        <v>0</v>
      </c>
      <c r="K248" s="32">
        <v>0</v>
      </c>
      <c r="L248" s="32">
        <v>0</v>
      </c>
      <c r="M248" s="32">
        <v>0</v>
      </c>
      <c r="N248" s="1"/>
    </row>
    <row r="249" spans="1:14" ht="16" hidden="1" customHeight="1" outlineLevel="1" x14ac:dyDescent="0.45">
      <c r="A249" s="29" t="s">
        <v>224</v>
      </c>
      <c r="B249" s="44">
        <v>0</v>
      </c>
      <c r="C249" s="71">
        <v>0</v>
      </c>
      <c r="D249" s="71">
        <v>0</v>
      </c>
      <c r="E249" s="64">
        <v>0</v>
      </c>
      <c r="F249" s="63">
        <v>0</v>
      </c>
      <c r="G249" s="63">
        <v>0</v>
      </c>
      <c r="H249" s="32">
        <v>0</v>
      </c>
      <c r="I249" s="32">
        <v>0</v>
      </c>
      <c r="J249" s="32">
        <v>0</v>
      </c>
      <c r="K249" s="32">
        <v>0</v>
      </c>
      <c r="L249" s="32">
        <v>0</v>
      </c>
      <c r="M249" s="32">
        <v>0</v>
      </c>
      <c r="N249" s="1"/>
    </row>
    <row r="250" spans="1:14" s="1" customFormat="1" collapsed="1" x14ac:dyDescent="0.45">
      <c r="A250" s="28" t="s">
        <v>111</v>
      </c>
      <c r="B250" s="43">
        <v>185452510</v>
      </c>
      <c r="C250" s="69">
        <v>185452510</v>
      </c>
      <c r="D250" s="69">
        <v>0</v>
      </c>
      <c r="E250" s="61">
        <v>0</v>
      </c>
      <c r="F250" s="60">
        <v>0</v>
      </c>
      <c r="G250" s="60">
        <v>0</v>
      </c>
      <c r="H250" s="70">
        <v>0</v>
      </c>
      <c r="I250" s="70">
        <v>0</v>
      </c>
      <c r="J250" s="70">
        <v>0</v>
      </c>
      <c r="K250" s="70">
        <v>0</v>
      </c>
      <c r="L250" s="70">
        <v>0</v>
      </c>
      <c r="M250" s="70">
        <v>0</v>
      </c>
    </row>
    <row r="251" spans="1:14" ht="16" hidden="1" customHeight="1" outlineLevel="1" x14ac:dyDescent="0.45">
      <c r="A251" s="29" t="s">
        <v>162</v>
      </c>
      <c r="B251" s="44">
        <v>185452510</v>
      </c>
      <c r="C251" s="71">
        <v>185452510</v>
      </c>
      <c r="D251" s="71">
        <v>0</v>
      </c>
      <c r="E251" s="64">
        <v>0</v>
      </c>
      <c r="F251" s="63">
        <v>0</v>
      </c>
      <c r="G251" s="63">
        <v>0</v>
      </c>
      <c r="H251" s="32">
        <v>0</v>
      </c>
      <c r="I251" s="32">
        <v>0</v>
      </c>
      <c r="J251" s="32">
        <v>0</v>
      </c>
      <c r="K251" s="32">
        <v>0</v>
      </c>
      <c r="L251" s="32">
        <v>0</v>
      </c>
      <c r="M251" s="32">
        <v>0</v>
      </c>
      <c r="N251" s="1"/>
    </row>
    <row r="252" spans="1:14" ht="16" hidden="1" customHeight="1" outlineLevel="1" x14ac:dyDescent="0.45">
      <c r="A252" s="29" t="s">
        <v>251</v>
      </c>
      <c r="B252" s="44">
        <v>0</v>
      </c>
      <c r="C252" s="71">
        <v>0</v>
      </c>
      <c r="D252" s="71">
        <v>0</v>
      </c>
      <c r="E252" s="64">
        <v>0</v>
      </c>
      <c r="F252" s="63">
        <v>0</v>
      </c>
      <c r="G252" s="63">
        <v>0</v>
      </c>
      <c r="H252" s="32">
        <v>0</v>
      </c>
      <c r="I252" s="32">
        <v>0</v>
      </c>
      <c r="J252" s="32">
        <v>0</v>
      </c>
      <c r="K252" s="32">
        <v>0</v>
      </c>
      <c r="L252" s="32">
        <v>0</v>
      </c>
      <c r="M252" s="32">
        <v>0</v>
      </c>
      <c r="N252" s="1"/>
    </row>
    <row r="253" spans="1:14" ht="16" hidden="1" customHeight="1" outlineLevel="1" x14ac:dyDescent="0.45">
      <c r="A253" s="29" t="s">
        <v>314</v>
      </c>
      <c r="B253" s="44">
        <v>0</v>
      </c>
      <c r="C253" s="71">
        <v>0</v>
      </c>
      <c r="D253" s="71">
        <v>0</v>
      </c>
      <c r="E253" s="64">
        <v>0</v>
      </c>
      <c r="F253" s="63">
        <v>0</v>
      </c>
      <c r="G253" s="63">
        <v>0</v>
      </c>
      <c r="H253" s="32">
        <v>0</v>
      </c>
      <c r="I253" s="32">
        <v>0</v>
      </c>
      <c r="J253" s="32">
        <v>0</v>
      </c>
      <c r="K253" s="32">
        <v>0</v>
      </c>
      <c r="L253" s="32">
        <v>0</v>
      </c>
      <c r="M253" s="32">
        <v>0</v>
      </c>
      <c r="N253" s="1"/>
    </row>
    <row r="254" spans="1:14" ht="16" hidden="1" customHeight="1" outlineLevel="1" x14ac:dyDescent="0.45">
      <c r="A254" s="29" t="s">
        <v>225</v>
      </c>
      <c r="B254" s="44">
        <v>0</v>
      </c>
      <c r="C254" s="71">
        <v>0</v>
      </c>
      <c r="D254" s="71">
        <v>0</v>
      </c>
      <c r="E254" s="64">
        <v>0</v>
      </c>
      <c r="F254" s="63">
        <v>0</v>
      </c>
      <c r="G254" s="63">
        <v>0</v>
      </c>
      <c r="H254" s="32">
        <v>0</v>
      </c>
      <c r="I254" s="32">
        <v>0</v>
      </c>
      <c r="J254" s="32">
        <v>0</v>
      </c>
      <c r="K254" s="32">
        <v>0</v>
      </c>
      <c r="L254" s="32">
        <v>0</v>
      </c>
      <c r="M254" s="32">
        <v>0</v>
      </c>
      <c r="N254" s="1"/>
    </row>
    <row r="255" spans="1:14" ht="16" hidden="1" customHeight="1" outlineLevel="1" x14ac:dyDescent="0.45">
      <c r="A255" s="29" t="s">
        <v>226</v>
      </c>
      <c r="B255" s="44">
        <v>0</v>
      </c>
      <c r="C255" s="71">
        <v>0</v>
      </c>
      <c r="D255" s="71">
        <v>0</v>
      </c>
      <c r="E255" s="64">
        <v>0</v>
      </c>
      <c r="F255" s="63">
        <v>0</v>
      </c>
      <c r="G255" s="63">
        <v>0</v>
      </c>
      <c r="H255" s="32">
        <v>0</v>
      </c>
      <c r="I255" s="32">
        <v>0</v>
      </c>
      <c r="J255" s="32">
        <v>0</v>
      </c>
      <c r="K255" s="32">
        <v>0</v>
      </c>
      <c r="L255" s="32">
        <v>0</v>
      </c>
      <c r="M255" s="32">
        <v>0</v>
      </c>
      <c r="N255" s="1"/>
    </row>
    <row r="256" spans="1:14" ht="16" hidden="1" customHeight="1" outlineLevel="1" x14ac:dyDescent="0.45">
      <c r="A256" s="29" t="s">
        <v>163</v>
      </c>
      <c r="B256" s="44">
        <v>0</v>
      </c>
      <c r="C256" s="71">
        <v>0</v>
      </c>
      <c r="D256" s="71">
        <v>0</v>
      </c>
      <c r="E256" s="64">
        <v>0</v>
      </c>
      <c r="F256" s="63">
        <v>0</v>
      </c>
      <c r="G256" s="63">
        <v>0</v>
      </c>
      <c r="H256" s="32">
        <v>0</v>
      </c>
      <c r="I256" s="32">
        <v>0</v>
      </c>
      <c r="J256" s="32">
        <v>0</v>
      </c>
      <c r="K256" s="32">
        <v>0</v>
      </c>
      <c r="L256" s="32">
        <v>0</v>
      </c>
      <c r="M256" s="32">
        <v>0</v>
      </c>
      <c r="N256" s="1"/>
    </row>
    <row r="257" spans="1:14" ht="16" hidden="1" customHeight="1" outlineLevel="1" x14ac:dyDescent="0.45">
      <c r="A257" s="29" t="s">
        <v>164</v>
      </c>
      <c r="B257" s="44">
        <v>0</v>
      </c>
      <c r="C257" s="71">
        <v>0</v>
      </c>
      <c r="D257" s="71">
        <v>0</v>
      </c>
      <c r="E257" s="64">
        <v>0</v>
      </c>
      <c r="F257" s="63">
        <v>0</v>
      </c>
      <c r="G257" s="63">
        <v>0</v>
      </c>
      <c r="H257" s="32">
        <v>0</v>
      </c>
      <c r="I257" s="32">
        <v>0</v>
      </c>
      <c r="J257" s="32">
        <v>0</v>
      </c>
      <c r="K257" s="32">
        <v>0</v>
      </c>
      <c r="L257" s="32">
        <v>0</v>
      </c>
      <c r="M257" s="32">
        <v>0</v>
      </c>
      <c r="N257" s="1"/>
    </row>
    <row r="258" spans="1:14" ht="16" hidden="1" customHeight="1" outlineLevel="1" x14ac:dyDescent="0.45">
      <c r="A258" s="29" t="s">
        <v>265</v>
      </c>
      <c r="B258" s="44">
        <v>0</v>
      </c>
      <c r="C258" s="71">
        <v>0</v>
      </c>
      <c r="D258" s="71">
        <v>0</v>
      </c>
      <c r="E258" s="64">
        <v>0</v>
      </c>
      <c r="F258" s="63">
        <v>0</v>
      </c>
      <c r="G258" s="63">
        <v>0</v>
      </c>
      <c r="H258" s="32">
        <v>0</v>
      </c>
      <c r="I258" s="32">
        <v>0</v>
      </c>
      <c r="J258" s="32">
        <v>0</v>
      </c>
      <c r="K258" s="32">
        <v>0</v>
      </c>
      <c r="L258" s="32">
        <v>0</v>
      </c>
      <c r="M258" s="32">
        <v>0</v>
      </c>
      <c r="N258" s="1"/>
    </row>
    <row r="259" spans="1:14" ht="16" hidden="1" customHeight="1" outlineLevel="1" x14ac:dyDescent="0.45">
      <c r="A259" s="29" t="s">
        <v>165</v>
      </c>
      <c r="B259" s="44">
        <v>0</v>
      </c>
      <c r="C259" s="71">
        <v>0</v>
      </c>
      <c r="D259" s="71">
        <v>0</v>
      </c>
      <c r="E259" s="64">
        <v>0</v>
      </c>
      <c r="F259" s="63">
        <v>0</v>
      </c>
      <c r="G259" s="63">
        <v>0</v>
      </c>
      <c r="H259" s="32">
        <v>0</v>
      </c>
      <c r="I259" s="32">
        <v>0</v>
      </c>
      <c r="J259" s="32">
        <v>0</v>
      </c>
      <c r="K259" s="32">
        <v>0</v>
      </c>
      <c r="L259" s="32">
        <v>0</v>
      </c>
      <c r="M259" s="32">
        <v>0</v>
      </c>
      <c r="N259" s="1"/>
    </row>
    <row r="260" spans="1:14" s="1" customFormat="1" collapsed="1" x14ac:dyDescent="0.45">
      <c r="A260" s="74" t="s">
        <v>112</v>
      </c>
      <c r="B260" s="76">
        <v>99009646</v>
      </c>
      <c r="C260" s="76">
        <v>99009646</v>
      </c>
      <c r="D260" s="76">
        <v>0</v>
      </c>
      <c r="E260" s="77">
        <v>0</v>
      </c>
      <c r="F260" s="78">
        <v>0</v>
      </c>
      <c r="G260" s="78">
        <v>0</v>
      </c>
      <c r="H260" s="79">
        <v>0</v>
      </c>
      <c r="I260" s="79">
        <v>0</v>
      </c>
      <c r="J260" s="79">
        <v>0</v>
      </c>
      <c r="K260" s="79">
        <v>0</v>
      </c>
      <c r="L260" s="79">
        <v>0</v>
      </c>
      <c r="M260" s="79">
        <v>0</v>
      </c>
    </row>
    <row r="261" spans="1:14" s="1" customFormat="1" x14ac:dyDescent="0.45">
      <c r="A261" s="27" t="s">
        <v>232</v>
      </c>
      <c r="B261" s="42">
        <v>322815002</v>
      </c>
      <c r="C261" s="73">
        <v>-4558128944.000001</v>
      </c>
      <c r="D261" s="73">
        <v>-322712347</v>
      </c>
      <c r="E261" s="58">
        <v>5203656293.000001</v>
      </c>
      <c r="F261" s="57">
        <v>2667279589.6556921</v>
      </c>
      <c r="G261" s="57">
        <v>1349767200.5263338</v>
      </c>
      <c r="H261" s="80">
        <v>729145260.81797409</v>
      </c>
      <c r="I261" s="80">
        <v>63067039.189459786</v>
      </c>
      <c r="J261" s="80">
        <v>116058646.42795432</v>
      </c>
      <c r="K261" s="80">
        <v>102989599.63976651</v>
      </c>
      <c r="L261" s="80">
        <v>-349068347.25718057</v>
      </c>
      <c r="M261" s="57">
        <v>524417304</v>
      </c>
    </row>
    <row r="262" spans="1:14" ht="16" hidden="1" customHeight="1" x14ac:dyDescent="0.45">
      <c r="A262" s="83"/>
      <c r="B262" s="35"/>
      <c r="C262" s="84"/>
      <c r="D262" s="36"/>
      <c r="E262" s="36"/>
      <c r="F262" s="85"/>
      <c r="G262" s="36"/>
      <c r="H262" s="36"/>
      <c r="I262" s="36"/>
      <c r="J262" s="36"/>
      <c r="K262" s="36"/>
      <c r="L262" s="85"/>
      <c r="M262" s="36"/>
    </row>
    <row r="263" spans="1:14" s="4" customFormat="1" ht="15" hidden="1" customHeight="1" x14ac:dyDescent="0.45">
      <c r="A263" s="86" t="s">
        <v>298</v>
      </c>
      <c r="B263" s="87"/>
      <c r="C263" s="87"/>
      <c r="D263" s="87"/>
      <c r="E263" s="88">
        <v>1</v>
      </c>
      <c r="F263" s="89">
        <v>0.47</v>
      </c>
      <c r="G263" s="89">
        <v>0.4</v>
      </c>
      <c r="H263" s="89">
        <v>0.05</v>
      </c>
      <c r="I263" s="89">
        <v>1.06E-2</v>
      </c>
      <c r="J263" s="89">
        <v>8.9999999999999993E-3</v>
      </c>
      <c r="K263" s="90">
        <v>2.0400000000000001E-2</v>
      </c>
      <c r="L263" s="90">
        <v>0.02</v>
      </c>
      <c r="M263" s="90">
        <v>0.02</v>
      </c>
    </row>
    <row r="264" spans="1:14" s="4" customFormat="1" ht="15" customHeight="1" x14ac:dyDescent="0.45">
      <c r="A264" s="91"/>
      <c r="B264" s="5"/>
      <c r="C264" s="5"/>
      <c r="D264" s="5"/>
      <c r="E264" s="92"/>
      <c r="F264" s="93"/>
      <c r="G264" s="92"/>
      <c r="H264" s="92"/>
      <c r="I264" s="92"/>
      <c r="J264" s="92"/>
      <c r="K264" s="94"/>
      <c r="L264" s="94"/>
      <c r="M264" s="92"/>
    </row>
    <row r="265" spans="1:14" s="4" customFormat="1" ht="15" customHeight="1" x14ac:dyDescent="0.45">
      <c r="A265" s="95" t="s">
        <v>315</v>
      </c>
      <c r="B265" s="96">
        <v>-322712347</v>
      </c>
      <c r="C265" s="96"/>
      <c r="D265" s="117"/>
      <c r="E265" s="96">
        <v>-322712347</v>
      </c>
      <c r="F265" s="96">
        <v>-151674803.09</v>
      </c>
      <c r="G265" s="96">
        <v>-129084938.80000001</v>
      </c>
      <c r="H265" s="96">
        <v>-16135617.350000001</v>
      </c>
      <c r="I265" s="96">
        <v>-3420750.8782000002</v>
      </c>
      <c r="J265" s="96">
        <v>-2904411.1229999997</v>
      </c>
      <c r="K265" s="96">
        <v>-6583331.8788000001</v>
      </c>
      <c r="L265" s="96">
        <v>-6454246.9400000004</v>
      </c>
      <c r="M265" s="96">
        <v>-6454246.9400000004</v>
      </c>
    </row>
    <row r="266" spans="1:14" s="4" customFormat="1" ht="15" customHeight="1" x14ac:dyDescent="0.45">
      <c r="A266" s="97" t="s">
        <v>316</v>
      </c>
      <c r="B266" s="98">
        <v>4879543946.000001</v>
      </c>
      <c r="C266" s="98"/>
      <c r="D266" s="118"/>
      <c r="E266" s="98">
        <v>4879543946</v>
      </c>
      <c r="F266" s="98">
        <v>2515604786.5656919</v>
      </c>
      <c r="G266" s="98">
        <v>1219282261.7263339</v>
      </c>
      <c r="H266" s="98">
        <v>713009643.46797407</v>
      </c>
      <c r="I266" s="98">
        <v>59646288.311259784</v>
      </c>
      <c r="J266" s="98">
        <v>113154235.30495432</v>
      </c>
      <c r="K266" s="98">
        <v>96406267.76096651</v>
      </c>
      <c r="L266" s="98">
        <v>-355522594.19718057</v>
      </c>
      <c r="M266" s="98">
        <v>517963057.06</v>
      </c>
    </row>
    <row r="267" spans="1:14" s="14" customFormat="1" ht="15" customHeight="1" x14ac:dyDescent="0.45">
      <c r="A267" s="35"/>
      <c r="B267" s="35"/>
      <c r="C267" s="36"/>
      <c r="D267" s="36"/>
      <c r="E267" s="36"/>
      <c r="F267" s="36"/>
      <c r="G267" s="36"/>
      <c r="H267" s="35"/>
      <c r="I267" s="35"/>
      <c r="J267" s="35"/>
      <c r="K267" s="35"/>
      <c r="L267" s="35"/>
      <c r="M267" s="36"/>
    </row>
    <row r="268" spans="1:14" ht="14" customHeight="1" x14ac:dyDescent="0.45">
      <c r="A268" s="95" t="s">
        <v>317</v>
      </c>
      <c r="B268" s="96">
        <v>-4557253273.000001</v>
      </c>
      <c r="C268" s="96"/>
      <c r="D268" s="117"/>
      <c r="E268" s="96">
        <v>-4557253273.000001</v>
      </c>
      <c r="F268" s="96">
        <v>-2141909038.3100004</v>
      </c>
      <c r="G268" s="96">
        <v>-1822901309.2000005</v>
      </c>
      <c r="H268" s="96">
        <v>-227862663.65000007</v>
      </c>
      <c r="I268" s="96">
        <v>-48306884.69380001</v>
      </c>
      <c r="J268" s="96">
        <v>-41015279.457000002</v>
      </c>
      <c r="K268" s="96">
        <v>-92967966.769200027</v>
      </c>
      <c r="L268" s="96">
        <v>-91145065.460000023</v>
      </c>
      <c r="M268" s="96">
        <v>-91145065.460000023</v>
      </c>
    </row>
    <row r="269" spans="1:14" s="4" customFormat="1" ht="15" customHeight="1" x14ac:dyDescent="0.45">
      <c r="A269" s="99" t="s">
        <v>318</v>
      </c>
      <c r="B269" s="100">
        <v>322290673</v>
      </c>
      <c r="C269" s="100"/>
      <c r="D269" s="119"/>
      <c r="E269" s="100">
        <v>322290672.99999881</v>
      </c>
      <c r="F269" s="100">
        <v>373695748.25569153</v>
      </c>
      <c r="G269" s="100">
        <v>-603619047.47366667</v>
      </c>
      <c r="H269" s="100">
        <v>485146979.81797397</v>
      </c>
      <c r="I269" s="100">
        <v>11339403.617459774</v>
      </c>
      <c r="J269" s="100">
        <v>72138955.847954318</v>
      </c>
      <c r="K269" s="100">
        <v>3438300.9917664826</v>
      </c>
      <c r="L269" s="100">
        <v>-446667659.65718061</v>
      </c>
      <c r="M269" s="100">
        <v>426817991.59999996</v>
      </c>
    </row>
    <row r="270" spans="1:14" s="14" customFormat="1" ht="15" customHeight="1" x14ac:dyDescent="0.45">
      <c r="A270" s="35"/>
      <c r="B270" s="35"/>
      <c r="C270" s="36"/>
      <c r="D270" s="36"/>
      <c r="E270" s="101"/>
      <c r="F270" s="101"/>
      <c r="G270" s="101"/>
      <c r="H270" s="101"/>
      <c r="I270" s="101"/>
      <c r="J270" s="101"/>
      <c r="K270" s="101"/>
      <c r="L270" s="101"/>
      <c r="M270" s="101"/>
    </row>
    <row r="271" spans="1:14" x14ac:dyDescent="0.45">
      <c r="A271" s="102" t="s">
        <v>319</v>
      </c>
      <c r="B271" s="103">
        <v>322290672.99999881</v>
      </c>
      <c r="C271" s="103"/>
      <c r="D271" s="120"/>
      <c r="E271" s="103">
        <v>322290672.99999881</v>
      </c>
      <c r="F271" s="103">
        <v>315528016.25569153</v>
      </c>
      <c r="G271" s="103">
        <v>-545451315.47366667</v>
      </c>
      <c r="H271" s="103">
        <v>485146979.81797397</v>
      </c>
      <c r="I271" s="103">
        <v>11339403.617459774</v>
      </c>
      <c r="J271" s="103">
        <v>72138955.847954318</v>
      </c>
      <c r="K271" s="103">
        <v>3438300.9917664826</v>
      </c>
      <c r="L271" s="103">
        <v>-446667659.65718061</v>
      </c>
      <c r="M271" s="103">
        <v>426817991.59999996</v>
      </c>
    </row>
    <row r="272" spans="1:14" s="1" customFormat="1" x14ac:dyDescent="0.45">
      <c r="A272" s="104" t="s">
        <v>320</v>
      </c>
      <c r="B272" s="104">
        <v>58167732</v>
      </c>
      <c r="C272" s="36"/>
      <c r="D272" s="36"/>
      <c r="E272" s="101"/>
      <c r="F272" s="101"/>
      <c r="G272" s="101"/>
      <c r="H272" s="101"/>
      <c r="I272" s="101"/>
      <c r="J272" s="101"/>
      <c r="K272" s="101"/>
      <c r="L272" s="101"/>
      <c r="M272" s="101"/>
    </row>
    <row r="273" spans="1:13" ht="15.65" customHeight="1" x14ac:dyDescent="0.45">
      <c r="A273" s="105" t="s">
        <v>321</v>
      </c>
      <c r="B273" s="106">
        <v>275315371</v>
      </c>
      <c r="C273" s="36"/>
      <c r="D273" s="36"/>
      <c r="E273" s="36"/>
      <c r="F273" s="36"/>
      <c r="G273" s="36"/>
      <c r="H273" s="35"/>
      <c r="I273" s="35"/>
      <c r="J273" s="35"/>
      <c r="K273" s="35"/>
      <c r="L273" s="35"/>
      <c r="M273" s="35"/>
    </row>
    <row r="274" spans="1:13" ht="15.65" hidden="1" customHeight="1" x14ac:dyDescent="0.45">
      <c r="A274" s="37" t="s">
        <v>235</v>
      </c>
      <c r="B274" s="38">
        <f t="shared" ref="B274:M274" si="0">B28-B29-B30-B63-B70-B71-B73-B74-B115-B122-B126-B133-B136-B141-B142-B151-B156-B164-B171-B178-B181-B193-B199-B215-B217-B228-B229-B238</f>
        <v>0</v>
      </c>
      <c r="C274" s="38">
        <f t="shared" si="0"/>
        <v>4.76837158203125E-7</v>
      </c>
      <c r="D274" s="38">
        <f t="shared" si="0"/>
        <v>0</v>
      </c>
      <c r="E274" s="38">
        <f t="shared" si="0"/>
        <v>0</v>
      </c>
      <c r="F274" s="38">
        <f t="shared" si="0"/>
        <v>4.76837158203125E-7</v>
      </c>
      <c r="G274" s="38">
        <f t="shared" si="0"/>
        <v>-2.2351741790771484E-7</v>
      </c>
      <c r="H274" s="38">
        <f t="shared" si="0"/>
        <v>2.384185791015625E-7</v>
      </c>
      <c r="I274" s="38">
        <f t="shared" si="0"/>
        <v>0</v>
      </c>
      <c r="J274" s="38">
        <f t="shared" si="0"/>
        <v>-1.1920928955078125E-7</v>
      </c>
      <c r="K274" s="38">
        <f t="shared" si="0"/>
        <v>2.9802322387695313E-8</v>
      </c>
      <c r="L274" s="38">
        <f t="shared" si="0"/>
        <v>0</v>
      </c>
      <c r="M274" s="38">
        <f t="shared" si="0"/>
        <v>0</v>
      </c>
    </row>
    <row r="275" spans="1:13" s="4" customFormat="1" ht="15" hidden="1" customHeight="1" x14ac:dyDescent="0.45">
      <c r="A275" s="37" t="s">
        <v>236</v>
      </c>
      <c r="B275" s="38">
        <f t="shared" ref="B275:M275" si="1">B28-B29-SUM(B31:B62)-SUM(B64:B69)-B70-B72-B73-SUM(B75:B114)-SUM(B116:B121)-SUM(B123:B125)-SUM(B127:B132)-B134-SUM(B137:B140)-B141-SUM(B143:B150)-SUM(B152:B155)-SUM(B157:B163)-SUM(B165:B170)-SUM(B172:B177)-SUM(B179:B180)-SUM(B182:B192)-SUM(B194:B198)-SUM(B200:B214)-B216-SUM(B218:B227)-B228-SUM(B230:B237)-B238-B135</f>
        <v>0</v>
      </c>
      <c r="C275" s="38">
        <f t="shared" si="1"/>
        <v>0</v>
      </c>
      <c r="D275" s="38">
        <f t="shared" si="1"/>
        <v>0</v>
      </c>
      <c r="E275" s="38">
        <f t="shared" si="1"/>
        <v>0</v>
      </c>
      <c r="F275" s="38">
        <f t="shared" si="1"/>
        <v>9.5367431640625E-7</v>
      </c>
      <c r="G275" s="38">
        <f t="shared" si="1"/>
        <v>0</v>
      </c>
      <c r="H275" s="38">
        <f t="shared" si="1"/>
        <v>2.384185791015625E-7</v>
      </c>
      <c r="I275" s="38">
        <f t="shared" si="1"/>
        <v>0</v>
      </c>
      <c r="J275" s="38">
        <f t="shared" si="1"/>
        <v>-1.1920928955078125E-7</v>
      </c>
      <c r="K275" s="38">
        <f t="shared" si="1"/>
        <v>2.9802322387695313E-8</v>
      </c>
      <c r="L275" s="38">
        <f t="shared" si="1"/>
        <v>0</v>
      </c>
      <c r="M275" s="38">
        <f t="shared" si="1"/>
        <v>0</v>
      </c>
    </row>
    <row r="276" spans="1:13" s="4" customFormat="1" ht="15" hidden="1" customHeight="1" x14ac:dyDescent="0.45">
      <c r="A276" s="37" t="s">
        <v>237</v>
      </c>
      <c r="B276" s="38">
        <f t="shared" ref="B276:M276" si="2">B3-B25-B28-B239</f>
        <v>0</v>
      </c>
      <c r="C276" s="38">
        <f t="shared" si="2"/>
        <v>0</v>
      </c>
      <c r="D276" s="38">
        <f t="shared" si="2"/>
        <v>0</v>
      </c>
      <c r="E276" s="38">
        <f t="shared" si="2"/>
        <v>0</v>
      </c>
      <c r="F276" s="38">
        <f t="shared" si="2"/>
        <v>0</v>
      </c>
      <c r="G276" s="38">
        <f t="shared" si="2"/>
        <v>0</v>
      </c>
      <c r="H276" s="38">
        <f t="shared" si="2"/>
        <v>0</v>
      </c>
      <c r="I276" s="38">
        <f t="shared" si="2"/>
        <v>0</v>
      </c>
      <c r="J276" s="38">
        <f t="shared" si="2"/>
        <v>0</v>
      </c>
      <c r="K276" s="38">
        <f t="shared" si="2"/>
        <v>0</v>
      </c>
      <c r="L276" s="38">
        <f t="shared" si="2"/>
        <v>0</v>
      </c>
      <c r="M276" s="38">
        <f t="shared" si="2"/>
        <v>0</v>
      </c>
    </row>
    <row r="277" spans="1:13" s="4" customFormat="1" ht="15" hidden="1" customHeight="1" x14ac:dyDescent="0.45">
      <c r="A277" s="37" t="s">
        <v>238</v>
      </c>
      <c r="B277" s="38">
        <f t="shared" ref="B277:M277" si="3">B239+B240-B250-B261-B260</f>
        <v>0</v>
      </c>
      <c r="C277" s="38">
        <f t="shared" si="3"/>
        <v>0</v>
      </c>
      <c r="D277" s="38">
        <f t="shared" si="3"/>
        <v>0</v>
      </c>
      <c r="E277" s="38">
        <f t="shared" si="3"/>
        <v>0</v>
      </c>
      <c r="F277" s="38">
        <f t="shared" si="3"/>
        <v>0</v>
      </c>
      <c r="G277" s="38">
        <f t="shared" si="3"/>
        <v>0</v>
      </c>
      <c r="H277" s="38">
        <f t="shared" si="3"/>
        <v>0</v>
      </c>
      <c r="I277" s="38">
        <f t="shared" si="3"/>
        <v>0</v>
      </c>
      <c r="J277" s="38">
        <f t="shared" si="3"/>
        <v>0</v>
      </c>
      <c r="K277" s="38">
        <f t="shared" si="3"/>
        <v>0</v>
      </c>
      <c r="L277" s="38">
        <f t="shared" si="3"/>
        <v>0</v>
      </c>
      <c r="M277" s="38">
        <f t="shared" si="3"/>
        <v>0</v>
      </c>
    </row>
    <row r="278" spans="1:13" s="4" customFormat="1" ht="15" hidden="1" customHeight="1" x14ac:dyDescent="0.45">
      <c r="A278" s="32" t="s">
        <v>244</v>
      </c>
      <c r="B278" s="32">
        <f t="shared" ref="B278:M278" si="4">B240-B241-B242-B244-B248-B249-B245-B247-B243-B246</f>
        <v>0</v>
      </c>
      <c r="C278" s="32">
        <f t="shared" si="4"/>
        <v>0</v>
      </c>
      <c r="D278" s="32">
        <f t="shared" si="4"/>
        <v>0</v>
      </c>
      <c r="E278" s="32">
        <f t="shared" si="4"/>
        <v>0</v>
      </c>
      <c r="F278" s="32">
        <f t="shared" si="4"/>
        <v>0</v>
      </c>
      <c r="G278" s="32">
        <f t="shared" si="4"/>
        <v>0</v>
      </c>
      <c r="H278" s="32">
        <f t="shared" si="4"/>
        <v>0</v>
      </c>
      <c r="I278" s="32">
        <f t="shared" si="4"/>
        <v>0</v>
      </c>
      <c r="J278" s="32">
        <f t="shared" si="4"/>
        <v>0</v>
      </c>
      <c r="K278" s="32">
        <f t="shared" si="4"/>
        <v>0</v>
      </c>
      <c r="L278" s="32">
        <f t="shared" si="4"/>
        <v>0</v>
      </c>
      <c r="M278" s="32">
        <f t="shared" si="4"/>
        <v>0</v>
      </c>
    </row>
    <row r="279" spans="1:13" ht="15.65" hidden="1" customHeight="1" x14ac:dyDescent="0.45">
      <c r="A279" s="32" t="s">
        <v>245</v>
      </c>
      <c r="B279" s="32">
        <f t="shared" ref="B279:M279" si="5">B250-B251-B254-B255-B256-B257-B259-B252-B253-B258</f>
        <v>0</v>
      </c>
      <c r="C279" s="32">
        <f t="shared" si="5"/>
        <v>0</v>
      </c>
      <c r="D279" s="32">
        <f t="shared" si="5"/>
        <v>0</v>
      </c>
      <c r="E279" s="32">
        <f t="shared" si="5"/>
        <v>0</v>
      </c>
      <c r="F279" s="32">
        <f t="shared" si="5"/>
        <v>0</v>
      </c>
      <c r="G279" s="32">
        <f t="shared" si="5"/>
        <v>0</v>
      </c>
      <c r="H279" s="32">
        <f t="shared" si="5"/>
        <v>0</v>
      </c>
      <c r="I279" s="32">
        <f t="shared" si="5"/>
        <v>0</v>
      </c>
      <c r="J279" s="32">
        <f t="shared" si="5"/>
        <v>0</v>
      </c>
      <c r="K279" s="32">
        <f t="shared" si="5"/>
        <v>0</v>
      </c>
      <c r="L279" s="32">
        <f t="shared" si="5"/>
        <v>0</v>
      </c>
      <c r="M279" s="32">
        <f t="shared" si="5"/>
        <v>0</v>
      </c>
    </row>
    <row r="280" spans="1:13" ht="15.65" hidden="1" customHeight="1" x14ac:dyDescent="0.45">
      <c r="A280" s="35"/>
      <c r="B280" s="35"/>
      <c r="C280" s="36"/>
      <c r="D280" s="36"/>
      <c r="E280" s="36"/>
      <c r="F280" s="36"/>
      <c r="G280" s="36"/>
      <c r="H280" s="35"/>
      <c r="I280" s="35"/>
      <c r="J280" s="35"/>
      <c r="K280" s="35"/>
      <c r="L280" s="35"/>
      <c r="M280" s="36"/>
    </row>
    <row r="281" spans="1:13" ht="15.65" hidden="1" customHeight="1" x14ac:dyDescent="0.45">
      <c r="A281" s="39" t="s">
        <v>239</v>
      </c>
      <c r="B281" s="38">
        <f>B4+B14+B21-B26-B53-B81-B131-B162-B168-B175-B189-B198-B210-B212-B218-B219-B221-B224-B230-B231-B232-B234-B235-B236-B227</f>
        <v>5977024384</v>
      </c>
      <c r="C281" s="38">
        <f>C4+C14+C21-C26-C53-C81-C131-C162-C168-C175-C189-C198-C210-C212-C219-C221-C224-C230-C231-C232-C235-C236</f>
        <v>-1632793516</v>
      </c>
      <c r="D281" s="38"/>
      <c r="E281" s="38">
        <f>E4+E14+E21-E26-E53-E81-E131-E162-E168-E175-E189-E198-E210-E212-E218-E219-E221-E224-E230-E231-E232-E234-E235-E236-E227</f>
        <v>6615403588</v>
      </c>
      <c r="F281" s="38">
        <f>F4+F14+F21-F26-F53-F81-F131-F162-F168-F175-F189-F198-F210-F212-F218-F219-F221-F224-F230-F231-F232-F234-F235-F236-F227</f>
        <v>5329589231.2198534</v>
      </c>
      <c r="G281" s="38">
        <f>G4+G14+G21-G26-G53-G81-G131-G162-G168-G175-G189-G198-G210-G212-G218-G219-G221-G224-G230-G231-G232-G234-G235-G236-G227</f>
        <v>2249643.7801467404</v>
      </c>
      <c r="H281" s="38">
        <f t="shared" ref="H281:L281" si="6">H4+H14+H21-H26-H53-H81-H131-H162-H168-H175-H189-H198-H210-H212-H218-H219-H221-H224-H230-H231-H232-H234-H235-H236-H227-H164-H215</f>
        <v>267336868</v>
      </c>
      <c r="I281" s="38">
        <f t="shared" si="6"/>
        <v>48392962.234732136</v>
      </c>
      <c r="J281" s="38">
        <f t="shared" si="6"/>
        <v>61359837.628037453</v>
      </c>
      <c r="K281" s="38">
        <f t="shared" si="6"/>
        <v>158063061.87146121</v>
      </c>
      <c r="L281" s="38">
        <f t="shared" si="6"/>
        <v>-315658404.73423076</v>
      </c>
      <c r="M281" s="38">
        <f>M4+M14+M21-M26-M53-M81-M131-M162-M168-M175-M189-M198-M210-M212-M218-M219-M221-M224-M230-M231-M232-M234-M235-M236-M227</f>
        <v>992324321</v>
      </c>
    </row>
    <row r="282" spans="1:13" s="4" customFormat="1" ht="15" hidden="1" customHeight="1" x14ac:dyDescent="0.45">
      <c r="A282" s="40" t="s">
        <v>240</v>
      </c>
      <c r="B282" s="38">
        <f>B18-B109-B163-B165-B170-B192-B222-B226-B237</f>
        <v>2271397475</v>
      </c>
      <c r="C282" s="38">
        <f>C18-C109-C163-C165-C170-C192-C226-C113</f>
        <v>-27852228</v>
      </c>
      <c r="D282" s="38"/>
      <c r="E282" s="38">
        <f t="shared" ref="E282:M282" si="7">E18-E109-E163-E165-E170-E192-E222-E226-E237-E113</f>
        <v>-24162837</v>
      </c>
      <c r="F282" s="38">
        <f t="shared" si="7"/>
        <v>-463337371</v>
      </c>
      <c r="G282" s="38">
        <f t="shared" si="7"/>
        <v>-1474415</v>
      </c>
      <c r="H282" s="38">
        <f t="shared" si="7"/>
        <v>34261818</v>
      </c>
      <c r="I282" s="38">
        <f t="shared" si="7"/>
        <v>1827274</v>
      </c>
      <c r="J282" s="38">
        <f t="shared" si="7"/>
        <v>0</v>
      </c>
      <c r="K282" s="38">
        <f t="shared" si="7"/>
        <v>6678945</v>
      </c>
      <c r="L282" s="38">
        <f t="shared" si="7"/>
        <v>397880912</v>
      </c>
      <c r="M282" s="38">
        <f t="shared" si="7"/>
        <v>0</v>
      </c>
    </row>
    <row r="283" spans="1:13" s="4" customFormat="1" ht="15" hidden="1" customHeight="1" x14ac:dyDescent="0.45">
      <c r="A283" s="37" t="s">
        <v>241</v>
      </c>
      <c r="B283" s="41">
        <f>SUBTOTAL(9,B281:B282)</f>
        <v>8248421859</v>
      </c>
      <c r="C283" s="41">
        <f t="shared" ref="C283" si="8">SUBTOTAL(9,C281:C282)</f>
        <v>-1660645744</v>
      </c>
      <c r="D283" s="41"/>
      <c r="E283" s="41">
        <f t="shared" ref="E283:L283" si="9">SUBTOTAL(9,E281:E282)</f>
        <v>6591240751</v>
      </c>
      <c r="F283" s="41">
        <f t="shared" si="9"/>
        <v>4866251860.2198534</v>
      </c>
      <c r="G283" s="41">
        <f>SUBTOTAL(9,G281:G282)</f>
        <v>775228.78014674038</v>
      </c>
      <c r="H283" s="41">
        <f>SUBTOTAL(9,H281:H282)</f>
        <v>301598686</v>
      </c>
      <c r="I283" s="41">
        <f t="shared" si="9"/>
        <v>50220236.234732136</v>
      </c>
      <c r="J283" s="41">
        <f t="shared" si="9"/>
        <v>61359837.628037453</v>
      </c>
      <c r="K283" s="41">
        <f t="shared" si="9"/>
        <v>164742006.87146121</v>
      </c>
      <c r="L283" s="41">
        <f t="shared" si="9"/>
        <v>82222507.265769243</v>
      </c>
      <c r="M283" s="41">
        <f>SUBTOTAL(9,M281:M282)</f>
        <v>992324321</v>
      </c>
    </row>
    <row r="284" spans="1:13" s="4" customFormat="1" ht="15" hidden="1" customHeight="1" x14ac:dyDescent="0.45">
      <c r="A284" s="9" t="s">
        <v>241</v>
      </c>
      <c r="B284" s="10">
        <f>SUBTOTAL(9,B282:B283)</f>
        <v>2271397475</v>
      </c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</row>
    <row r="285" spans="1:13" collapsed="1" x14ac:dyDescent="0.45">
      <c r="H285" s="3"/>
      <c r="I285" s="3"/>
      <c r="J285" s="3"/>
      <c r="K285" s="3"/>
      <c r="L285" s="3"/>
      <c r="M285" s="2"/>
    </row>
    <row r="286" spans="1:13" x14ac:dyDescent="0.45">
      <c r="E286" s="20"/>
      <c r="F286" s="20"/>
      <c r="G286" s="20"/>
      <c r="H286" s="20"/>
      <c r="M286" s="2"/>
    </row>
    <row r="287" spans="1:13" x14ac:dyDescent="0.45">
      <c r="H287" s="3"/>
      <c r="I287" s="3"/>
      <c r="J287" s="3"/>
      <c r="K287" s="3"/>
      <c r="L287" s="3"/>
    </row>
    <row r="288" spans="1:13" x14ac:dyDescent="0.45">
      <c r="B288" s="3"/>
      <c r="H288" s="3"/>
      <c r="I288" s="3"/>
      <c r="J288" s="3"/>
      <c r="K288" s="3"/>
      <c r="L288" s="3"/>
    </row>
    <row r="289" spans="8:12" x14ac:dyDescent="0.45">
      <c r="H289" s="3"/>
      <c r="I289" s="3"/>
      <c r="J289" s="3"/>
      <c r="K289" s="3"/>
      <c r="L289" s="3"/>
    </row>
    <row r="290" spans="8:12" x14ac:dyDescent="0.45">
      <c r="H290" s="3"/>
      <c r="I290" s="3"/>
      <c r="J290" s="3"/>
      <c r="K290" s="3"/>
      <c r="L290" s="3"/>
    </row>
    <row r="293" spans="8:12" x14ac:dyDescent="0.45">
      <c r="H293" s="3"/>
      <c r="I293" s="3"/>
      <c r="J293" s="3"/>
      <c r="K293" s="3"/>
      <c r="L293" s="3"/>
    </row>
    <row r="295" spans="8:12" x14ac:dyDescent="0.45">
      <c r="H295" s="3"/>
      <c r="I295" s="3"/>
      <c r="J295" s="3"/>
      <c r="K295" s="3"/>
      <c r="L295" s="3"/>
    </row>
  </sheetData>
  <mergeCells count="8">
    <mergeCell ref="I1:L1"/>
    <mergeCell ref="M1:M2"/>
    <mergeCell ref="A1:A2"/>
    <mergeCell ref="B1:B2"/>
    <mergeCell ref="C1:C2"/>
    <mergeCell ref="D1:D2"/>
    <mergeCell ref="E1:E2"/>
    <mergeCell ref="F1:H1"/>
  </mergeCells>
  <phoneticPr fontId="2" type="noConversion"/>
  <pageMargins left="0.75" right="0.75" top="1" bottom="1" header="0.5" footer="0.5"/>
  <pageSetup paperSize="8" scale="60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403D2-33D1-4181-9E1A-88B3CC063C3A}">
  <sheetPr>
    <tabColor rgb="FFFFC000"/>
    <pageSetUpPr fitToPage="1"/>
  </sheetPr>
  <dimension ref="A1:N295"/>
  <sheetViews>
    <sheetView showGridLines="0" zoomScale="85" zoomScaleNormal="85" zoomScaleSheetLayoutView="85" workbookViewId="0">
      <pane xSplit="2" ySplit="3" topLeftCell="C4" activePane="bottomRight" state="frozen"/>
      <selection activeCell="J2" sqref="J2:J253"/>
      <selection pane="topRight" activeCell="J2" sqref="J2:J253"/>
      <selection pane="bottomLeft" activeCell="J2" sqref="J2:J253"/>
      <selection pane="bottomRight" sqref="A1:A2"/>
    </sheetView>
  </sheetViews>
  <sheetFormatPr defaultColWidth="9.08984375" defaultRowHeight="16" outlineLevelRow="1" x14ac:dyDescent="0.45"/>
  <cols>
    <col min="1" max="1" width="36.36328125" style="2" customWidth="1"/>
    <col min="2" max="2" width="19.08984375" style="2" customWidth="1"/>
    <col min="3" max="7" width="19.08984375" style="3" customWidth="1"/>
    <col min="8" max="12" width="19.08984375" style="2" customWidth="1"/>
    <col min="13" max="13" width="19.08984375" style="3" customWidth="1"/>
    <col min="14" max="16384" width="9.08984375" style="2"/>
  </cols>
  <sheetData>
    <row r="1" spans="1:14" s="1" customFormat="1" ht="15.65" customHeight="1" x14ac:dyDescent="0.45">
      <c r="A1" s="208" t="s">
        <v>313</v>
      </c>
      <c r="B1" s="210" t="s">
        <v>233</v>
      </c>
      <c r="C1" s="210" t="s">
        <v>250</v>
      </c>
      <c r="D1" s="210" t="s">
        <v>288</v>
      </c>
      <c r="E1" s="212" t="s">
        <v>167</v>
      </c>
      <c r="F1" s="204" t="s">
        <v>289</v>
      </c>
      <c r="G1" s="205"/>
      <c r="H1" s="212"/>
      <c r="I1" s="202" t="s">
        <v>290</v>
      </c>
      <c r="J1" s="206"/>
      <c r="K1" s="206"/>
      <c r="L1" s="207"/>
      <c r="M1" s="202" t="s">
        <v>291</v>
      </c>
    </row>
    <row r="2" spans="1:14" s="1" customFormat="1" ht="15.65" customHeight="1" x14ac:dyDescent="0.45">
      <c r="A2" s="208"/>
      <c r="B2" s="211"/>
      <c r="C2" s="211"/>
      <c r="D2" s="211"/>
      <c r="E2" s="212"/>
      <c r="F2" s="138" t="s">
        <v>248</v>
      </c>
      <c r="G2" s="138" t="s">
        <v>242</v>
      </c>
      <c r="H2" s="26" t="s">
        <v>365</v>
      </c>
      <c r="I2" s="26" t="s">
        <v>168</v>
      </c>
      <c r="J2" s="26" t="s">
        <v>169</v>
      </c>
      <c r="K2" s="26" t="s">
        <v>294</v>
      </c>
      <c r="L2" s="26" t="s">
        <v>295</v>
      </c>
      <c r="M2" s="203"/>
    </row>
    <row r="3" spans="1:14" s="1" customFormat="1" ht="15.65" customHeight="1" x14ac:dyDescent="0.45">
      <c r="A3" s="27" t="s">
        <v>0</v>
      </c>
      <c r="B3" s="42">
        <v>89284893814</v>
      </c>
      <c r="C3" s="57">
        <v>-1922711596</v>
      </c>
      <c r="D3" s="57">
        <v>163662819</v>
      </c>
      <c r="E3" s="58">
        <v>91043942591</v>
      </c>
      <c r="F3" s="57">
        <v>39094858638.943253</v>
      </c>
      <c r="G3" s="57">
        <v>3888646652.0567455</v>
      </c>
      <c r="H3" s="59">
        <v>34326258101</v>
      </c>
      <c r="I3" s="59">
        <v>1102990617</v>
      </c>
      <c r="J3" s="59">
        <v>1261501026</v>
      </c>
      <c r="K3" s="59">
        <v>3580686513</v>
      </c>
      <c r="L3" s="57">
        <v>2085298653</v>
      </c>
      <c r="M3" s="57">
        <v>5703702390</v>
      </c>
    </row>
    <row r="4" spans="1:14" s="1" customFormat="1" x14ac:dyDescent="0.45">
      <c r="A4" s="28" t="s">
        <v>1</v>
      </c>
      <c r="B4" s="43">
        <v>61185294778</v>
      </c>
      <c r="C4" s="60">
        <v>120071210</v>
      </c>
      <c r="D4" s="60">
        <v>1469273</v>
      </c>
      <c r="E4" s="61">
        <v>61063754295</v>
      </c>
      <c r="F4" s="60">
        <v>24854953387</v>
      </c>
      <c r="G4" s="60">
        <v>266816379</v>
      </c>
      <c r="H4" s="62">
        <v>27530587992</v>
      </c>
      <c r="I4" s="62">
        <v>656602427</v>
      </c>
      <c r="J4" s="62">
        <v>24890181</v>
      </c>
      <c r="K4" s="62">
        <v>2322765019</v>
      </c>
      <c r="L4" s="62">
        <v>179600274</v>
      </c>
      <c r="M4" s="60">
        <v>5227538636</v>
      </c>
    </row>
    <row r="5" spans="1:14" s="1" customFormat="1" ht="16" hidden="1" customHeight="1" outlineLevel="1" x14ac:dyDescent="0.45">
      <c r="A5" s="29" t="s">
        <v>2</v>
      </c>
      <c r="B5" s="44">
        <v>13824406630</v>
      </c>
      <c r="C5" s="63">
        <v>5999600</v>
      </c>
      <c r="D5" s="63">
        <v>0</v>
      </c>
      <c r="E5" s="64">
        <v>13818407030</v>
      </c>
      <c r="F5" s="63">
        <v>37416637</v>
      </c>
      <c r="G5" s="63">
        <v>170840000</v>
      </c>
      <c r="H5" s="65">
        <v>6819809932</v>
      </c>
      <c r="I5" s="65">
        <v>33894254</v>
      </c>
      <c r="J5" s="65">
        <v>20458000</v>
      </c>
      <c r="K5" s="65">
        <v>1587720935</v>
      </c>
      <c r="L5" s="65">
        <v>0</v>
      </c>
      <c r="M5" s="63">
        <v>5148267272</v>
      </c>
    </row>
    <row r="6" spans="1:14" ht="16" hidden="1" customHeight="1" outlineLevel="1" x14ac:dyDescent="0.45">
      <c r="A6" s="29" t="s">
        <v>3</v>
      </c>
      <c r="B6" s="44">
        <v>0</v>
      </c>
      <c r="C6" s="63">
        <v>0</v>
      </c>
      <c r="D6" s="63">
        <v>0</v>
      </c>
      <c r="E6" s="64">
        <v>0</v>
      </c>
      <c r="F6" s="63">
        <v>0</v>
      </c>
      <c r="G6" s="63">
        <v>0</v>
      </c>
      <c r="H6" s="65">
        <v>0</v>
      </c>
      <c r="I6" s="65">
        <v>0</v>
      </c>
      <c r="J6" s="65">
        <v>0</v>
      </c>
      <c r="K6" s="65">
        <v>0</v>
      </c>
      <c r="L6" s="65">
        <v>0</v>
      </c>
      <c r="M6" s="63">
        <v>0</v>
      </c>
      <c r="N6" s="1"/>
    </row>
    <row r="7" spans="1:14" ht="16" hidden="1" customHeight="1" outlineLevel="1" x14ac:dyDescent="0.45">
      <c r="A7" s="29" t="s">
        <v>170</v>
      </c>
      <c r="B7" s="44">
        <v>0</v>
      </c>
      <c r="C7" s="63">
        <v>0</v>
      </c>
      <c r="D7" s="63">
        <v>0</v>
      </c>
      <c r="E7" s="64">
        <v>0</v>
      </c>
      <c r="F7" s="63">
        <v>0</v>
      </c>
      <c r="G7" s="63">
        <v>0</v>
      </c>
      <c r="H7" s="65">
        <v>0</v>
      </c>
      <c r="I7" s="65">
        <v>0</v>
      </c>
      <c r="J7" s="65">
        <v>0</v>
      </c>
      <c r="K7" s="65">
        <v>0</v>
      </c>
      <c r="L7" s="65">
        <v>0</v>
      </c>
      <c r="M7" s="63">
        <v>0</v>
      </c>
      <c r="N7" s="1"/>
    </row>
    <row r="8" spans="1:14" ht="16" hidden="1" customHeight="1" outlineLevel="1" x14ac:dyDescent="0.45">
      <c r="A8" s="29" t="s">
        <v>4</v>
      </c>
      <c r="B8" s="44">
        <v>46272809783</v>
      </c>
      <c r="C8" s="63">
        <v>110801610</v>
      </c>
      <c r="D8" s="63">
        <v>0</v>
      </c>
      <c r="E8" s="64">
        <v>46162008173</v>
      </c>
      <c r="F8" s="63">
        <v>24225083116</v>
      </c>
      <c r="G8" s="63">
        <v>95976379</v>
      </c>
      <c r="H8" s="65">
        <v>20309521048</v>
      </c>
      <c r="I8" s="65">
        <v>620114726</v>
      </c>
      <c r="J8" s="65">
        <v>1339000</v>
      </c>
      <c r="K8" s="65">
        <v>734288630</v>
      </c>
      <c r="L8" s="65">
        <v>175685274</v>
      </c>
      <c r="M8" s="63">
        <v>0</v>
      </c>
      <c r="N8" s="1"/>
    </row>
    <row r="9" spans="1:14" ht="16" hidden="1" customHeight="1" outlineLevel="1" x14ac:dyDescent="0.45">
      <c r="A9" s="29" t="s">
        <v>5</v>
      </c>
      <c r="B9" s="44">
        <v>399677177</v>
      </c>
      <c r="C9" s="63">
        <v>0</v>
      </c>
      <c r="D9" s="63">
        <v>1469273</v>
      </c>
      <c r="E9" s="64">
        <v>398207904</v>
      </c>
      <c r="F9" s="63">
        <v>340823259</v>
      </c>
      <c r="G9" s="63">
        <v>0</v>
      </c>
      <c r="H9" s="65">
        <v>12194918</v>
      </c>
      <c r="I9" s="65">
        <v>1924727</v>
      </c>
      <c r="J9" s="65">
        <v>0</v>
      </c>
      <c r="K9" s="65">
        <v>0</v>
      </c>
      <c r="L9" s="65">
        <v>3915000</v>
      </c>
      <c r="M9" s="63">
        <v>39350000</v>
      </c>
      <c r="N9" s="1"/>
    </row>
    <row r="10" spans="1:14" ht="16" hidden="1" customHeight="1" outlineLevel="1" x14ac:dyDescent="0.45">
      <c r="A10" s="29" t="s">
        <v>118</v>
      </c>
      <c r="B10" s="44">
        <v>333517355</v>
      </c>
      <c r="C10" s="63">
        <v>0</v>
      </c>
      <c r="D10" s="63">
        <v>0</v>
      </c>
      <c r="E10" s="64">
        <v>333517355</v>
      </c>
      <c r="F10" s="63">
        <v>0</v>
      </c>
      <c r="G10" s="63">
        <v>0</v>
      </c>
      <c r="H10" s="65">
        <v>329000000</v>
      </c>
      <c r="I10" s="65">
        <v>668720</v>
      </c>
      <c r="J10" s="65">
        <v>3093181</v>
      </c>
      <c r="K10" s="65">
        <v>755454</v>
      </c>
      <c r="L10" s="65">
        <v>0</v>
      </c>
      <c r="M10" s="63">
        <v>0</v>
      </c>
      <c r="N10" s="1"/>
    </row>
    <row r="11" spans="1:14" ht="16" hidden="1" customHeight="1" outlineLevel="1" x14ac:dyDescent="0.45">
      <c r="A11" s="29" t="s">
        <v>6</v>
      </c>
      <c r="B11" s="44">
        <v>311692469</v>
      </c>
      <c r="C11" s="63">
        <v>0</v>
      </c>
      <c r="D11" s="63">
        <v>0</v>
      </c>
      <c r="E11" s="64">
        <v>311692469</v>
      </c>
      <c r="F11" s="63">
        <v>251630375</v>
      </c>
      <c r="G11" s="63">
        <v>0</v>
      </c>
      <c r="H11" s="65">
        <v>60062094</v>
      </c>
      <c r="I11" s="65">
        <v>0</v>
      </c>
      <c r="J11" s="65">
        <v>0</v>
      </c>
      <c r="K11" s="65">
        <v>0</v>
      </c>
      <c r="L11" s="65">
        <v>0</v>
      </c>
      <c r="M11" s="63">
        <v>0</v>
      </c>
      <c r="N11" s="1"/>
    </row>
    <row r="12" spans="1:14" ht="16" hidden="1" customHeight="1" outlineLevel="1" x14ac:dyDescent="0.45">
      <c r="A12" s="29" t="s">
        <v>299</v>
      </c>
      <c r="B12" s="44">
        <v>43191364</v>
      </c>
      <c r="C12" s="63">
        <v>3270000</v>
      </c>
      <c r="D12" s="63">
        <v>0</v>
      </c>
      <c r="E12" s="64">
        <v>39921364</v>
      </c>
      <c r="F12" s="63">
        <v>0</v>
      </c>
      <c r="G12" s="63">
        <v>0</v>
      </c>
      <c r="H12" s="65">
        <v>0</v>
      </c>
      <c r="I12" s="65">
        <v>0</v>
      </c>
      <c r="J12" s="65">
        <v>0</v>
      </c>
      <c r="K12" s="65">
        <v>0</v>
      </c>
      <c r="L12" s="65">
        <v>0</v>
      </c>
      <c r="M12" s="63">
        <v>39921364</v>
      </c>
      <c r="N12" s="1"/>
    </row>
    <row r="13" spans="1:14" ht="16" customHeight="1" collapsed="1" x14ac:dyDescent="0.45">
      <c r="A13" s="28" t="s">
        <v>7</v>
      </c>
      <c r="B13" s="43">
        <v>28099599036</v>
      </c>
      <c r="C13" s="60">
        <v>-2042782806</v>
      </c>
      <c r="D13" s="60">
        <v>162193546</v>
      </c>
      <c r="E13" s="61">
        <v>29980188296</v>
      </c>
      <c r="F13" s="60">
        <v>14239905251.943254</v>
      </c>
      <c r="G13" s="60">
        <v>3621830273.0567455</v>
      </c>
      <c r="H13" s="62">
        <v>6795670109</v>
      </c>
      <c r="I13" s="62">
        <v>446388190</v>
      </c>
      <c r="J13" s="62">
        <v>1236610845</v>
      </c>
      <c r="K13" s="62">
        <v>1257921494</v>
      </c>
      <c r="L13" s="62">
        <v>1905698379</v>
      </c>
      <c r="M13" s="60">
        <v>476163754</v>
      </c>
      <c r="N13" s="1"/>
    </row>
    <row r="14" spans="1:14" s="1" customFormat="1" ht="16" hidden="1" customHeight="1" outlineLevel="1" collapsed="1" x14ac:dyDescent="0.45">
      <c r="A14" s="24" t="s">
        <v>8</v>
      </c>
      <c r="B14" s="45">
        <v>18099514231</v>
      </c>
      <c r="C14" s="63">
        <v>563820444</v>
      </c>
      <c r="D14" s="63">
        <v>1818182</v>
      </c>
      <c r="E14" s="64">
        <v>17533875605</v>
      </c>
      <c r="F14" s="63">
        <v>9231537600</v>
      </c>
      <c r="G14" s="63">
        <v>268507450</v>
      </c>
      <c r="H14" s="65">
        <v>5341611205</v>
      </c>
      <c r="I14" s="65">
        <v>361531053</v>
      </c>
      <c r="J14" s="65">
        <v>1104292255</v>
      </c>
      <c r="K14" s="65">
        <v>796078649</v>
      </c>
      <c r="L14" s="65">
        <v>59360484</v>
      </c>
      <c r="M14" s="63">
        <v>370956909</v>
      </c>
    </row>
    <row r="15" spans="1:14" ht="16" hidden="1" customHeight="1" outlineLevel="1" x14ac:dyDescent="0.45">
      <c r="A15" s="29" t="s">
        <v>9</v>
      </c>
      <c r="B15" s="44">
        <v>181429012</v>
      </c>
      <c r="C15" s="63">
        <v>1</v>
      </c>
      <c r="D15" s="63">
        <v>-3577636</v>
      </c>
      <c r="E15" s="64">
        <v>185006647</v>
      </c>
      <c r="F15" s="63">
        <v>14736360</v>
      </c>
      <c r="G15" s="63">
        <v>0</v>
      </c>
      <c r="H15" s="65">
        <v>13566362</v>
      </c>
      <c r="I15" s="65">
        <v>0</v>
      </c>
      <c r="J15" s="65">
        <v>0</v>
      </c>
      <c r="K15" s="65">
        <v>0</v>
      </c>
      <c r="L15" s="65">
        <v>126497080</v>
      </c>
      <c r="M15" s="63">
        <v>30206845</v>
      </c>
      <c r="N15" s="1"/>
    </row>
    <row r="16" spans="1:14" ht="16" hidden="1" customHeight="1" outlineLevel="1" x14ac:dyDescent="0.45">
      <c r="A16" s="29" t="s">
        <v>10</v>
      </c>
      <c r="B16" s="44">
        <v>4424083484</v>
      </c>
      <c r="C16" s="63">
        <v>53671021</v>
      </c>
      <c r="D16" s="63">
        <v>0</v>
      </c>
      <c r="E16" s="64">
        <v>4370412463</v>
      </c>
      <c r="F16" s="63">
        <v>2456973359.9432545</v>
      </c>
      <c r="G16" s="63">
        <v>853141994.05674553</v>
      </c>
      <c r="H16" s="65">
        <v>492995147</v>
      </c>
      <c r="I16" s="65">
        <v>82172073</v>
      </c>
      <c r="J16" s="65">
        <v>123331181</v>
      </c>
      <c r="K16" s="65">
        <v>242045189</v>
      </c>
      <c r="L16" s="65">
        <v>119753519</v>
      </c>
      <c r="M16" s="63">
        <v>0</v>
      </c>
      <c r="N16" s="1"/>
    </row>
    <row r="17" spans="1:14" ht="16" hidden="1" customHeight="1" outlineLevel="1" x14ac:dyDescent="0.45">
      <c r="A17" s="29" t="s">
        <v>11</v>
      </c>
      <c r="B17" s="44">
        <v>137311280</v>
      </c>
      <c r="C17" s="63">
        <v>70282364</v>
      </c>
      <c r="D17" s="63">
        <v>0</v>
      </c>
      <c r="E17" s="64">
        <v>67028916</v>
      </c>
      <c r="F17" s="63">
        <v>63216598</v>
      </c>
      <c r="G17" s="63">
        <v>570636</v>
      </c>
      <c r="H17" s="65">
        <v>2436864</v>
      </c>
      <c r="I17" s="65">
        <v>54318</v>
      </c>
      <c r="J17" s="65">
        <v>556500</v>
      </c>
      <c r="K17" s="65">
        <v>194000</v>
      </c>
      <c r="L17" s="65">
        <v>0</v>
      </c>
      <c r="M17" s="63">
        <v>0</v>
      </c>
      <c r="N17" s="1"/>
    </row>
    <row r="18" spans="1:14" ht="16" hidden="1" customHeight="1" outlineLevel="1" x14ac:dyDescent="0.45">
      <c r="A18" s="30" t="s">
        <v>12</v>
      </c>
      <c r="B18" s="46">
        <v>2900903960</v>
      </c>
      <c r="C18" s="63">
        <v>-489193562</v>
      </c>
      <c r="D18" s="63">
        <v>0</v>
      </c>
      <c r="E18" s="64">
        <v>3390097522</v>
      </c>
      <c r="F18" s="63">
        <v>1730005356</v>
      </c>
      <c r="G18" s="63">
        <v>-389807</v>
      </c>
      <c r="H18" s="65">
        <v>51302731</v>
      </c>
      <c r="I18" s="65">
        <v>654546</v>
      </c>
      <c r="J18" s="65">
        <v>0</v>
      </c>
      <c r="K18" s="65">
        <v>8437400</v>
      </c>
      <c r="L18" s="65">
        <v>1600087296</v>
      </c>
      <c r="M18" s="63">
        <v>0</v>
      </c>
      <c r="N18" s="1"/>
    </row>
    <row r="19" spans="1:14" ht="16" hidden="1" customHeight="1" outlineLevel="1" x14ac:dyDescent="0.45">
      <c r="A19" s="29" t="s">
        <v>119</v>
      </c>
      <c r="B19" s="44">
        <v>-2255908529</v>
      </c>
      <c r="C19" s="63">
        <v>-2255908529</v>
      </c>
      <c r="D19" s="63">
        <v>0</v>
      </c>
      <c r="E19" s="64">
        <v>0</v>
      </c>
      <c r="F19" s="63">
        <v>0</v>
      </c>
      <c r="G19" s="63">
        <v>0</v>
      </c>
      <c r="H19" s="65">
        <v>0</v>
      </c>
      <c r="I19" s="65">
        <v>0</v>
      </c>
      <c r="J19" s="65">
        <v>0</v>
      </c>
      <c r="K19" s="65">
        <v>0</v>
      </c>
      <c r="L19" s="65">
        <v>0</v>
      </c>
      <c r="M19" s="63">
        <v>0</v>
      </c>
      <c r="N19" s="1"/>
    </row>
    <row r="20" spans="1:14" ht="16" hidden="1" customHeight="1" outlineLevel="1" x14ac:dyDescent="0.45">
      <c r="A20" s="29" t="s">
        <v>120</v>
      </c>
      <c r="B20" s="44">
        <v>0</v>
      </c>
      <c r="C20" s="63">
        <v>0</v>
      </c>
      <c r="D20" s="63">
        <v>0</v>
      </c>
      <c r="E20" s="64">
        <v>0</v>
      </c>
      <c r="F20" s="63">
        <v>0</v>
      </c>
      <c r="G20" s="63">
        <v>0</v>
      </c>
      <c r="H20" s="65">
        <v>0</v>
      </c>
      <c r="I20" s="65">
        <v>0</v>
      </c>
      <c r="J20" s="65">
        <v>0</v>
      </c>
      <c r="K20" s="65">
        <v>0</v>
      </c>
      <c r="L20" s="65">
        <v>0</v>
      </c>
      <c r="M20" s="63">
        <v>0</v>
      </c>
      <c r="N20" s="1"/>
    </row>
    <row r="21" spans="1:14" ht="16" hidden="1" customHeight="1" outlineLevel="1" x14ac:dyDescent="0.45">
      <c r="A21" s="24" t="s">
        <v>13</v>
      </c>
      <c r="B21" s="45">
        <v>219654123</v>
      </c>
      <c r="C21" s="63">
        <v>11818182</v>
      </c>
      <c r="D21" s="63">
        <v>0</v>
      </c>
      <c r="E21" s="64">
        <v>207835941</v>
      </c>
      <c r="F21" s="63">
        <v>53435909</v>
      </c>
      <c r="G21" s="63">
        <v>0</v>
      </c>
      <c r="H21" s="65">
        <v>0</v>
      </c>
      <c r="I21" s="65">
        <v>1976200</v>
      </c>
      <c r="J21" s="65">
        <v>4390909</v>
      </c>
      <c r="K21" s="65">
        <v>148032923</v>
      </c>
      <c r="L21" s="65">
        <v>0</v>
      </c>
      <c r="M21" s="63">
        <v>0</v>
      </c>
      <c r="N21" s="1"/>
    </row>
    <row r="22" spans="1:14" s="1" customFormat="1" ht="16" hidden="1" customHeight="1" outlineLevel="1" x14ac:dyDescent="0.45">
      <c r="A22" s="29" t="s">
        <v>121</v>
      </c>
      <c r="B22" s="44">
        <v>3699884133</v>
      </c>
      <c r="C22" s="63">
        <v>0</v>
      </c>
      <c r="D22" s="63">
        <v>163953000</v>
      </c>
      <c r="E22" s="64">
        <v>3535931133</v>
      </c>
      <c r="F22" s="63">
        <v>0</v>
      </c>
      <c r="G22" s="63">
        <v>2500000000</v>
      </c>
      <c r="H22" s="65">
        <v>893757800</v>
      </c>
      <c r="I22" s="65">
        <v>0</v>
      </c>
      <c r="J22" s="65">
        <v>4040000</v>
      </c>
      <c r="K22" s="65">
        <v>63133333</v>
      </c>
      <c r="L22" s="65">
        <v>0</v>
      </c>
      <c r="M22" s="63">
        <v>75000000</v>
      </c>
    </row>
    <row r="23" spans="1:14" ht="16" hidden="1" customHeight="1" outlineLevel="1" x14ac:dyDescent="0.45">
      <c r="A23" s="29" t="s">
        <v>249</v>
      </c>
      <c r="B23" s="44">
        <v>692727342</v>
      </c>
      <c r="C23" s="63">
        <v>2727273</v>
      </c>
      <c r="D23" s="63">
        <v>0</v>
      </c>
      <c r="E23" s="64">
        <v>690000069</v>
      </c>
      <c r="F23" s="63">
        <v>690000069</v>
      </c>
      <c r="G23" s="63">
        <v>0</v>
      </c>
      <c r="H23" s="65">
        <v>0</v>
      </c>
      <c r="I23" s="65">
        <v>0</v>
      </c>
      <c r="J23" s="65">
        <v>0</v>
      </c>
      <c r="K23" s="65">
        <v>0</v>
      </c>
      <c r="L23" s="65">
        <v>0</v>
      </c>
      <c r="M23" s="63">
        <v>0</v>
      </c>
      <c r="N23" s="1"/>
    </row>
    <row r="24" spans="1:14" ht="16" hidden="1" customHeight="1" outlineLevel="1" x14ac:dyDescent="0.45">
      <c r="A24" s="24" t="s">
        <v>287</v>
      </c>
      <c r="B24" s="45">
        <v>0</v>
      </c>
      <c r="C24" s="63">
        <v>0</v>
      </c>
      <c r="D24" s="63">
        <v>0</v>
      </c>
      <c r="E24" s="64">
        <v>0</v>
      </c>
      <c r="F24" s="63">
        <v>0</v>
      </c>
      <c r="G24" s="63">
        <v>0</v>
      </c>
      <c r="H24" s="65">
        <v>0</v>
      </c>
      <c r="I24" s="65">
        <v>0</v>
      </c>
      <c r="J24" s="65">
        <v>0</v>
      </c>
      <c r="K24" s="65">
        <v>0</v>
      </c>
      <c r="L24" s="65">
        <v>0</v>
      </c>
      <c r="M24" s="63">
        <v>0</v>
      </c>
      <c r="N24" s="1"/>
    </row>
    <row r="25" spans="1:14" ht="16" customHeight="1" collapsed="1" x14ac:dyDescent="0.45">
      <c r="A25" s="27" t="s">
        <v>14</v>
      </c>
      <c r="B25" s="42">
        <v>62835758574</v>
      </c>
      <c r="C25" s="57">
        <v>-2277476853</v>
      </c>
      <c r="D25" s="57">
        <v>0</v>
      </c>
      <c r="E25" s="58">
        <v>65113235427</v>
      </c>
      <c r="F25" s="58">
        <v>27753813577</v>
      </c>
      <c r="G25" s="58">
        <v>48953182</v>
      </c>
      <c r="H25" s="58">
        <v>29276027228</v>
      </c>
      <c r="I25" s="58">
        <v>747605472</v>
      </c>
      <c r="J25" s="58">
        <v>-365583976</v>
      </c>
      <c r="K25" s="58">
        <v>2930154710</v>
      </c>
      <c r="L25" s="58">
        <v>231049174</v>
      </c>
      <c r="M25" s="58">
        <v>4491216060</v>
      </c>
      <c r="N25" s="1"/>
    </row>
    <row r="26" spans="1:14" s="1" customFormat="1" ht="16" hidden="1" customHeight="1" outlineLevel="1" collapsed="1" x14ac:dyDescent="0.45">
      <c r="A26" s="28" t="s">
        <v>15</v>
      </c>
      <c r="B26" s="43">
        <v>62835758574</v>
      </c>
      <c r="C26" s="60">
        <v>-2277476853</v>
      </c>
      <c r="D26" s="60">
        <v>0</v>
      </c>
      <c r="E26" s="61">
        <v>65113235427</v>
      </c>
      <c r="F26" s="60">
        <v>27753813577</v>
      </c>
      <c r="G26" s="60">
        <v>48953182</v>
      </c>
      <c r="H26" s="62">
        <v>29276027228</v>
      </c>
      <c r="I26" s="62">
        <v>747605472</v>
      </c>
      <c r="J26" s="62">
        <v>-365583976</v>
      </c>
      <c r="K26" s="62">
        <v>2930154710</v>
      </c>
      <c r="L26" s="62">
        <v>231049174</v>
      </c>
      <c r="M26" s="60">
        <v>4491216060</v>
      </c>
    </row>
    <row r="27" spans="1:14" s="1" customFormat="1" ht="16" customHeight="1" collapsed="1" x14ac:dyDescent="0.45">
      <c r="A27" s="27" t="s">
        <v>16</v>
      </c>
      <c r="B27" s="42">
        <v>26449135240</v>
      </c>
      <c r="C27" s="57">
        <v>354765257</v>
      </c>
      <c r="D27" s="57">
        <v>163662819</v>
      </c>
      <c r="E27" s="58">
        <v>25930707164</v>
      </c>
      <c r="F27" s="57">
        <v>11341045061.943254</v>
      </c>
      <c r="G27" s="57">
        <v>3839693470.0567455</v>
      </c>
      <c r="H27" s="59">
        <v>5050230873</v>
      </c>
      <c r="I27" s="59">
        <v>355385145</v>
      </c>
      <c r="J27" s="59">
        <v>1627085002</v>
      </c>
      <c r="K27" s="59">
        <v>650531803</v>
      </c>
      <c r="L27" s="59">
        <v>1854249479</v>
      </c>
      <c r="M27" s="57">
        <v>1212486330</v>
      </c>
    </row>
    <row r="28" spans="1:14" s="1" customFormat="1" collapsed="1" x14ac:dyDescent="0.45">
      <c r="A28" s="27" t="s">
        <v>17</v>
      </c>
      <c r="B28" s="42">
        <v>24404308403</v>
      </c>
      <c r="C28" s="57">
        <v>809213523</v>
      </c>
      <c r="D28" s="57">
        <v>645875731</v>
      </c>
      <c r="E28" s="58">
        <v>22949219149</v>
      </c>
      <c r="F28" s="57">
        <v>10984458437.305853</v>
      </c>
      <c r="G28" s="57">
        <v>2910978419.6224432</v>
      </c>
      <c r="H28" s="59">
        <v>4164986016.0717039</v>
      </c>
      <c r="I28" s="59">
        <v>272983005.98237461</v>
      </c>
      <c r="J28" s="59">
        <v>1571238805.5896397</v>
      </c>
      <c r="K28" s="59">
        <v>618321947.08779764</v>
      </c>
      <c r="L28" s="59">
        <v>1857404983.340188</v>
      </c>
      <c r="M28" s="57">
        <v>568847534</v>
      </c>
    </row>
    <row r="29" spans="1:14" s="1" customFormat="1" x14ac:dyDescent="0.45">
      <c r="A29" s="28" t="s">
        <v>18</v>
      </c>
      <c r="B29" s="43">
        <v>107876570</v>
      </c>
      <c r="C29" s="60">
        <v>33960440</v>
      </c>
      <c r="D29" s="60">
        <v>16220000</v>
      </c>
      <c r="E29" s="61">
        <v>57696130</v>
      </c>
      <c r="F29" s="60">
        <v>44926406.424348377</v>
      </c>
      <c r="G29" s="60">
        <v>1250243.5756516259</v>
      </c>
      <c r="H29" s="62">
        <v>0</v>
      </c>
      <c r="I29" s="62">
        <v>1652136.880490517</v>
      </c>
      <c r="J29" s="62">
        <v>1517993.4489423982</v>
      </c>
      <c r="K29" s="62">
        <v>7169130.3191973511</v>
      </c>
      <c r="L29" s="62">
        <v>1180219.3513697337</v>
      </c>
      <c r="M29" s="60">
        <v>0</v>
      </c>
    </row>
    <row r="30" spans="1:14" s="1" customFormat="1" x14ac:dyDescent="0.45">
      <c r="A30" s="28" t="s">
        <v>19</v>
      </c>
      <c r="B30" s="43">
        <v>9271608080</v>
      </c>
      <c r="C30" s="66">
        <v>579370730</v>
      </c>
      <c r="D30" s="60">
        <v>222735340</v>
      </c>
      <c r="E30" s="61">
        <v>8469502010</v>
      </c>
      <c r="F30" s="60">
        <v>5105636265.006114</v>
      </c>
      <c r="G30" s="60">
        <v>1639914364.1217947</v>
      </c>
      <c r="H30" s="62">
        <v>609134860.87209141</v>
      </c>
      <c r="I30" s="62">
        <v>67557232.774549276</v>
      </c>
      <c r="J30" s="62">
        <v>62071997.78143993</v>
      </c>
      <c r="K30" s="62">
        <v>293151621.68724078</v>
      </c>
      <c r="L30" s="62">
        <v>589215977.75677001</v>
      </c>
      <c r="M30" s="60">
        <v>102819690</v>
      </c>
    </row>
    <row r="31" spans="1:14" s="1" customFormat="1" ht="16" hidden="1" customHeight="1" outlineLevel="1" x14ac:dyDescent="0.45">
      <c r="A31" s="29" t="s">
        <v>20</v>
      </c>
      <c r="B31" s="44">
        <v>719691530</v>
      </c>
      <c r="C31" s="63">
        <v>194670980.00000012</v>
      </c>
      <c r="D31" s="63">
        <v>60044400</v>
      </c>
      <c r="E31" s="64">
        <v>464976149.99999988</v>
      </c>
      <c r="F31" s="63">
        <v>217656000.82787329</v>
      </c>
      <c r="G31" s="63">
        <v>91641929.525516957</v>
      </c>
      <c r="H31" s="65">
        <v>26586189.646609731</v>
      </c>
      <c r="I31" s="65">
        <v>8004074.4342383035</v>
      </c>
      <c r="J31" s="65">
        <v>7952998.647387404</v>
      </c>
      <c r="K31" s="65">
        <v>17490642.459019981</v>
      </c>
      <c r="L31" s="65">
        <v>53282684.459354311</v>
      </c>
      <c r="M31" s="63">
        <v>42361630</v>
      </c>
    </row>
    <row r="32" spans="1:14" ht="16" hidden="1" customHeight="1" outlineLevel="1" x14ac:dyDescent="0.45">
      <c r="A32" s="29" t="s">
        <v>21</v>
      </c>
      <c r="B32" s="44">
        <v>132211320</v>
      </c>
      <c r="C32" s="63">
        <v>35962920</v>
      </c>
      <c r="D32" s="63">
        <v>11104510</v>
      </c>
      <c r="E32" s="64">
        <v>85143890</v>
      </c>
      <c r="F32" s="63">
        <v>40138664.100813217</v>
      </c>
      <c r="G32" s="63">
        <v>16164005.021823339</v>
      </c>
      <c r="H32" s="65">
        <v>4897220.8773634443</v>
      </c>
      <c r="I32" s="65">
        <v>1464602.6548613668</v>
      </c>
      <c r="J32" s="65">
        <v>1455580.9854176703</v>
      </c>
      <c r="K32" s="65">
        <v>3191012.0009750235</v>
      </c>
      <c r="L32" s="65">
        <v>10073534.35874594</v>
      </c>
      <c r="M32" s="63">
        <v>7759270</v>
      </c>
      <c r="N32" s="1"/>
    </row>
    <row r="33" spans="1:14" ht="16" hidden="1" customHeight="1" outlineLevel="1" x14ac:dyDescent="0.45">
      <c r="A33" s="29" t="s">
        <v>22</v>
      </c>
      <c r="B33" s="44">
        <v>33400000</v>
      </c>
      <c r="C33" s="63">
        <v>8300000</v>
      </c>
      <c r="D33" s="63">
        <v>2800000</v>
      </c>
      <c r="E33" s="64">
        <v>22300000</v>
      </c>
      <c r="F33" s="63">
        <v>10637533.174478237</v>
      </c>
      <c r="G33" s="63">
        <v>3246515.0548606738</v>
      </c>
      <c r="H33" s="65">
        <v>1115951.7706610903</v>
      </c>
      <c r="I33" s="65">
        <v>350000</v>
      </c>
      <c r="J33" s="65">
        <v>350000</v>
      </c>
      <c r="K33" s="65">
        <v>700000</v>
      </c>
      <c r="L33" s="65">
        <v>4200000</v>
      </c>
      <c r="M33" s="63">
        <v>1700000</v>
      </c>
      <c r="N33" s="1"/>
    </row>
    <row r="34" spans="1:14" ht="16" hidden="1" customHeight="1" outlineLevel="1" x14ac:dyDescent="0.45">
      <c r="A34" s="29" t="s">
        <v>171</v>
      </c>
      <c r="B34" s="44">
        <v>3568870</v>
      </c>
      <c r="C34" s="63">
        <v>3568870</v>
      </c>
      <c r="D34" s="63">
        <v>0</v>
      </c>
      <c r="E34" s="64">
        <v>0</v>
      </c>
      <c r="F34" s="63">
        <v>0</v>
      </c>
      <c r="G34" s="63">
        <v>0</v>
      </c>
      <c r="H34" s="65">
        <v>0</v>
      </c>
      <c r="I34" s="65">
        <v>0</v>
      </c>
      <c r="J34" s="65">
        <v>0</v>
      </c>
      <c r="K34" s="65">
        <v>0</v>
      </c>
      <c r="L34" s="65">
        <v>0</v>
      </c>
      <c r="M34" s="63">
        <v>0</v>
      </c>
      <c r="N34" s="1"/>
    </row>
    <row r="35" spans="1:14" ht="16" hidden="1" customHeight="1" outlineLevel="1" x14ac:dyDescent="0.45">
      <c r="A35" s="29" t="s">
        <v>23</v>
      </c>
      <c r="B35" s="44">
        <v>14711320</v>
      </c>
      <c r="C35" s="63">
        <v>1793580</v>
      </c>
      <c r="D35" s="63">
        <v>528700</v>
      </c>
      <c r="E35" s="64">
        <v>12389040</v>
      </c>
      <c r="F35" s="63">
        <v>7142093.5496983426</v>
      </c>
      <c r="G35" s="63">
        <v>3371476.450301657</v>
      </c>
      <c r="H35" s="65">
        <v>0</v>
      </c>
      <c r="I35" s="65">
        <v>40404.601767769767</v>
      </c>
      <c r="J35" s="65">
        <v>37123.994697334638</v>
      </c>
      <c r="K35" s="65">
        <v>337798.00035455404</v>
      </c>
      <c r="L35" s="65">
        <v>780313.40318034159</v>
      </c>
      <c r="M35" s="63">
        <v>679830</v>
      </c>
      <c r="N35" s="1"/>
    </row>
    <row r="36" spans="1:14" ht="16" hidden="1" customHeight="1" outlineLevel="1" x14ac:dyDescent="0.45">
      <c r="A36" s="29" t="s">
        <v>24</v>
      </c>
      <c r="B36" s="44">
        <v>20092300</v>
      </c>
      <c r="C36" s="63">
        <v>6531860</v>
      </c>
      <c r="D36" s="63">
        <v>1618410</v>
      </c>
      <c r="E36" s="64">
        <v>11942030</v>
      </c>
      <c r="F36" s="63">
        <v>4943877.599437777</v>
      </c>
      <c r="G36" s="63">
        <v>3061545.3805652112</v>
      </c>
      <c r="H36" s="65">
        <v>562117.01999701269</v>
      </c>
      <c r="I36" s="65">
        <v>146128.83180172616</v>
      </c>
      <c r="J36" s="65">
        <v>134369.20859400605</v>
      </c>
      <c r="K36" s="65">
        <v>1128478.56438324</v>
      </c>
      <c r="L36" s="65">
        <v>371443.39522102784</v>
      </c>
      <c r="M36" s="63">
        <v>1594070</v>
      </c>
      <c r="N36" s="1"/>
    </row>
    <row r="37" spans="1:14" ht="16" hidden="1" customHeight="1" outlineLevel="1" x14ac:dyDescent="0.45">
      <c r="A37" s="29" t="s">
        <v>122</v>
      </c>
      <c r="B37" s="44">
        <v>331814490</v>
      </c>
      <c r="C37" s="63">
        <v>23875790</v>
      </c>
      <c r="D37" s="63">
        <v>0</v>
      </c>
      <c r="E37" s="64">
        <v>307938700</v>
      </c>
      <c r="F37" s="63">
        <v>20823000</v>
      </c>
      <c r="G37" s="63">
        <v>0</v>
      </c>
      <c r="H37" s="65">
        <v>278584490</v>
      </c>
      <c r="I37" s="65">
        <v>0</v>
      </c>
      <c r="J37" s="65">
        <v>0</v>
      </c>
      <c r="K37" s="65">
        <v>8531210</v>
      </c>
      <c r="L37" s="65">
        <v>0</v>
      </c>
      <c r="M37" s="63">
        <v>0</v>
      </c>
      <c r="N37" s="1"/>
    </row>
    <row r="38" spans="1:14" ht="16" hidden="1" customHeight="1" outlineLevel="1" x14ac:dyDescent="0.45">
      <c r="A38" s="29" t="s">
        <v>123</v>
      </c>
      <c r="B38" s="44">
        <v>54905330</v>
      </c>
      <c r="C38" s="63">
        <v>3660320</v>
      </c>
      <c r="D38" s="63">
        <v>0</v>
      </c>
      <c r="E38" s="64">
        <v>51245010</v>
      </c>
      <c r="F38" s="63">
        <v>3532600</v>
      </c>
      <c r="G38" s="63">
        <v>0</v>
      </c>
      <c r="H38" s="65">
        <v>46267470</v>
      </c>
      <c r="I38" s="65">
        <v>0</v>
      </c>
      <c r="J38" s="65">
        <v>0</v>
      </c>
      <c r="K38" s="65">
        <v>1444940</v>
      </c>
      <c r="L38" s="65">
        <v>0</v>
      </c>
      <c r="M38" s="63">
        <v>0</v>
      </c>
      <c r="N38" s="1"/>
    </row>
    <row r="39" spans="1:14" ht="16" hidden="1" customHeight="1" outlineLevel="1" x14ac:dyDescent="0.45">
      <c r="A39" s="29" t="s">
        <v>124</v>
      </c>
      <c r="B39" s="44">
        <v>900000</v>
      </c>
      <c r="C39" s="63">
        <v>0</v>
      </c>
      <c r="D39" s="63">
        <v>0</v>
      </c>
      <c r="E39" s="64">
        <v>900000</v>
      </c>
      <c r="F39" s="63">
        <v>0</v>
      </c>
      <c r="G39" s="63">
        <v>0</v>
      </c>
      <c r="H39" s="65">
        <v>900000</v>
      </c>
      <c r="I39" s="65">
        <v>0</v>
      </c>
      <c r="J39" s="65">
        <v>0</v>
      </c>
      <c r="K39" s="65">
        <v>0</v>
      </c>
      <c r="L39" s="65">
        <v>0</v>
      </c>
      <c r="M39" s="63">
        <v>0</v>
      </c>
      <c r="N39" s="1"/>
    </row>
    <row r="40" spans="1:14" ht="16" hidden="1" customHeight="1" outlineLevel="1" x14ac:dyDescent="0.45">
      <c r="A40" s="29" t="s">
        <v>125</v>
      </c>
      <c r="B40" s="44">
        <v>0</v>
      </c>
      <c r="C40" s="63">
        <v>0</v>
      </c>
      <c r="D40" s="63">
        <v>0</v>
      </c>
      <c r="E40" s="64">
        <v>0</v>
      </c>
      <c r="F40" s="63">
        <v>0</v>
      </c>
      <c r="G40" s="63">
        <v>0</v>
      </c>
      <c r="H40" s="65">
        <v>0</v>
      </c>
      <c r="I40" s="65">
        <v>0</v>
      </c>
      <c r="J40" s="65">
        <v>0</v>
      </c>
      <c r="K40" s="65">
        <v>0</v>
      </c>
      <c r="L40" s="65">
        <v>0</v>
      </c>
      <c r="M40" s="63">
        <v>0</v>
      </c>
      <c r="N40" s="1"/>
    </row>
    <row r="41" spans="1:14" ht="16" hidden="1" customHeight="1" outlineLevel="1" x14ac:dyDescent="0.45">
      <c r="A41" s="29" t="s">
        <v>172</v>
      </c>
      <c r="B41" s="44">
        <v>1357040</v>
      </c>
      <c r="C41" s="63">
        <v>434440</v>
      </c>
      <c r="D41" s="63">
        <v>0</v>
      </c>
      <c r="E41" s="64">
        <v>922600</v>
      </c>
      <c r="F41" s="63">
        <v>0</v>
      </c>
      <c r="G41" s="63">
        <v>0</v>
      </c>
      <c r="H41" s="65">
        <v>922600</v>
      </c>
      <c r="I41" s="65">
        <v>0</v>
      </c>
      <c r="J41" s="65">
        <v>0</v>
      </c>
      <c r="K41" s="65">
        <v>0</v>
      </c>
      <c r="L41" s="65">
        <v>0</v>
      </c>
      <c r="M41" s="63">
        <v>0</v>
      </c>
      <c r="N41" s="1"/>
    </row>
    <row r="42" spans="1:14" ht="16" hidden="1" customHeight="1" outlineLevel="1" x14ac:dyDescent="0.45">
      <c r="A42" s="29" t="s">
        <v>173</v>
      </c>
      <c r="B42" s="44">
        <v>0</v>
      </c>
      <c r="C42" s="63">
        <v>0</v>
      </c>
      <c r="D42" s="63">
        <v>0</v>
      </c>
      <c r="E42" s="64">
        <v>0</v>
      </c>
      <c r="F42" s="63">
        <v>0</v>
      </c>
      <c r="G42" s="63">
        <v>0</v>
      </c>
      <c r="H42" s="65">
        <v>0</v>
      </c>
      <c r="I42" s="65">
        <v>0</v>
      </c>
      <c r="J42" s="65">
        <v>0</v>
      </c>
      <c r="K42" s="65">
        <v>0</v>
      </c>
      <c r="L42" s="65">
        <v>0</v>
      </c>
      <c r="M42" s="63">
        <v>0</v>
      </c>
      <c r="N42" s="1"/>
    </row>
    <row r="43" spans="1:14" ht="16" hidden="1" customHeight="1" outlineLevel="1" x14ac:dyDescent="0.45">
      <c r="A43" s="29" t="s">
        <v>25</v>
      </c>
      <c r="B43" s="44">
        <v>29185000</v>
      </c>
      <c r="C43" s="63">
        <v>8725000</v>
      </c>
      <c r="D43" s="63">
        <v>2480000</v>
      </c>
      <c r="E43" s="64">
        <v>17980000</v>
      </c>
      <c r="F43" s="63">
        <v>8381972.0593426162</v>
      </c>
      <c r="G43" s="63">
        <v>3850190.4231913346</v>
      </c>
      <c r="H43" s="65">
        <v>1097837.5174660494</v>
      </c>
      <c r="I43" s="65">
        <v>276960.55142697936</v>
      </c>
      <c r="J43" s="65">
        <v>273350.62599806098</v>
      </c>
      <c r="K43" s="65">
        <v>657928.01402070047</v>
      </c>
      <c r="L43" s="65">
        <v>1891760.8085542591</v>
      </c>
      <c r="M43" s="63">
        <v>1550000</v>
      </c>
      <c r="N43" s="1"/>
    </row>
    <row r="44" spans="1:14" ht="16" hidden="1" customHeight="1" outlineLevel="1" x14ac:dyDescent="0.45">
      <c r="A44" s="29" t="s">
        <v>174</v>
      </c>
      <c r="B44" s="44">
        <v>0</v>
      </c>
      <c r="C44" s="63">
        <v>0</v>
      </c>
      <c r="D44" s="63">
        <v>0</v>
      </c>
      <c r="E44" s="64">
        <v>0</v>
      </c>
      <c r="F44" s="63">
        <v>0</v>
      </c>
      <c r="G44" s="63">
        <v>0</v>
      </c>
      <c r="H44" s="65">
        <v>0</v>
      </c>
      <c r="I44" s="65">
        <v>0</v>
      </c>
      <c r="J44" s="65">
        <v>0</v>
      </c>
      <c r="K44" s="65">
        <v>0</v>
      </c>
      <c r="L44" s="65">
        <v>0</v>
      </c>
      <c r="M44" s="63">
        <v>0</v>
      </c>
      <c r="N44" s="1"/>
    </row>
    <row r="45" spans="1:14" ht="16" hidden="1" customHeight="1" outlineLevel="1" x14ac:dyDescent="0.45">
      <c r="A45" s="29" t="s">
        <v>126</v>
      </c>
      <c r="B45" s="44">
        <v>24275000</v>
      </c>
      <c r="C45" s="63">
        <v>1805000</v>
      </c>
      <c r="D45" s="63">
        <v>0</v>
      </c>
      <c r="E45" s="64">
        <v>22470000</v>
      </c>
      <c r="F45" s="63">
        <v>1550000</v>
      </c>
      <c r="G45" s="63">
        <v>0</v>
      </c>
      <c r="H45" s="65">
        <v>20300000</v>
      </c>
      <c r="I45" s="65">
        <v>0</v>
      </c>
      <c r="J45" s="65">
        <v>0</v>
      </c>
      <c r="K45" s="65">
        <v>620000</v>
      </c>
      <c r="L45" s="65">
        <v>0</v>
      </c>
      <c r="M45" s="63">
        <v>0</v>
      </c>
      <c r="N45" s="1"/>
    </row>
    <row r="46" spans="1:14" ht="16" hidden="1" customHeight="1" outlineLevel="1" x14ac:dyDescent="0.45">
      <c r="A46" s="29" t="s">
        <v>175</v>
      </c>
      <c r="B46" s="44">
        <v>0</v>
      </c>
      <c r="C46" s="63">
        <v>0</v>
      </c>
      <c r="D46" s="63">
        <v>0</v>
      </c>
      <c r="E46" s="64">
        <v>0</v>
      </c>
      <c r="F46" s="63">
        <v>0</v>
      </c>
      <c r="G46" s="63">
        <v>0</v>
      </c>
      <c r="H46" s="65">
        <v>0</v>
      </c>
      <c r="I46" s="65">
        <v>0</v>
      </c>
      <c r="J46" s="65">
        <v>0</v>
      </c>
      <c r="K46" s="65">
        <v>0</v>
      </c>
      <c r="L46" s="65">
        <v>0</v>
      </c>
      <c r="M46" s="63">
        <v>0</v>
      </c>
      <c r="N46" s="1"/>
    </row>
    <row r="47" spans="1:14" ht="16" hidden="1" customHeight="1" outlineLevel="1" x14ac:dyDescent="0.45">
      <c r="A47" s="29" t="s">
        <v>176</v>
      </c>
      <c r="B47" s="44">
        <v>0</v>
      </c>
      <c r="C47" s="63">
        <v>0</v>
      </c>
      <c r="D47" s="63">
        <v>0</v>
      </c>
      <c r="E47" s="64">
        <v>0</v>
      </c>
      <c r="F47" s="63">
        <v>0</v>
      </c>
      <c r="G47" s="63">
        <v>0</v>
      </c>
      <c r="H47" s="65">
        <v>0</v>
      </c>
      <c r="I47" s="65">
        <v>0</v>
      </c>
      <c r="J47" s="65">
        <v>0</v>
      </c>
      <c r="K47" s="65">
        <v>0</v>
      </c>
      <c r="L47" s="65">
        <v>0</v>
      </c>
      <c r="M47" s="63">
        <v>0</v>
      </c>
      <c r="N47" s="1"/>
    </row>
    <row r="48" spans="1:14" ht="16" hidden="1" customHeight="1" outlineLevel="1" x14ac:dyDescent="0.45">
      <c r="A48" s="29" t="s">
        <v>26</v>
      </c>
      <c r="B48" s="44">
        <v>3872631060</v>
      </c>
      <c r="C48" s="63">
        <v>91978510</v>
      </c>
      <c r="D48" s="63">
        <v>63924070</v>
      </c>
      <c r="E48" s="64">
        <v>3716728480</v>
      </c>
      <c r="F48" s="63">
        <v>2471268542.0348215</v>
      </c>
      <c r="G48" s="63">
        <v>782387977.96517825</v>
      </c>
      <c r="H48" s="65">
        <v>23780400</v>
      </c>
      <c r="I48" s="65">
        <v>29052765</v>
      </c>
      <c r="J48" s="65">
        <v>27139375</v>
      </c>
      <c r="K48" s="65">
        <v>135383160</v>
      </c>
      <c r="L48" s="65">
        <v>231008920</v>
      </c>
      <c r="M48" s="63">
        <v>16707340</v>
      </c>
      <c r="N48" s="1"/>
    </row>
    <row r="49" spans="1:14" ht="16" hidden="1" customHeight="1" outlineLevel="1" x14ac:dyDescent="0.45">
      <c r="A49" s="29" t="s">
        <v>27</v>
      </c>
      <c r="B49" s="44">
        <v>649402750</v>
      </c>
      <c r="C49" s="63">
        <v>14206160</v>
      </c>
      <c r="D49" s="63">
        <v>10708060</v>
      </c>
      <c r="E49" s="64">
        <v>624488530</v>
      </c>
      <c r="F49" s="63">
        <v>415251356.51190579</v>
      </c>
      <c r="G49" s="63">
        <v>131915483.48809421</v>
      </c>
      <c r="H49" s="65">
        <v>4107530</v>
      </c>
      <c r="I49" s="65">
        <v>4549500</v>
      </c>
      <c r="J49" s="65">
        <v>4228870</v>
      </c>
      <c r="K49" s="65">
        <v>22942930</v>
      </c>
      <c r="L49" s="65">
        <v>38685310</v>
      </c>
      <c r="M49" s="63">
        <v>2807550</v>
      </c>
      <c r="N49" s="1"/>
    </row>
    <row r="50" spans="1:14" ht="16" hidden="1" customHeight="1" outlineLevel="1" x14ac:dyDescent="0.45">
      <c r="A50" s="29" t="s">
        <v>28</v>
      </c>
      <c r="B50" s="44">
        <v>124061340</v>
      </c>
      <c r="C50" s="63">
        <v>5754850</v>
      </c>
      <c r="D50" s="63">
        <v>600000</v>
      </c>
      <c r="E50" s="64">
        <v>117706490</v>
      </c>
      <c r="F50" s="63">
        <v>87154860</v>
      </c>
      <c r="G50" s="63">
        <v>24761300</v>
      </c>
      <c r="H50" s="65">
        <v>1200000</v>
      </c>
      <c r="I50" s="65">
        <v>445165</v>
      </c>
      <c r="J50" s="65">
        <v>445165</v>
      </c>
      <c r="K50" s="65">
        <v>3700000</v>
      </c>
      <c r="L50" s="65">
        <v>0</v>
      </c>
      <c r="M50" s="63">
        <v>0</v>
      </c>
      <c r="N50" s="1"/>
    </row>
    <row r="51" spans="1:14" ht="16" hidden="1" customHeight="1" outlineLevel="1" x14ac:dyDescent="0.45">
      <c r="A51" s="29" t="s">
        <v>29</v>
      </c>
      <c r="B51" s="44">
        <v>267530000</v>
      </c>
      <c r="C51" s="63">
        <v>5810000</v>
      </c>
      <c r="D51" s="63">
        <v>4155000</v>
      </c>
      <c r="E51" s="64">
        <v>257565000</v>
      </c>
      <c r="F51" s="63">
        <v>172805429.12227881</v>
      </c>
      <c r="G51" s="63">
        <v>53509570.877721205</v>
      </c>
      <c r="H51" s="65">
        <v>1550000</v>
      </c>
      <c r="I51" s="65">
        <v>2012500</v>
      </c>
      <c r="J51" s="65">
        <v>1857500</v>
      </c>
      <c r="K51" s="65">
        <v>9090000</v>
      </c>
      <c r="L51" s="65">
        <v>15580000</v>
      </c>
      <c r="M51" s="63">
        <v>1160000</v>
      </c>
      <c r="N51" s="1"/>
    </row>
    <row r="52" spans="1:14" ht="16" hidden="1" customHeight="1" outlineLevel="1" x14ac:dyDescent="0.45">
      <c r="A52" s="29" t="s">
        <v>127</v>
      </c>
      <c r="B52" s="44">
        <v>500000</v>
      </c>
      <c r="C52" s="63">
        <v>380000</v>
      </c>
      <c r="D52" s="63">
        <v>120000</v>
      </c>
      <c r="E52" s="64">
        <v>0</v>
      </c>
      <c r="F52" s="63">
        <v>0</v>
      </c>
      <c r="G52" s="63">
        <v>0</v>
      </c>
      <c r="H52" s="65">
        <v>0</v>
      </c>
      <c r="I52" s="65">
        <v>0</v>
      </c>
      <c r="J52" s="65">
        <v>0</v>
      </c>
      <c r="K52" s="65">
        <v>0</v>
      </c>
      <c r="L52" s="65">
        <v>0</v>
      </c>
      <c r="M52" s="63">
        <v>0</v>
      </c>
      <c r="N52" s="1"/>
    </row>
    <row r="53" spans="1:14" ht="16" hidden="1" customHeight="1" outlineLevel="1" x14ac:dyDescent="0.45">
      <c r="A53" s="29" t="s">
        <v>177</v>
      </c>
      <c r="B53" s="44">
        <v>0</v>
      </c>
      <c r="C53" s="63">
        <v>0</v>
      </c>
      <c r="D53" s="63">
        <v>0</v>
      </c>
      <c r="E53" s="64">
        <v>0</v>
      </c>
      <c r="F53" s="63">
        <v>0</v>
      </c>
      <c r="G53" s="63">
        <v>0</v>
      </c>
      <c r="H53" s="65">
        <v>0</v>
      </c>
      <c r="I53" s="65">
        <v>0</v>
      </c>
      <c r="J53" s="65">
        <v>0</v>
      </c>
      <c r="K53" s="65">
        <v>0</v>
      </c>
      <c r="L53" s="65">
        <v>0</v>
      </c>
      <c r="M53" s="63">
        <v>0</v>
      </c>
      <c r="N53" s="1"/>
    </row>
    <row r="54" spans="1:14" ht="16" hidden="1" customHeight="1" outlineLevel="1" x14ac:dyDescent="0.45">
      <c r="A54" s="29" t="s">
        <v>30</v>
      </c>
      <c r="B54" s="44">
        <v>25709830</v>
      </c>
      <c r="C54" s="63">
        <v>4830590</v>
      </c>
      <c r="D54" s="63">
        <v>821480</v>
      </c>
      <c r="E54" s="64">
        <v>20057760</v>
      </c>
      <c r="F54" s="63">
        <v>14843990</v>
      </c>
      <c r="G54" s="63">
        <v>3576160</v>
      </c>
      <c r="H54" s="65">
        <v>0</v>
      </c>
      <c r="I54" s="65">
        <v>0</v>
      </c>
      <c r="J54" s="65">
        <v>0</v>
      </c>
      <c r="K54" s="65">
        <v>0</v>
      </c>
      <c r="L54" s="65">
        <v>1637610</v>
      </c>
      <c r="M54" s="63">
        <v>0</v>
      </c>
      <c r="N54" s="1"/>
    </row>
    <row r="55" spans="1:14" ht="16" hidden="1" customHeight="1" outlineLevel="1" x14ac:dyDescent="0.45">
      <c r="A55" s="29" t="s">
        <v>128</v>
      </c>
      <c r="B55" s="44">
        <v>44039520</v>
      </c>
      <c r="C55" s="63">
        <v>0</v>
      </c>
      <c r="D55" s="63">
        <v>0</v>
      </c>
      <c r="E55" s="64">
        <v>44039520</v>
      </c>
      <c r="F55" s="63">
        <v>0</v>
      </c>
      <c r="G55" s="63">
        <v>0</v>
      </c>
      <c r="H55" s="65">
        <v>0</v>
      </c>
      <c r="I55" s="65">
        <v>0</v>
      </c>
      <c r="J55" s="65">
        <v>0</v>
      </c>
      <c r="K55" s="65">
        <v>0</v>
      </c>
      <c r="L55" s="65">
        <v>44039520</v>
      </c>
      <c r="M55" s="63">
        <v>0</v>
      </c>
      <c r="N55" s="1"/>
    </row>
    <row r="56" spans="1:14" ht="16" hidden="1" customHeight="1" outlineLevel="1" x14ac:dyDescent="0.45">
      <c r="A56" s="29" t="s">
        <v>129</v>
      </c>
      <c r="B56" s="44">
        <v>856390</v>
      </c>
      <c r="C56" s="63">
        <v>0</v>
      </c>
      <c r="D56" s="63">
        <v>0</v>
      </c>
      <c r="E56" s="64">
        <v>856390</v>
      </c>
      <c r="F56" s="63">
        <v>0</v>
      </c>
      <c r="G56" s="63">
        <v>0</v>
      </c>
      <c r="H56" s="65">
        <v>0</v>
      </c>
      <c r="I56" s="65">
        <v>0</v>
      </c>
      <c r="J56" s="65">
        <v>0</v>
      </c>
      <c r="K56" s="65">
        <v>0</v>
      </c>
      <c r="L56" s="65">
        <v>856390</v>
      </c>
      <c r="M56" s="63">
        <v>0</v>
      </c>
      <c r="N56" s="1"/>
    </row>
    <row r="57" spans="1:14" ht="16" hidden="1" customHeight="1" outlineLevel="1" x14ac:dyDescent="0.45">
      <c r="A57" s="29" t="s">
        <v>178</v>
      </c>
      <c r="B57" s="44">
        <v>0</v>
      </c>
      <c r="C57" s="63">
        <v>0</v>
      </c>
      <c r="D57" s="63">
        <v>0</v>
      </c>
      <c r="E57" s="64">
        <v>0</v>
      </c>
      <c r="F57" s="63">
        <v>0</v>
      </c>
      <c r="G57" s="63">
        <v>0</v>
      </c>
      <c r="H57" s="65">
        <v>0</v>
      </c>
      <c r="I57" s="65">
        <v>0</v>
      </c>
      <c r="J57" s="65">
        <v>0</v>
      </c>
      <c r="K57" s="65">
        <v>0</v>
      </c>
      <c r="L57" s="65">
        <v>0</v>
      </c>
      <c r="M57" s="63">
        <v>0</v>
      </c>
      <c r="N57" s="1"/>
    </row>
    <row r="58" spans="1:14" ht="16" hidden="1" customHeight="1" outlineLevel="1" x14ac:dyDescent="0.45">
      <c r="A58" s="29" t="s">
        <v>31</v>
      </c>
      <c r="B58" s="44">
        <v>14890250</v>
      </c>
      <c r="C58" s="63">
        <v>1981860</v>
      </c>
      <c r="D58" s="63">
        <v>330710</v>
      </c>
      <c r="E58" s="64">
        <v>12577680</v>
      </c>
      <c r="F58" s="63">
        <v>8316826.9415671444</v>
      </c>
      <c r="G58" s="63">
        <v>4055613.0584328556</v>
      </c>
      <c r="H58" s="65">
        <v>138820</v>
      </c>
      <c r="I58" s="65">
        <v>0</v>
      </c>
      <c r="J58" s="65">
        <v>0</v>
      </c>
      <c r="K58" s="65">
        <v>0</v>
      </c>
      <c r="L58" s="65">
        <v>66420</v>
      </c>
      <c r="M58" s="63">
        <v>0</v>
      </c>
      <c r="N58" s="1"/>
    </row>
    <row r="59" spans="1:14" ht="16" hidden="1" customHeight="1" outlineLevel="1" x14ac:dyDescent="0.45">
      <c r="A59" s="29" t="s">
        <v>113</v>
      </c>
      <c r="B59" s="44">
        <v>0</v>
      </c>
      <c r="C59" s="63">
        <v>0</v>
      </c>
      <c r="D59" s="63">
        <v>0</v>
      </c>
      <c r="E59" s="64">
        <v>0</v>
      </c>
      <c r="F59" s="63">
        <v>0</v>
      </c>
      <c r="G59" s="63">
        <v>0</v>
      </c>
      <c r="H59" s="65">
        <v>0</v>
      </c>
      <c r="I59" s="65">
        <v>0</v>
      </c>
      <c r="J59" s="65">
        <v>0</v>
      </c>
      <c r="K59" s="65">
        <v>0</v>
      </c>
      <c r="L59" s="65">
        <v>0</v>
      </c>
      <c r="M59" s="63">
        <v>0</v>
      </c>
      <c r="N59" s="1"/>
    </row>
    <row r="60" spans="1:14" ht="16" hidden="1" customHeight="1" outlineLevel="1" x14ac:dyDescent="0.45">
      <c r="A60" s="29" t="s">
        <v>32</v>
      </c>
      <c r="B60" s="44">
        <v>10874740</v>
      </c>
      <c r="C60" s="63">
        <v>1600000</v>
      </c>
      <c r="D60" s="63">
        <v>500000</v>
      </c>
      <c r="E60" s="64">
        <v>8774740</v>
      </c>
      <c r="F60" s="63">
        <v>2570000</v>
      </c>
      <c r="G60" s="63">
        <v>4116350</v>
      </c>
      <c r="H60" s="65">
        <v>500000</v>
      </c>
      <c r="I60" s="65">
        <v>0</v>
      </c>
      <c r="J60" s="65">
        <v>0</v>
      </c>
      <c r="K60" s="65">
        <v>0</v>
      </c>
      <c r="L60" s="65">
        <v>588390</v>
      </c>
      <c r="M60" s="63">
        <v>1000000</v>
      </c>
      <c r="N60" s="1"/>
    </row>
    <row r="61" spans="1:14" ht="16" hidden="1" customHeight="1" outlineLevel="1" x14ac:dyDescent="0.45">
      <c r="A61" s="24" t="s">
        <v>130</v>
      </c>
      <c r="B61" s="44">
        <v>0</v>
      </c>
      <c r="C61" s="63">
        <v>0</v>
      </c>
      <c r="D61" s="63">
        <v>0</v>
      </c>
      <c r="E61" s="64">
        <v>0</v>
      </c>
      <c r="F61" s="63">
        <v>0</v>
      </c>
      <c r="G61" s="63">
        <v>0</v>
      </c>
      <c r="H61" s="65">
        <v>0</v>
      </c>
      <c r="I61" s="65">
        <v>0</v>
      </c>
      <c r="J61" s="65">
        <v>0</v>
      </c>
      <c r="K61" s="65">
        <v>0</v>
      </c>
      <c r="L61" s="65">
        <v>0</v>
      </c>
      <c r="M61" s="63">
        <v>0</v>
      </c>
      <c r="N61" s="1"/>
    </row>
    <row r="62" spans="1:14" ht="16" hidden="1" customHeight="1" outlineLevel="1" x14ac:dyDescent="0.45">
      <c r="A62" s="29" t="s">
        <v>267</v>
      </c>
      <c r="B62" s="44">
        <v>2895000000</v>
      </c>
      <c r="C62" s="63">
        <v>163500000</v>
      </c>
      <c r="D62" s="63">
        <v>63000000</v>
      </c>
      <c r="E62" s="64">
        <v>2668500000</v>
      </c>
      <c r="F62" s="63">
        <v>1618619519.0838969</v>
      </c>
      <c r="G62" s="63">
        <v>514256246.87610912</v>
      </c>
      <c r="H62" s="65">
        <v>196624234.03999403</v>
      </c>
      <c r="I62" s="65">
        <v>21215131.700453125</v>
      </c>
      <c r="J62" s="65">
        <v>18197664.319345456</v>
      </c>
      <c r="K62" s="65">
        <v>87933522.648487255</v>
      </c>
      <c r="L62" s="65">
        <v>186153681.33171415</v>
      </c>
      <c r="M62" s="63">
        <v>25500000</v>
      </c>
      <c r="N62" s="1"/>
    </row>
    <row r="63" spans="1:14" ht="16" customHeight="1" collapsed="1" x14ac:dyDescent="0.45">
      <c r="A63" s="28" t="s">
        <v>33</v>
      </c>
      <c r="B63" s="43">
        <v>935782974</v>
      </c>
      <c r="C63" s="60">
        <v>900261334</v>
      </c>
      <c r="D63" s="60">
        <v>0</v>
      </c>
      <c r="E63" s="61">
        <v>35521640</v>
      </c>
      <c r="F63" s="60">
        <v>1200000</v>
      </c>
      <c r="G63" s="60">
        <v>0</v>
      </c>
      <c r="H63" s="62">
        <v>28551640</v>
      </c>
      <c r="I63" s="62">
        <v>0</v>
      </c>
      <c r="J63" s="62">
        <v>0</v>
      </c>
      <c r="K63" s="62">
        <v>870000</v>
      </c>
      <c r="L63" s="62">
        <v>4900000</v>
      </c>
      <c r="M63" s="60">
        <v>0</v>
      </c>
      <c r="N63" s="1"/>
    </row>
    <row r="64" spans="1:14" s="1" customFormat="1" ht="16" hidden="1" customHeight="1" outlineLevel="1" collapsed="1" x14ac:dyDescent="0.45">
      <c r="A64" s="29" t="s">
        <v>34</v>
      </c>
      <c r="B64" s="44">
        <v>115597020</v>
      </c>
      <c r="C64" s="63">
        <v>115597020</v>
      </c>
      <c r="D64" s="63">
        <v>0</v>
      </c>
      <c r="E64" s="64">
        <v>0</v>
      </c>
      <c r="F64" s="63">
        <v>0</v>
      </c>
      <c r="G64" s="63">
        <v>0</v>
      </c>
      <c r="H64" s="65">
        <v>0</v>
      </c>
      <c r="I64" s="65">
        <v>0</v>
      </c>
      <c r="J64" s="65">
        <v>0</v>
      </c>
      <c r="K64" s="65">
        <v>0</v>
      </c>
      <c r="L64" s="65">
        <v>0</v>
      </c>
      <c r="M64" s="63">
        <v>0</v>
      </c>
    </row>
    <row r="65" spans="1:14" ht="16" hidden="1" customHeight="1" outlineLevel="1" x14ac:dyDescent="0.45">
      <c r="A65" s="29" t="s">
        <v>179</v>
      </c>
      <c r="B65" s="44">
        <v>184797144</v>
      </c>
      <c r="C65" s="63">
        <v>184797144</v>
      </c>
      <c r="D65" s="63">
        <v>0</v>
      </c>
      <c r="E65" s="64">
        <v>0</v>
      </c>
      <c r="F65" s="63">
        <v>0</v>
      </c>
      <c r="G65" s="63">
        <v>0</v>
      </c>
      <c r="H65" s="65">
        <v>0</v>
      </c>
      <c r="I65" s="65">
        <v>0</v>
      </c>
      <c r="J65" s="65">
        <v>0</v>
      </c>
      <c r="K65" s="65">
        <v>0</v>
      </c>
      <c r="L65" s="65">
        <v>0</v>
      </c>
      <c r="M65" s="63">
        <v>0</v>
      </c>
      <c r="N65" s="1"/>
    </row>
    <row r="66" spans="1:14" ht="16" hidden="1" customHeight="1" outlineLevel="1" x14ac:dyDescent="0.45">
      <c r="A66" s="29" t="s">
        <v>180</v>
      </c>
      <c r="B66" s="44">
        <v>-4329750</v>
      </c>
      <c r="C66" s="63">
        <v>-4329750</v>
      </c>
      <c r="D66" s="63">
        <v>0</v>
      </c>
      <c r="E66" s="64">
        <v>0</v>
      </c>
      <c r="F66" s="63">
        <v>0</v>
      </c>
      <c r="G66" s="63">
        <v>0</v>
      </c>
      <c r="H66" s="65">
        <v>0</v>
      </c>
      <c r="I66" s="65">
        <v>0</v>
      </c>
      <c r="J66" s="65">
        <v>0</v>
      </c>
      <c r="K66" s="65">
        <v>0</v>
      </c>
      <c r="L66" s="65">
        <v>0</v>
      </c>
      <c r="M66" s="63">
        <v>0</v>
      </c>
      <c r="N66" s="1"/>
    </row>
    <row r="67" spans="1:14" ht="16" hidden="1" customHeight="1" outlineLevel="1" x14ac:dyDescent="0.45">
      <c r="A67" s="29" t="s">
        <v>131</v>
      </c>
      <c r="B67" s="44">
        <v>32994560</v>
      </c>
      <c r="C67" s="63">
        <v>2372920</v>
      </c>
      <c r="D67" s="63">
        <v>0</v>
      </c>
      <c r="E67" s="64">
        <v>30621640</v>
      </c>
      <c r="F67" s="63">
        <v>1200000</v>
      </c>
      <c r="G67" s="63">
        <v>0</v>
      </c>
      <c r="H67" s="65">
        <v>28551640</v>
      </c>
      <c r="I67" s="65">
        <v>0</v>
      </c>
      <c r="J67" s="65">
        <v>0</v>
      </c>
      <c r="K67" s="65">
        <v>870000</v>
      </c>
      <c r="L67" s="65">
        <v>0</v>
      </c>
      <c r="M67" s="63">
        <v>0</v>
      </c>
      <c r="N67" s="1"/>
    </row>
    <row r="68" spans="1:14" ht="16" hidden="1" customHeight="1" outlineLevel="1" x14ac:dyDescent="0.45">
      <c r="A68" s="29" t="s">
        <v>35</v>
      </c>
      <c r="B68" s="44">
        <v>601824000</v>
      </c>
      <c r="C68" s="63">
        <v>601824000</v>
      </c>
      <c r="D68" s="63">
        <v>0</v>
      </c>
      <c r="E68" s="64">
        <v>0</v>
      </c>
      <c r="F68" s="63">
        <v>0</v>
      </c>
      <c r="G68" s="63">
        <v>0</v>
      </c>
      <c r="H68" s="65">
        <v>0</v>
      </c>
      <c r="I68" s="65">
        <v>0</v>
      </c>
      <c r="J68" s="65">
        <v>0</v>
      </c>
      <c r="K68" s="65">
        <v>0</v>
      </c>
      <c r="L68" s="65">
        <v>0</v>
      </c>
      <c r="M68" s="63">
        <v>0</v>
      </c>
      <c r="N68" s="1"/>
    </row>
    <row r="69" spans="1:14" ht="16" hidden="1" customHeight="1" outlineLevel="1" x14ac:dyDescent="0.45">
      <c r="A69" s="29" t="s">
        <v>132</v>
      </c>
      <c r="B69" s="44">
        <v>4900000</v>
      </c>
      <c r="C69" s="63">
        <v>0</v>
      </c>
      <c r="D69" s="63">
        <v>0</v>
      </c>
      <c r="E69" s="64">
        <v>4900000</v>
      </c>
      <c r="F69" s="63">
        <v>0</v>
      </c>
      <c r="G69" s="63">
        <v>0</v>
      </c>
      <c r="H69" s="65">
        <v>0</v>
      </c>
      <c r="I69" s="65">
        <v>0</v>
      </c>
      <c r="J69" s="65">
        <v>0</v>
      </c>
      <c r="K69" s="65">
        <v>0</v>
      </c>
      <c r="L69" s="65">
        <v>4900000</v>
      </c>
      <c r="M69" s="63">
        <v>0</v>
      </c>
      <c r="N69" s="1"/>
    </row>
    <row r="70" spans="1:14" ht="16" customHeight="1" collapsed="1" x14ac:dyDescent="0.45">
      <c r="A70" s="28" t="s">
        <v>133</v>
      </c>
      <c r="B70" s="43">
        <v>6072280</v>
      </c>
      <c r="C70" s="60">
        <v>0</v>
      </c>
      <c r="D70" s="60">
        <v>0</v>
      </c>
      <c r="E70" s="61">
        <v>6072280</v>
      </c>
      <c r="F70" s="60">
        <v>0</v>
      </c>
      <c r="G70" s="60">
        <v>0</v>
      </c>
      <c r="H70" s="62">
        <v>0</v>
      </c>
      <c r="I70" s="62">
        <v>1897900</v>
      </c>
      <c r="J70" s="62">
        <v>1897900</v>
      </c>
      <c r="K70" s="62">
        <v>2276480</v>
      </c>
      <c r="L70" s="62">
        <v>0</v>
      </c>
      <c r="M70" s="60">
        <v>0</v>
      </c>
      <c r="N70" s="1"/>
    </row>
    <row r="71" spans="1:14" s="1" customFormat="1" collapsed="1" x14ac:dyDescent="0.45">
      <c r="A71" s="28" t="s">
        <v>36</v>
      </c>
      <c r="B71" s="43">
        <v>743627707</v>
      </c>
      <c r="C71" s="60">
        <v>56364143</v>
      </c>
      <c r="D71" s="60">
        <v>17674421</v>
      </c>
      <c r="E71" s="61">
        <v>669589143</v>
      </c>
      <c r="F71" s="60">
        <v>416284244.11327946</v>
      </c>
      <c r="G71" s="60">
        <v>124405171.51123103</v>
      </c>
      <c r="H71" s="62">
        <v>39195000.375489533</v>
      </c>
      <c r="I71" s="62">
        <v>5296489.1674863352</v>
      </c>
      <c r="J71" s="62">
        <v>4576536.1790951481</v>
      </c>
      <c r="K71" s="62">
        <v>21180326.568474658</v>
      </c>
      <c r="L71" s="62">
        <v>51002601.084943861</v>
      </c>
      <c r="M71" s="60">
        <v>7648774</v>
      </c>
    </row>
    <row r="72" spans="1:14" s="1" customFormat="1" ht="16" hidden="1" customHeight="1" outlineLevel="1" x14ac:dyDescent="0.45">
      <c r="A72" s="29" t="s">
        <v>37</v>
      </c>
      <c r="B72" s="44">
        <v>743627707</v>
      </c>
      <c r="C72" s="63">
        <v>56364143</v>
      </c>
      <c r="D72" s="63">
        <v>17674421</v>
      </c>
      <c r="E72" s="64">
        <v>669589143</v>
      </c>
      <c r="F72" s="63">
        <v>416284244.11327946</v>
      </c>
      <c r="G72" s="63">
        <v>124405171.51123103</v>
      </c>
      <c r="H72" s="65">
        <v>39195000.375489533</v>
      </c>
      <c r="I72" s="65">
        <v>5296489.1674863352</v>
      </c>
      <c r="J72" s="65">
        <v>4576536.1790951481</v>
      </c>
      <c r="K72" s="65">
        <v>21180326.568474658</v>
      </c>
      <c r="L72" s="65">
        <v>51002601.084943861</v>
      </c>
      <c r="M72" s="63">
        <v>7648774</v>
      </c>
    </row>
    <row r="73" spans="1:14" ht="16" customHeight="1" collapsed="1" x14ac:dyDescent="0.45">
      <c r="A73" s="28" t="s">
        <v>181</v>
      </c>
      <c r="B73" s="43">
        <v>42693053</v>
      </c>
      <c r="C73" s="60">
        <v>9543053</v>
      </c>
      <c r="D73" s="60">
        <v>2000000</v>
      </c>
      <c r="E73" s="61">
        <v>31150000</v>
      </c>
      <c r="F73" s="60">
        <v>19250000</v>
      </c>
      <c r="G73" s="60">
        <v>5000000</v>
      </c>
      <c r="H73" s="62">
        <v>2000000</v>
      </c>
      <c r="I73" s="62">
        <v>900000</v>
      </c>
      <c r="J73" s="62">
        <v>0</v>
      </c>
      <c r="K73" s="62">
        <v>1000000</v>
      </c>
      <c r="L73" s="62">
        <v>2000000</v>
      </c>
      <c r="M73" s="60">
        <v>1000000</v>
      </c>
      <c r="N73" s="1"/>
    </row>
    <row r="74" spans="1:14" s="1" customFormat="1" collapsed="1" x14ac:dyDescent="0.45">
      <c r="A74" s="28" t="s">
        <v>38</v>
      </c>
      <c r="B74" s="43">
        <v>3258324446</v>
      </c>
      <c r="C74" s="60">
        <v>276975657.99999952</v>
      </c>
      <c r="D74" s="60">
        <v>56386656</v>
      </c>
      <c r="E74" s="61">
        <v>2924962132.0000005</v>
      </c>
      <c r="F74" s="60">
        <v>1931586638.8985534</v>
      </c>
      <c r="G74" s="60">
        <v>411018400.05735099</v>
      </c>
      <c r="H74" s="62">
        <v>142107871.04409572</v>
      </c>
      <c r="I74" s="62">
        <v>13684793.184984066</v>
      </c>
      <c r="J74" s="62">
        <v>12711859.77888572</v>
      </c>
      <c r="K74" s="62">
        <v>68363373.584312886</v>
      </c>
      <c r="L74" s="62">
        <v>328543013.45181733</v>
      </c>
      <c r="M74" s="60">
        <v>16946182</v>
      </c>
    </row>
    <row r="75" spans="1:14" s="1" customFormat="1" ht="16" hidden="1" customHeight="1" outlineLevel="1" x14ac:dyDescent="0.45">
      <c r="A75" s="29" t="s">
        <v>39</v>
      </c>
      <c r="B75" s="44">
        <v>0</v>
      </c>
      <c r="C75" s="63">
        <v>0</v>
      </c>
      <c r="D75" s="63">
        <v>0</v>
      </c>
      <c r="E75" s="64">
        <v>0</v>
      </c>
      <c r="F75" s="63">
        <v>0</v>
      </c>
      <c r="G75" s="63">
        <v>0</v>
      </c>
      <c r="H75" s="65">
        <v>0</v>
      </c>
      <c r="I75" s="65">
        <v>0</v>
      </c>
      <c r="J75" s="65">
        <v>0</v>
      </c>
      <c r="K75" s="65">
        <v>0</v>
      </c>
      <c r="L75" s="65">
        <v>0</v>
      </c>
      <c r="M75" s="63">
        <v>0</v>
      </c>
    </row>
    <row r="76" spans="1:14" ht="16" hidden="1" customHeight="1" outlineLevel="1" x14ac:dyDescent="0.45">
      <c r="A76" s="29" t="s">
        <v>40</v>
      </c>
      <c r="B76" s="44">
        <v>65995320</v>
      </c>
      <c r="C76" s="63">
        <v>3915748.9999999925</v>
      </c>
      <c r="D76" s="63">
        <v>1606012</v>
      </c>
      <c r="E76" s="64">
        <v>60473559.000000007</v>
      </c>
      <c r="F76" s="63">
        <v>37678356.861014202</v>
      </c>
      <c r="G76" s="63">
        <v>10346165.581657454</v>
      </c>
      <c r="H76" s="65">
        <v>3974053.5573283443</v>
      </c>
      <c r="I76" s="65">
        <v>412018.41099250078</v>
      </c>
      <c r="J76" s="65">
        <v>373887.00022105605</v>
      </c>
      <c r="K76" s="65">
        <v>1871076.9772464626</v>
      </c>
      <c r="L76" s="65">
        <v>5159458.6115399804</v>
      </c>
      <c r="M76" s="63">
        <v>658542</v>
      </c>
      <c r="N76" s="1"/>
    </row>
    <row r="77" spans="1:14" ht="16" hidden="1" customHeight="1" outlineLevel="1" x14ac:dyDescent="0.45">
      <c r="A77" s="29" t="s">
        <v>41</v>
      </c>
      <c r="B77" s="44">
        <v>373526230</v>
      </c>
      <c r="C77" s="63">
        <v>28311860</v>
      </c>
      <c r="D77" s="63">
        <v>8877910</v>
      </c>
      <c r="E77" s="64">
        <v>336336460</v>
      </c>
      <c r="F77" s="63">
        <v>209100715.60071248</v>
      </c>
      <c r="G77" s="63">
        <v>62489058.484419756</v>
      </c>
      <c r="H77" s="65">
        <v>19687755.914867755</v>
      </c>
      <c r="I77" s="65">
        <v>2660441.0512643852</v>
      </c>
      <c r="J77" s="65">
        <v>2298806.7604008</v>
      </c>
      <c r="K77" s="65">
        <v>10638936.043437317</v>
      </c>
      <c r="L77" s="65">
        <v>25618746.144897498</v>
      </c>
      <c r="M77" s="63">
        <v>3842000</v>
      </c>
      <c r="N77" s="1"/>
    </row>
    <row r="78" spans="1:14" ht="16" hidden="1" customHeight="1" outlineLevel="1" x14ac:dyDescent="0.45">
      <c r="A78" s="29" t="s">
        <v>42</v>
      </c>
      <c r="B78" s="44">
        <v>352569530</v>
      </c>
      <c r="C78" s="63">
        <v>21369050</v>
      </c>
      <c r="D78" s="63">
        <v>7608230</v>
      </c>
      <c r="E78" s="64">
        <v>323592250</v>
      </c>
      <c r="F78" s="63">
        <v>200167056.38892984</v>
      </c>
      <c r="G78" s="63">
        <v>61896802.4860273</v>
      </c>
      <c r="H78" s="65">
        <v>20820171.125042859</v>
      </c>
      <c r="I78" s="65">
        <v>2549508.3359131846</v>
      </c>
      <c r="J78" s="65">
        <v>2330152.3028538334</v>
      </c>
      <c r="K78" s="65">
        <v>10545342.35625183</v>
      </c>
      <c r="L78" s="65">
        <v>21833537.004981153</v>
      </c>
      <c r="M78" s="63">
        <v>3449680</v>
      </c>
      <c r="N78" s="1"/>
    </row>
    <row r="79" spans="1:14" ht="16" hidden="1" customHeight="1" outlineLevel="1" x14ac:dyDescent="0.45">
      <c r="A79" s="29" t="s">
        <v>43</v>
      </c>
      <c r="B79" s="44">
        <v>153570650</v>
      </c>
      <c r="C79" s="63">
        <v>8710627</v>
      </c>
      <c r="D79" s="63">
        <v>3747560</v>
      </c>
      <c r="E79" s="64">
        <v>141112463</v>
      </c>
      <c r="F79" s="63">
        <v>87920828.881202251</v>
      </c>
      <c r="G79" s="63">
        <v>24142336.408336595</v>
      </c>
      <c r="H79" s="65">
        <v>9273282.7104611509</v>
      </c>
      <c r="I79" s="65">
        <v>961427.3274051745</v>
      </c>
      <c r="J79" s="65">
        <v>872449.46937338868</v>
      </c>
      <c r="K79" s="65">
        <v>4366076.7272103922</v>
      </c>
      <c r="L79" s="65">
        <v>12039378.476011045</v>
      </c>
      <c r="M79" s="63">
        <v>1536683</v>
      </c>
      <c r="N79" s="1"/>
    </row>
    <row r="80" spans="1:14" ht="16" hidden="1" customHeight="1" outlineLevel="1" x14ac:dyDescent="0.45">
      <c r="A80" s="29" t="s">
        <v>134</v>
      </c>
      <c r="B80" s="44">
        <v>0</v>
      </c>
      <c r="C80" s="63">
        <v>0</v>
      </c>
      <c r="D80" s="63">
        <v>0</v>
      </c>
      <c r="E80" s="64">
        <v>0</v>
      </c>
      <c r="F80" s="63">
        <v>0</v>
      </c>
      <c r="G80" s="63">
        <v>0</v>
      </c>
      <c r="H80" s="65">
        <v>0</v>
      </c>
      <c r="I80" s="65">
        <v>0</v>
      </c>
      <c r="J80" s="65">
        <v>0</v>
      </c>
      <c r="K80" s="65">
        <v>0</v>
      </c>
      <c r="L80" s="65">
        <v>0</v>
      </c>
      <c r="M80" s="63">
        <v>0</v>
      </c>
      <c r="N80" s="1"/>
    </row>
    <row r="81" spans="1:14" ht="16" hidden="1" customHeight="1" outlineLevel="1" x14ac:dyDescent="0.45">
      <c r="A81" s="24" t="s">
        <v>44</v>
      </c>
      <c r="B81" s="45">
        <v>830684242</v>
      </c>
      <c r="C81" s="63">
        <v>8996866</v>
      </c>
      <c r="D81" s="63">
        <v>250000</v>
      </c>
      <c r="E81" s="64">
        <v>821437376</v>
      </c>
      <c r="F81" s="63">
        <v>636709076</v>
      </c>
      <c r="G81" s="63">
        <v>123781200</v>
      </c>
      <c r="H81" s="65">
        <v>50546800</v>
      </c>
      <c r="I81" s="65">
        <v>1893294.7473726042</v>
      </c>
      <c r="J81" s="65">
        <v>671780.90767660621</v>
      </c>
      <c r="K81" s="65">
        <v>5430905.2962022293</v>
      </c>
      <c r="L81" s="65">
        <v>163319.04874856031</v>
      </c>
      <c r="M81" s="63">
        <v>2241000</v>
      </c>
      <c r="N81" s="1"/>
    </row>
    <row r="82" spans="1:14" ht="16" hidden="1" customHeight="1" outlineLevel="1" x14ac:dyDescent="0.45">
      <c r="A82" s="29" t="s">
        <v>45</v>
      </c>
      <c r="B82" s="44">
        <v>41435000</v>
      </c>
      <c r="C82" s="63">
        <v>3600000</v>
      </c>
      <c r="D82" s="63">
        <v>4390000</v>
      </c>
      <c r="E82" s="64">
        <v>33445000</v>
      </c>
      <c r="F82" s="63">
        <v>9014747.2545532864</v>
      </c>
      <c r="G82" s="63">
        <v>7685252.7454467136</v>
      </c>
      <c r="H82" s="65">
        <v>1200000</v>
      </c>
      <c r="I82" s="65">
        <v>100000</v>
      </c>
      <c r="J82" s="65">
        <v>100000</v>
      </c>
      <c r="K82" s="65">
        <v>560000</v>
      </c>
      <c r="L82" s="65">
        <v>13985000</v>
      </c>
      <c r="M82" s="63">
        <v>800000</v>
      </c>
      <c r="N82" s="1"/>
    </row>
    <row r="83" spans="1:14" ht="16" hidden="1" customHeight="1" outlineLevel="1" x14ac:dyDescent="0.45">
      <c r="A83" s="29" t="s">
        <v>46</v>
      </c>
      <c r="B83" s="44">
        <v>143766401</v>
      </c>
      <c r="C83" s="63">
        <v>135864401</v>
      </c>
      <c r="D83" s="63">
        <v>0</v>
      </c>
      <c r="E83" s="64">
        <v>7902000.0000000009</v>
      </c>
      <c r="F83" s="63">
        <v>4232077.4275787277</v>
      </c>
      <c r="G83" s="63">
        <v>590378.0944579927</v>
      </c>
      <c r="H83" s="65">
        <v>209044.47796327976</v>
      </c>
      <c r="I83" s="65">
        <v>411690.36410046538</v>
      </c>
      <c r="J83" s="65">
        <v>378263.61912075494</v>
      </c>
      <c r="K83" s="65">
        <v>1786451.174988454</v>
      </c>
      <c r="L83" s="65">
        <v>294094.84179032565</v>
      </c>
      <c r="M83" s="63">
        <v>0</v>
      </c>
      <c r="N83" s="1"/>
    </row>
    <row r="84" spans="1:14" ht="16" hidden="1" customHeight="1" outlineLevel="1" x14ac:dyDescent="0.45">
      <c r="A84" s="29" t="s">
        <v>47</v>
      </c>
      <c r="B84" s="44">
        <v>9249064</v>
      </c>
      <c r="C84" s="63">
        <v>474926</v>
      </c>
      <c r="D84" s="63">
        <v>28864</v>
      </c>
      <c r="E84" s="64">
        <v>8745274</v>
      </c>
      <c r="F84" s="63">
        <v>7013380.6219650004</v>
      </c>
      <c r="G84" s="63">
        <v>1337435.3780349991</v>
      </c>
      <c r="H84" s="65">
        <v>231277</v>
      </c>
      <c r="I84" s="65">
        <v>0</v>
      </c>
      <c r="J84" s="65">
        <v>0</v>
      </c>
      <c r="K84" s="65">
        <v>46636</v>
      </c>
      <c r="L84" s="65">
        <v>38818</v>
      </c>
      <c r="M84" s="63">
        <v>77727</v>
      </c>
      <c r="N84" s="1"/>
    </row>
    <row r="85" spans="1:14" ht="16" hidden="1" customHeight="1" outlineLevel="1" x14ac:dyDescent="0.45">
      <c r="A85" s="29" t="s">
        <v>246</v>
      </c>
      <c r="B85" s="44">
        <v>17600000</v>
      </c>
      <c r="C85" s="63">
        <v>0</v>
      </c>
      <c r="D85" s="63">
        <v>0</v>
      </c>
      <c r="E85" s="64">
        <v>17600000</v>
      </c>
      <c r="F85" s="63">
        <v>17600000</v>
      </c>
      <c r="G85" s="63">
        <v>0</v>
      </c>
      <c r="H85" s="65">
        <v>0</v>
      </c>
      <c r="I85" s="65">
        <v>0</v>
      </c>
      <c r="J85" s="65">
        <v>0</v>
      </c>
      <c r="K85" s="65">
        <v>0</v>
      </c>
      <c r="L85" s="65">
        <v>0</v>
      </c>
      <c r="M85" s="63">
        <v>0</v>
      </c>
      <c r="N85" s="1"/>
    </row>
    <row r="86" spans="1:14" ht="16" hidden="1" customHeight="1" outlineLevel="1" x14ac:dyDescent="0.45">
      <c r="A86" s="29" t="s">
        <v>48</v>
      </c>
      <c r="B86" s="44">
        <v>47010220</v>
      </c>
      <c r="C86" s="63">
        <v>5325760</v>
      </c>
      <c r="D86" s="63">
        <v>1904880</v>
      </c>
      <c r="E86" s="64">
        <v>39779580</v>
      </c>
      <c r="F86" s="63">
        <v>20367847.748620238</v>
      </c>
      <c r="G86" s="63">
        <v>9822610.5316133089</v>
      </c>
      <c r="H86" s="65">
        <v>1495521.7197664524</v>
      </c>
      <c r="I86" s="65">
        <v>162436.45393783235</v>
      </c>
      <c r="J86" s="65">
        <v>1078162.0508659442</v>
      </c>
      <c r="K86" s="65">
        <v>3895582.4578615446</v>
      </c>
      <c r="L86" s="65">
        <v>2839169.0373346787</v>
      </c>
      <c r="M86" s="63">
        <v>118250</v>
      </c>
      <c r="N86" s="1"/>
    </row>
    <row r="87" spans="1:14" ht="16" hidden="1" customHeight="1" outlineLevel="1" x14ac:dyDescent="0.45">
      <c r="A87" s="29" t="s">
        <v>49</v>
      </c>
      <c r="B87" s="44">
        <v>9077310</v>
      </c>
      <c r="C87" s="63">
        <v>922500</v>
      </c>
      <c r="D87" s="63">
        <v>119200</v>
      </c>
      <c r="E87" s="64">
        <v>8035610</v>
      </c>
      <c r="F87" s="63">
        <v>4998610</v>
      </c>
      <c r="G87" s="63">
        <v>2009300</v>
      </c>
      <c r="H87" s="65">
        <v>655400</v>
      </c>
      <c r="I87" s="65">
        <v>125000</v>
      </c>
      <c r="J87" s="65">
        <v>125000</v>
      </c>
      <c r="K87" s="65">
        <v>0</v>
      </c>
      <c r="L87" s="65">
        <v>0</v>
      </c>
      <c r="M87" s="63">
        <v>122300</v>
      </c>
      <c r="N87" s="1"/>
    </row>
    <row r="88" spans="1:14" ht="16" hidden="1" customHeight="1" outlineLevel="1" x14ac:dyDescent="0.45">
      <c r="A88" s="29" t="s">
        <v>182</v>
      </c>
      <c r="B88" s="44">
        <v>800000</v>
      </c>
      <c r="C88" s="63">
        <v>0</v>
      </c>
      <c r="D88" s="63">
        <v>0</v>
      </c>
      <c r="E88" s="64">
        <v>800000</v>
      </c>
      <c r="F88" s="63">
        <v>0</v>
      </c>
      <c r="G88" s="63">
        <v>0</v>
      </c>
      <c r="H88" s="65">
        <v>0</v>
      </c>
      <c r="I88" s="65">
        <v>114736.90690833384</v>
      </c>
      <c r="J88" s="65">
        <v>105420.97031757671</v>
      </c>
      <c r="K88" s="65">
        <v>497878.7458598722</v>
      </c>
      <c r="L88" s="65">
        <v>81963.376914217224</v>
      </c>
      <c r="M88" s="63">
        <v>0</v>
      </c>
      <c r="N88" s="1"/>
    </row>
    <row r="89" spans="1:14" ht="16" hidden="1" customHeight="1" outlineLevel="1" x14ac:dyDescent="0.45">
      <c r="A89" s="29" t="s">
        <v>50</v>
      </c>
      <c r="B89" s="44">
        <v>2000000</v>
      </c>
      <c r="C89" s="63">
        <v>2.3283064365386963E-10</v>
      </c>
      <c r="D89" s="63">
        <v>0</v>
      </c>
      <c r="E89" s="64">
        <v>1999999.9999999998</v>
      </c>
      <c r="F89" s="63">
        <v>1000000</v>
      </c>
      <c r="G89" s="63">
        <v>0</v>
      </c>
      <c r="H89" s="65">
        <v>0</v>
      </c>
      <c r="I89" s="65">
        <v>143421.1336354173</v>
      </c>
      <c r="J89" s="65">
        <v>131776.21289697089</v>
      </c>
      <c r="K89" s="65">
        <v>622348.43232484022</v>
      </c>
      <c r="L89" s="65">
        <v>102454.22114277152</v>
      </c>
      <c r="M89" s="63">
        <v>0</v>
      </c>
      <c r="N89" s="1"/>
    </row>
    <row r="90" spans="1:14" ht="16" hidden="1" customHeight="1" outlineLevel="1" x14ac:dyDescent="0.45">
      <c r="A90" s="29" t="s">
        <v>183</v>
      </c>
      <c r="B90" s="44">
        <v>1000000</v>
      </c>
      <c r="C90" s="63">
        <v>0</v>
      </c>
      <c r="D90" s="63">
        <v>0</v>
      </c>
      <c r="E90" s="64">
        <v>1000000</v>
      </c>
      <c r="F90" s="63">
        <v>0</v>
      </c>
      <c r="G90" s="63">
        <v>0</v>
      </c>
      <c r="H90" s="65">
        <v>1000000</v>
      </c>
      <c r="I90" s="65">
        <v>0</v>
      </c>
      <c r="J90" s="65">
        <v>0</v>
      </c>
      <c r="K90" s="65">
        <v>0</v>
      </c>
      <c r="L90" s="65">
        <v>0</v>
      </c>
      <c r="M90" s="63">
        <v>0</v>
      </c>
      <c r="N90" s="1"/>
    </row>
    <row r="91" spans="1:14" ht="16" hidden="1" customHeight="1" outlineLevel="1" x14ac:dyDescent="0.45">
      <c r="A91" s="29" t="s">
        <v>51</v>
      </c>
      <c r="B91" s="44">
        <v>14500000</v>
      </c>
      <c r="C91" s="63">
        <v>500000</v>
      </c>
      <c r="D91" s="63">
        <v>100000</v>
      </c>
      <c r="E91" s="64">
        <v>13900000</v>
      </c>
      <c r="F91" s="63">
        <v>8797228.6009752322</v>
      </c>
      <c r="G91" s="63">
        <v>2702771.3990247683</v>
      </c>
      <c r="H91" s="65">
        <v>0</v>
      </c>
      <c r="I91" s="65">
        <v>250000</v>
      </c>
      <c r="J91" s="65">
        <v>250000</v>
      </c>
      <c r="K91" s="65">
        <v>300000</v>
      </c>
      <c r="L91" s="65">
        <v>1600000</v>
      </c>
      <c r="M91" s="63">
        <v>0</v>
      </c>
      <c r="N91" s="1"/>
    </row>
    <row r="92" spans="1:14" ht="16" hidden="1" customHeight="1" outlineLevel="1" x14ac:dyDescent="0.45">
      <c r="A92" s="31" t="s">
        <v>227</v>
      </c>
      <c r="B92" s="47">
        <v>0</v>
      </c>
      <c r="C92" s="63">
        <v>0</v>
      </c>
      <c r="D92" s="63">
        <v>0</v>
      </c>
      <c r="E92" s="64">
        <v>0</v>
      </c>
      <c r="F92" s="63">
        <v>0</v>
      </c>
      <c r="G92" s="63">
        <v>0</v>
      </c>
      <c r="H92" s="65">
        <v>0</v>
      </c>
      <c r="I92" s="65">
        <v>0</v>
      </c>
      <c r="J92" s="65">
        <v>0</v>
      </c>
      <c r="K92" s="65">
        <v>0</v>
      </c>
      <c r="L92" s="65">
        <v>0</v>
      </c>
      <c r="M92" s="63">
        <v>0</v>
      </c>
      <c r="N92" s="1"/>
    </row>
    <row r="93" spans="1:14" ht="16" hidden="1" customHeight="1" outlineLevel="1" x14ac:dyDescent="0.45">
      <c r="A93" s="29" t="s">
        <v>184</v>
      </c>
      <c r="B93" s="44">
        <v>15750000</v>
      </c>
      <c r="C93" s="63">
        <v>4350000</v>
      </c>
      <c r="D93" s="63">
        <v>1650000</v>
      </c>
      <c r="E93" s="64">
        <v>9750000</v>
      </c>
      <c r="F93" s="63">
        <v>4020332.8108218662</v>
      </c>
      <c r="G93" s="63">
        <v>1529667.1891781338</v>
      </c>
      <c r="H93" s="65">
        <v>900000</v>
      </c>
      <c r="I93" s="65">
        <v>375000</v>
      </c>
      <c r="J93" s="65">
        <v>375000</v>
      </c>
      <c r="K93" s="65">
        <v>300000</v>
      </c>
      <c r="L93" s="65">
        <v>1950000</v>
      </c>
      <c r="M93" s="63">
        <v>300000</v>
      </c>
      <c r="N93" s="1"/>
    </row>
    <row r="94" spans="1:14" ht="16" hidden="1" customHeight="1" outlineLevel="1" x14ac:dyDescent="0.45">
      <c r="A94" s="31" t="s">
        <v>185</v>
      </c>
      <c r="B94" s="47">
        <v>2400000</v>
      </c>
      <c r="C94" s="63">
        <v>300000</v>
      </c>
      <c r="D94" s="63">
        <v>0</v>
      </c>
      <c r="E94" s="64">
        <v>2100000</v>
      </c>
      <c r="F94" s="63">
        <v>0</v>
      </c>
      <c r="G94" s="63">
        <v>0</v>
      </c>
      <c r="H94" s="65">
        <v>1950000</v>
      </c>
      <c r="I94" s="65">
        <v>0</v>
      </c>
      <c r="J94" s="65">
        <v>0</v>
      </c>
      <c r="K94" s="65">
        <v>150000</v>
      </c>
      <c r="L94" s="65">
        <v>0</v>
      </c>
      <c r="M94" s="63">
        <v>0</v>
      </c>
      <c r="N94" s="1"/>
    </row>
    <row r="95" spans="1:14" ht="16" hidden="1" customHeight="1" outlineLevel="1" x14ac:dyDescent="0.45">
      <c r="A95" s="29" t="s">
        <v>186</v>
      </c>
      <c r="B95" s="44">
        <v>50300000</v>
      </c>
      <c r="C95" s="63">
        <v>2550000</v>
      </c>
      <c r="D95" s="63">
        <v>1800000</v>
      </c>
      <c r="E95" s="64">
        <v>45950000</v>
      </c>
      <c r="F95" s="63">
        <v>23784686.355694734</v>
      </c>
      <c r="G95" s="63">
        <v>13965313.644305266</v>
      </c>
      <c r="H95" s="65">
        <v>450000</v>
      </c>
      <c r="I95" s="65">
        <v>375000</v>
      </c>
      <c r="J95" s="65">
        <v>675000</v>
      </c>
      <c r="K95" s="65">
        <v>2050000</v>
      </c>
      <c r="L95" s="65">
        <v>4650000</v>
      </c>
      <c r="M95" s="63">
        <v>0</v>
      </c>
      <c r="N95" s="1"/>
    </row>
    <row r="96" spans="1:14" ht="16" hidden="1" customHeight="1" outlineLevel="1" x14ac:dyDescent="0.45">
      <c r="A96" s="31" t="s">
        <v>228</v>
      </c>
      <c r="B96" s="47">
        <v>0</v>
      </c>
      <c r="C96" s="63">
        <v>0</v>
      </c>
      <c r="D96" s="63">
        <v>0</v>
      </c>
      <c r="E96" s="64">
        <v>0</v>
      </c>
      <c r="F96" s="63">
        <v>0</v>
      </c>
      <c r="G96" s="63">
        <v>0</v>
      </c>
      <c r="H96" s="65">
        <v>0</v>
      </c>
      <c r="I96" s="65">
        <v>0</v>
      </c>
      <c r="J96" s="65">
        <v>0</v>
      </c>
      <c r="K96" s="65">
        <v>0</v>
      </c>
      <c r="L96" s="65">
        <v>0</v>
      </c>
      <c r="M96" s="63">
        <v>0</v>
      </c>
      <c r="N96" s="1"/>
    </row>
    <row r="97" spans="1:14" ht="16" hidden="1" customHeight="1" outlineLevel="1" x14ac:dyDescent="0.45">
      <c r="A97" s="29" t="s">
        <v>135</v>
      </c>
      <c r="B97" s="44">
        <v>0</v>
      </c>
      <c r="C97" s="63">
        <v>0</v>
      </c>
      <c r="D97" s="63">
        <v>0</v>
      </c>
      <c r="E97" s="64">
        <v>0</v>
      </c>
      <c r="F97" s="63">
        <v>0</v>
      </c>
      <c r="G97" s="63">
        <v>0</v>
      </c>
      <c r="H97" s="65">
        <v>0</v>
      </c>
      <c r="I97" s="65">
        <v>0</v>
      </c>
      <c r="J97" s="65">
        <v>0</v>
      </c>
      <c r="K97" s="65">
        <v>0</v>
      </c>
      <c r="L97" s="65">
        <v>0</v>
      </c>
      <c r="M97" s="63">
        <v>0</v>
      </c>
      <c r="N97" s="1"/>
    </row>
    <row r="98" spans="1:14" ht="16" hidden="1" customHeight="1" outlineLevel="1" x14ac:dyDescent="0.45">
      <c r="A98" s="29" t="s">
        <v>52</v>
      </c>
      <c r="B98" s="44">
        <v>1347500</v>
      </c>
      <c r="C98" s="63">
        <v>0</v>
      </c>
      <c r="D98" s="63">
        <v>0</v>
      </c>
      <c r="E98" s="64">
        <v>1347500</v>
      </c>
      <c r="F98" s="63">
        <v>0</v>
      </c>
      <c r="G98" s="63">
        <v>547500</v>
      </c>
      <c r="H98" s="65">
        <v>0</v>
      </c>
      <c r="I98" s="65">
        <v>0</v>
      </c>
      <c r="J98" s="65">
        <v>0</v>
      </c>
      <c r="K98" s="65">
        <v>0</v>
      </c>
      <c r="L98" s="65">
        <v>800000</v>
      </c>
      <c r="M98" s="63">
        <v>0</v>
      </c>
      <c r="N98" s="1"/>
    </row>
    <row r="99" spans="1:14" ht="16" hidden="1" customHeight="1" outlineLevel="1" x14ac:dyDescent="0.45">
      <c r="A99" s="31" t="s">
        <v>187</v>
      </c>
      <c r="B99" s="47">
        <v>0</v>
      </c>
      <c r="C99" s="63">
        <v>0</v>
      </c>
      <c r="D99" s="63">
        <v>0</v>
      </c>
      <c r="E99" s="64">
        <v>0</v>
      </c>
      <c r="F99" s="63">
        <v>0</v>
      </c>
      <c r="G99" s="63">
        <v>0</v>
      </c>
      <c r="H99" s="65">
        <v>0</v>
      </c>
      <c r="I99" s="65">
        <v>0</v>
      </c>
      <c r="J99" s="65">
        <v>0</v>
      </c>
      <c r="K99" s="65">
        <v>0</v>
      </c>
      <c r="L99" s="65">
        <v>0</v>
      </c>
      <c r="M99" s="63">
        <v>0</v>
      </c>
      <c r="N99" s="1"/>
    </row>
    <row r="100" spans="1:14" ht="16" hidden="1" customHeight="1" outlineLevel="1" x14ac:dyDescent="0.45">
      <c r="A100" s="24" t="s">
        <v>114</v>
      </c>
      <c r="B100" s="44">
        <v>800000</v>
      </c>
      <c r="C100" s="63">
        <v>0</v>
      </c>
      <c r="D100" s="63">
        <v>0</v>
      </c>
      <c r="E100" s="64">
        <v>800000</v>
      </c>
      <c r="F100" s="63">
        <v>800000</v>
      </c>
      <c r="G100" s="63">
        <v>0</v>
      </c>
      <c r="H100" s="65">
        <v>0</v>
      </c>
      <c r="I100" s="65">
        <v>0</v>
      </c>
      <c r="J100" s="65">
        <v>0</v>
      </c>
      <c r="K100" s="65">
        <v>0</v>
      </c>
      <c r="L100" s="65">
        <v>0</v>
      </c>
      <c r="M100" s="63">
        <v>0</v>
      </c>
      <c r="N100" s="1"/>
    </row>
    <row r="101" spans="1:14" ht="16" hidden="1" customHeight="1" outlineLevel="1" x14ac:dyDescent="0.45">
      <c r="A101" s="29" t="s">
        <v>188</v>
      </c>
      <c r="B101" s="44">
        <v>0</v>
      </c>
      <c r="C101" s="63">
        <v>0</v>
      </c>
      <c r="D101" s="63">
        <v>0</v>
      </c>
      <c r="E101" s="64">
        <v>0</v>
      </c>
      <c r="F101" s="63">
        <v>0</v>
      </c>
      <c r="G101" s="63">
        <v>0</v>
      </c>
      <c r="H101" s="65">
        <v>0</v>
      </c>
      <c r="I101" s="65">
        <v>0</v>
      </c>
      <c r="J101" s="65">
        <v>0</v>
      </c>
      <c r="K101" s="65">
        <v>0</v>
      </c>
      <c r="L101" s="65">
        <v>0</v>
      </c>
      <c r="M101" s="63">
        <v>0</v>
      </c>
      <c r="N101" s="1"/>
    </row>
    <row r="102" spans="1:14" ht="16" hidden="1" customHeight="1" outlineLevel="1" x14ac:dyDescent="0.45">
      <c r="A102" s="29" t="s">
        <v>259</v>
      </c>
      <c r="B102" s="44">
        <v>12593000</v>
      </c>
      <c r="C102" s="63">
        <v>0</v>
      </c>
      <c r="D102" s="63">
        <v>9449000</v>
      </c>
      <c r="E102" s="64">
        <v>3144000</v>
      </c>
      <c r="F102" s="63">
        <v>3111817.9327839273</v>
      </c>
      <c r="G102" s="63">
        <v>32182.067216072912</v>
      </c>
      <c r="H102" s="65">
        <v>0</v>
      </c>
      <c r="I102" s="65">
        <v>0</v>
      </c>
      <c r="J102" s="65">
        <v>0</v>
      </c>
      <c r="K102" s="65">
        <v>0</v>
      </c>
      <c r="L102" s="65">
        <v>0</v>
      </c>
      <c r="M102" s="63">
        <v>0</v>
      </c>
      <c r="N102" s="1"/>
    </row>
    <row r="103" spans="1:14" ht="16" hidden="1" customHeight="1" outlineLevel="1" x14ac:dyDescent="0.45">
      <c r="A103" s="29" t="s">
        <v>189</v>
      </c>
      <c r="B103" s="44">
        <v>33439000</v>
      </c>
      <c r="C103" s="63">
        <v>3153000</v>
      </c>
      <c r="D103" s="63">
        <v>0</v>
      </c>
      <c r="E103" s="64">
        <v>30286000</v>
      </c>
      <c r="F103" s="63">
        <v>20193359.230349444</v>
      </c>
      <c r="G103" s="63">
        <v>3296640.7696505566</v>
      </c>
      <c r="H103" s="65">
        <v>0</v>
      </c>
      <c r="I103" s="65">
        <v>0</v>
      </c>
      <c r="J103" s="65">
        <v>0</v>
      </c>
      <c r="K103" s="65">
        <v>6796000</v>
      </c>
      <c r="L103" s="65">
        <v>0</v>
      </c>
      <c r="M103" s="63">
        <v>0</v>
      </c>
      <c r="N103" s="1"/>
    </row>
    <row r="104" spans="1:14" ht="16" hidden="1" customHeight="1" outlineLevel="1" x14ac:dyDescent="0.45">
      <c r="A104" s="29" t="s">
        <v>115</v>
      </c>
      <c r="B104" s="44">
        <v>24040000</v>
      </c>
      <c r="C104" s="63">
        <v>0</v>
      </c>
      <c r="D104" s="63">
        <v>5786000</v>
      </c>
      <c r="E104" s="64">
        <v>18254000</v>
      </c>
      <c r="F104" s="63">
        <v>4595000</v>
      </c>
      <c r="G104" s="63">
        <v>6510000</v>
      </c>
      <c r="H104" s="65">
        <v>0</v>
      </c>
      <c r="I104" s="65">
        <v>0</v>
      </c>
      <c r="J104" s="65">
        <v>0</v>
      </c>
      <c r="K104" s="65">
        <v>4360000</v>
      </c>
      <c r="L104" s="65">
        <v>2789000</v>
      </c>
      <c r="M104" s="63">
        <v>0</v>
      </c>
      <c r="N104" s="1"/>
    </row>
    <row r="105" spans="1:14" ht="16" hidden="1" customHeight="1" outlineLevel="1" x14ac:dyDescent="0.45">
      <c r="A105" s="29" t="s">
        <v>53</v>
      </c>
      <c r="B105" s="44">
        <v>425550000</v>
      </c>
      <c r="C105" s="63">
        <v>20999999.99999994</v>
      </c>
      <c r="D105" s="63">
        <v>8750000</v>
      </c>
      <c r="E105" s="64">
        <v>395800000.00000006</v>
      </c>
      <c r="F105" s="63">
        <v>240688815.77328703</v>
      </c>
      <c r="G105" s="63">
        <v>75894619.688047111</v>
      </c>
      <c r="H105" s="65">
        <v>29566564.538665868</v>
      </c>
      <c r="I105" s="65">
        <v>3107368.4534541671</v>
      </c>
      <c r="J105" s="65">
        <v>2902710.4851587885</v>
      </c>
      <c r="K105" s="65">
        <v>13498939.372929936</v>
      </c>
      <c r="L105" s="65">
        <v>26440981.688457109</v>
      </c>
      <c r="M105" s="63">
        <v>3700000</v>
      </c>
      <c r="N105" s="1"/>
    </row>
    <row r="106" spans="1:14" ht="16" hidden="1" customHeight="1" outlineLevel="1" x14ac:dyDescent="0.45">
      <c r="A106" s="29" t="s">
        <v>54</v>
      </c>
      <c r="B106" s="44">
        <v>7629700</v>
      </c>
      <c r="C106" s="63">
        <v>377800</v>
      </c>
      <c r="D106" s="63">
        <v>179000</v>
      </c>
      <c r="E106" s="64">
        <v>7072900</v>
      </c>
      <c r="F106" s="63">
        <v>3912007.5937363002</v>
      </c>
      <c r="G106" s="63">
        <v>1765592.4062637</v>
      </c>
      <c r="H106" s="65">
        <v>148000</v>
      </c>
      <c r="I106" s="65">
        <v>43450</v>
      </c>
      <c r="J106" s="65">
        <v>43450</v>
      </c>
      <c r="K106" s="65">
        <v>367200</v>
      </c>
      <c r="L106" s="65">
        <v>693200</v>
      </c>
      <c r="M106" s="63">
        <v>100000</v>
      </c>
      <c r="N106" s="1"/>
    </row>
    <row r="107" spans="1:14" ht="16" hidden="1" customHeight="1" outlineLevel="1" x14ac:dyDescent="0.45">
      <c r="A107" s="29" t="s">
        <v>55</v>
      </c>
      <c r="B107" s="44">
        <v>2520000</v>
      </c>
      <c r="C107" s="63">
        <v>210000</v>
      </c>
      <c r="D107" s="63">
        <v>140000</v>
      </c>
      <c r="E107" s="64">
        <v>2170000</v>
      </c>
      <c r="F107" s="63">
        <v>1256426.8163287709</v>
      </c>
      <c r="G107" s="63">
        <v>563573.18367122917</v>
      </c>
      <c r="H107" s="65">
        <v>0</v>
      </c>
      <c r="I107" s="65">
        <v>0</v>
      </c>
      <c r="J107" s="65">
        <v>0</v>
      </c>
      <c r="K107" s="65">
        <v>280000</v>
      </c>
      <c r="L107" s="65">
        <v>70000</v>
      </c>
      <c r="M107" s="63">
        <v>0</v>
      </c>
      <c r="N107" s="1"/>
    </row>
    <row r="108" spans="1:14" ht="16" hidden="1" customHeight="1" outlineLevel="1" x14ac:dyDescent="0.45">
      <c r="A108" s="29" t="s">
        <v>190</v>
      </c>
      <c r="B108" s="44">
        <v>0</v>
      </c>
      <c r="C108" s="63">
        <v>0</v>
      </c>
      <c r="D108" s="63">
        <v>0</v>
      </c>
      <c r="E108" s="64">
        <v>0</v>
      </c>
      <c r="F108" s="63">
        <v>0</v>
      </c>
      <c r="G108" s="63">
        <v>0</v>
      </c>
      <c r="H108" s="65">
        <v>0</v>
      </c>
      <c r="I108" s="65">
        <v>0</v>
      </c>
      <c r="J108" s="65">
        <v>0</v>
      </c>
      <c r="K108" s="65">
        <v>0</v>
      </c>
      <c r="L108" s="65">
        <v>0</v>
      </c>
      <c r="M108" s="63">
        <v>0</v>
      </c>
      <c r="N108" s="1"/>
    </row>
    <row r="109" spans="1:14" ht="16" hidden="1" customHeight="1" outlineLevel="1" x14ac:dyDescent="0.45">
      <c r="A109" s="30" t="s">
        <v>56</v>
      </c>
      <c r="B109" s="46">
        <v>594848269</v>
      </c>
      <c r="C109" s="63">
        <v>2720109</v>
      </c>
      <c r="D109" s="63">
        <v>0</v>
      </c>
      <c r="E109" s="64">
        <v>592128160</v>
      </c>
      <c r="F109" s="63">
        <v>384624267</v>
      </c>
      <c r="G109" s="63">
        <v>110000</v>
      </c>
      <c r="H109" s="65">
        <v>0</v>
      </c>
      <c r="I109" s="65">
        <v>0</v>
      </c>
      <c r="J109" s="65">
        <v>0</v>
      </c>
      <c r="K109" s="65">
        <v>0</v>
      </c>
      <c r="L109" s="65">
        <v>207393893</v>
      </c>
      <c r="M109" s="63">
        <v>0</v>
      </c>
      <c r="N109" s="1"/>
    </row>
    <row r="110" spans="1:14" ht="16" hidden="1" customHeight="1" outlineLevel="1" x14ac:dyDescent="0.45">
      <c r="A110" s="29" t="s">
        <v>229</v>
      </c>
      <c r="B110" s="44">
        <v>0</v>
      </c>
      <c r="C110" s="63">
        <v>0</v>
      </c>
      <c r="D110" s="63">
        <v>0</v>
      </c>
      <c r="E110" s="64">
        <v>0</v>
      </c>
      <c r="F110" s="63">
        <v>0</v>
      </c>
      <c r="G110" s="63">
        <v>0</v>
      </c>
      <c r="H110" s="65">
        <v>0</v>
      </c>
      <c r="I110" s="65">
        <v>0</v>
      </c>
      <c r="J110" s="65">
        <v>0</v>
      </c>
      <c r="K110" s="65">
        <v>0</v>
      </c>
      <c r="L110" s="65">
        <v>0</v>
      </c>
      <c r="M110" s="63">
        <v>0</v>
      </c>
      <c r="N110" s="1"/>
    </row>
    <row r="111" spans="1:14" ht="16" hidden="1" customHeight="1" outlineLevel="1" x14ac:dyDescent="0.45">
      <c r="A111" s="29" t="s">
        <v>253</v>
      </c>
      <c r="B111" s="44">
        <v>0</v>
      </c>
      <c r="C111" s="63">
        <v>0</v>
      </c>
      <c r="D111" s="63">
        <v>0</v>
      </c>
      <c r="E111" s="64">
        <v>0</v>
      </c>
      <c r="F111" s="63">
        <v>0</v>
      </c>
      <c r="G111" s="63">
        <v>0</v>
      </c>
      <c r="H111" s="65">
        <v>0</v>
      </c>
      <c r="I111" s="65">
        <v>0</v>
      </c>
      <c r="J111" s="65">
        <v>0</v>
      </c>
      <c r="K111" s="65">
        <v>0</v>
      </c>
      <c r="L111" s="65">
        <v>0</v>
      </c>
      <c r="M111" s="63">
        <v>0</v>
      </c>
      <c r="N111" s="1"/>
    </row>
    <row r="112" spans="1:14" ht="16" hidden="1" customHeight="1" outlineLevel="1" x14ac:dyDescent="0.45">
      <c r="A112" s="29" t="s">
        <v>255</v>
      </c>
      <c r="B112" s="44">
        <v>0</v>
      </c>
      <c r="C112" s="63">
        <v>0</v>
      </c>
      <c r="D112" s="63">
        <v>0</v>
      </c>
      <c r="E112" s="64">
        <v>0</v>
      </c>
      <c r="F112" s="63">
        <v>0</v>
      </c>
      <c r="G112" s="63">
        <v>0</v>
      </c>
      <c r="H112" s="65">
        <v>0</v>
      </c>
      <c r="I112" s="65">
        <v>0</v>
      </c>
      <c r="J112" s="65">
        <v>0</v>
      </c>
      <c r="K112" s="65">
        <v>0</v>
      </c>
      <c r="L112" s="65">
        <v>0</v>
      </c>
      <c r="M112" s="63">
        <v>0</v>
      </c>
      <c r="N112" s="1"/>
    </row>
    <row r="113" spans="1:14" ht="16" hidden="1" customHeight="1" outlineLevel="1" x14ac:dyDescent="0.45">
      <c r="A113" s="29" t="s">
        <v>254</v>
      </c>
      <c r="B113" s="44">
        <v>0</v>
      </c>
      <c r="C113" s="63">
        <v>0</v>
      </c>
      <c r="D113" s="63">
        <v>0</v>
      </c>
      <c r="E113" s="64">
        <v>0</v>
      </c>
      <c r="F113" s="63">
        <v>0</v>
      </c>
      <c r="G113" s="63">
        <v>0</v>
      </c>
      <c r="H113" s="65">
        <v>0</v>
      </c>
      <c r="I113" s="65">
        <v>0</v>
      </c>
      <c r="J113" s="65">
        <v>0</v>
      </c>
      <c r="K113" s="65">
        <v>0</v>
      </c>
      <c r="L113" s="65">
        <v>0</v>
      </c>
      <c r="M113" s="63">
        <v>0</v>
      </c>
      <c r="N113" s="1"/>
    </row>
    <row r="114" spans="1:14" ht="16" hidden="1" customHeight="1" outlineLevel="1" x14ac:dyDescent="0.45">
      <c r="A114" s="29" t="s">
        <v>269</v>
      </c>
      <c r="B114" s="44">
        <v>24323010</v>
      </c>
      <c r="C114" s="63">
        <v>24323010</v>
      </c>
      <c r="D114" s="63">
        <v>0</v>
      </c>
      <c r="E114" s="64">
        <v>0</v>
      </c>
      <c r="F114" s="63">
        <v>0</v>
      </c>
      <c r="G114" s="63">
        <v>0</v>
      </c>
      <c r="H114" s="65">
        <v>0</v>
      </c>
      <c r="I114" s="65">
        <v>0</v>
      </c>
      <c r="J114" s="65">
        <v>0</v>
      </c>
      <c r="K114" s="65">
        <v>0</v>
      </c>
      <c r="L114" s="65">
        <v>0</v>
      </c>
      <c r="M114" s="63">
        <v>0</v>
      </c>
      <c r="N114" s="1"/>
    </row>
    <row r="115" spans="1:14" ht="16" customHeight="1" collapsed="1" x14ac:dyDescent="0.45">
      <c r="A115" s="28" t="s">
        <v>57</v>
      </c>
      <c r="B115" s="43">
        <v>53198767</v>
      </c>
      <c r="C115" s="60">
        <v>11249320</v>
      </c>
      <c r="D115" s="60">
        <v>5184900</v>
      </c>
      <c r="E115" s="61">
        <v>36764547</v>
      </c>
      <c r="F115" s="60">
        <v>21167947.78914208</v>
      </c>
      <c r="G115" s="60">
        <v>7005409.2108579203</v>
      </c>
      <c r="H115" s="62">
        <v>1205800</v>
      </c>
      <c r="I115" s="62">
        <v>456238.16234994796</v>
      </c>
      <c r="J115" s="62">
        <v>395597.69170933339</v>
      </c>
      <c r="K115" s="62">
        <v>1414079.1637778662</v>
      </c>
      <c r="L115" s="62">
        <v>3319374.9821628523</v>
      </c>
      <c r="M115" s="60">
        <v>1800100</v>
      </c>
      <c r="N115" s="1"/>
    </row>
    <row r="116" spans="1:14" s="1" customFormat="1" ht="16" hidden="1" customHeight="1" outlineLevel="1" collapsed="1" x14ac:dyDescent="0.45">
      <c r="A116" s="29" t="s">
        <v>58</v>
      </c>
      <c r="B116" s="44">
        <v>31631511</v>
      </c>
      <c r="C116" s="63">
        <v>4328020</v>
      </c>
      <c r="D116" s="63">
        <v>2774900</v>
      </c>
      <c r="E116" s="64">
        <v>24528591</v>
      </c>
      <c r="F116" s="63">
        <v>16340624.841298813</v>
      </c>
      <c r="G116" s="63">
        <v>4140726.1587011865</v>
      </c>
      <c r="H116" s="65">
        <v>433600</v>
      </c>
      <c r="I116" s="65">
        <v>161350</v>
      </c>
      <c r="J116" s="65">
        <v>101350</v>
      </c>
      <c r="K116" s="65">
        <v>813200</v>
      </c>
      <c r="L116" s="65">
        <v>1956640</v>
      </c>
      <c r="M116" s="63">
        <v>581100</v>
      </c>
    </row>
    <row r="117" spans="1:14" ht="16" hidden="1" customHeight="1" outlineLevel="1" x14ac:dyDescent="0.45">
      <c r="A117" s="29" t="s">
        <v>266</v>
      </c>
      <c r="B117" s="44">
        <v>503500</v>
      </c>
      <c r="C117" s="63">
        <v>0</v>
      </c>
      <c r="D117" s="63">
        <v>0</v>
      </c>
      <c r="E117" s="64">
        <v>503500</v>
      </c>
      <c r="F117" s="63">
        <v>479781.77702309855</v>
      </c>
      <c r="G117" s="63">
        <v>23718.222976901452</v>
      </c>
      <c r="H117" s="65">
        <v>0</v>
      </c>
      <c r="I117" s="65">
        <v>0</v>
      </c>
      <c r="J117" s="65">
        <v>0</v>
      </c>
      <c r="K117" s="65">
        <v>0</v>
      </c>
      <c r="L117" s="65">
        <v>0</v>
      </c>
      <c r="M117" s="63">
        <v>0</v>
      </c>
      <c r="N117" s="1"/>
    </row>
    <row r="118" spans="1:14" ht="16" hidden="1" customHeight="1" outlineLevel="1" x14ac:dyDescent="0.45">
      <c r="A118" s="29" t="s">
        <v>296</v>
      </c>
      <c r="B118" s="44">
        <v>0</v>
      </c>
      <c r="C118" s="63">
        <v>0</v>
      </c>
      <c r="D118" s="63">
        <v>0</v>
      </c>
      <c r="E118" s="64">
        <v>0</v>
      </c>
      <c r="F118" s="63">
        <v>0</v>
      </c>
      <c r="G118" s="63">
        <v>0</v>
      </c>
      <c r="H118" s="65">
        <v>0</v>
      </c>
      <c r="I118" s="65">
        <v>0</v>
      </c>
      <c r="J118" s="65">
        <v>0</v>
      </c>
      <c r="K118" s="65">
        <v>0</v>
      </c>
      <c r="L118" s="65">
        <v>0</v>
      </c>
      <c r="M118" s="63">
        <v>0</v>
      </c>
      <c r="N118" s="1"/>
    </row>
    <row r="119" spans="1:14" ht="16" hidden="1" customHeight="1" outlineLevel="1" x14ac:dyDescent="0.45">
      <c r="A119" s="29" t="s">
        <v>270</v>
      </c>
      <c r="B119" s="44">
        <v>9443000</v>
      </c>
      <c r="C119" s="63">
        <v>1783100</v>
      </c>
      <c r="D119" s="63">
        <v>320000</v>
      </c>
      <c r="E119" s="64">
        <v>7339900</v>
      </c>
      <c r="F119" s="63">
        <v>3547541.1708201682</v>
      </c>
      <c r="G119" s="63">
        <v>2543958.8291798318</v>
      </c>
      <c r="H119" s="65">
        <v>74000</v>
      </c>
      <c r="I119" s="65">
        <v>94888.162349947946</v>
      </c>
      <c r="J119" s="65">
        <v>94247.691709333405</v>
      </c>
      <c r="K119" s="65">
        <v>203229.16377786623</v>
      </c>
      <c r="L119" s="65">
        <v>563034.98216285242</v>
      </c>
      <c r="M119" s="63">
        <v>219000</v>
      </c>
      <c r="N119" s="1"/>
    </row>
    <row r="120" spans="1:14" ht="16" hidden="1" customHeight="1" outlineLevel="1" x14ac:dyDescent="0.45">
      <c r="A120" s="29" t="s">
        <v>271</v>
      </c>
      <c r="B120" s="44">
        <v>1787200</v>
      </c>
      <c r="C120" s="63">
        <v>1787200</v>
      </c>
      <c r="D120" s="63">
        <v>0</v>
      </c>
      <c r="E120" s="64">
        <v>0</v>
      </c>
      <c r="F120" s="63">
        <v>0</v>
      </c>
      <c r="G120" s="63">
        <v>0</v>
      </c>
      <c r="H120" s="65">
        <v>0</v>
      </c>
      <c r="I120" s="65">
        <v>0</v>
      </c>
      <c r="J120" s="65">
        <v>0</v>
      </c>
      <c r="K120" s="65">
        <v>0</v>
      </c>
      <c r="L120" s="65">
        <v>0</v>
      </c>
      <c r="M120" s="63">
        <v>0</v>
      </c>
      <c r="N120" s="1"/>
    </row>
    <row r="121" spans="1:14" ht="16" hidden="1" customHeight="1" outlineLevel="1" x14ac:dyDescent="0.45">
      <c r="A121" s="29" t="s">
        <v>297</v>
      </c>
      <c r="B121" s="44">
        <v>9833556</v>
      </c>
      <c r="C121" s="63">
        <v>3351000</v>
      </c>
      <c r="D121" s="63">
        <v>2090000</v>
      </c>
      <c r="E121" s="64">
        <v>4392556</v>
      </c>
      <c r="F121" s="63">
        <v>800000</v>
      </c>
      <c r="G121" s="63">
        <v>297006</v>
      </c>
      <c r="H121" s="65">
        <v>698200</v>
      </c>
      <c r="I121" s="65">
        <v>200000</v>
      </c>
      <c r="J121" s="65">
        <v>200000</v>
      </c>
      <c r="K121" s="65">
        <v>397650</v>
      </c>
      <c r="L121" s="65">
        <v>799700</v>
      </c>
      <c r="M121" s="63">
        <v>1000000</v>
      </c>
      <c r="N121" s="1"/>
    </row>
    <row r="122" spans="1:14" s="1" customFormat="1" collapsed="1" x14ac:dyDescent="0.45">
      <c r="A122" s="28" t="s">
        <v>136</v>
      </c>
      <c r="B122" s="43">
        <v>46281240</v>
      </c>
      <c r="C122" s="60">
        <v>44081240</v>
      </c>
      <c r="D122" s="60">
        <v>200000</v>
      </c>
      <c r="E122" s="61">
        <v>2000000.0000000002</v>
      </c>
      <c r="F122" s="60">
        <v>1372674.4503015638</v>
      </c>
      <c r="G122" s="60">
        <v>27325.549698436287</v>
      </c>
      <c r="H122" s="62">
        <v>0</v>
      </c>
      <c r="I122" s="62">
        <v>0</v>
      </c>
      <c r="J122" s="62">
        <v>0</v>
      </c>
      <c r="K122" s="62">
        <v>500000</v>
      </c>
      <c r="L122" s="62">
        <v>100000</v>
      </c>
      <c r="M122" s="60">
        <v>0</v>
      </c>
    </row>
    <row r="123" spans="1:14" ht="16" hidden="1" customHeight="1" outlineLevel="1" x14ac:dyDescent="0.45">
      <c r="A123" s="29" t="s">
        <v>137</v>
      </c>
      <c r="B123" s="44">
        <v>22490000</v>
      </c>
      <c r="C123" s="63">
        <v>22490000</v>
      </c>
      <c r="D123" s="63">
        <v>0</v>
      </c>
      <c r="E123" s="64">
        <v>0</v>
      </c>
      <c r="F123" s="63">
        <v>0</v>
      </c>
      <c r="G123" s="63">
        <v>0</v>
      </c>
      <c r="H123" s="65">
        <v>0</v>
      </c>
      <c r="I123" s="65">
        <v>0</v>
      </c>
      <c r="J123" s="65">
        <v>0</v>
      </c>
      <c r="K123" s="65">
        <v>0</v>
      </c>
      <c r="L123" s="65">
        <v>0</v>
      </c>
      <c r="M123" s="63">
        <v>0</v>
      </c>
      <c r="N123" s="1"/>
    </row>
    <row r="124" spans="1:14" ht="16" hidden="1" customHeight="1" outlineLevel="1" x14ac:dyDescent="0.45">
      <c r="A124" s="29" t="s">
        <v>191</v>
      </c>
      <c r="B124" s="44">
        <v>0</v>
      </c>
      <c r="C124" s="63">
        <v>0</v>
      </c>
      <c r="D124" s="63">
        <v>0</v>
      </c>
      <c r="E124" s="64">
        <v>0</v>
      </c>
      <c r="F124" s="63">
        <v>0</v>
      </c>
      <c r="G124" s="63">
        <v>0</v>
      </c>
      <c r="H124" s="65">
        <v>0</v>
      </c>
      <c r="I124" s="65">
        <v>0</v>
      </c>
      <c r="J124" s="65">
        <v>0</v>
      </c>
      <c r="K124" s="65">
        <v>0</v>
      </c>
      <c r="L124" s="65">
        <v>0</v>
      </c>
      <c r="M124" s="63">
        <v>0</v>
      </c>
      <c r="N124" s="1"/>
    </row>
    <row r="125" spans="1:14" ht="16" hidden="1" customHeight="1" outlineLevel="1" x14ac:dyDescent="0.45">
      <c r="A125" s="29" t="s">
        <v>138</v>
      </c>
      <c r="B125" s="44">
        <v>23791240</v>
      </c>
      <c r="C125" s="63">
        <v>21591240</v>
      </c>
      <c r="D125" s="63">
        <v>200000</v>
      </c>
      <c r="E125" s="64">
        <v>2000000.0000000002</v>
      </c>
      <c r="F125" s="63">
        <v>1372674.4503015638</v>
      </c>
      <c r="G125" s="63">
        <v>27325.549698436287</v>
      </c>
      <c r="H125" s="65">
        <v>0</v>
      </c>
      <c r="I125" s="65">
        <v>0</v>
      </c>
      <c r="J125" s="65">
        <v>0</v>
      </c>
      <c r="K125" s="65">
        <v>500000</v>
      </c>
      <c r="L125" s="65">
        <v>100000</v>
      </c>
      <c r="M125" s="63">
        <v>0</v>
      </c>
      <c r="N125" s="1"/>
    </row>
    <row r="126" spans="1:14" s="1" customFormat="1" collapsed="1" x14ac:dyDescent="0.45">
      <c r="A126" s="28" t="s">
        <v>59</v>
      </c>
      <c r="B126" s="43">
        <v>79126619</v>
      </c>
      <c r="C126" s="60">
        <v>31082102</v>
      </c>
      <c r="D126" s="60">
        <v>1235696</v>
      </c>
      <c r="E126" s="61">
        <v>46808821</v>
      </c>
      <c r="F126" s="60">
        <v>15057632.220837662</v>
      </c>
      <c r="G126" s="60">
        <v>8502454.779162338</v>
      </c>
      <c r="H126" s="62">
        <v>7912344</v>
      </c>
      <c r="I126" s="62">
        <v>339727</v>
      </c>
      <c r="J126" s="62">
        <v>12356535</v>
      </c>
      <c r="K126" s="62">
        <v>1454828</v>
      </c>
      <c r="L126" s="62">
        <v>295704</v>
      </c>
      <c r="M126" s="60">
        <v>889596</v>
      </c>
    </row>
    <row r="127" spans="1:14" ht="16" hidden="1" customHeight="1" outlineLevel="1" x14ac:dyDescent="0.45">
      <c r="A127" s="29" t="s">
        <v>60</v>
      </c>
      <c r="B127" s="44">
        <v>31691113</v>
      </c>
      <c r="C127" s="63">
        <v>13319703</v>
      </c>
      <c r="D127" s="63">
        <v>660531</v>
      </c>
      <c r="E127" s="64">
        <v>17710879</v>
      </c>
      <c r="F127" s="63">
        <v>8896248.531578457</v>
      </c>
      <c r="G127" s="63">
        <v>7501508.468421543</v>
      </c>
      <c r="H127" s="65">
        <v>744484</v>
      </c>
      <c r="I127" s="65">
        <v>0</v>
      </c>
      <c r="J127" s="65">
        <v>0</v>
      </c>
      <c r="K127" s="65">
        <v>427902</v>
      </c>
      <c r="L127" s="65">
        <v>69434</v>
      </c>
      <c r="M127" s="63">
        <v>71302</v>
      </c>
      <c r="N127" s="1"/>
    </row>
    <row r="128" spans="1:14" ht="16" hidden="1" customHeight="1" outlineLevel="1" x14ac:dyDescent="0.45">
      <c r="A128" s="29" t="s">
        <v>61</v>
      </c>
      <c r="B128" s="44">
        <v>26421450</v>
      </c>
      <c r="C128" s="63">
        <v>11285236</v>
      </c>
      <c r="D128" s="63">
        <v>0</v>
      </c>
      <c r="E128" s="64">
        <v>15136214</v>
      </c>
      <c r="F128" s="63">
        <v>0</v>
      </c>
      <c r="G128" s="63">
        <v>0</v>
      </c>
      <c r="H128" s="65">
        <v>2654000</v>
      </c>
      <c r="I128" s="65">
        <v>0</v>
      </c>
      <c r="J128" s="65">
        <v>11766808</v>
      </c>
      <c r="K128" s="65">
        <v>173297</v>
      </c>
      <c r="L128" s="65">
        <v>0</v>
      </c>
      <c r="M128" s="63">
        <v>542109</v>
      </c>
      <c r="N128" s="1"/>
    </row>
    <row r="129" spans="1:14" ht="16" hidden="1" customHeight="1" outlineLevel="1" x14ac:dyDescent="0.45">
      <c r="A129" s="29" t="s">
        <v>62</v>
      </c>
      <c r="B129" s="44">
        <v>12984836</v>
      </c>
      <c r="C129" s="63">
        <v>6384423</v>
      </c>
      <c r="D129" s="63">
        <v>485325</v>
      </c>
      <c r="E129" s="64">
        <v>6115088</v>
      </c>
      <c r="F129" s="63">
        <v>0</v>
      </c>
      <c r="G129" s="63">
        <v>0</v>
      </c>
      <c r="H129" s="65">
        <v>4497340</v>
      </c>
      <c r="I129" s="65">
        <v>339727</v>
      </c>
      <c r="J129" s="65">
        <v>339727</v>
      </c>
      <c r="K129" s="65">
        <v>711809</v>
      </c>
      <c r="L129" s="65">
        <v>0</v>
      </c>
      <c r="M129" s="63">
        <v>226485</v>
      </c>
      <c r="N129" s="1"/>
    </row>
    <row r="130" spans="1:14" ht="16" hidden="1" customHeight="1" outlineLevel="1" x14ac:dyDescent="0.45">
      <c r="A130" s="29" t="s">
        <v>63</v>
      </c>
      <c r="B130" s="44">
        <v>8029220</v>
      </c>
      <c r="C130" s="63">
        <v>92740</v>
      </c>
      <c r="D130" s="63">
        <v>89840</v>
      </c>
      <c r="E130" s="64">
        <v>7846640</v>
      </c>
      <c r="F130" s="63">
        <v>6161383.689259205</v>
      </c>
      <c r="G130" s="63">
        <v>1000946.3107407953</v>
      </c>
      <c r="H130" s="65">
        <v>16520</v>
      </c>
      <c r="I130" s="65">
        <v>0</v>
      </c>
      <c r="J130" s="65">
        <v>250000</v>
      </c>
      <c r="K130" s="65">
        <v>141820</v>
      </c>
      <c r="L130" s="65">
        <v>226270</v>
      </c>
      <c r="M130" s="63">
        <v>49700</v>
      </c>
      <c r="N130" s="1"/>
    </row>
    <row r="131" spans="1:14" ht="16" hidden="1" customHeight="1" outlineLevel="1" x14ac:dyDescent="0.45">
      <c r="A131" s="24" t="s">
        <v>192</v>
      </c>
      <c r="B131" s="45">
        <v>0</v>
      </c>
      <c r="C131" s="63">
        <v>0</v>
      </c>
      <c r="D131" s="63">
        <v>0</v>
      </c>
      <c r="E131" s="64">
        <v>0</v>
      </c>
      <c r="F131" s="63">
        <v>0</v>
      </c>
      <c r="G131" s="63">
        <v>0</v>
      </c>
      <c r="H131" s="65">
        <v>0</v>
      </c>
      <c r="I131" s="65">
        <v>0</v>
      </c>
      <c r="J131" s="65">
        <v>0</v>
      </c>
      <c r="K131" s="65">
        <v>0</v>
      </c>
      <c r="L131" s="65">
        <v>0</v>
      </c>
      <c r="M131" s="63">
        <v>0</v>
      </c>
      <c r="N131" s="1"/>
    </row>
    <row r="132" spans="1:14" ht="16" hidden="1" customHeight="1" outlineLevel="1" x14ac:dyDescent="0.45">
      <c r="A132" s="29" t="s">
        <v>193</v>
      </c>
      <c r="B132" s="44">
        <v>0</v>
      </c>
      <c r="C132" s="63">
        <v>0</v>
      </c>
      <c r="D132" s="63">
        <v>0</v>
      </c>
      <c r="E132" s="64">
        <v>0</v>
      </c>
      <c r="F132" s="63">
        <v>0</v>
      </c>
      <c r="G132" s="63">
        <v>0</v>
      </c>
      <c r="H132" s="65">
        <v>0</v>
      </c>
      <c r="I132" s="65">
        <v>0</v>
      </c>
      <c r="J132" s="65">
        <v>0</v>
      </c>
      <c r="K132" s="65">
        <v>0</v>
      </c>
      <c r="L132" s="65">
        <v>0</v>
      </c>
      <c r="M132" s="63">
        <v>0</v>
      </c>
      <c r="N132" s="1"/>
    </row>
    <row r="133" spans="1:14" s="1" customFormat="1" collapsed="1" x14ac:dyDescent="0.45">
      <c r="A133" s="28" t="s">
        <v>64</v>
      </c>
      <c r="B133" s="43">
        <v>78448392</v>
      </c>
      <c r="C133" s="60">
        <v>1174619</v>
      </c>
      <c r="D133" s="60">
        <v>0</v>
      </c>
      <c r="E133" s="61">
        <v>77273773</v>
      </c>
      <c r="F133" s="60">
        <v>69770408</v>
      </c>
      <c r="G133" s="60">
        <v>7163478</v>
      </c>
      <c r="H133" s="62">
        <v>0</v>
      </c>
      <c r="I133" s="62">
        <v>0</v>
      </c>
      <c r="J133" s="62">
        <v>0</v>
      </c>
      <c r="K133" s="62">
        <v>0</v>
      </c>
      <c r="L133" s="62">
        <v>0</v>
      </c>
      <c r="M133" s="60">
        <v>339887</v>
      </c>
    </row>
    <row r="134" spans="1:14" ht="16" hidden="1" customHeight="1" outlineLevel="1" x14ac:dyDescent="0.45">
      <c r="A134" s="29" t="s">
        <v>65</v>
      </c>
      <c r="B134" s="44">
        <v>78448392</v>
      </c>
      <c r="C134" s="63">
        <v>1174619</v>
      </c>
      <c r="D134" s="63">
        <v>0</v>
      </c>
      <c r="E134" s="64">
        <v>77273773</v>
      </c>
      <c r="F134" s="63">
        <v>69770408</v>
      </c>
      <c r="G134" s="63">
        <v>7163478</v>
      </c>
      <c r="H134" s="65">
        <v>0</v>
      </c>
      <c r="I134" s="65">
        <v>0</v>
      </c>
      <c r="J134" s="65">
        <v>0</v>
      </c>
      <c r="K134" s="65">
        <v>0</v>
      </c>
      <c r="L134" s="65">
        <v>0</v>
      </c>
      <c r="M134" s="63">
        <v>339887</v>
      </c>
      <c r="N134" s="1"/>
    </row>
    <row r="135" spans="1:14" ht="16" hidden="1" customHeight="1" outlineLevel="1" x14ac:dyDescent="0.45">
      <c r="A135" s="29" t="s">
        <v>261</v>
      </c>
      <c r="B135" s="44">
        <v>0</v>
      </c>
      <c r="C135" s="63">
        <v>0</v>
      </c>
      <c r="D135" s="63">
        <v>0</v>
      </c>
      <c r="E135" s="64">
        <v>0</v>
      </c>
      <c r="F135" s="63">
        <v>0</v>
      </c>
      <c r="G135" s="63">
        <v>0</v>
      </c>
      <c r="H135" s="65">
        <v>0</v>
      </c>
      <c r="I135" s="65">
        <v>0</v>
      </c>
      <c r="J135" s="65">
        <v>0</v>
      </c>
      <c r="K135" s="65">
        <v>0</v>
      </c>
      <c r="L135" s="65">
        <v>0</v>
      </c>
      <c r="M135" s="63">
        <v>0</v>
      </c>
      <c r="N135" s="1"/>
    </row>
    <row r="136" spans="1:14" s="1" customFormat="1" collapsed="1" x14ac:dyDescent="0.45">
      <c r="A136" s="28" t="s">
        <v>139</v>
      </c>
      <c r="B136" s="43">
        <v>98789080</v>
      </c>
      <c r="C136" s="60">
        <v>98549070</v>
      </c>
      <c r="D136" s="60">
        <v>0</v>
      </c>
      <c r="E136" s="61">
        <v>240010</v>
      </c>
      <c r="F136" s="60">
        <v>240010</v>
      </c>
      <c r="G136" s="60">
        <v>0</v>
      </c>
      <c r="H136" s="62">
        <v>0</v>
      </c>
      <c r="I136" s="62">
        <v>0</v>
      </c>
      <c r="J136" s="62">
        <v>0</v>
      </c>
      <c r="K136" s="62">
        <v>0</v>
      </c>
      <c r="L136" s="62">
        <v>0</v>
      </c>
      <c r="M136" s="60">
        <v>0</v>
      </c>
    </row>
    <row r="137" spans="1:14" ht="16" hidden="1" customHeight="1" outlineLevel="1" x14ac:dyDescent="0.45">
      <c r="A137" s="29" t="s">
        <v>140</v>
      </c>
      <c r="B137" s="43">
        <v>0</v>
      </c>
      <c r="C137" s="60">
        <v>0</v>
      </c>
      <c r="D137" s="60">
        <v>0</v>
      </c>
      <c r="E137" s="64">
        <v>0</v>
      </c>
      <c r="F137" s="63">
        <v>0</v>
      </c>
      <c r="G137" s="63">
        <v>0</v>
      </c>
      <c r="H137" s="65">
        <v>0</v>
      </c>
      <c r="I137" s="65">
        <v>0</v>
      </c>
      <c r="J137" s="65">
        <v>0</v>
      </c>
      <c r="K137" s="65">
        <v>0</v>
      </c>
      <c r="L137" s="65">
        <v>0</v>
      </c>
      <c r="M137" s="63">
        <v>0</v>
      </c>
      <c r="N137" s="1"/>
    </row>
    <row r="138" spans="1:14" ht="16" hidden="1" customHeight="1" outlineLevel="1" x14ac:dyDescent="0.45">
      <c r="A138" s="29" t="s">
        <v>194</v>
      </c>
      <c r="B138" s="43">
        <v>263170</v>
      </c>
      <c r="C138" s="60">
        <v>263170</v>
      </c>
      <c r="D138" s="60">
        <v>0</v>
      </c>
      <c r="E138" s="64">
        <v>0</v>
      </c>
      <c r="F138" s="63">
        <v>0</v>
      </c>
      <c r="G138" s="63">
        <v>0</v>
      </c>
      <c r="H138" s="65">
        <v>0</v>
      </c>
      <c r="I138" s="65">
        <v>0</v>
      </c>
      <c r="J138" s="65">
        <v>0</v>
      </c>
      <c r="K138" s="65">
        <v>0</v>
      </c>
      <c r="L138" s="65">
        <v>0</v>
      </c>
      <c r="M138" s="63">
        <v>0</v>
      </c>
      <c r="N138" s="1"/>
    </row>
    <row r="139" spans="1:14" ht="16" hidden="1" customHeight="1" outlineLevel="1" x14ac:dyDescent="0.45">
      <c r="A139" s="29" t="s">
        <v>195</v>
      </c>
      <c r="B139" s="44">
        <v>240010</v>
      </c>
      <c r="C139" s="63">
        <v>0</v>
      </c>
      <c r="D139" s="63">
        <v>0</v>
      </c>
      <c r="E139" s="64">
        <v>240010</v>
      </c>
      <c r="F139" s="63">
        <v>240010</v>
      </c>
      <c r="G139" s="63">
        <v>0</v>
      </c>
      <c r="H139" s="65">
        <v>0</v>
      </c>
      <c r="I139" s="65">
        <v>0</v>
      </c>
      <c r="J139" s="65">
        <v>0</v>
      </c>
      <c r="K139" s="65">
        <v>0</v>
      </c>
      <c r="L139" s="65">
        <v>0</v>
      </c>
      <c r="M139" s="63">
        <v>0</v>
      </c>
      <c r="N139" s="1"/>
    </row>
    <row r="140" spans="1:14" ht="16" hidden="1" customHeight="1" outlineLevel="1" x14ac:dyDescent="0.45">
      <c r="A140" s="29" t="s">
        <v>141</v>
      </c>
      <c r="B140" s="44">
        <v>98285900</v>
      </c>
      <c r="C140" s="63">
        <v>98285900</v>
      </c>
      <c r="D140" s="63">
        <v>0</v>
      </c>
      <c r="E140" s="64">
        <v>0</v>
      </c>
      <c r="F140" s="63">
        <v>0</v>
      </c>
      <c r="G140" s="63">
        <v>0</v>
      </c>
      <c r="H140" s="65">
        <v>0</v>
      </c>
      <c r="I140" s="65">
        <v>0</v>
      </c>
      <c r="J140" s="65">
        <v>0</v>
      </c>
      <c r="K140" s="65">
        <v>0</v>
      </c>
      <c r="L140" s="65">
        <v>0</v>
      </c>
      <c r="M140" s="63">
        <v>0</v>
      </c>
      <c r="N140" s="1"/>
    </row>
    <row r="141" spans="1:14" s="1" customFormat="1" collapsed="1" x14ac:dyDescent="0.45">
      <c r="A141" s="28" t="s">
        <v>66</v>
      </c>
      <c r="B141" s="43">
        <v>1456300726</v>
      </c>
      <c r="C141" s="66">
        <v>1412906317</v>
      </c>
      <c r="D141" s="66">
        <v>0</v>
      </c>
      <c r="E141" s="61">
        <v>43394409</v>
      </c>
      <c r="F141" s="60">
        <v>11985326.674631568</v>
      </c>
      <c r="G141" s="60">
        <v>2409083.3253684328</v>
      </c>
      <c r="H141" s="62">
        <v>0</v>
      </c>
      <c r="I141" s="62">
        <v>0</v>
      </c>
      <c r="J141" s="62">
        <v>0</v>
      </c>
      <c r="K141" s="62">
        <v>0</v>
      </c>
      <c r="L141" s="62">
        <v>0</v>
      </c>
      <c r="M141" s="60">
        <v>28999999</v>
      </c>
    </row>
    <row r="142" spans="1:14" s="1" customFormat="1" x14ac:dyDescent="0.45">
      <c r="A142" s="28" t="s">
        <v>67</v>
      </c>
      <c r="B142" s="43">
        <v>-671881905</v>
      </c>
      <c r="C142" s="66">
        <v>-1463322984</v>
      </c>
      <c r="D142" s="66">
        <v>33285925</v>
      </c>
      <c r="E142" s="61">
        <v>758155154</v>
      </c>
      <c r="F142" s="60">
        <v>330266721.95388055</v>
      </c>
      <c r="G142" s="60">
        <v>281456938.04611945</v>
      </c>
      <c r="H142" s="62">
        <v>63149904</v>
      </c>
      <c r="I142" s="62">
        <v>4855648.7676444799</v>
      </c>
      <c r="J142" s="62">
        <v>4843654.49928388</v>
      </c>
      <c r="K142" s="62">
        <v>28919763.885294586</v>
      </c>
      <c r="L142" s="62">
        <v>25919152.847777054</v>
      </c>
      <c r="M142" s="60">
        <v>18743370</v>
      </c>
    </row>
    <row r="143" spans="1:14" ht="16" hidden="1" customHeight="1" outlineLevel="1" x14ac:dyDescent="0.45">
      <c r="A143" s="29" t="s">
        <v>68</v>
      </c>
      <c r="B143" s="44">
        <v>170692200</v>
      </c>
      <c r="C143" s="67">
        <v>9639200</v>
      </c>
      <c r="D143" s="67">
        <v>1352000</v>
      </c>
      <c r="E143" s="64">
        <v>159701000</v>
      </c>
      <c r="F143" s="63">
        <v>24774867.856433026</v>
      </c>
      <c r="G143" s="63">
        <v>117187132.14356697</v>
      </c>
      <c r="H143" s="65">
        <v>0</v>
      </c>
      <c r="I143" s="65">
        <v>147723.76764447984</v>
      </c>
      <c r="J143" s="65">
        <v>135729.49928388002</v>
      </c>
      <c r="K143" s="65">
        <v>1719018.8852945855</v>
      </c>
      <c r="L143" s="65">
        <v>15736527.847777054</v>
      </c>
      <c r="M143" s="63">
        <v>0</v>
      </c>
      <c r="N143" s="1"/>
    </row>
    <row r="144" spans="1:14" ht="16" hidden="1" customHeight="1" outlineLevel="1" x14ac:dyDescent="0.45">
      <c r="A144" s="29" t="s">
        <v>196</v>
      </c>
      <c r="B144" s="44">
        <v>-1631686480</v>
      </c>
      <c r="C144" s="67">
        <v>-1631686480</v>
      </c>
      <c r="D144" s="67">
        <v>0</v>
      </c>
      <c r="E144" s="64">
        <v>0</v>
      </c>
      <c r="F144" s="63">
        <v>0</v>
      </c>
      <c r="G144" s="63">
        <v>0</v>
      </c>
      <c r="H144" s="65">
        <v>0</v>
      </c>
      <c r="I144" s="65">
        <v>0</v>
      </c>
      <c r="J144" s="65">
        <v>0</v>
      </c>
      <c r="K144" s="65">
        <v>0</v>
      </c>
      <c r="L144" s="65">
        <v>0</v>
      </c>
      <c r="M144" s="63">
        <v>0</v>
      </c>
      <c r="N144" s="1"/>
    </row>
    <row r="145" spans="1:14" ht="16" hidden="1" customHeight="1" outlineLevel="1" x14ac:dyDescent="0.45">
      <c r="A145" s="29" t="s">
        <v>69</v>
      </c>
      <c r="B145" s="44">
        <v>415301618</v>
      </c>
      <c r="C145" s="67">
        <v>51423064</v>
      </c>
      <c r="D145" s="67">
        <v>18200280</v>
      </c>
      <c r="E145" s="64">
        <v>345678274</v>
      </c>
      <c r="F145" s="63">
        <v>133556380.80272444</v>
      </c>
      <c r="G145" s="63">
        <v>116410183.19727556</v>
      </c>
      <c r="H145" s="65">
        <v>45625668</v>
      </c>
      <c r="I145" s="65">
        <v>2976135.5</v>
      </c>
      <c r="J145" s="65">
        <v>2976135.5</v>
      </c>
      <c r="K145" s="65">
        <v>21887701</v>
      </c>
      <c r="L145" s="65">
        <v>5385070</v>
      </c>
      <c r="M145" s="63">
        <v>16861000</v>
      </c>
      <c r="N145" s="1"/>
    </row>
    <row r="146" spans="1:14" ht="16" hidden="1" customHeight="1" outlineLevel="1" x14ac:dyDescent="0.45">
      <c r="A146" s="29" t="s">
        <v>70</v>
      </c>
      <c r="B146" s="44">
        <v>295391687</v>
      </c>
      <c r="C146" s="67">
        <v>29946962</v>
      </c>
      <c r="D146" s="67">
        <v>12668845</v>
      </c>
      <c r="E146" s="64">
        <v>252775880</v>
      </c>
      <c r="F146" s="63">
        <v>171935473.29472309</v>
      </c>
      <c r="G146" s="63">
        <v>47859622.705276906</v>
      </c>
      <c r="H146" s="65">
        <v>17524236</v>
      </c>
      <c r="I146" s="65">
        <v>1731789.5</v>
      </c>
      <c r="J146" s="65">
        <v>1731789.5</v>
      </c>
      <c r="K146" s="65">
        <v>5313044</v>
      </c>
      <c r="L146" s="65">
        <v>4797555</v>
      </c>
      <c r="M146" s="63">
        <v>1882370</v>
      </c>
      <c r="N146" s="1"/>
    </row>
    <row r="147" spans="1:14" ht="16" hidden="1" customHeight="1" outlineLevel="1" x14ac:dyDescent="0.45">
      <c r="A147" s="29" t="s">
        <v>142</v>
      </c>
      <c r="B147" s="44">
        <v>78419070</v>
      </c>
      <c r="C147" s="63">
        <v>77354270</v>
      </c>
      <c r="D147" s="63">
        <v>1064800</v>
      </c>
      <c r="E147" s="64">
        <v>0</v>
      </c>
      <c r="F147" s="63">
        <v>0</v>
      </c>
      <c r="G147" s="63">
        <v>0</v>
      </c>
      <c r="H147" s="65">
        <v>0</v>
      </c>
      <c r="I147" s="65">
        <v>0</v>
      </c>
      <c r="J147" s="65">
        <v>0</v>
      </c>
      <c r="K147" s="65">
        <v>0</v>
      </c>
      <c r="L147" s="65">
        <v>0</v>
      </c>
      <c r="M147" s="63">
        <v>0</v>
      </c>
      <c r="N147" s="1"/>
    </row>
    <row r="148" spans="1:14" ht="16" hidden="1" customHeight="1" outlineLevel="1" x14ac:dyDescent="0.45">
      <c r="A148" s="29" t="s">
        <v>197</v>
      </c>
      <c r="B148" s="44">
        <v>0</v>
      </c>
      <c r="C148" s="63">
        <v>0</v>
      </c>
      <c r="D148" s="63">
        <v>0</v>
      </c>
      <c r="E148" s="64">
        <v>0</v>
      </c>
      <c r="F148" s="63">
        <v>0</v>
      </c>
      <c r="G148" s="63">
        <v>0</v>
      </c>
      <c r="H148" s="65">
        <v>0</v>
      </c>
      <c r="I148" s="65">
        <v>0</v>
      </c>
      <c r="J148" s="65">
        <v>0</v>
      </c>
      <c r="K148" s="65">
        <v>0</v>
      </c>
      <c r="L148" s="65">
        <v>0</v>
      </c>
      <c r="M148" s="63">
        <v>0</v>
      </c>
      <c r="N148" s="1"/>
    </row>
    <row r="149" spans="1:14" ht="16" hidden="1" customHeight="1" outlineLevel="1" x14ac:dyDescent="0.45">
      <c r="A149" s="29" t="s">
        <v>262</v>
      </c>
      <c r="B149" s="44">
        <v>0</v>
      </c>
      <c r="C149" s="63">
        <v>0</v>
      </c>
      <c r="D149" s="63">
        <v>0</v>
      </c>
      <c r="E149" s="64">
        <v>0</v>
      </c>
      <c r="F149" s="63">
        <v>0</v>
      </c>
      <c r="G149" s="63">
        <v>0</v>
      </c>
      <c r="H149" s="65">
        <v>0</v>
      </c>
      <c r="I149" s="65">
        <v>0</v>
      </c>
      <c r="J149" s="65">
        <v>0</v>
      </c>
      <c r="K149" s="65">
        <v>0</v>
      </c>
      <c r="L149" s="65">
        <v>0</v>
      </c>
      <c r="M149" s="63">
        <v>0</v>
      </c>
      <c r="N149" s="1"/>
    </row>
    <row r="150" spans="1:14" ht="16" hidden="1" customHeight="1" outlineLevel="1" x14ac:dyDescent="0.45">
      <c r="A150" s="29" t="s">
        <v>263</v>
      </c>
      <c r="B150" s="44">
        <v>0</v>
      </c>
      <c r="C150" s="63">
        <v>0</v>
      </c>
      <c r="D150" s="63">
        <v>0</v>
      </c>
      <c r="E150" s="64">
        <v>0</v>
      </c>
      <c r="F150" s="63">
        <v>0</v>
      </c>
      <c r="G150" s="63">
        <v>0</v>
      </c>
      <c r="H150" s="65">
        <v>0</v>
      </c>
      <c r="I150" s="65">
        <v>0</v>
      </c>
      <c r="J150" s="65">
        <v>0</v>
      </c>
      <c r="K150" s="65">
        <v>0</v>
      </c>
      <c r="L150" s="65">
        <v>0</v>
      </c>
      <c r="M150" s="63">
        <v>0</v>
      </c>
      <c r="N150" s="1"/>
    </row>
    <row r="151" spans="1:14" s="1" customFormat="1" collapsed="1" x14ac:dyDescent="0.45">
      <c r="A151" s="28" t="s">
        <v>71</v>
      </c>
      <c r="B151" s="43">
        <v>70528010</v>
      </c>
      <c r="C151" s="60">
        <v>66004781</v>
      </c>
      <c r="D151" s="60">
        <v>0</v>
      </c>
      <c r="E151" s="61">
        <v>4523229</v>
      </c>
      <c r="F151" s="60">
        <v>381253</v>
      </c>
      <c r="G151" s="60">
        <v>1449253</v>
      </c>
      <c r="H151" s="62">
        <v>0</v>
      </c>
      <c r="I151" s="62">
        <v>0</v>
      </c>
      <c r="J151" s="62">
        <v>0</v>
      </c>
      <c r="K151" s="62">
        <v>1172750</v>
      </c>
      <c r="L151" s="62">
        <v>0</v>
      </c>
      <c r="M151" s="60">
        <v>1519973</v>
      </c>
    </row>
    <row r="152" spans="1:14" ht="16" hidden="1" customHeight="1" outlineLevel="1" x14ac:dyDescent="0.45">
      <c r="A152" s="29" t="s">
        <v>143</v>
      </c>
      <c r="B152" s="44">
        <v>2551845</v>
      </c>
      <c r="C152" s="63">
        <v>0</v>
      </c>
      <c r="D152" s="63">
        <v>0</v>
      </c>
      <c r="E152" s="64">
        <v>2551845</v>
      </c>
      <c r="F152" s="63">
        <v>0</v>
      </c>
      <c r="G152" s="63">
        <v>1379095</v>
      </c>
      <c r="H152" s="65">
        <v>0</v>
      </c>
      <c r="I152" s="65">
        <v>0</v>
      </c>
      <c r="J152" s="65">
        <v>0</v>
      </c>
      <c r="K152" s="65">
        <v>1172750</v>
      </c>
      <c r="L152" s="65">
        <v>0</v>
      </c>
      <c r="M152" s="63">
        <v>0</v>
      </c>
      <c r="N152" s="1"/>
    </row>
    <row r="153" spans="1:14" ht="16" hidden="1" customHeight="1" outlineLevel="1" x14ac:dyDescent="0.45">
      <c r="A153" s="29" t="s">
        <v>72</v>
      </c>
      <c r="B153" s="44">
        <v>13428190</v>
      </c>
      <c r="C153" s="63">
        <v>11456806</v>
      </c>
      <c r="D153" s="63">
        <v>0</v>
      </c>
      <c r="E153" s="64">
        <v>1971384</v>
      </c>
      <c r="F153" s="63">
        <v>381253</v>
      </c>
      <c r="G153" s="63">
        <v>70158</v>
      </c>
      <c r="H153" s="65">
        <v>0</v>
      </c>
      <c r="I153" s="65">
        <v>0</v>
      </c>
      <c r="J153" s="65">
        <v>0</v>
      </c>
      <c r="K153" s="65">
        <v>0</v>
      </c>
      <c r="L153" s="65">
        <v>0</v>
      </c>
      <c r="M153" s="63">
        <v>1519973</v>
      </c>
      <c r="N153" s="1"/>
    </row>
    <row r="154" spans="1:14" ht="16" hidden="1" customHeight="1" outlineLevel="1" x14ac:dyDescent="0.45">
      <c r="A154" s="29" t="s">
        <v>144</v>
      </c>
      <c r="B154" s="44">
        <v>54547975</v>
      </c>
      <c r="C154" s="63">
        <v>54547975</v>
      </c>
      <c r="D154" s="63">
        <v>0</v>
      </c>
      <c r="E154" s="64">
        <v>0</v>
      </c>
      <c r="F154" s="63">
        <v>0</v>
      </c>
      <c r="G154" s="63">
        <v>0</v>
      </c>
      <c r="H154" s="65">
        <v>0</v>
      </c>
      <c r="I154" s="65">
        <v>0</v>
      </c>
      <c r="J154" s="65">
        <v>0</v>
      </c>
      <c r="K154" s="65">
        <v>0</v>
      </c>
      <c r="L154" s="65">
        <v>0</v>
      </c>
      <c r="M154" s="63">
        <v>0</v>
      </c>
      <c r="N154" s="1"/>
    </row>
    <row r="155" spans="1:14" ht="16" hidden="1" customHeight="1" outlineLevel="1" x14ac:dyDescent="0.45">
      <c r="A155" s="29" t="s">
        <v>145</v>
      </c>
      <c r="B155" s="44">
        <v>0</v>
      </c>
      <c r="C155" s="63">
        <v>0</v>
      </c>
      <c r="D155" s="63">
        <v>0</v>
      </c>
      <c r="E155" s="64">
        <v>0</v>
      </c>
      <c r="F155" s="63">
        <v>0</v>
      </c>
      <c r="G155" s="63">
        <v>0</v>
      </c>
      <c r="H155" s="65">
        <v>0</v>
      </c>
      <c r="I155" s="65">
        <v>0</v>
      </c>
      <c r="J155" s="65">
        <v>0</v>
      </c>
      <c r="K155" s="65">
        <v>0</v>
      </c>
      <c r="L155" s="65">
        <v>0</v>
      </c>
      <c r="M155" s="63">
        <v>0</v>
      </c>
      <c r="N155" s="1"/>
    </row>
    <row r="156" spans="1:14" s="1" customFormat="1" collapsed="1" x14ac:dyDescent="0.45">
      <c r="A156" s="28" t="s">
        <v>73</v>
      </c>
      <c r="B156" s="43">
        <v>112067145</v>
      </c>
      <c r="C156" s="60">
        <v>11099843.000000015</v>
      </c>
      <c r="D156" s="60">
        <v>3472995</v>
      </c>
      <c r="E156" s="61">
        <v>97494306.999999985</v>
      </c>
      <c r="F156" s="60">
        <v>20091086.302011624</v>
      </c>
      <c r="G156" s="60">
        <v>51686994.074251235</v>
      </c>
      <c r="H156" s="62">
        <v>1235064.6237371447</v>
      </c>
      <c r="I156" s="62">
        <v>516140.85176563589</v>
      </c>
      <c r="J156" s="62">
        <v>828520.90771777066</v>
      </c>
      <c r="K156" s="62">
        <v>4821872.944457802</v>
      </c>
      <c r="L156" s="62">
        <v>18146127.296058789</v>
      </c>
      <c r="M156" s="60">
        <v>168500</v>
      </c>
    </row>
    <row r="157" spans="1:14" ht="16" hidden="1" customHeight="1" outlineLevel="1" x14ac:dyDescent="0.45">
      <c r="A157" s="29" t="s">
        <v>74</v>
      </c>
      <c r="B157" s="44">
        <v>33932083</v>
      </c>
      <c r="C157" s="63">
        <v>5443890</v>
      </c>
      <c r="D157" s="63">
        <v>304800</v>
      </c>
      <c r="E157" s="64">
        <v>28183393</v>
      </c>
      <c r="F157" s="63">
        <v>9428984.1131114718</v>
      </c>
      <c r="G157" s="63">
        <v>14567258.886888528</v>
      </c>
      <c r="H157" s="65">
        <v>37000</v>
      </c>
      <c r="I157" s="65">
        <v>106076.32777804177</v>
      </c>
      <c r="J157" s="65">
        <v>205102.87950875168</v>
      </c>
      <c r="K157" s="65">
        <v>1254457.5679840764</v>
      </c>
      <c r="L157" s="65">
        <v>2416013.22472913</v>
      </c>
      <c r="M157" s="63">
        <v>168500</v>
      </c>
      <c r="N157" s="1"/>
    </row>
    <row r="158" spans="1:14" ht="16" hidden="1" customHeight="1" outlineLevel="1" x14ac:dyDescent="0.45">
      <c r="A158" s="29" t="s">
        <v>75</v>
      </c>
      <c r="B158" s="44">
        <v>14865332</v>
      </c>
      <c r="C158" s="63">
        <v>3626223</v>
      </c>
      <c r="D158" s="63">
        <v>3168195</v>
      </c>
      <c r="E158" s="64">
        <v>8070914</v>
      </c>
      <c r="F158" s="63">
        <v>3595066.5214375746</v>
      </c>
      <c r="G158" s="63">
        <v>735697.85482528072</v>
      </c>
      <c r="H158" s="65">
        <v>1198064.6237371447</v>
      </c>
      <c r="I158" s="65">
        <v>410064.52398759418</v>
      </c>
      <c r="J158" s="65">
        <v>623418.02820901899</v>
      </c>
      <c r="K158" s="65">
        <v>974978.37647372577</v>
      </c>
      <c r="L158" s="65">
        <v>533624.07132966118</v>
      </c>
      <c r="M158" s="63">
        <v>0</v>
      </c>
      <c r="N158" s="1"/>
    </row>
    <row r="159" spans="1:14" ht="16" hidden="1" customHeight="1" outlineLevel="1" x14ac:dyDescent="0.45">
      <c r="A159" s="29" t="s">
        <v>76</v>
      </c>
      <c r="B159" s="44">
        <v>17990580</v>
      </c>
      <c r="C159" s="63">
        <v>629780</v>
      </c>
      <c r="D159" s="63">
        <v>0</v>
      </c>
      <c r="E159" s="64">
        <v>17360800</v>
      </c>
      <c r="F159" s="63">
        <v>2048246</v>
      </c>
      <c r="G159" s="63">
        <v>1703710</v>
      </c>
      <c r="H159" s="65">
        <v>0</v>
      </c>
      <c r="I159" s="65">
        <v>0</v>
      </c>
      <c r="J159" s="65">
        <v>0</v>
      </c>
      <c r="K159" s="65">
        <v>2134304</v>
      </c>
      <c r="L159" s="65">
        <v>11474540</v>
      </c>
      <c r="M159" s="63">
        <v>0</v>
      </c>
      <c r="N159" s="1"/>
    </row>
    <row r="160" spans="1:14" ht="16" hidden="1" customHeight="1" outlineLevel="1" x14ac:dyDescent="0.45">
      <c r="A160" s="29" t="s">
        <v>77</v>
      </c>
      <c r="B160" s="44">
        <v>45279150</v>
      </c>
      <c r="C160" s="63">
        <v>1399950</v>
      </c>
      <c r="D160" s="63">
        <v>0</v>
      </c>
      <c r="E160" s="64">
        <v>43879200</v>
      </c>
      <c r="F160" s="63">
        <v>5018789.667462578</v>
      </c>
      <c r="G160" s="63">
        <v>34680327.33253742</v>
      </c>
      <c r="H160" s="65">
        <v>0</v>
      </c>
      <c r="I160" s="65">
        <v>0</v>
      </c>
      <c r="J160" s="65">
        <v>0</v>
      </c>
      <c r="K160" s="65">
        <v>458133</v>
      </c>
      <c r="L160" s="65">
        <v>3721950</v>
      </c>
      <c r="M160" s="63">
        <v>0</v>
      </c>
      <c r="N160" s="1"/>
    </row>
    <row r="161" spans="1:14" ht="16" hidden="1" customHeight="1" outlineLevel="1" x14ac:dyDescent="0.45">
      <c r="A161" s="29" t="s">
        <v>198</v>
      </c>
      <c r="B161" s="44">
        <v>0</v>
      </c>
      <c r="C161" s="63">
        <v>0</v>
      </c>
      <c r="D161" s="63">
        <v>0</v>
      </c>
      <c r="E161" s="64">
        <v>0</v>
      </c>
      <c r="F161" s="63">
        <v>0</v>
      </c>
      <c r="G161" s="63">
        <v>0</v>
      </c>
      <c r="H161" s="65">
        <v>0</v>
      </c>
      <c r="I161" s="65">
        <v>0</v>
      </c>
      <c r="J161" s="65">
        <v>0</v>
      </c>
      <c r="K161" s="65">
        <v>0</v>
      </c>
      <c r="L161" s="65">
        <v>0</v>
      </c>
      <c r="M161" s="63">
        <v>0</v>
      </c>
      <c r="N161" s="1"/>
    </row>
    <row r="162" spans="1:14" ht="16" hidden="1" customHeight="1" outlineLevel="1" x14ac:dyDescent="0.45">
      <c r="A162" s="24" t="s">
        <v>199</v>
      </c>
      <c r="B162" s="45">
        <v>0</v>
      </c>
      <c r="C162" s="63">
        <v>0</v>
      </c>
      <c r="D162" s="63">
        <v>0</v>
      </c>
      <c r="E162" s="64">
        <v>0</v>
      </c>
      <c r="F162" s="63">
        <v>0</v>
      </c>
      <c r="G162" s="63">
        <v>0</v>
      </c>
      <c r="H162" s="65">
        <v>0</v>
      </c>
      <c r="I162" s="65">
        <v>0</v>
      </c>
      <c r="J162" s="65">
        <v>0</v>
      </c>
      <c r="K162" s="65">
        <v>0</v>
      </c>
      <c r="L162" s="65">
        <v>0</v>
      </c>
      <c r="M162" s="63">
        <v>0</v>
      </c>
      <c r="N162" s="1"/>
    </row>
    <row r="163" spans="1:14" ht="16" hidden="1" customHeight="1" outlineLevel="1" x14ac:dyDescent="0.45">
      <c r="A163" s="30" t="s">
        <v>200</v>
      </c>
      <c r="B163" s="46">
        <v>0</v>
      </c>
      <c r="C163" s="63">
        <v>0</v>
      </c>
      <c r="D163" s="63">
        <v>0</v>
      </c>
      <c r="E163" s="64">
        <v>0</v>
      </c>
      <c r="F163" s="63">
        <v>0</v>
      </c>
      <c r="G163" s="63">
        <v>0</v>
      </c>
      <c r="H163" s="65">
        <v>0</v>
      </c>
      <c r="I163" s="65">
        <v>0</v>
      </c>
      <c r="J163" s="65">
        <v>0</v>
      </c>
      <c r="K163" s="65">
        <v>0</v>
      </c>
      <c r="L163" s="65">
        <v>0</v>
      </c>
      <c r="M163" s="63">
        <v>0</v>
      </c>
      <c r="N163" s="1"/>
    </row>
    <row r="164" spans="1:14" s="1" customFormat="1" collapsed="1" x14ac:dyDescent="0.45">
      <c r="A164" s="28" t="s">
        <v>78</v>
      </c>
      <c r="B164" s="43">
        <v>524553715</v>
      </c>
      <c r="C164" s="60">
        <v>3230000</v>
      </c>
      <c r="D164" s="60">
        <v>154484649</v>
      </c>
      <c r="E164" s="61">
        <v>366839066</v>
      </c>
      <c r="F164" s="60">
        <v>119883000</v>
      </c>
      <c r="G164" s="60">
        <v>116225727</v>
      </c>
      <c r="H164" s="62">
        <v>69051745</v>
      </c>
      <c r="I164" s="62">
        <v>1294951.5</v>
      </c>
      <c r="J164" s="62">
        <v>1294951.5</v>
      </c>
      <c r="K164" s="62">
        <v>5088271</v>
      </c>
      <c r="L164" s="62">
        <v>0</v>
      </c>
      <c r="M164" s="60">
        <v>54000420</v>
      </c>
    </row>
    <row r="165" spans="1:14" ht="16" hidden="1" customHeight="1" outlineLevel="1" x14ac:dyDescent="0.45">
      <c r="A165" s="30" t="s">
        <v>201</v>
      </c>
      <c r="B165" s="46">
        <v>0</v>
      </c>
      <c r="C165" s="63">
        <v>0</v>
      </c>
      <c r="D165" s="63">
        <v>0</v>
      </c>
      <c r="E165" s="64">
        <v>0</v>
      </c>
      <c r="F165" s="63">
        <v>0</v>
      </c>
      <c r="G165" s="63">
        <v>0</v>
      </c>
      <c r="H165" s="65">
        <v>0</v>
      </c>
      <c r="I165" s="65">
        <v>0</v>
      </c>
      <c r="J165" s="65">
        <v>0</v>
      </c>
      <c r="K165" s="65">
        <v>0</v>
      </c>
      <c r="L165" s="65">
        <v>0</v>
      </c>
      <c r="M165" s="63">
        <v>0</v>
      </c>
      <c r="N165" s="1"/>
    </row>
    <row r="166" spans="1:14" ht="16" hidden="1" customHeight="1" outlineLevel="1" x14ac:dyDescent="0.45">
      <c r="A166" s="29" t="s">
        <v>79</v>
      </c>
      <c r="B166" s="44">
        <v>524553715</v>
      </c>
      <c r="C166" s="63">
        <v>3230000</v>
      </c>
      <c r="D166" s="63">
        <v>154484649</v>
      </c>
      <c r="E166" s="64">
        <v>366839066</v>
      </c>
      <c r="F166" s="63">
        <v>119883000</v>
      </c>
      <c r="G166" s="63">
        <v>116225727</v>
      </c>
      <c r="H166" s="65">
        <v>69051745</v>
      </c>
      <c r="I166" s="65">
        <v>1294951.5</v>
      </c>
      <c r="J166" s="65">
        <v>1294951.5</v>
      </c>
      <c r="K166" s="65">
        <v>5088271</v>
      </c>
      <c r="L166" s="65">
        <v>0</v>
      </c>
      <c r="M166" s="63">
        <v>54000420</v>
      </c>
      <c r="N166" s="1"/>
    </row>
    <row r="167" spans="1:14" ht="16" hidden="1" customHeight="1" outlineLevel="1" x14ac:dyDescent="0.45">
      <c r="A167" s="29" t="s">
        <v>202</v>
      </c>
      <c r="B167" s="44">
        <v>0</v>
      </c>
      <c r="C167" s="63">
        <v>0</v>
      </c>
      <c r="D167" s="63">
        <v>0</v>
      </c>
      <c r="E167" s="64">
        <v>0</v>
      </c>
      <c r="F167" s="63">
        <v>0</v>
      </c>
      <c r="G167" s="63">
        <v>0</v>
      </c>
      <c r="H167" s="65">
        <v>0</v>
      </c>
      <c r="I167" s="65">
        <v>0</v>
      </c>
      <c r="J167" s="65">
        <v>0</v>
      </c>
      <c r="K167" s="65">
        <v>0</v>
      </c>
      <c r="L167" s="65">
        <v>0</v>
      </c>
      <c r="M167" s="63">
        <v>0</v>
      </c>
      <c r="N167" s="1"/>
    </row>
    <row r="168" spans="1:14" ht="16" hidden="1" customHeight="1" outlineLevel="1" x14ac:dyDescent="0.45">
      <c r="A168" s="29" t="s">
        <v>203</v>
      </c>
      <c r="B168" s="44">
        <v>0</v>
      </c>
      <c r="C168" s="63">
        <v>0</v>
      </c>
      <c r="D168" s="63">
        <v>0</v>
      </c>
      <c r="E168" s="64">
        <v>0</v>
      </c>
      <c r="F168" s="63">
        <v>0</v>
      </c>
      <c r="G168" s="63">
        <v>0</v>
      </c>
      <c r="H168" s="65">
        <v>0</v>
      </c>
      <c r="I168" s="65">
        <v>0</v>
      </c>
      <c r="J168" s="65">
        <v>0</v>
      </c>
      <c r="K168" s="65">
        <v>0</v>
      </c>
      <c r="L168" s="65">
        <v>0</v>
      </c>
      <c r="M168" s="63">
        <v>0</v>
      </c>
      <c r="N168" s="1"/>
    </row>
    <row r="169" spans="1:14" ht="16" hidden="1" customHeight="1" outlineLevel="1" x14ac:dyDescent="0.45">
      <c r="A169" s="29" t="s">
        <v>204</v>
      </c>
      <c r="B169" s="44">
        <v>0</v>
      </c>
      <c r="C169" s="63">
        <v>0</v>
      </c>
      <c r="D169" s="63">
        <v>0</v>
      </c>
      <c r="E169" s="64">
        <v>0</v>
      </c>
      <c r="F169" s="63">
        <v>0</v>
      </c>
      <c r="G169" s="63">
        <v>0</v>
      </c>
      <c r="H169" s="65">
        <v>0</v>
      </c>
      <c r="I169" s="65">
        <v>0</v>
      </c>
      <c r="J169" s="65">
        <v>0</v>
      </c>
      <c r="K169" s="65">
        <v>0</v>
      </c>
      <c r="L169" s="65">
        <v>0</v>
      </c>
      <c r="M169" s="63">
        <v>0</v>
      </c>
      <c r="N169" s="1"/>
    </row>
    <row r="170" spans="1:14" ht="16" hidden="1" customHeight="1" outlineLevel="1" x14ac:dyDescent="0.45">
      <c r="A170" s="30" t="s">
        <v>205</v>
      </c>
      <c r="B170" s="46">
        <v>0</v>
      </c>
      <c r="C170" s="63">
        <v>0</v>
      </c>
      <c r="D170" s="63">
        <v>0</v>
      </c>
      <c r="E170" s="64">
        <v>0</v>
      </c>
      <c r="F170" s="63">
        <v>0</v>
      </c>
      <c r="G170" s="63">
        <v>0</v>
      </c>
      <c r="H170" s="65">
        <v>0</v>
      </c>
      <c r="I170" s="65">
        <v>0</v>
      </c>
      <c r="J170" s="65">
        <v>0</v>
      </c>
      <c r="K170" s="65">
        <v>0</v>
      </c>
      <c r="L170" s="65">
        <v>0</v>
      </c>
      <c r="M170" s="63">
        <v>0</v>
      </c>
      <c r="N170" s="1"/>
    </row>
    <row r="171" spans="1:14" s="1" customFormat="1" ht="16" hidden="1" customHeight="1" outlineLevel="1" collapsed="1" x14ac:dyDescent="0.45">
      <c r="A171" s="28" t="s">
        <v>80</v>
      </c>
      <c r="B171" s="43">
        <v>28345769</v>
      </c>
      <c r="C171" s="60">
        <v>19601058</v>
      </c>
      <c r="D171" s="60">
        <v>1244088</v>
      </c>
      <c r="E171" s="61">
        <v>7500623</v>
      </c>
      <c r="F171" s="60">
        <v>3226233</v>
      </c>
      <c r="G171" s="60">
        <v>2616208</v>
      </c>
      <c r="H171" s="62">
        <v>1458182</v>
      </c>
      <c r="I171" s="62">
        <v>0</v>
      </c>
      <c r="J171" s="62">
        <v>0</v>
      </c>
      <c r="K171" s="62">
        <v>0</v>
      </c>
      <c r="L171" s="62">
        <v>0</v>
      </c>
      <c r="M171" s="60">
        <v>200000</v>
      </c>
    </row>
    <row r="172" spans="1:14" ht="16" hidden="1" customHeight="1" outlineLevel="1" x14ac:dyDescent="0.45">
      <c r="A172" s="29" t="s">
        <v>81</v>
      </c>
      <c r="B172" s="44">
        <v>13920861</v>
      </c>
      <c r="C172" s="63">
        <v>10921834</v>
      </c>
      <c r="D172" s="63">
        <v>1244088</v>
      </c>
      <c r="E172" s="64">
        <v>1754939</v>
      </c>
      <c r="F172" s="63">
        <v>325001</v>
      </c>
      <c r="G172" s="63">
        <v>1429938</v>
      </c>
      <c r="H172" s="65">
        <v>0</v>
      </c>
      <c r="I172" s="65">
        <v>0</v>
      </c>
      <c r="J172" s="65">
        <v>0</v>
      </c>
      <c r="K172" s="65">
        <v>0</v>
      </c>
      <c r="L172" s="65">
        <v>0</v>
      </c>
      <c r="M172" s="63">
        <v>0</v>
      </c>
      <c r="N172" s="1"/>
    </row>
    <row r="173" spans="1:14" ht="16" hidden="1" customHeight="1" outlineLevel="1" x14ac:dyDescent="0.45">
      <c r="A173" s="29" t="s">
        <v>206</v>
      </c>
      <c r="B173" s="44">
        <v>5300000</v>
      </c>
      <c r="C173" s="63">
        <v>5300000</v>
      </c>
      <c r="D173" s="63">
        <v>0</v>
      </c>
      <c r="E173" s="64">
        <v>0</v>
      </c>
      <c r="F173" s="63">
        <v>0</v>
      </c>
      <c r="G173" s="63">
        <v>0</v>
      </c>
      <c r="H173" s="65">
        <v>0</v>
      </c>
      <c r="I173" s="65">
        <v>0</v>
      </c>
      <c r="J173" s="65">
        <v>0</v>
      </c>
      <c r="K173" s="65">
        <v>0</v>
      </c>
      <c r="L173" s="65">
        <v>0</v>
      </c>
      <c r="M173" s="63">
        <v>0</v>
      </c>
      <c r="N173" s="1"/>
    </row>
    <row r="174" spans="1:14" ht="16" hidden="1" customHeight="1" outlineLevel="1" x14ac:dyDescent="0.45">
      <c r="A174" s="29" t="s">
        <v>82</v>
      </c>
      <c r="B174" s="44">
        <v>9124908</v>
      </c>
      <c r="C174" s="63">
        <v>3379224</v>
      </c>
      <c r="D174" s="63">
        <v>0</v>
      </c>
      <c r="E174" s="64">
        <v>5745684</v>
      </c>
      <c r="F174" s="63">
        <v>2901232</v>
      </c>
      <c r="G174" s="63">
        <v>1186270</v>
      </c>
      <c r="H174" s="65">
        <v>1458182</v>
      </c>
      <c r="I174" s="65">
        <v>0</v>
      </c>
      <c r="J174" s="65">
        <v>0</v>
      </c>
      <c r="K174" s="65">
        <v>0</v>
      </c>
      <c r="L174" s="65">
        <v>0</v>
      </c>
      <c r="M174" s="63">
        <v>200000</v>
      </c>
      <c r="N174" s="1"/>
    </row>
    <row r="175" spans="1:14" ht="16" hidden="1" customHeight="1" outlineLevel="1" x14ac:dyDescent="0.45">
      <c r="A175" s="29" t="s">
        <v>207</v>
      </c>
      <c r="B175" s="44">
        <v>0</v>
      </c>
      <c r="C175" s="63">
        <v>0</v>
      </c>
      <c r="D175" s="63">
        <v>0</v>
      </c>
      <c r="E175" s="64">
        <v>0</v>
      </c>
      <c r="F175" s="63">
        <v>0</v>
      </c>
      <c r="G175" s="63">
        <v>0</v>
      </c>
      <c r="H175" s="65">
        <v>0</v>
      </c>
      <c r="I175" s="65">
        <v>0</v>
      </c>
      <c r="J175" s="65">
        <v>0</v>
      </c>
      <c r="K175" s="65">
        <v>0</v>
      </c>
      <c r="L175" s="65">
        <v>0</v>
      </c>
      <c r="M175" s="63">
        <v>0</v>
      </c>
      <c r="N175" s="1"/>
    </row>
    <row r="176" spans="1:14" ht="16" hidden="1" customHeight="1" outlineLevel="1" x14ac:dyDescent="0.45">
      <c r="A176" s="29" t="s">
        <v>256</v>
      </c>
      <c r="B176" s="44">
        <v>0</v>
      </c>
      <c r="C176" s="63">
        <v>0</v>
      </c>
      <c r="D176" s="63">
        <v>0</v>
      </c>
      <c r="E176" s="64">
        <v>0</v>
      </c>
      <c r="F176" s="63">
        <v>0</v>
      </c>
      <c r="G176" s="63">
        <v>0</v>
      </c>
      <c r="H176" s="65">
        <v>0</v>
      </c>
      <c r="I176" s="65">
        <v>0</v>
      </c>
      <c r="J176" s="65">
        <v>0</v>
      </c>
      <c r="K176" s="65">
        <v>0</v>
      </c>
      <c r="L176" s="65">
        <v>0</v>
      </c>
      <c r="M176" s="63">
        <v>0</v>
      </c>
      <c r="N176" s="1"/>
    </row>
    <row r="177" spans="1:14" ht="16" hidden="1" customHeight="1" outlineLevel="1" x14ac:dyDescent="0.45">
      <c r="A177" s="29" t="s">
        <v>208</v>
      </c>
      <c r="B177" s="44">
        <v>0</v>
      </c>
      <c r="C177" s="63">
        <v>0</v>
      </c>
      <c r="D177" s="63">
        <v>0</v>
      </c>
      <c r="E177" s="64">
        <v>0</v>
      </c>
      <c r="F177" s="63">
        <v>0</v>
      </c>
      <c r="G177" s="63">
        <v>0</v>
      </c>
      <c r="H177" s="65">
        <v>0</v>
      </c>
      <c r="I177" s="65">
        <v>0</v>
      </c>
      <c r="J177" s="65">
        <v>0</v>
      </c>
      <c r="K177" s="65">
        <v>0</v>
      </c>
      <c r="L177" s="65">
        <v>0</v>
      </c>
      <c r="M177" s="63">
        <v>0</v>
      </c>
      <c r="N177" s="1"/>
    </row>
    <row r="178" spans="1:14" s="1" customFormat="1" collapsed="1" x14ac:dyDescent="0.45">
      <c r="A178" s="28" t="s">
        <v>146</v>
      </c>
      <c r="B178" s="43">
        <v>0</v>
      </c>
      <c r="C178" s="60">
        <v>0</v>
      </c>
      <c r="D178" s="60">
        <v>0</v>
      </c>
      <c r="E178" s="61">
        <v>0</v>
      </c>
      <c r="F178" s="60">
        <v>0</v>
      </c>
      <c r="G178" s="60">
        <v>0</v>
      </c>
      <c r="H178" s="62">
        <v>0</v>
      </c>
      <c r="I178" s="62">
        <v>0</v>
      </c>
      <c r="J178" s="62">
        <v>0</v>
      </c>
      <c r="K178" s="62">
        <v>0</v>
      </c>
      <c r="L178" s="62">
        <v>0</v>
      </c>
      <c r="M178" s="60">
        <v>0</v>
      </c>
    </row>
    <row r="179" spans="1:14" ht="16" hidden="1" customHeight="1" outlineLevel="1" x14ac:dyDescent="0.45">
      <c r="A179" s="29" t="s">
        <v>147</v>
      </c>
      <c r="B179" s="44">
        <v>0</v>
      </c>
      <c r="C179" s="63">
        <v>0</v>
      </c>
      <c r="D179" s="63">
        <v>0</v>
      </c>
      <c r="E179" s="64">
        <v>0</v>
      </c>
      <c r="F179" s="63">
        <v>0</v>
      </c>
      <c r="G179" s="63">
        <v>0</v>
      </c>
      <c r="H179" s="65">
        <v>0</v>
      </c>
      <c r="I179" s="65">
        <v>0</v>
      </c>
      <c r="J179" s="65">
        <v>0</v>
      </c>
      <c r="K179" s="65">
        <v>0</v>
      </c>
      <c r="L179" s="65">
        <v>0</v>
      </c>
      <c r="M179" s="63">
        <v>0</v>
      </c>
      <c r="N179" s="1"/>
    </row>
    <row r="180" spans="1:14" ht="16" hidden="1" customHeight="1" outlineLevel="1" x14ac:dyDescent="0.45">
      <c r="A180" s="29" t="s">
        <v>148</v>
      </c>
      <c r="B180" s="43">
        <v>0</v>
      </c>
      <c r="C180" s="63">
        <v>0</v>
      </c>
      <c r="D180" s="63">
        <v>0</v>
      </c>
      <c r="E180" s="64">
        <v>0</v>
      </c>
      <c r="F180" s="63">
        <v>0</v>
      </c>
      <c r="G180" s="63">
        <v>0</v>
      </c>
      <c r="H180" s="65">
        <v>0</v>
      </c>
      <c r="I180" s="65">
        <v>0</v>
      </c>
      <c r="J180" s="65">
        <v>0</v>
      </c>
      <c r="K180" s="65">
        <v>0</v>
      </c>
      <c r="L180" s="65">
        <v>0</v>
      </c>
      <c r="M180" s="63">
        <v>0</v>
      </c>
      <c r="N180" s="1"/>
    </row>
    <row r="181" spans="1:14" s="1" customFormat="1" collapsed="1" x14ac:dyDescent="0.45">
      <c r="A181" s="28" t="s">
        <v>83</v>
      </c>
      <c r="B181" s="43">
        <v>567892807</v>
      </c>
      <c r="C181" s="60">
        <v>82125593.00000006</v>
      </c>
      <c r="D181" s="60">
        <v>21276101</v>
      </c>
      <c r="E181" s="61">
        <v>464491112.99999994</v>
      </c>
      <c r="F181" s="60">
        <v>254757041.73204756</v>
      </c>
      <c r="G181" s="60">
        <v>111110154.11166221</v>
      </c>
      <c r="H181" s="60">
        <v>25167716.156290218</v>
      </c>
      <c r="I181" s="60">
        <v>3287348.6931043416</v>
      </c>
      <c r="J181" s="60">
        <v>2549076.8025655854</v>
      </c>
      <c r="K181" s="60">
        <v>17353097.935041744</v>
      </c>
      <c r="L181" s="60">
        <v>34107884.569288328</v>
      </c>
      <c r="M181" s="60">
        <v>16158793</v>
      </c>
    </row>
    <row r="182" spans="1:14" s="1" customFormat="1" ht="16" hidden="1" customHeight="1" outlineLevel="1" x14ac:dyDescent="0.45">
      <c r="A182" s="29" t="s">
        <v>84</v>
      </c>
      <c r="B182" s="44">
        <v>112788368</v>
      </c>
      <c r="C182" s="63">
        <v>1189565</v>
      </c>
      <c r="D182" s="63">
        <v>525459</v>
      </c>
      <c r="E182" s="64">
        <v>111073344</v>
      </c>
      <c r="F182" s="63">
        <v>79831377</v>
      </c>
      <c r="G182" s="63">
        <v>16591483</v>
      </c>
      <c r="H182" s="63">
        <v>4977249</v>
      </c>
      <c r="I182" s="63">
        <v>561227.5</v>
      </c>
      <c r="J182" s="63">
        <v>236668.5</v>
      </c>
      <c r="K182" s="63">
        <v>3546956</v>
      </c>
      <c r="L182" s="63">
        <v>5121582</v>
      </c>
      <c r="M182" s="63">
        <v>206801</v>
      </c>
    </row>
    <row r="183" spans="1:14" ht="16" hidden="1" customHeight="1" outlineLevel="1" x14ac:dyDescent="0.45">
      <c r="A183" s="29" t="s">
        <v>149</v>
      </c>
      <c r="B183" s="44">
        <v>4392222</v>
      </c>
      <c r="C183" s="63">
        <v>4392222</v>
      </c>
      <c r="D183" s="63">
        <v>0</v>
      </c>
      <c r="E183" s="64">
        <v>0</v>
      </c>
      <c r="F183" s="63">
        <v>0</v>
      </c>
      <c r="G183" s="63">
        <v>0</v>
      </c>
      <c r="H183" s="63">
        <v>0</v>
      </c>
      <c r="I183" s="63">
        <v>0</v>
      </c>
      <c r="J183" s="63">
        <v>0</v>
      </c>
      <c r="K183" s="63">
        <v>0</v>
      </c>
      <c r="L183" s="63">
        <v>0</v>
      </c>
      <c r="M183" s="63">
        <v>0</v>
      </c>
      <c r="N183" s="1"/>
    </row>
    <row r="184" spans="1:14" ht="16" hidden="1" customHeight="1" outlineLevel="1" x14ac:dyDescent="0.45">
      <c r="A184" s="29" t="s">
        <v>85</v>
      </c>
      <c r="B184" s="44">
        <v>35703009</v>
      </c>
      <c r="C184" s="63">
        <v>11724080</v>
      </c>
      <c r="D184" s="63">
        <v>3674096</v>
      </c>
      <c r="E184" s="64">
        <v>20304833</v>
      </c>
      <c r="F184" s="63">
        <v>10842425.534124576</v>
      </c>
      <c r="G184" s="63">
        <v>3150544.3095852062</v>
      </c>
      <c r="H184" s="63">
        <v>1261835.1562902192</v>
      </c>
      <c r="I184" s="63">
        <v>313210.01011934236</v>
      </c>
      <c r="J184" s="63">
        <v>297946.97757269844</v>
      </c>
      <c r="K184" s="63">
        <v>1173605.9572934653</v>
      </c>
      <c r="L184" s="63">
        <v>2404565.0550144939</v>
      </c>
      <c r="M184" s="63">
        <v>860700</v>
      </c>
      <c r="N184" s="1"/>
    </row>
    <row r="185" spans="1:14" ht="16" hidden="1" customHeight="1" outlineLevel="1" x14ac:dyDescent="0.45">
      <c r="A185" s="29" t="s">
        <v>86</v>
      </c>
      <c r="B185" s="44">
        <v>7243303</v>
      </c>
      <c r="C185" s="63">
        <v>1365753</v>
      </c>
      <c r="D185" s="63">
        <v>0</v>
      </c>
      <c r="E185" s="64">
        <v>5877550</v>
      </c>
      <c r="F185" s="63">
        <v>4263331</v>
      </c>
      <c r="G185" s="63">
        <v>1460490</v>
      </c>
      <c r="H185" s="63">
        <v>0</v>
      </c>
      <c r="I185" s="63">
        <v>0</v>
      </c>
      <c r="J185" s="63">
        <v>0</v>
      </c>
      <c r="K185" s="63">
        <v>153729</v>
      </c>
      <c r="L185" s="63">
        <v>0</v>
      </c>
      <c r="M185" s="63">
        <v>0</v>
      </c>
      <c r="N185" s="1"/>
    </row>
    <row r="186" spans="1:14" ht="16" hidden="1" customHeight="1" outlineLevel="1" x14ac:dyDescent="0.45">
      <c r="A186" s="29" t="s">
        <v>150</v>
      </c>
      <c r="B186" s="44">
        <v>0</v>
      </c>
      <c r="C186" s="63">
        <v>0</v>
      </c>
      <c r="D186" s="63">
        <v>0</v>
      </c>
      <c r="E186" s="64">
        <v>0</v>
      </c>
      <c r="F186" s="63">
        <v>0</v>
      </c>
      <c r="G186" s="63">
        <v>0</v>
      </c>
      <c r="H186" s="63">
        <v>0</v>
      </c>
      <c r="I186" s="63">
        <v>0</v>
      </c>
      <c r="J186" s="63">
        <v>0</v>
      </c>
      <c r="K186" s="63">
        <v>0</v>
      </c>
      <c r="L186" s="63">
        <v>0</v>
      </c>
      <c r="M186" s="63">
        <v>0</v>
      </c>
      <c r="N186" s="1"/>
    </row>
    <row r="187" spans="1:14" s="1" customFormat="1" ht="16" hidden="1" customHeight="1" outlineLevel="1" x14ac:dyDescent="0.45">
      <c r="A187" s="29" t="s">
        <v>87</v>
      </c>
      <c r="B187" s="44">
        <v>22429113</v>
      </c>
      <c r="C187" s="63">
        <v>800023</v>
      </c>
      <c r="D187" s="63">
        <v>0</v>
      </c>
      <c r="E187" s="64">
        <v>21629090</v>
      </c>
      <c r="F187" s="63">
        <v>12563528</v>
      </c>
      <c r="G187" s="63">
        <v>4998371</v>
      </c>
      <c r="H187" s="63">
        <v>1999913</v>
      </c>
      <c r="I187" s="63">
        <v>90455</v>
      </c>
      <c r="J187" s="63">
        <v>0</v>
      </c>
      <c r="K187" s="63">
        <v>981130</v>
      </c>
      <c r="L187" s="63">
        <v>995693</v>
      </c>
      <c r="M187" s="63">
        <v>0</v>
      </c>
    </row>
    <row r="188" spans="1:14" ht="16" hidden="1" customHeight="1" outlineLevel="1" x14ac:dyDescent="0.45">
      <c r="A188" s="29" t="s">
        <v>88</v>
      </c>
      <c r="B188" s="44">
        <v>197100821</v>
      </c>
      <c r="C188" s="63">
        <v>46547140.000000015</v>
      </c>
      <c r="D188" s="63">
        <v>16878456</v>
      </c>
      <c r="E188" s="64">
        <v>133675224.99999999</v>
      </c>
      <c r="F188" s="63">
        <v>15081869.12694687</v>
      </c>
      <c r="G188" s="63">
        <v>78966531.873053133</v>
      </c>
      <c r="H188" s="63">
        <v>16629628</v>
      </c>
      <c r="I188" s="63">
        <v>1204834.1829849994</v>
      </c>
      <c r="J188" s="63">
        <v>1197633.324992887</v>
      </c>
      <c r="K188" s="63">
        <v>5679178.9777482795</v>
      </c>
      <c r="L188" s="63">
        <v>3744443.5142738344</v>
      </c>
      <c r="M188" s="63">
        <v>11171106</v>
      </c>
      <c r="N188" s="1"/>
    </row>
    <row r="189" spans="1:14" ht="16" hidden="1" customHeight="1" outlineLevel="1" x14ac:dyDescent="0.45">
      <c r="A189" s="24" t="s">
        <v>89</v>
      </c>
      <c r="B189" s="45">
        <v>184851521</v>
      </c>
      <c r="C189" s="63">
        <v>15555548</v>
      </c>
      <c r="D189" s="63">
        <v>0</v>
      </c>
      <c r="E189" s="64">
        <v>169295973</v>
      </c>
      <c r="F189" s="63">
        <v>130846229.07097614</v>
      </c>
      <c r="G189" s="63">
        <v>5069327.9290238712</v>
      </c>
      <c r="H189" s="63">
        <v>0</v>
      </c>
      <c r="I189" s="63">
        <v>1117622</v>
      </c>
      <c r="J189" s="63">
        <v>816828</v>
      </c>
      <c r="K189" s="63">
        <v>5818498</v>
      </c>
      <c r="L189" s="63">
        <v>21707282</v>
      </c>
      <c r="M189" s="63">
        <v>3920186</v>
      </c>
      <c r="N189" s="1"/>
    </row>
    <row r="190" spans="1:14" ht="16" hidden="1" customHeight="1" outlineLevel="1" x14ac:dyDescent="0.45">
      <c r="A190" s="29" t="s">
        <v>209</v>
      </c>
      <c r="B190" s="44">
        <v>0</v>
      </c>
      <c r="C190" s="63">
        <v>0</v>
      </c>
      <c r="D190" s="63">
        <v>0</v>
      </c>
      <c r="E190" s="64">
        <v>0</v>
      </c>
      <c r="F190" s="63">
        <v>0</v>
      </c>
      <c r="G190" s="63">
        <v>0</v>
      </c>
      <c r="H190" s="63">
        <v>0</v>
      </c>
      <c r="I190" s="63">
        <v>0</v>
      </c>
      <c r="J190" s="63">
        <v>0</v>
      </c>
      <c r="K190" s="63">
        <v>0</v>
      </c>
      <c r="L190" s="63">
        <v>0</v>
      </c>
      <c r="M190" s="63">
        <v>0</v>
      </c>
      <c r="N190" s="1"/>
    </row>
    <row r="191" spans="1:14" ht="16" hidden="1" customHeight="1" outlineLevel="1" x14ac:dyDescent="0.45">
      <c r="A191" s="29" t="s">
        <v>90</v>
      </c>
      <c r="B191" s="44">
        <v>3384450</v>
      </c>
      <c r="C191" s="63">
        <v>551262</v>
      </c>
      <c r="D191" s="63">
        <v>198090</v>
      </c>
      <c r="E191" s="64">
        <v>2635098</v>
      </c>
      <c r="F191" s="63">
        <v>1328282</v>
      </c>
      <c r="G191" s="63">
        <v>873406</v>
      </c>
      <c r="H191" s="63">
        <v>299091</v>
      </c>
      <c r="I191" s="63">
        <v>0</v>
      </c>
      <c r="J191" s="63">
        <v>0</v>
      </c>
      <c r="K191" s="63">
        <v>0</v>
      </c>
      <c r="L191" s="63">
        <v>134319</v>
      </c>
      <c r="M191" s="63">
        <v>0</v>
      </c>
      <c r="N191" s="1"/>
    </row>
    <row r="192" spans="1:14" ht="16" hidden="1" customHeight="1" outlineLevel="1" x14ac:dyDescent="0.45">
      <c r="A192" s="30" t="s">
        <v>151</v>
      </c>
      <c r="B192" s="46">
        <v>0</v>
      </c>
      <c r="C192" s="63">
        <v>0</v>
      </c>
      <c r="D192" s="63">
        <v>0</v>
      </c>
      <c r="E192" s="64">
        <v>0</v>
      </c>
      <c r="F192" s="63">
        <v>0</v>
      </c>
      <c r="G192" s="63">
        <v>0</v>
      </c>
      <c r="H192" s="63">
        <v>0</v>
      </c>
      <c r="I192" s="63">
        <v>0</v>
      </c>
      <c r="J192" s="63">
        <v>0</v>
      </c>
      <c r="K192" s="63">
        <v>0</v>
      </c>
      <c r="L192" s="63">
        <v>0</v>
      </c>
      <c r="M192" s="63">
        <v>0</v>
      </c>
      <c r="N192" s="1"/>
    </row>
    <row r="193" spans="1:14" s="1" customFormat="1" collapsed="1" x14ac:dyDescent="0.45">
      <c r="A193" s="28" t="s">
        <v>91</v>
      </c>
      <c r="B193" s="43">
        <v>122823324</v>
      </c>
      <c r="C193" s="60">
        <v>10615157</v>
      </c>
      <c r="D193" s="60">
        <v>6536780</v>
      </c>
      <c r="E193" s="61">
        <v>105671387</v>
      </c>
      <c r="F193" s="60">
        <v>83048883.738464981</v>
      </c>
      <c r="G193" s="60">
        <v>9920077.2615350112</v>
      </c>
      <c r="H193" s="60">
        <v>5271802</v>
      </c>
      <c r="I193" s="60">
        <v>92355</v>
      </c>
      <c r="J193" s="60">
        <v>78173</v>
      </c>
      <c r="K193" s="60">
        <v>3661622</v>
      </c>
      <c r="L193" s="60">
        <v>2106159</v>
      </c>
      <c r="M193" s="60">
        <v>1492315</v>
      </c>
    </row>
    <row r="194" spans="1:14" ht="16" hidden="1" customHeight="1" outlineLevel="1" x14ac:dyDescent="0.45">
      <c r="A194" s="29" t="s">
        <v>92</v>
      </c>
      <c r="B194" s="44">
        <v>44347308</v>
      </c>
      <c r="C194" s="63">
        <v>5875260</v>
      </c>
      <c r="D194" s="63">
        <v>5650160</v>
      </c>
      <c r="E194" s="64">
        <v>32821888</v>
      </c>
      <c r="F194" s="63">
        <v>26143549.030750122</v>
      </c>
      <c r="G194" s="63">
        <v>4720883.969249879</v>
      </c>
      <c r="H194" s="63">
        <v>338870</v>
      </c>
      <c r="I194" s="63">
        <v>62855</v>
      </c>
      <c r="J194" s="63">
        <v>62855</v>
      </c>
      <c r="K194" s="63">
        <v>395770</v>
      </c>
      <c r="L194" s="63">
        <v>1097105</v>
      </c>
      <c r="M194" s="63">
        <v>0</v>
      </c>
      <c r="N194" s="1"/>
    </row>
    <row r="195" spans="1:14" ht="16" hidden="1" customHeight="1" outlineLevel="1" x14ac:dyDescent="0.45">
      <c r="A195" s="29" t="s">
        <v>93</v>
      </c>
      <c r="B195" s="44">
        <v>55791447</v>
      </c>
      <c r="C195" s="63">
        <v>4106009</v>
      </c>
      <c r="D195" s="63">
        <v>2366</v>
      </c>
      <c r="E195" s="64">
        <v>51683072</v>
      </c>
      <c r="F195" s="63">
        <v>41355323</v>
      </c>
      <c r="G195" s="63">
        <v>2334000</v>
      </c>
      <c r="H195" s="63">
        <v>4806806</v>
      </c>
      <c r="I195" s="63">
        <v>15318</v>
      </c>
      <c r="J195" s="63">
        <v>15318</v>
      </c>
      <c r="K195" s="63">
        <v>3156307</v>
      </c>
      <c r="L195" s="63">
        <v>0</v>
      </c>
      <c r="M195" s="63">
        <v>0</v>
      </c>
      <c r="N195" s="1"/>
    </row>
    <row r="196" spans="1:14" ht="16" hidden="1" customHeight="1" outlineLevel="1" x14ac:dyDescent="0.45">
      <c r="A196" s="29" t="s">
        <v>94</v>
      </c>
      <c r="B196" s="44">
        <v>22684569</v>
      </c>
      <c r="C196" s="63">
        <v>633888</v>
      </c>
      <c r="D196" s="63">
        <v>884254</v>
      </c>
      <c r="E196" s="64">
        <v>21166427</v>
      </c>
      <c r="F196" s="63">
        <v>15550011.707714867</v>
      </c>
      <c r="G196" s="63">
        <v>2865193.2922851322</v>
      </c>
      <c r="H196" s="63">
        <v>126126</v>
      </c>
      <c r="I196" s="63">
        <v>14182</v>
      </c>
      <c r="J196" s="63">
        <v>0</v>
      </c>
      <c r="K196" s="63">
        <v>109545</v>
      </c>
      <c r="L196" s="63">
        <v>1009054</v>
      </c>
      <c r="M196" s="63">
        <v>1492315</v>
      </c>
      <c r="N196" s="1"/>
    </row>
    <row r="197" spans="1:14" ht="16" hidden="1" customHeight="1" outlineLevel="1" x14ac:dyDescent="0.45">
      <c r="A197" s="29" t="s">
        <v>210</v>
      </c>
      <c r="B197" s="44">
        <v>0</v>
      </c>
      <c r="C197" s="63">
        <v>0</v>
      </c>
      <c r="D197" s="63">
        <v>0</v>
      </c>
      <c r="E197" s="64">
        <v>0</v>
      </c>
      <c r="F197" s="63">
        <v>0</v>
      </c>
      <c r="G197" s="63">
        <v>0</v>
      </c>
      <c r="H197" s="63">
        <v>0</v>
      </c>
      <c r="I197" s="63">
        <v>0</v>
      </c>
      <c r="J197" s="63">
        <v>0</v>
      </c>
      <c r="K197" s="63">
        <v>0</v>
      </c>
      <c r="L197" s="63">
        <v>0</v>
      </c>
      <c r="M197" s="63">
        <v>0</v>
      </c>
      <c r="N197" s="1"/>
    </row>
    <row r="198" spans="1:14" s="1" customFormat="1" ht="16" hidden="1" customHeight="1" outlineLevel="1" x14ac:dyDescent="0.45">
      <c r="A198" s="24" t="s">
        <v>211</v>
      </c>
      <c r="B198" s="45">
        <v>0</v>
      </c>
      <c r="C198" s="63">
        <v>0</v>
      </c>
      <c r="D198" s="63">
        <v>0</v>
      </c>
      <c r="E198" s="64">
        <v>0</v>
      </c>
      <c r="F198" s="63">
        <v>0</v>
      </c>
      <c r="G198" s="63">
        <v>0</v>
      </c>
      <c r="H198" s="63">
        <v>0</v>
      </c>
      <c r="I198" s="63">
        <v>0</v>
      </c>
      <c r="J198" s="63">
        <v>0</v>
      </c>
      <c r="K198" s="63">
        <v>0</v>
      </c>
      <c r="L198" s="63">
        <v>0</v>
      </c>
      <c r="M198" s="63">
        <v>0</v>
      </c>
    </row>
    <row r="199" spans="1:14" s="1" customFormat="1" collapsed="1" x14ac:dyDescent="0.45">
      <c r="A199" s="28" t="s">
        <v>95</v>
      </c>
      <c r="B199" s="43">
        <v>2116998370</v>
      </c>
      <c r="C199" s="69">
        <v>819996024</v>
      </c>
      <c r="D199" s="69">
        <v>97229998</v>
      </c>
      <c r="E199" s="61">
        <v>1199772348</v>
      </c>
      <c r="F199" s="60">
        <v>129880462.00224024</v>
      </c>
      <c r="G199" s="60">
        <v>23573773.997759752</v>
      </c>
      <c r="H199" s="70">
        <v>737370526</v>
      </c>
      <c r="I199" s="70">
        <v>1741567</v>
      </c>
      <c r="J199" s="70">
        <v>1741567</v>
      </c>
      <c r="K199" s="70">
        <v>16220166</v>
      </c>
      <c r="L199" s="70">
        <v>7490529</v>
      </c>
      <c r="M199" s="60">
        <v>281753757</v>
      </c>
    </row>
    <row r="200" spans="1:14" ht="16" hidden="1" customHeight="1" outlineLevel="1" x14ac:dyDescent="0.45">
      <c r="A200" s="29" t="s">
        <v>152</v>
      </c>
      <c r="B200" s="44">
        <v>265841734</v>
      </c>
      <c r="C200" s="71">
        <v>260201041</v>
      </c>
      <c r="D200" s="71">
        <v>0</v>
      </c>
      <c r="E200" s="64">
        <v>5640693</v>
      </c>
      <c r="F200" s="63">
        <v>0</v>
      </c>
      <c r="G200" s="63">
        <v>0</v>
      </c>
      <c r="H200" s="32">
        <v>0</v>
      </c>
      <c r="I200" s="32">
        <v>0</v>
      </c>
      <c r="J200" s="32">
        <v>0</v>
      </c>
      <c r="K200" s="32">
        <v>0</v>
      </c>
      <c r="L200" s="32">
        <v>0</v>
      </c>
      <c r="M200" s="63">
        <v>5640693</v>
      </c>
      <c r="N200" s="1"/>
    </row>
    <row r="201" spans="1:14" ht="16" hidden="1" customHeight="1" outlineLevel="1" x14ac:dyDescent="0.45">
      <c r="A201" s="29" t="s">
        <v>153</v>
      </c>
      <c r="B201" s="44">
        <v>887375520</v>
      </c>
      <c r="C201" s="71">
        <v>13444876</v>
      </c>
      <c r="D201" s="71">
        <v>4441464</v>
      </c>
      <c r="E201" s="64">
        <v>869489180</v>
      </c>
      <c r="F201" s="63">
        <v>9435385.3920453805</v>
      </c>
      <c r="G201" s="63">
        <v>6600797.6079546195</v>
      </c>
      <c r="H201" s="32">
        <v>600525474</v>
      </c>
      <c r="I201" s="32">
        <v>78823.5</v>
      </c>
      <c r="J201" s="32">
        <v>78823.5</v>
      </c>
      <c r="K201" s="32">
        <v>2758824</v>
      </c>
      <c r="L201" s="32">
        <v>5152529</v>
      </c>
      <c r="M201" s="63">
        <v>244858523</v>
      </c>
      <c r="N201" s="1"/>
    </row>
    <row r="202" spans="1:14" ht="16" hidden="1" customHeight="1" outlineLevel="1" x14ac:dyDescent="0.45">
      <c r="A202" s="29" t="s">
        <v>117</v>
      </c>
      <c r="B202" s="44">
        <v>43908440</v>
      </c>
      <c r="C202" s="71">
        <v>41772940</v>
      </c>
      <c r="D202" s="71">
        <v>0</v>
      </c>
      <c r="E202" s="64">
        <v>2135500</v>
      </c>
      <c r="F202" s="63">
        <v>0</v>
      </c>
      <c r="G202" s="63">
        <v>2135500</v>
      </c>
      <c r="H202" s="32">
        <v>0</v>
      </c>
      <c r="I202" s="32">
        <v>0</v>
      </c>
      <c r="J202" s="32">
        <v>0</v>
      </c>
      <c r="K202" s="32">
        <v>0</v>
      </c>
      <c r="L202" s="32">
        <v>0</v>
      </c>
      <c r="M202" s="63">
        <v>0</v>
      </c>
      <c r="N202" s="1"/>
    </row>
    <row r="203" spans="1:14" ht="16" hidden="1" customHeight="1" outlineLevel="1" x14ac:dyDescent="0.45">
      <c r="A203" s="29" t="s">
        <v>154</v>
      </c>
      <c r="B203" s="44">
        <v>-922075</v>
      </c>
      <c r="C203" s="71">
        <v>-924619</v>
      </c>
      <c r="D203" s="71">
        <v>2544</v>
      </c>
      <c r="E203" s="64">
        <v>0</v>
      </c>
      <c r="F203" s="63">
        <v>0</v>
      </c>
      <c r="G203" s="63">
        <v>0</v>
      </c>
      <c r="H203" s="32">
        <v>0</v>
      </c>
      <c r="I203" s="32">
        <v>0</v>
      </c>
      <c r="J203" s="32">
        <v>0</v>
      </c>
      <c r="K203" s="32">
        <v>0</v>
      </c>
      <c r="L203" s="32">
        <v>0</v>
      </c>
      <c r="M203" s="63">
        <v>0</v>
      </c>
      <c r="N203" s="1"/>
    </row>
    <row r="204" spans="1:14" ht="16" hidden="1" customHeight="1" outlineLevel="1" x14ac:dyDescent="0.45">
      <c r="A204" s="29" t="s">
        <v>96</v>
      </c>
      <c r="B204" s="44">
        <v>25560596</v>
      </c>
      <c r="C204" s="71">
        <v>1036500</v>
      </c>
      <c r="D204" s="71">
        <v>911000</v>
      </c>
      <c r="E204" s="64">
        <v>23613096</v>
      </c>
      <c r="F204" s="63">
        <v>19860418.419786699</v>
      </c>
      <c r="G204" s="63">
        <v>3431677.580213299</v>
      </c>
      <c r="H204" s="32">
        <v>0</v>
      </c>
      <c r="I204" s="32">
        <v>0</v>
      </c>
      <c r="J204" s="32">
        <v>0</v>
      </c>
      <c r="K204" s="32">
        <v>123000</v>
      </c>
      <c r="L204" s="32">
        <v>128000</v>
      </c>
      <c r="M204" s="63">
        <v>70000</v>
      </c>
      <c r="N204" s="1"/>
    </row>
    <row r="205" spans="1:14" ht="16" hidden="1" customHeight="1" outlineLevel="1" x14ac:dyDescent="0.45">
      <c r="A205" s="29" t="s">
        <v>97</v>
      </c>
      <c r="B205" s="44">
        <v>73200</v>
      </c>
      <c r="C205" s="71">
        <v>17000</v>
      </c>
      <c r="D205" s="71">
        <v>0</v>
      </c>
      <c r="E205" s="64">
        <v>56200</v>
      </c>
      <c r="F205" s="63">
        <v>56200</v>
      </c>
      <c r="G205" s="63">
        <v>0</v>
      </c>
      <c r="H205" s="32">
        <v>0</v>
      </c>
      <c r="I205" s="32">
        <v>0</v>
      </c>
      <c r="J205" s="32">
        <v>0</v>
      </c>
      <c r="K205" s="32">
        <v>0</v>
      </c>
      <c r="L205" s="32">
        <v>0</v>
      </c>
      <c r="M205" s="63">
        <v>0</v>
      </c>
      <c r="N205" s="1"/>
    </row>
    <row r="206" spans="1:14" ht="16" hidden="1" customHeight="1" outlineLevel="1" x14ac:dyDescent="0.45">
      <c r="A206" s="29" t="s">
        <v>98</v>
      </c>
      <c r="B206" s="44">
        <v>413582651</v>
      </c>
      <c r="C206" s="71">
        <v>375037000</v>
      </c>
      <c r="D206" s="71">
        <v>0</v>
      </c>
      <c r="E206" s="64">
        <v>38545651</v>
      </c>
      <c r="F206" s="63">
        <v>21765651</v>
      </c>
      <c r="G206" s="63">
        <v>6530000</v>
      </c>
      <c r="H206" s="32">
        <v>0</v>
      </c>
      <c r="I206" s="32">
        <v>0</v>
      </c>
      <c r="J206" s="32">
        <v>0</v>
      </c>
      <c r="K206" s="32">
        <v>8040000</v>
      </c>
      <c r="L206" s="32">
        <v>2210000</v>
      </c>
      <c r="M206" s="63">
        <v>0</v>
      </c>
      <c r="N206" s="1"/>
    </row>
    <row r="207" spans="1:14" ht="16" hidden="1" customHeight="1" outlineLevel="1" x14ac:dyDescent="0.45">
      <c r="A207" s="29" t="s">
        <v>99</v>
      </c>
      <c r="B207" s="44">
        <v>225612199</v>
      </c>
      <c r="C207" s="71">
        <v>81620584</v>
      </c>
      <c r="D207" s="71">
        <v>0</v>
      </c>
      <c r="E207" s="64">
        <v>143991615</v>
      </c>
      <c r="F207" s="63">
        <v>28126295.00406564</v>
      </c>
      <c r="G207" s="63">
        <v>3606350.9959343607</v>
      </c>
      <c r="H207" s="32">
        <v>84176698</v>
      </c>
      <c r="I207" s="32">
        <v>0</v>
      </c>
      <c r="J207" s="32">
        <v>0</v>
      </c>
      <c r="K207" s="32">
        <v>167900</v>
      </c>
      <c r="L207" s="32">
        <v>0</v>
      </c>
      <c r="M207" s="63">
        <v>27914371</v>
      </c>
      <c r="N207" s="1"/>
    </row>
    <row r="208" spans="1:14" ht="16" hidden="1" customHeight="1" outlineLevel="1" x14ac:dyDescent="0.45">
      <c r="A208" s="29" t="s">
        <v>155</v>
      </c>
      <c r="B208" s="44">
        <v>28765392</v>
      </c>
      <c r="C208" s="71">
        <v>28765392</v>
      </c>
      <c r="D208" s="71">
        <v>0</v>
      </c>
      <c r="E208" s="64">
        <v>0</v>
      </c>
      <c r="F208" s="63">
        <v>0</v>
      </c>
      <c r="G208" s="63">
        <v>0</v>
      </c>
      <c r="H208" s="32">
        <v>0</v>
      </c>
      <c r="I208" s="32">
        <v>0</v>
      </c>
      <c r="J208" s="32">
        <v>0</v>
      </c>
      <c r="K208" s="32">
        <v>0</v>
      </c>
      <c r="L208" s="32">
        <v>0</v>
      </c>
      <c r="M208" s="63">
        <v>0</v>
      </c>
      <c r="N208" s="1"/>
    </row>
    <row r="209" spans="1:14" ht="16" hidden="1" customHeight="1" outlineLevel="1" x14ac:dyDescent="0.45">
      <c r="A209" s="29" t="s">
        <v>100</v>
      </c>
      <c r="B209" s="44">
        <v>226853440</v>
      </c>
      <c r="C209" s="71">
        <v>19025310</v>
      </c>
      <c r="D209" s="71">
        <v>91874990</v>
      </c>
      <c r="E209" s="64">
        <v>115953140</v>
      </c>
      <c r="F209" s="63">
        <v>50636512.186342537</v>
      </c>
      <c r="G209" s="63">
        <v>1269447.8136574705</v>
      </c>
      <c r="H209" s="32">
        <v>52668354</v>
      </c>
      <c r="I209" s="32">
        <v>1662743.5</v>
      </c>
      <c r="J209" s="32">
        <v>1662743.5</v>
      </c>
      <c r="K209" s="32">
        <v>4783169</v>
      </c>
      <c r="L209" s="32">
        <v>0</v>
      </c>
      <c r="M209" s="63">
        <v>3270170</v>
      </c>
      <c r="N209" s="1"/>
    </row>
    <row r="210" spans="1:14" ht="16" hidden="1" customHeight="1" outlineLevel="1" x14ac:dyDescent="0.45">
      <c r="A210" s="24" t="s">
        <v>212</v>
      </c>
      <c r="B210" s="45">
        <v>0</v>
      </c>
      <c r="C210" s="71">
        <v>0</v>
      </c>
      <c r="D210" s="71">
        <v>0</v>
      </c>
      <c r="E210" s="64">
        <v>0</v>
      </c>
      <c r="F210" s="63">
        <v>0</v>
      </c>
      <c r="G210" s="63">
        <v>0</v>
      </c>
      <c r="H210" s="32">
        <v>0</v>
      </c>
      <c r="I210" s="32">
        <v>0</v>
      </c>
      <c r="J210" s="32">
        <v>0</v>
      </c>
      <c r="K210" s="32">
        <v>0</v>
      </c>
      <c r="L210" s="32">
        <v>0</v>
      </c>
      <c r="M210" s="63">
        <v>0</v>
      </c>
      <c r="N210" s="1"/>
    </row>
    <row r="211" spans="1:14" ht="16" hidden="1" customHeight="1" outlineLevel="1" x14ac:dyDescent="0.45">
      <c r="A211" s="29" t="s">
        <v>213</v>
      </c>
      <c r="B211" s="44">
        <v>0</v>
      </c>
      <c r="C211" s="71">
        <v>0</v>
      </c>
      <c r="D211" s="71">
        <v>0</v>
      </c>
      <c r="E211" s="64">
        <v>0</v>
      </c>
      <c r="F211" s="63">
        <v>0</v>
      </c>
      <c r="G211" s="63">
        <v>0</v>
      </c>
      <c r="H211" s="32">
        <v>0</v>
      </c>
      <c r="I211" s="32">
        <v>0</v>
      </c>
      <c r="J211" s="32">
        <v>0</v>
      </c>
      <c r="K211" s="32">
        <v>0</v>
      </c>
      <c r="L211" s="32">
        <v>0</v>
      </c>
      <c r="M211" s="63">
        <v>0</v>
      </c>
      <c r="N211" s="1"/>
    </row>
    <row r="212" spans="1:14" ht="16" hidden="1" customHeight="1" outlineLevel="1" x14ac:dyDescent="0.45">
      <c r="A212" s="24" t="s">
        <v>214</v>
      </c>
      <c r="B212" s="45">
        <v>0</v>
      </c>
      <c r="C212" s="71">
        <v>0</v>
      </c>
      <c r="D212" s="71">
        <v>0</v>
      </c>
      <c r="E212" s="64">
        <v>0</v>
      </c>
      <c r="F212" s="63">
        <v>0</v>
      </c>
      <c r="G212" s="63">
        <v>0</v>
      </c>
      <c r="H212" s="32">
        <v>0</v>
      </c>
      <c r="I212" s="32">
        <v>0</v>
      </c>
      <c r="J212" s="32">
        <v>0</v>
      </c>
      <c r="K212" s="32">
        <v>0</v>
      </c>
      <c r="L212" s="32">
        <v>0</v>
      </c>
      <c r="M212" s="63">
        <v>0</v>
      </c>
      <c r="N212" s="1"/>
    </row>
    <row r="213" spans="1:14" ht="16" hidden="1" customHeight="1" outlineLevel="1" x14ac:dyDescent="0.45">
      <c r="A213" s="29" t="s">
        <v>215</v>
      </c>
      <c r="B213" s="44">
        <v>0</v>
      </c>
      <c r="C213" s="71">
        <v>0</v>
      </c>
      <c r="D213" s="71">
        <v>0</v>
      </c>
      <c r="E213" s="64">
        <v>0</v>
      </c>
      <c r="F213" s="63">
        <v>0</v>
      </c>
      <c r="G213" s="63">
        <v>0</v>
      </c>
      <c r="H213" s="32">
        <v>0</v>
      </c>
      <c r="I213" s="32">
        <v>0</v>
      </c>
      <c r="J213" s="32">
        <v>0</v>
      </c>
      <c r="K213" s="32">
        <v>0</v>
      </c>
      <c r="L213" s="32">
        <v>0</v>
      </c>
      <c r="M213" s="63">
        <v>0</v>
      </c>
      <c r="N213" s="1"/>
    </row>
    <row r="214" spans="1:14" ht="16" hidden="1" customHeight="1" outlineLevel="1" x14ac:dyDescent="0.45">
      <c r="A214" s="29" t="s">
        <v>257</v>
      </c>
      <c r="B214" s="44">
        <v>347273</v>
      </c>
      <c r="C214" s="71">
        <v>0</v>
      </c>
      <c r="D214" s="71">
        <v>0</v>
      </c>
      <c r="E214" s="64">
        <v>347273</v>
      </c>
      <c r="F214" s="63">
        <v>0</v>
      </c>
      <c r="G214" s="63">
        <v>0</v>
      </c>
      <c r="H214" s="32">
        <v>0</v>
      </c>
      <c r="I214" s="32">
        <v>0</v>
      </c>
      <c r="J214" s="32">
        <v>0</v>
      </c>
      <c r="K214" s="32">
        <v>347273</v>
      </c>
      <c r="L214" s="32">
        <v>0</v>
      </c>
      <c r="M214" s="63">
        <v>0</v>
      </c>
      <c r="N214" s="1"/>
    </row>
    <row r="215" spans="1:14" s="1" customFormat="1" collapsed="1" x14ac:dyDescent="0.45">
      <c r="A215" s="28" t="s">
        <v>156</v>
      </c>
      <c r="B215" s="43">
        <v>84063008</v>
      </c>
      <c r="C215" s="69">
        <v>7000000</v>
      </c>
      <c r="D215" s="69">
        <v>0</v>
      </c>
      <c r="E215" s="61">
        <v>77063008</v>
      </c>
      <c r="F215" s="60">
        <v>45481818</v>
      </c>
      <c r="G215" s="60">
        <v>0</v>
      </c>
      <c r="H215" s="70">
        <v>31581190</v>
      </c>
      <c r="I215" s="70">
        <v>0</v>
      </c>
      <c r="J215" s="70">
        <v>0</v>
      </c>
      <c r="K215" s="70">
        <v>0</v>
      </c>
      <c r="L215" s="70">
        <v>0</v>
      </c>
      <c r="M215" s="60">
        <v>0</v>
      </c>
    </row>
    <row r="216" spans="1:14" ht="16" hidden="1" customHeight="1" outlineLevel="1" x14ac:dyDescent="0.45">
      <c r="A216" s="29" t="s">
        <v>157</v>
      </c>
      <c r="B216" s="44">
        <v>84063008</v>
      </c>
      <c r="C216" s="71">
        <v>7000000</v>
      </c>
      <c r="D216" s="71">
        <v>0</v>
      </c>
      <c r="E216" s="64">
        <v>77063008</v>
      </c>
      <c r="F216" s="63">
        <v>45481818</v>
      </c>
      <c r="G216" s="63">
        <v>0</v>
      </c>
      <c r="H216" s="32">
        <v>31581190</v>
      </c>
      <c r="I216" s="32">
        <v>0</v>
      </c>
      <c r="J216" s="32">
        <v>0</v>
      </c>
      <c r="K216" s="32">
        <v>0</v>
      </c>
      <c r="L216" s="32">
        <v>0</v>
      </c>
      <c r="M216" s="63">
        <v>0</v>
      </c>
      <c r="N216" s="1"/>
    </row>
    <row r="217" spans="1:14" s="1" customFormat="1" collapsed="1" x14ac:dyDescent="0.45">
      <c r="A217" s="28" t="s">
        <v>101</v>
      </c>
      <c r="B217" s="43">
        <v>3506786257</v>
      </c>
      <c r="C217" s="69">
        <v>-2158785295</v>
      </c>
      <c r="D217" s="69">
        <v>6708182</v>
      </c>
      <c r="E217" s="61">
        <v>5658863370</v>
      </c>
      <c r="F217" s="60">
        <v>2358964384</v>
      </c>
      <c r="G217" s="60">
        <v>103660427</v>
      </c>
      <c r="H217" s="70">
        <v>2386697567</v>
      </c>
      <c r="I217" s="70">
        <v>15509700</v>
      </c>
      <c r="J217" s="70">
        <v>0</v>
      </c>
      <c r="K217" s="70">
        <v>32682883</v>
      </c>
      <c r="L217" s="70">
        <v>729482231</v>
      </c>
      <c r="M217" s="60">
        <v>31866178</v>
      </c>
    </row>
    <row r="218" spans="1:14" s="1" customFormat="1" ht="16" hidden="1" customHeight="1" outlineLevel="1" x14ac:dyDescent="0.45">
      <c r="A218" s="28" t="s">
        <v>166</v>
      </c>
      <c r="B218" s="43">
        <v>0</v>
      </c>
      <c r="C218" s="69">
        <v>-862442183</v>
      </c>
      <c r="D218" s="69">
        <v>0</v>
      </c>
      <c r="E218" s="61">
        <v>862442183</v>
      </c>
      <c r="F218" s="60">
        <v>781631640</v>
      </c>
      <c r="G218" s="60">
        <v>0</v>
      </c>
      <c r="H218" s="70">
        <v>7341200</v>
      </c>
      <c r="I218" s="70">
        <v>12794100</v>
      </c>
      <c r="J218" s="70">
        <v>0</v>
      </c>
      <c r="K218" s="70">
        <v>32682883</v>
      </c>
      <c r="L218" s="70">
        <v>27992360</v>
      </c>
      <c r="M218" s="60">
        <v>0</v>
      </c>
    </row>
    <row r="219" spans="1:14" ht="16" hidden="1" customHeight="1" outlineLevel="1" x14ac:dyDescent="0.45">
      <c r="A219" s="29" t="s">
        <v>216</v>
      </c>
      <c r="B219" s="44">
        <v>0</v>
      </c>
      <c r="C219" s="71">
        <v>0</v>
      </c>
      <c r="D219" s="71">
        <v>0</v>
      </c>
      <c r="E219" s="64">
        <v>0</v>
      </c>
      <c r="F219" s="63">
        <v>0</v>
      </c>
      <c r="G219" s="63">
        <v>0</v>
      </c>
      <c r="H219" s="32">
        <v>0</v>
      </c>
      <c r="I219" s="32">
        <v>0</v>
      </c>
      <c r="J219" s="32">
        <v>0</v>
      </c>
      <c r="K219" s="32">
        <v>0</v>
      </c>
      <c r="L219" s="32">
        <v>0</v>
      </c>
      <c r="M219" s="63">
        <v>0</v>
      </c>
      <c r="N219" s="1"/>
    </row>
    <row r="220" spans="1:14" ht="16" hidden="1" customHeight="1" outlineLevel="1" x14ac:dyDescent="0.45">
      <c r="A220" s="29" t="s">
        <v>102</v>
      </c>
      <c r="B220" s="44">
        <v>0</v>
      </c>
      <c r="C220" s="71">
        <v>0</v>
      </c>
      <c r="D220" s="71">
        <v>0</v>
      </c>
      <c r="E220" s="64">
        <v>0</v>
      </c>
      <c r="F220" s="63">
        <v>0</v>
      </c>
      <c r="G220" s="63">
        <v>0</v>
      </c>
      <c r="H220" s="32">
        <v>0</v>
      </c>
      <c r="I220" s="32">
        <v>0</v>
      </c>
      <c r="J220" s="32">
        <v>0</v>
      </c>
      <c r="K220" s="32">
        <v>0</v>
      </c>
      <c r="L220" s="32">
        <v>0</v>
      </c>
      <c r="M220" s="63">
        <v>0</v>
      </c>
      <c r="N220" s="1"/>
    </row>
    <row r="221" spans="1:14" ht="16" hidden="1" customHeight="1" outlineLevel="1" x14ac:dyDescent="0.45">
      <c r="A221" s="29" t="s">
        <v>103</v>
      </c>
      <c r="B221" s="44">
        <v>24509637</v>
      </c>
      <c r="C221" s="71">
        <v>6283130</v>
      </c>
      <c r="D221" s="71">
        <v>0</v>
      </c>
      <c r="E221" s="64">
        <v>18226507</v>
      </c>
      <c r="F221" s="63">
        <v>18226507</v>
      </c>
      <c r="G221" s="63">
        <v>0</v>
      </c>
      <c r="H221" s="32">
        <v>0</v>
      </c>
      <c r="I221" s="32">
        <v>0</v>
      </c>
      <c r="J221" s="32">
        <v>0</v>
      </c>
      <c r="K221" s="32">
        <v>0</v>
      </c>
      <c r="L221" s="32">
        <v>0</v>
      </c>
      <c r="M221" s="63">
        <v>0</v>
      </c>
      <c r="N221" s="1"/>
    </row>
    <row r="222" spans="1:14" s="1" customFormat="1" ht="16" hidden="1" customHeight="1" outlineLevel="1" collapsed="1" x14ac:dyDescent="0.45">
      <c r="A222" s="28" t="s">
        <v>104</v>
      </c>
      <c r="B222" s="43">
        <v>0</v>
      </c>
      <c r="C222" s="69">
        <v>-1329420200</v>
      </c>
      <c r="D222" s="69">
        <v>0</v>
      </c>
      <c r="E222" s="61">
        <v>1329420200</v>
      </c>
      <c r="F222" s="60">
        <v>830134800</v>
      </c>
      <c r="G222" s="60">
        <v>0</v>
      </c>
      <c r="H222" s="70">
        <v>0</v>
      </c>
      <c r="I222" s="70">
        <v>0</v>
      </c>
      <c r="J222" s="70">
        <v>0</v>
      </c>
      <c r="K222" s="70">
        <v>0</v>
      </c>
      <c r="L222" s="70">
        <v>499285400</v>
      </c>
      <c r="M222" s="60">
        <v>0</v>
      </c>
    </row>
    <row r="223" spans="1:14" ht="16" hidden="1" customHeight="1" outlineLevel="1" x14ac:dyDescent="0.45">
      <c r="A223" s="29" t="s">
        <v>116</v>
      </c>
      <c r="B223" s="44">
        <v>149420538</v>
      </c>
      <c r="C223" s="71">
        <v>23288577</v>
      </c>
      <c r="D223" s="71">
        <v>6708182</v>
      </c>
      <c r="E223" s="64">
        <v>119423779</v>
      </c>
      <c r="F223" s="63">
        <v>496045</v>
      </c>
      <c r="G223" s="63">
        <v>103660427</v>
      </c>
      <c r="H223" s="32">
        <v>0</v>
      </c>
      <c r="I223" s="32">
        <v>0</v>
      </c>
      <c r="J223" s="32">
        <v>0</v>
      </c>
      <c r="K223" s="32">
        <v>0</v>
      </c>
      <c r="L223" s="32">
        <v>376999</v>
      </c>
      <c r="M223" s="63">
        <v>14890308</v>
      </c>
      <c r="N223" s="1"/>
    </row>
    <row r="224" spans="1:14" ht="16" hidden="1" customHeight="1" outlineLevel="1" x14ac:dyDescent="0.45">
      <c r="A224" s="29" t="s">
        <v>105</v>
      </c>
      <c r="B224" s="44">
        <v>3332856082</v>
      </c>
      <c r="C224" s="71">
        <v>3505381</v>
      </c>
      <c r="D224" s="71">
        <v>0</v>
      </c>
      <c r="E224" s="64">
        <v>3329350701</v>
      </c>
      <c r="F224" s="63">
        <v>728475392</v>
      </c>
      <c r="G224" s="63">
        <v>0</v>
      </c>
      <c r="H224" s="32">
        <v>2379356367</v>
      </c>
      <c r="I224" s="72">
        <v>2715600</v>
      </c>
      <c r="J224" s="72">
        <v>0</v>
      </c>
      <c r="K224" s="72">
        <v>0</v>
      </c>
      <c r="L224" s="72">
        <v>201827472</v>
      </c>
      <c r="M224" s="63">
        <v>16975870</v>
      </c>
      <c r="N224" s="1"/>
    </row>
    <row r="225" spans="1:14" ht="16" hidden="1" customHeight="1" outlineLevel="1" x14ac:dyDescent="0.45">
      <c r="A225" s="29" t="s">
        <v>217</v>
      </c>
      <c r="B225" s="44">
        <v>0</v>
      </c>
      <c r="C225" s="71">
        <v>0</v>
      </c>
      <c r="D225" s="71">
        <v>0</v>
      </c>
      <c r="E225" s="64">
        <v>0</v>
      </c>
      <c r="F225" s="63">
        <v>0</v>
      </c>
      <c r="G225" s="63">
        <v>0</v>
      </c>
      <c r="H225" s="32">
        <v>0</v>
      </c>
      <c r="I225" s="32">
        <v>0</v>
      </c>
      <c r="J225" s="32">
        <v>0</v>
      </c>
      <c r="K225" s="32">
        <v>0</v>
      </c>
      <c r="L225" s="32">
        <v>0</v>
      </c>
      <c r="M225" s="63">
        <v>0</v>
      </c>
      <c r="N225" s="1"/>
    </row>
    <row r="226" spans="1:14" ht="16" hidden="1" customHeight="1" outlineLevel="1" x14ac:dyDescent="0.45">
      <c r="A226" s="29" t="s">
        <v>106</v>
      </c>
      <c r="B226" s="44">
        <v>0</v>
      </c>
      <c r="C226" s="71">
        <v>0</v>
      </c>
      <c r="D226" s="71">
        <v>0</v>
      </c>
      <c r="E226" s="64">
        <v>0</v>
      </c>
      <c r="F226" s="63">
        <v>0</v>
      </c>
      <c r="G226" s="63">
        <v>0</v>
      </c>
      <c r="H226" s="32">
        <v>0</v>
      </c>
      <c r="I226" s="32">
        <v>0</v>
      </c>
      <c r="J226" s="32">
        <v>0</v>
      </c>
      <c r="K226" s="32">
        <v>0</v>
      </c>
      <c r="L226" s="32">
        <v>0</v>
      </c>
      <c r="M226" s="63">
        <v>0</v>
      </c>
      <c r="N226" s="1"/>
    </row>
    <row r="227" spans="1:14" s="1" customFormat="1" ht="16" hidden="1" customHeight="1" outlineLevel="1" collapsed="1" x14ac:dyDescent="0.45">
      <c r="A227" s="28" t="s">
        <v>260</v>
      </c>
      <c r="B227" s="43">
        <v>0</v>
      </c>
      <c r="C227" s="69">
        <v>0</v>
      </c>
      <c r="D227" s="69">
        <v>0</v>
      </c>
      <c r="E227" s="61">
        <v>0</v>
      </c>
      <c r="F227" s="60">
        <v>0</v>
      </c>
      <c r="G227" s="60">
        <v>0</v>
      </c>
      <c r="H227" s="70">
        <v>0</v>
      </c>
      <c r="I227" s="70">
        <v>0</v>
      </c>
      <c r="J227" s="70">
        <v>0</v>
      </c>
      <c r="K227" s="70">
        <v>0</v>
      </c>
      <c r="L227" s="70">
        <v>0</v>
      </c>
      <c r="M227" s="60">
        <v>0</v>
      </c>
    </row>
    <row r="228" spans="1:14" s="1" customFormat="1" collapsed="1" x14ac:dyDescent="0.45">
      <c r="A228" s="28" t="s">
        <v>218</v>
      </c>
      <c r="B228" s="43">
        <v>0</v>
      </c>
      <c r="C228" s="69">
        <v>0</v>
      </c>
      <c r="D228" s="69">
        <v>0</v>
      </c>
      <c r="E228" s="61">
        <v>0</v>
      </c>
      <c r="F228" s="60">
        <v>0</v>
      </c>
      <c r="G228" s="60">
        <v>0</v>
      </c>
      <c r="H228" s="70">
        <v>0</v>
      </c>
      <c r="I228" s="70">
        <v>0</v>
      </c>
      <c r="J228" s="70">
        <v>0</v>
      </c>
      <c r="K228" s="70">
        <v>0</v>
      </c>
      <c r="L228" s="70">
        <v>0</v>
      </c>
      <c r="M228" s="60">
        <v>0</v>
      </c>
    </row>
    <row r="229" spans="1:14" s="1" customFormat="1" x14ac:dyDescent="0.45">
      <c r="A229" s="28" t="s">
        <v>107</v>
      </c>
      <c r="B229" s="43">
        <v>1743191703</v>
      </c>
      <c r="C229" s="69">
        <v>-62178946</v>
      </c>
      <c r="D229" s="69">
        <v>0</v>
      </c>
      <c r="E229" s="61">
        <v>1805370649</v>
      </c>
      <c r="F229" s="60">
        <v>0</v>
      </c>
      <c r="G229" s="60">
        <v>2582937</v>
      </c>
      <c r="H229" s="70">
        <v>13894803</v>
      </c>
      <c r="I229" s="70">
        <v>153900777</v>
      </c>
      <c r="J229" s="70">
        <v>1464374442</v>
      </c>
      <c r="K229" s="70">
        <v>111021681</v>
      </c>
      <c r="L229" s="70">
        <v>59596009</v>
      </c>
      <c r="M229" s="60">
        <v>0</v>
      </c>
    </row>
    <row r="230" spans="1:14" ht="16" hidden="1" customHeight="1" outlineLevel="1" x14ac:dyDescent="0.45">
      <c r="A230" s="29" t="s">
        <v>158</v>
      </c>
      <c r="B230" s="44">
        <v>0</v>
      </c>
      <c r="C230" s="71">
        <v>0</v>
      </c>
      <c r="D230" s="71">
        <v>0</v>
      </c>
      <c r="E230" s="64">
        <v>0</v>
      </c>
      <c r="F230" s="63">
        <v>0</v>
      </c>
      <c r="G230" s="63">
        <v>0</v>
      </c>
      <c r="H230" s="32">
        <v>0</v>
      </c>
      <c r="I230" s="32">
        <v>0</v>
      </c>
      <c r="J230" s="32">
        <v>0</v>
      </c>
      <c r="K230" s="32">
        <v>0</v>
      </c>
      <c r="L230" s="32">
        <v>0</v>
      </c>
      <c r="M230" s="63">
        <v>0</v>
      </c>
      <c r="N230" s="1"/>
    </row>
    <row r="231" spans="1:14" ht="16" hidden="1" customHeight="1" outlineLevel="1" x14ac:dyDescent="0.45">
      <c r="A231" s="29" t="s">
        <v>219</v>
      </c>
      <c r="B231" s="44">
        <v>0</v>
      </c>
      <c r="C231" s="71">
        <v>0</v>
      </c>
      <c r="D231" s="71">
        <v>0</v>
      </c>
      <c r="E231" s="64">
        <v>0</v>
      </c>
      <c r="F231" s="63">
        <v>0</v>
      </c>
      <c r="G231" s="63">
        <v>0</v>
      </c>
      <c r="H231" s="32">
        <v>0</v>
      </c>
      <c r="I231" s="32">
        <v>0</v>
      </c>
      <c r="J231" s="32">
        <v>0</v>
      </c>
      <c r="K231" s="32">
        <v>0</v>
      </c>
      <c r="L231" s="32">
        <v>0</v>
      </c>
      <c r="M231" s="63">
        <v>0</v>
      </c>
      <c r="N231" s="1"/>
    </row>
    <row r="232" spans="1:14" ht="16" hidden="1" customHeight="1" outlineLevel="1" x14ac:dyDescent="0.45">
      <c r="A232" s="29" t="s">
        <v>230</v>
      </c>
      <c r="B232" s="44">
        <v>1743191703</v>
      </c>
      <c r="C232" s="71">
        <v>0</v>
      </c>
      <c r="D232" s="71">
        <v>0</v>
      </c>
      <c r="E232" s="64">
        <v>1743191703</v>
      </c>
      <c r="F232" s="63">
        <v>0</v>
      </c>
      <c r="G232" s="63">
        <v>0</v>
      </c>
      <c r="H232" s="32">
        <v>13894803</v>
      </c>
      <c r="I232" s="32">
        <v>153900777</v>
      </c>
      <c r="J232" s="32">
        <v>1464374442</v>
      </c>
      <c r="K232" s="32">
        <v>111021681</v>
      </c>
      <c r="L232" s="32">
        <v>0</v>
      </c>
      <c r="M232" s="63">
        <v>0</v>
      </c>
      <c r="N232" s="1"/>
    </row>
    <row r="233" spans="1:14" ht="16" hidden="1" customHeight="1" outlineLevel="1" x14ac:dyDescent="0.45">
      <c r="A233" s="29" t="s">
        <v>220</v>
      </c>
      <c r="B233" s="44">
        <v>0</v>
      </c>
      <c r="C233" s="71">
        <v>0</v>
      </c>
      <c r="D233" s="71">
        <v>0</v>
      </c>
      <c r="E233" s="64">
        <v>0</v>
      </c>
      <c r="F233" s="63">
        <v>0</v>
      </c>
      <c r="G233" s="63">
        <v>0</v>
      </c>
      <c r="H233" s="32">
        <v>0</v>
      </c>
      <c r="I233" s="32">
        <v>0</v>
      </c>
      <c r="J233" s="32">
        <v>0</v>
      </c>
      <c r="K233" s="32">
        <v>0</v>
      </c>
      <c r="L233" s="32">
        <v>0</v>
      </c>
      <c r="M233" s="63">
        <v>0</v>
      </c>
      <c r="N233" s="1"/>
    </row>
    <row r="234" spans="1:14" s="1" customFormat="1" ht="16" hidden="1" customHeight="1" outlineLevel="1" collapsed="1" x14ac:dyDescent="0.45">
      <c r="A234" s="28" t="s">
        <v>108</v>
      </c>
      <c r="B234" s="44">
        <v>0</v>
      </c>
      <c r="C234" s="69">
        <v>-2739301</v>
      </c>
      <c r="D234" s="69">
        <v>0</v>
      </c>
      <c r="E234" s="61">
        <v>2739301</v>
      </c>
      <c r="F234" s="60">
        <v>0</v>
      </c>
      <c r="G234" s="60">
        <v>2739301</v>
      </c>
      <c r="H234" s="70">
        <v>0</v>
      </c>
      <c r="I234" s="70">
        <v>0</v>
      </c>
      <c r="J234" s="70">
        <v>0</v>
      </c>
      <c r="K234" s="70">
        <v>0</v>
      </c>
      <c r="L234" s="70">
        <v>0</v>
      </c>
      <c r="M234" s="60">
        <v>0</v>
      </c>
    </row>
    <row r="235" spans="1:14" ht="16" hidden="1" customHeight="1" outlineLevel="1" x14ac:dyDescent="0.45">
      <c r="A235" s="29" t="s">
        <v>221</v>
      </c>
      <c r="B235" s="44">
        <v>0</v>
      </c>
      <c r="C235" s="71">
        <v>0</v>
      </c>
      <c r="D235" s="71">
        <v>0</v>
      </c>
      <c r="E235" s="64">
        <v>0</v>
      </c>
      <c r="F235" s="63">
        <v>0</v>
      </c>
      <c r="G235" s="63">
        <v>0</v>
      </c>
      <c r="H235" s="32">
        <v>0</v>
      </c>
      <c r="I235" s="32">
        <v>0</v>
      </c>
      <c r="J235" s="32">
        <v>0</v>
      </c>
      <c r="K235" s="32">
        <v>0</v>
      </c>
      <c r="L235" s="32">
        <v>0</v>
      </c>
      <c r="M235" s="63">
        <v>0</v>
      </c>
      <c r="N235" s="1"/>
    </row>
    <row r="236" spans="1:14" ht="16" hidden="1" customHeight="1" outlineLevel="1" x14ac:dyDescent="0.45">
      <c r="A236" s="29" t="s">
        <v>222</v>
      </c>
      <c r="B236" s="44">
        <v>0</v>
      </c>
      <c r="C236" s="71">
        <v>0</v>
      </c>
      <c r="D236" s="71">
        <v>0</v>
      </c>
      <c r="E236" s="64">
        <v>0</v>
      </c>
      <c r="F236" s="63">
        <v>0</v>
      </c>
      <c r="G236" s="63">
        <v>0</v>
      </c>
      <c r="H236" s="32">
        <v>0</v>
      </c>
      <c r="I236" s="32">
        <v>0</v>
      </c>
      <c r="J236" s="32">
        <v>0</v>
      </c>
      <c r="K236" s="32">
        <v>0</v>
      </c>
      <c r="L236" s="32">
        <v>0</v>
      </c>
      <c r="M236" s="63">
        <v>0</v>
      </c>
      <c r="N236" s="1"/>
    </row>
    <row r="237" spans="1:14" s="1" customFormat="1" ht="16" hidden="1" customHeight="1" outlineLevel="1" collapsed="1" x14ac:dyDescent="0.45">
      <c r="A237" s="28" t="s">
        <v>109</v>
      </c>
      <c r="B237" s="44">
        <v>0</v>
      </c>
      <c r="C237" s="69">
        <v>-59439645</v>
      </c>
      <c r="D237" s="69">
        <v>0</v>
      </c>
      <c r="E237" s="61">
        <v>59439645</v>
      </c>
      <c r="F237" s="60">
        <v>0</v>
      </c>
      <c r="G237" s="60">
        <v>-156364</v>
      </c>
      <c r="H237" s="70">
        <v>0</v>
      </c>
      <c r="I237" s="70">
        <v>0</v>
      </c>
      <c r="J237" s="70">
        <v>0</v>
      </c>
      <c r="K237" s="70">
        <v>0</v>
      </c>
      <c r="L237" s="70">
        <v>59596009</v>
      </c>
      <c r="M237" s="60">
        <v>0</v>
      </c>
    </row>
    <row r="238" spans="1:14" s="1" customFormat="1" ht="16" customHeight="1" collapsed="1" x14ac:dyDescent="0.45">
      <c r="A238" s="28" t="s">
        <v>110</v>
      </c>
      <c r="B238" s="44">
        <v>20810266</v>
      </c>
      <c r="C238" s="69">
        <v>18310266</v>
      </c>
      <c r="D238" s="69">
        <v>0</v>
      </c>
      <c r="E238" s="61">
        <v>2500000</v>
      </c>
      <c r="F238" s="60">
        <v>0</v>
      </c>
      <c r="G238" s="60">
        <v>0</v>
      </c>
      <c r="H238" s="70">
        <v>0</v>
      </c>
      <c r="I238" s="70">
        <v>0</v>
      </c>
      <c r="J238" s="70">
        <v>0</v>
      </c>
      <c r="K238" s="70">
        <v>0</v>
      </c>
      <c r="L238" s="70">
        <v>0</v>
      </c>
      <c r="M238" s="60">
        <v>2500000</v>
      </c>
    </row>
    <row r="239" spans="1:14" s="1" customFormat="1" collapsed="1" x14ac:dyDescent="0.45">
      <c r="A239" s="27" t="s">
        <v>231</v>
      </c>
      <c r="B239" s="42">
        <v>2044826837</v>
      </c>
      <c r="C239" s="73">
        <v>-454448266</v>
      </c>
      <c r="D239" s="73">
        <v>-482212912</v>
      </c>
      <c r="E239" s="58">
        <v>2981488015</v>
      </c>
      <c r="F239" s="57">
        <v>356586624.63740158</v>
      </c>
      <c r="G239" s="57">
        <v>928715050.43430233</v>
      </c>
      <c r="H239" s="57">
        <v>885244856.92829609</v>
      </c>
      <c r="I239" s="57">
        <v>82402139.017625391</v>
      </c>
      <c r="J239" s="57">
        <v>55846196.410360336</v>
      </c>
      <c r="K239" s="57">
        <v>32209855.912202358</v>
      </c>
      <c r="L239" s="57">
        <v>-3155504.3401879668</v>
      </c>
      <c r="M239" s="57">
        <v>643638796</v>
      </c>
    </row>
    <row r="240" spans="1:14" s="1" customFormat="1" x14ac:dyDescent="0.45">
      <c r="A240" s="28" t="s">
        <v>268</v>
      </c>
      <c r="B240" s="43">
        <v>-1403981749</v>
      </c>
      <c r="C240" s="69">
        <v>-1408106769</v>
      </c>
      <c r="D240" s="69">
        <v>0</v>
      </c>
      <c r="E240" s="61">
        <v>4125020</v>
      </c>
      <c r="F240" s="60">
        <v>0</v>
      </c>
      <c r="G240" s="60">
        <v>4125000</v>
      </c>
      <c r="H240" s="70">
        <v>0</v>
      </c>
      <c r="I240" s="70">
        <v>0</v>
      </c>
      <c r="J240" s="70">
        <v>0</v>
      </c>
      <c r="K240" s="70">
        <v>0</v>
      </c>
      <c r="L240" s="70">
        <v>0</v>
      </c>
      <c r="M240" s="70">
        <v>20</v>
      </c>
    </row>
    <row r="241" spans="1:14" ht="16" hidden="1" customHeight="1" outlineLevel="1" x14ac:dyDescent="0.45">
      <c r="A241" s="29" t="s">
        <v>159</v>
      </c>
      <c r="B241" s="44">
        <v>193615069</v>
      </c>
      <c r="C241" s="71">
        <v>193615069</v>
      </c>
      <c r="D241" s="71">
        <v>0</v>
      </c>
      <c r="E241" s="64">
        <v>0</v>
      </c>
      <c r="F241" s="63">
        <v>0</v>
      </c>
      <c r="G241" s="63">
        <v>0</v>
      </c>
      <c r="H241" s="32">
        <v>0</v>
      </c>
      <c r="I241" s="32">
        <v>0</v>
      </c>
      <c r="J241" s="32">
        <v>0</v>
      </c>
      <c r="K241" s="32">
        <v>0</v>
      </c>
      <c r="L241" s="32">
        <v>0</v>
      </c>
      <c r="M241" s="32">
        <v>0</v>
      </c>
      <c r="N241" s="1"/>
    </row>
    <row r="242" spans="1:14" ht="16" hidden="1" customHeight="1" outlineLevel="1" x14ac:dyDescent="0.45">
      <c r="A242" s="29" t="s">
        <v>160</v>
      </c>
      <c r="B242" s="44">
        <v>0</v>
      </c>
      <c r="C242" s="71">
        <v>0</v>
      </c>
      <c r="D242" s="71">
        <v>0</v>
      </c>
      <c r="E242" s="64">
        <v>0</v>
      </c>
      <c r="F242" s="63">
        <v>0</v>
      </c>
      <c r="G242" s="63">
        <v>0</v>
      </c>
      <c r="H242" s="32">
        <v>0</v>
      </c>
      <c r="I242" s="32">
        <v>0</v>
      </c>
      <c r="J242" s="32">
        <v>0</v>
      </c>
      <c r="K242" s="32">
        <v>0</v>
      </c>
      <c r="L242" s="32">
        <v>0</v>
      </c>
      <c r="M242" s="32">
        <v>0</v>
      </c>
      <c r="N242" s="1"/>
    </row>
    <row r="243" spans="1:14" ht="16" hidden="1" customHeight="1" outlineLevel="1" x14ac:dyDescent="0.45">
      <c r="A243" s="29" t="s">
        <v>258</v>
      </c>
      <c r="B243" s="44">
        <v>-1603000000</v>
      </c>
      <c r="C243" s="71">
        <v>-1603000000</v>
      </c>
      <c r="D243" s="71">
        <v>0</v>
      </c>
      <c r="E243" s="64">
        <v>0</v>
      </c>
      <c r="F243" s="63">
        <v>0</v>
      </c>
      <c r="G243" s="63">
        <v>0</v>
      </c>
      <c r="H243" s="32">
        <v>0</v>
      </c>
      <c r="I243" s="32">
        <v>0</v>
      </c>
      <c r="J243" s="32">
        <v>0</v>
      </c>
      <c r="K243" s="32">
        <v>0</v>
      </c>
      <c r="L243" s="32">
        <v>0</v>
      </c>
      <c r="M243" s="32">
        <v>0</v>
      </c>
      <c r="N243" s="1"/>
    </row>
    <row r="244" spans="1:14" ht="16" hidden="1" customHeight="1" outlineLevel="1" x14ac:dyDescent="0.45">
      <c r="A244" s="29" t="s">
        <v>223</v>
      </c>
      <c r="B244" s="44">
        <v>0</v>
      </c>
      <c r="C244" s="71">
        <v>0</v>
      </c>
      <c r="D244" s="71">
        <v>0</v>
      </c>
      <c r="E244" s="64">
        <v>0</v>
      </c>
      <c r="F244" s="63">
        <v>0</v>
      </c>
      <c r="G244" s="63">
        <v>0</v>
      </c>
      <c r="H244" s="32">
        <v>0</v>
      </c>
      <c r="I244" s="32">
        <v>0</v>
      </c>
      <c r="J244" s="32">
        <v>0</v>
      </c>
      <c r="K244" s="32">
        <v>0</v>
      </c>
      <c r="L244" s="32">
        <v>0</v>
      </c>
      <c r="M244" s="32">
        <v>0</v>
      </c>
      <c r="N244" s="1"/>
    </row>
    <row r="245" spans="1:14" s="3" customFormat="1" ht="16" hidden="1" customHeight="1" outlineLevel="1" x14ac:dyDescent="0.45">
      <c r="A245" s="33" t="s">
        <v>243</v>
      </c>
      <c r="B245" s="33">
        <v>1278162</v>
      </c>
      <c r="C245" s="71">
        <v>1278162</v>
      </c>
      <c r="D245" s="71">
        <v>0</v>
      </c>
      <c r="E245" s="64">
        <v>0</v>
      </c>
      <c r="F245" s="63">
        <v>0</v>
      </c>
      <c r="G245" s="63">
        <v>0</v>
      </c>
      <c r="H245" s="32">
        <v>0</v>
      </c>
      <c r="I245" s="32">
        <v>0</v>
      </c>
      <c r="J245" s="32">
        <v>0</v>
      </c>
      <c r="K245" s="32">
        <v>0</v>
      </c>
      <c r="L245" s="32">
        <v>0</v>
      </c>
      <c r="M245" s="32">
        <v>0</v>
      </c>
      <c r="N245" s="1"/>
    </row>
    <row r="246" spans="1:14" s="3" customFormat="1" ht="16" hidden="1" customHeight="1" outlineLevel="1" x14ac:dyDescent="0.45">
      <c r="A246" s="34" t="s">
        <v>264</v>
      </c>
      <c r="B246" s="33">
        <v>0</v>
      </c>
      <c r="C246" s="71">
        <v>0</v>
      </c>
      <c r="D246" s="71">
        <v>0</v>
      </c>
      <c r="E246" s="64">
        <v>0</v>
      </c>
      <c r="F246" s="63">
        <v>0</v>
      </c>
      <c r="G246" s="63">
        <v>0</v>
      </c>
      <c r="H246" s="32">
        <v>0</v>
      </c>
      <c r="I246" s="32">
        <v>0</v>
      </c>
      <c r="J246" s="32">
        <v>0</v>
      </c>
      <c r="K246" s="32">
        <v>0</v>
      </c>
      <c r="L246" s="32">
        <v>0</v>
      </c>
      <c r="M246" s="32">
        <v>0</v>
      </c>
      <c r="N246" s="1"/>
    </row>
    <row r="247" spans="1:14" s="3" customFormat="1" ht="16" hidden="1" customHeight="1" outlineLevel="1" x14ac:dyDescent="0.45">
      <c r="A247" s="34" t="s">
        <v>247</v>
      </c>
      <c r="B247" s="33">
        <v>0</v>
      </c>
      <c r="C247" s="71">
        <v>0</v>
      </c>
      <c r="D247" s="71">
        <v>0</v>
      </c>
      <c r="E247" s="64">
        <v>0</v>
      </c>
      <c r="F247" s="63">
        <v>0</v>
      </c>
      <c r="G247" s="63">
        <v>0</v>
      </c>
      <c r="H247" s="32">
        <v>0</v>
      </c>
      <c r="I247" s="32">
        <v>0</v>
      </c>
      <c r="J247" s="32">
        <v>0</v>
      </c>
      <c r="K247" s="32">
        <v>0</v>
      </c>
      <c r="L247" s="32">
        <v>0</v>
      </c>
      <c r="M247" s="32">
        <v>0</v>
      </c>
      <c r="N247" s="1"/>
    </row>
    <row r="248" spans="1:14" ht="16" hidden="1" customHeight="1" outlineLevel="1" collapsed="1" x14ac:dyDescent="0.45">
      <c r="A248" s="29" t="s">
        <v>161</v>
      </c>
      <c r="B248" s="44">
        <v>4125020</v>
      </c>
      <c r="C248" s="71">
        <v>0</v>
      </c>
      <c r="D248" s="71">
        <v>0</v>
      </c>
      <c r="E248" s="64">
        <v>4125020</v>
      </c>
      <c r="F248" s="63">
        <v>0</v>
      </c>
      <c r="G248" s="63">
        <v>4125000</v>
      </c>
      <c r="H248" s="32">
        <v>0</v>
      </c>
      <c r="I248" s="32">
        <v>0</v>
      </c>
      <c r="J248" s="32">
        <v>0</v>
      </c>
      <c r="K248" s="32">
        <v>0</v>
      </c>
      <c r="L248" s="32">
        <v>0</v>
      </c>
      <c r="M248" s="32">
        <v>20</v>
      </c>
      <c r="N248" s="1"/>
    </row>
    <row r="249" spans="1:14" ht="16" hidden="1" customHeight="1" outlineLevel="1" x14ac:dyDescent="0.45">
      <c r="A249" s="29" t="s">
        <v>224</v>
      </c>
      <c r="B249" s="44">
        <v>0</v>
      </c>
      <c r="C249" s="71">
        <v>0</v>
      </c>
      <c r="D249" s="71">
        <v>0</v>
      </c>
      <c r="E249" s="64">
        <v>0</v>
      </c>
      <c r="F249" s="63">
        <v>0</v>
      </c>
      <c r="G249" s="63">
        <v>0</v>
      </c>
      <c r="H249" s="32">
        <v>0</v>
      </c>
      <c r="I249" s="32">
        <v>0</v>
      </c>
      <c r="J249" s="32">
        <v>0</v>
      </c>
      <c r="K249" s="32">
        <v>0</v>
      </c>
      <c r="L249" s="32">
        <v>0</v>
      </c>
      <c r="M249" s="32">
        <v>0</v>
      </c>
      <c r="N249" s="1"/>
    </row>
    <row r="250" spans="1:14" s="1" customFormat="1" collapsed="1" x14ac:dyDescent="0.45">
      <c r="A250" s="28" t="s">
        <v>111</v>
      </c>
      <c r="B250" s="43">
        <v>-1330988626</v>
      </c>
      <c r="C250" s="69">
        <v>-1330988626</v>
      </c>
      <c r="D250" s="69">
        <v>0</v>
      </c>
      <c r="E250" s="61">
        <v>0</v>
      </c>
      <c r="F250" s="60">
        <v>0</v>
      </c>
      <c r="G250" s="60">
        <v>0</v>
      </c>
      <c r="H250" s="70">
        <v>0</v>
      </c>
      <c r="I250" s="70">
        <v>0</v>
      </c>
      <c r="J250" s="70">
        <v>0</v>
      </c>
      <c r="K250" s="70">
        <v>0</v>
      </c>
      <c r="L250" s="70">
        <v>0</v>
      </c>
      <c r="M250" s="70">
        <v>0</v>
      </c>
    </row>
    <row r="251" spans="1:14" ht="16" hidden="1" customHeight="1" outlineLevel="1" x14ac:dyDescent="0.45">
      <c r="A251" s="29" t="s">
        <v>162</v>
      </c>
      <c r="B251" s="44">
        <v>434130938</v>
      </c>
      <c r="C251" s="71">
        <v>434130938</v>
      </c>
      <c r="D251" s="71">
        <v>0</v>
      </c>
      <c r="E251" s="64">
        <v>0</v>
      </c>
      <c r="F251" s="63">
        <v>0</v>
      </c>
      <c r="G251" s="63">
        <v>0</v>
      </c>
      <c r="H251" s="32">
        <v>0</v>
      </c>
      <c r="I251" s="32">
        <v>0</v>
      </c>
      <c r="J251" s="32">
        <v>0</v>
      </c>
      <c r="K251" s="32">
        <v>0</v>
      </c>
      <c r="L251" s="32">
        <v>0</v>
      </c>
      <c r="M251" s="32">
        <v>0</v>
      </c>
      <c r="N251" s="1"/>
    </row>
    <row r="252" spans="1:14" ht="16" hidden="1" customHeight="1" outlineLevel="1" x14ac:dyDescent="0.45">
      <c r="A252" s="29" t="s">
        <v>251</v>
      </c>
      <c r="B252" s="44">
        <v>0</v>
      </c>
      <c r="C252" s="71">
        <v>0</v>
      </c>
      <c r="D252" s="71">
        <v>0</v>
      </c>
      <c r="E252" s="64">
        <v>0</v>
      </c>
      <c r="F252" s="63">
        <v>0</v>
      </c>
      <c r="G252" s="63">
        <v>0</v>
      </c>
      <c r="H252" s="32">
        <v>0</v>
      </c>
      <c r="I252" s="32">
        <v>0</v>
      </c>
      <c r="J252" s="32">
        <v>0</v>
      </c>
      <c r="K252" s="32">
        <v>0</v>
      </c>
      <c r="L252" s="32">
        <v>0</v>
      </c>
      <c r="M252" s="32">
        <v>0</v>
      </c>
      <c r="N252" s="1"/>
    </row>
    <row r="253" spans="1:14" ht="16" hidden="1" customHeight="1" outlineLevel="1" x14ac:dyDescent="0.45">
      <c r="A253" s="29" t="s">
        <v>314</v>
      </c>
      <c r="B253" s="44">
        <v>-1767119564</v>
      </c>
      <c r="C253" s="71">
        <v>-1767119564</v>
      </c>
      <c r="D253" s="71">
        <v>0</v>
      </c>
      <c r="E253" s="64">
        <v>0</v>
      </c>
      <c r="F253" s="63">
        <v>0</v>
      </c>
      <c r="G253" s="63">
        <v>0</v>
      </c>
      <c r="H253" s="32">
        <v>0</v>
      </c>
      <c r="I253" s="32">
        <v>0</v>
      </c>
      <c r="J253" s="32">
        <v>0</v>
      </c>
      <c r="K253" s="32">
        <v>0</v>
      </c>
      <c r="L253" s="32">
        <v>0</v>
      </c>
      <c r="M253" s="32">
        <v>0</v>
      </c>
      <c r="N253" s="1"/>
    </row>
    <row r="254" spans="1:14" ht="16" hidden="1" customHeight="1" outlineLevel="1" x14ac:dyDescent="0.45">
      <c r="A254" s="29" t="s">
        <v>225</v>
      </c>
      <c r="B254" s="44">
        <v>0</v>
      </c>
      <c r="C254" s="71">
        <v>0</v>
      </c>
      <c r="D254" s="71">
        <v>0</v>
      </c>
      <c r="E254" s="64">
        <v>0</v>
      </c>
      <c r="F254" s="63">
        <v>0</v>
      </c>
      <c r="G254" s="63">
        <v>0</v>
      </c>
      <c r="H254" s="32">
        <v>0</v>
      </c>
      <c r="I254" s="32">
        <v>0</v>
      </c>
      <c r="J254" s="32">
        <v>0</v>
      </c>
      <c r="K254" s="32">
        <v>0</v>
      </c>
      <c r="L254" s="32">
        <v>0</v>
      </c>
      <c r="M254" s="32">
        <v>0</v>
      </c>
      <c r="N254" s="1"/>
    </row>
    <row r="255" spans="1:14" ht="16" hidden="1" customHeight="1" outlineLevel="1" x14ac:dyDescent="0.45">
      <c r="A255" s="29" t="s">
        <v>226</v>
      </c>
      <c r="B255" s="44">
        <v>0</v>
      </c>
      <c r="C255" s="71">
        <v>0</v>
      </c>
      <c r="D255" s="71">
        <v>0</v>
      </c>
      <c r="E255" s="64">
        <v>0</v>
      </c>
      <c r="F255" s="63">
        <v>0</v>
      </c>
      <c r="G255" s="63">
        <v>0</v>
      </c>
      <c r="H255" s="32">
        <v>0</v>
      </c>
      <c r="I255" s="32">
        <v>0</v>
      </c>
      <c r="J255" s="32">
        <v>0</v>
      </c>
      <c r="K255" s="32">
        <v>0</v>
      </c>
      <c r="L255" s="32">
        <v>0</v>
      </c>
      <c r="M255" s="32">
        <v>0</v>
      </c>
      <c r="N255" s="1"/>
    </row>
    <row r="256" spans="1:14" ht="16" hidden="1" customHeight="1" outlineLevel="1" x14ac:dyDescent="0.45">
      <c r="A256" s="29" t="s">
        <v>163</v>
      </c>
      <c r="B256" s="44">
        <v>0</v>
      </c>
      <c r="C256" s="71">
        <v>0</v>
      </c>
      <c r="D256" s="71">
        <v>0</v>
      </c>
      <c r="E256" s="64">
        <v>0</v>
      </c>
      <c r="F256" s="63">
        <v>0</v>
      </c>
      <c r="G256" s="63">
        <v>0</v>
      </c>
      <c r="H256" s="32">
        <v>0</v>
      </c>
      <c r="I256" s="32">
        <v>0</v>
      </c>
      <c r="J256" s="32">
        <v>0</v>
      </c>
      <c r="K256" s="32">
        <v>0</v>
      </c>
      <c r="L256" s="32">
        <v>0</v>
      </c>
      <c r="M256" s="32">
        <v>0</v>
      </c>
      <c r="N256" s="1"/>
    </row>
    <row r="257" spans="1:14" ht="16" hidden="1" customHeight="1" outlineLevel="1" x14ac:dyDescent="0.45">
      <c r="A257" s="29" t="s">
        <v>164</v>
      </c>
      <c r="B257" s="44">
        <v>0</v>
      </c>
      <c r="C257" s="71">
        <v>0</v>
      </c>
      <c r="D257" s="71">
        <v>0</v>
      </c>
      <c r="E257" s="64">
        <v>0</v>
      </c>
      <c r="F257" s="63">
        <v>0</v>
      </c>
      <c r="G257" s="63">
        <v>0</v>
      </c>
      <c r="H257" s="32">
        <v>0</v>
      </c>
      <c r="I257" s="32">
        <v>0</v>
      </c>
      <c r="J257" s="32">
        <v>0</v>
      </c>
      <c r="K257" s="32">
        <v>0</v>
      </c>
      <c r="L257" s="32">
        <v>0</v>
      </c>
      <c r="M257" s="32">
        <v>0</v>
      </c>
      <c r="N257" s="1"/>
    </row>
    <row r="258" spans="1:14" ht="16" hidden="1" customHeight="1" outlineLevel="1" x14ac:dyDescent="0.45">
      <c r="A258" s="29" t="s">
        <v>265</v>
      </c>
      <c r="B258" s="44">
        <v>0</v>
      </c>
      <c r="C258" s="71">
        <v>0</v>
      </c>
      <c r="D258" s="71">
        <v>0</v>
      </c>
      <c r="E258" s="64">
        <v>0</v>
      </c>
      <c r="F258" s="63">
        <v>0</v>
      </c>
      <c r="G258" s="63">
        <v>0</v>
      </c>
      <c r="H258" s="32">
        <v>0</v>
      </c>
      <c r="I258" s="32">
        <v>0</v>
      </c>
      <c r="J258" s="32">
        <v>0</v>
      </c>
      <c r="K258" s="32">
        <v>0</v>
      </c>
      <c r="L258" s="32">
        <v>0</v>
      </c>
      <c r="M258" s="32">
        <v>0</v>
      </c>
      <c r="N258" s="1"/>
    </row>
    <row r="259" spans="1:14" ht="16" hidden="1" customHeight="1" outlineLevel="1" x14ac:dyDescent="0.45">
      <c r="A259" s="29" t="s">
        <v>165</v>
      </c>
      <c r="B259" s="44">
        <v>2000000</v>
      </c>
      <c r="C259" s="71">
        <v>2000000</v>
      </c>
      <c r="D259" s="71">
        <v>0</v>
      </c>
      <c r="E259" s="64">
        <v>0</v>
      </c>
      <c r="F259" s="63">
        <v>0</v>
      </c>
      <c r="G259" s="63">
        <v>0</v>
      </c>
      <c r="H259" s="32">
        <v>0</v>
      </c>
      <c r="I259" s="32">
        <v>0</v>
      </c>
      <c r="J259" s="32">
        <v>0</v>
      </c>
      <c r="K259" s="32">
        <v>0</v>
      </c>
      <c r="L259" s="32">
        <v>0</v>
      </c>
      <c r="M259" s="32">
        <v>0</v>
      </c>
      <c r="N259" s="1"/>
    </row>
    <row r="260" spans="1:14" s="1" customFormat="1" collapsed="1" x14ac:dyDescent="0.45">
      <c r="A260" s="74" t="s">
        <v>112</v>
      </c>
      <c r="B260" s="76">
        <v>1235906050</v>
      </c>
      <c r="C260" s="76">
        <v>1235906050</v>
      </c>
      <c r="D260" s="76">
        <v>0</v>
      </c>
      <c r="E260" s="77">
        <v>0</v>
      </c>
      <c r="F260" s="78">
        <v>0</v>
      </c>
      <c r="G260" s="78">
        <v>0</v>
      </c>
      <c r="H260" s="79">
        <v>0</v>
      </c>
      <c r="I260" s="79">
        <v>0</v>
      </c>
      <c r="J260" s="79">
        <v>0</v>
      </c>
      <c r="K260" s="79">
        <v>0</v>
      </c>
      <c r="L260" s="79">
        <v>0</v>
      </c>
      <c r="M260" s="79">
        <v>0</v>
      </c>
    </row>
    <row r="261" spans="1:14" s="1" customFormat="1" x14ac:dyDescent="0.45">
      <c r="A261" s="27" t="s">
        <v>232</v>
      </c>
      <c r="B261" s="42">
        <v>735927664</v>
      </c>
      <c r="C261" s="73">
        <v>-1767472459</v>
      </c>
      <c r="D261" s="73">
        <v>-482212912</v>
      </c>
      <c r="E261" s="58">
        <v>2985613035</v>
      </c>
      <c r="F261" s="57">
        <v>356586624.63740158</v>
      </c>
      <c r="G261" s="57">
        <v>932840050.43430233</v>
      </c>
      <c r="H261" s="80">
        <v>885244856.92829609</v>
      </c>
      <c r="I261" s="80">
        <v>82402139.017625391</v>
      </c>
      <c r="J261" s="80">
        <v>55846196.410360336</v>
      </c>
      <c r="K261" s="80">
        <v>32209855.912202358</v>
      </c>
      <c r="L261" s="80">
        <v>-3155504.3401879668</v>
      </c>
      <c r="M261" s="57">
        <v>643638816</v>
      </c>
    </row>
    <row r="262" spans="1:14" ht="16" hidden="1" customHeight="1" x14ac:dyDescent="0.45">
      <c r="A262" s="83"/>
      <c r="B262" s="35"/>
      <c r="C262" s="84"/>
      <c r="D262" s="36"/>
      <c r="E262" s="36"/>
      <c r="F262" s="85"/>
      <c r="G262" s="36"/>
      <c r="H262" s="36"/>
      <c r="I262" s="36"/>
      <c r="J262" s="36"/>
      <c r="K262" s="36"/>
      <c r="L262" s="85"/>
      <c r="M262" s="36"/>
    </row>
    <row r="263" spans="1:14" s="4" customFormat="1" ht="15" hidden="1" customHeight="1" x14ac:dyDescent="0.45">
      <c r="A263" s="86" t="s">
        <v>298</v>
      </c>
      <c r="B263" s="87"/>
      <c r="C263" s="87"/>
      <c r="D263" s="87"/>
      <c r="E263" s="88">
        <v>1</v>
      </c>
      <c r="F263" s="89">
        <v>0.47</v>
      </c>
      <c r="G263" s="89">
        <v>0.4</v>
      </c>
      <c r="H263" s="89">
        <v>0.05</v>
      </c>
      <c r="I263" s="89">
        <v>1.06E-2</v>
      </c>
      <c r="J263" s="89">
        <v>8.9999999999999993E-3</v>
      </c>
      <c r="K263" s="90">
        <v>2.0400000000000001E-2</v>
      </c>
      <c r="L263" s="90">
        <v>0.02</v>
      </c>
      <c r="M263" s="90">
        <v>0.02</v>
      </c>
    </row>
    <row r="264" spans="1:14" s="4" customFormat="1" ht="15" customHeight="1" x14ac:dyDescent="0.45">
      <c r="A264" s="91"/>
      <c r="B264" s="5"/>
      <c r="C264" s="5"/>
      <c r="D264" s="5"/>
      <c r="E264" s="92"/>
      <c r="F264" s="93"/>
      <c r="G264" s="92"/>
      <c r="H264" s="92"/>
      <c r="I264" s="92"/>
      <c r="J264" s="92"/>
      <c r="K264" s="94"/>
      <c r="L264" s="94"/>
      <c r="M264" s="92"/>
    </row>
    <row r="265" spans="1:14" s="4" customFormat="1" ht="15" customHeight="1" x14ac:dyDescent="0.45">
      <c r="A265" s="95" t="s">
        <v>315</v>
      </c>
      <c r="B265" s="96">
        <v>-482212912</v>
      </c>
      <c r="C265" s="96"/>
      <c r="D265" s="117"/>
      <c r="E265" s="96">
        <v>-482212912.00000006</v>
      </c>
      <c r="F265" s="96">
        <v>-226640068.63999999</v>
      </c>
      <c r="G265" s="96">
        <v>-192885164.80000001</v>
      </c>
      <c r="H265" s="96">
        <v>-24110645.600000001</v>
      </c>
      <c r="I265" s="96">
        <v>-5111456.8672000002</v>
      </c>
      <c r="J265" s="96">
        <v>-4339916.2079999996</v>
      </c>
      <c r="K265" s="96">
        <v>-9837143.4048000015</v>
      </c>
      <c r="L265" s="96">
        <v>-9644258.2400000002</v>
      </c>
      <c r="M265" s="96">
        <v>-9644258.2400000002</v>
      </c>
    </row>
    <row r="266" spans="1:14" s="4" customFormat="1" ht="15" customHeight="1" x14ac:dyDescent="0.45">
      <c r="A266" s="97" t="s">
        <v>316</v>
      </c>
      <c r="B266" s="98">
        <v>2499275103</v>
      </c>
      <c r="C266" s="98"/>
      <c r="D266" s="118"/>
      <c r="E266" s="98">
        <v>2499275103</v>
      </c>
      <c r="F266" s="98">
        <v>129946555.9974016</v>
      </c>
      <c r="G266" s="98">
        <v>735829885.63430238</v>
      </c>
      <c r="H266" s="98">
        <v>861134211.32829607</v>
      </c>
      <c r="I266" s="98">
        <v>77290682.150425389</v>
      </c>
      <c r="J266" s="98">
        <v>51506280.202360339</v>
      </c>
      <c r="K266" s="98">
        <v>22372712.507402357</v>
      </c>
      <c r="L266" s="98">
        <v>-12799762.580187967</v>
      </c>
      <c r="M266" s="98">
        <v>633994537.75999999</v>
      </c>
    </row>
    <row r="267" spans="1:14" s="14" customFormat="1" ht="15" customHeight="1" x14ac:dyDescent="0.45">
      <c r="A267" s="35"/>
      <c r="B267" s="35"/>
      <c r="C267" s="36"/>
      <c r="D267" s="36"/>
      <c r="E267" s="36"/>
      <c r="F267" s="36"/>
      <c r="G267" s="36"/>
      <c r="H267" s="35"/>
      <c r="I267" s="35"/>
      <c r="J267" s="35"/>
      <c r="K267" s="35"/>
      <c r="L267" s="35"/>
      <c r="M267" s="36"/>
    </row>
    <row r="268" spans="1:14" ht="14" customHeight="1" x14ac:dyDescent="0.45">
      <c r="A268" s="95" t="s">
        <v>317</v>
      </c>
      <c r="B268" s="96">
        <v>-454448266</v>
      </c>
      <c r="C268" s="96"/>
      <c r="D268" s="117"/>
      <c r="E268" s="96">
        <v>-454448265.99999994</v>
      </c>
      <c r="F268" s="96">
        <v>-213590685.01999998</v>
      </c>
      <c r="G268" s="96">
        <v>-181779306.40000001</v>
      </c>
      <c r="H268" s="96">
        <v>-22722413.300000001</v>
      </c>
      <c r="I268" s="96">
        <v>-4817151.6195999999</v>
      </c>
      <c r="J268" s="96">
        <v>-4090034.3939999999</v>
      </c>
      <c r="K268" s="96">
        <v>-9270744.6264000013</v>
      </c>
      <c r="L268" s="96">
        <v>-9088965.3200000003</v>
      </c>
      <c r="M268" s="96">
        <v>-9088965.3200000003</v>
      </c>
    </row>
    <row r="269" spans="1:14" s="4" customFormat="1" ht="15" customHeight="1" x14ac:dyDescent="0.45">
      <c r="A269" s="99" t="s">
        <v>318</v>
      </c>
      <c r="B269" s="100">
        <v>2044826837</v>
      </c>
      <c r="C269" s="100"/>
      <c r="D269" s="119"/>
      <c r="E269" s="100">
        <v>2044826837.0000005</v>
      </c>
      <c r="F269" s="100">
        <v>-83644129.022598386</v>
      </c>
      <c r="G269" s="100">
        <v>554050579.2343024</v>
      </c>
      <c r="H269" s="100">
        <v>838411798.02829611</v>
      </c>
      <c r="I269" s="100">
        <v>72473530.530825391</v>
      </c>
      <c r="J269" s="100">
        <v>47416245.808360338</v>
      </c>
      <c r="K269" s="100">
        <v>13101967.881002355</v>
      </c>
      <c r="L269" s="100">
        <v>-21888727.900187969</v>
      </c>
      <c r="M269" s="100">
        <v>624905572.43999994</v>
      </c>
    </row>
    <row r="270" spans="1:14" s="14" customFormat="1" ht="15" customHeight="1" x14ac:dyDescent="0.45">
      <c r="A270" s="35"/>
      <c r="B270" s="35"/>
      <c r="C270" s="36"/>
      <c r="D270" s="36"/>
      <c r="E270" s="101"/>
      <c r="F270" s="101"/>
      <c r="G270" s="101"/>
      <c r="H270" s="101"/>
      <c r="I270" s="101"/>
      <c r="J270" s="101"/>
      <c r="K270" s="101"/>
      <c r="L270" s="101"/>
      <c r="M270" s="101"/>
    </row>
    <row r="271" spans="1:14" x14ac:dyDescent="0.45">
      <c r="A271" s="102" t="s">
        <v>319</v>
      </c>
      <c r="B271" s="103">
        <v>2044826837.0000005</v>
      </c>
      <c r="C271" s="103"/>
      <c r="D271" s="120"/>
      <c r="E271" s="103">
        <v>2044826837.0000005</v>
      </c>
      <c r="F271" s="103">
        <v>-134643671.02259839</v>
      </c>
      <c r="G271" s="103">
        <v>605050121.2343024</v>
      </c>
      <c r="H271" s="103">
        <v>838411798.02829611</v>
      </c>
      <c r="I271" s="103">
        <v>72473530.530825391</v>
      </c>
      <c r="J271" s="103">
        <v>47416245.808360338</v>
      </c>
      <c r="K271" s="103">
        <v>13101967.881002355</v>
      </c>
      <c r="L271" s="103">
        <v>-21888727.900187969</v>
      </c>
      <c r="M271" s="103">
        <v>624905572.43999994</v>
      </c>
    </row>
    <row r="272" spans="1:14" s="1" customFormat="1" x14ac:dyDescent="0.45">
      <c r="A272" s="104" t="s">
        <v>320</v>
      </c>
      <c r="B272" s="104">
        <v>50999542</v>
      </c>
      <c r="C272" s="36"/>
      <c r="D272" s="36"/>
      <c r="E272" s="101"/>
      <c r="F272" s="101"/>
      <c r="G272" s="101"/>
      <c r="H272" s="101"/>
      <c r="I272" s="101"/>
      <c r="J272" s="101"/>
      <c r="K272" s="101"/>
      <c r="L272" s="101"/>
      <c r="M272" s="101"/>
    </row>
    <row r="273" spans="1:13" ht="15.65" customHeight="1" x14ac:dyDescent="0.45">
      <c r="A273" s="105" t="s">
        <v>321</v>
      </c>
      <c r="B273" s="106">
        <v>302642533</v>
      </c>
      <c r="C273" s="36"/>
      <c r="D273" s="36"/>
      <c r="E273" s="36"/>
      <c r="F273" s="36"/>
      <c r="G273" s="36"/>
      <c r="H273" s="35"/>
      <c r="I273" s="35"/>
      <c r="J273" s="35"/>
      <c r="K273" s="35"/>
      <c r="L273" s="35"/>
      <c r="M273" s="35"/>
    </row>
    <row r="274" spans="1:13" ht="15.65" hidden="1" customHeight="1" x14ac:dyDescent="0.45">
      <c r="A274" s="37" t="s">
        <v>235</v>
      </c>
      <c r="B274" s="38">
        <f t="shared" ref="B274:M274" si="0">B28-B29-B30-B63-B70-B71-B73-B74-B115-B122-B126-B133-B136-B141-B142-B151-B156-B164-B171-B178-B181-B193-B199-B215-B217-B228-B229-B238</f>
        <v>0</v>
      </c>
      <c r="C274" s="38">
        <f t="shared" si="0"/>
        <v>4.76837158203125E-7</v>
      </c>
      <c r="D274" s="38">
        <f t="shared" si="0"/>
        <v>0</v>
      </c>
      <c r="E274" s="38">
        <f t="shared" si="0"/>
        <v>0</v>
      </c>
      <c r="F274" s="38">
        <f t="shared" si="0"/>
        <v>0</v>
      </c>
      <c r="G274" s="38">
        <f t="shared" si="0"/>
        <v>2.0861625671386719E-7</v>
      </c>
      <c r="H274" s="38">
        <f t="shared" si="0"/>
        <v>0</v>
      </c>
      <c r="I274" s="38">
        <f t="shared" si="0"/>
        <v>0</v>
      </c>
      <c r="J274" s="38">
        <f t="shared" si="0"/>
        <v>2.384185791015625E-7</v>
      </c>
      <c r="K274" s="38">
        <f t="shared" si="0"/>
        <v>2.9802322387695313E-8</v>
      </c>
      <c r="L274" s="38">
        <f t="shared" si="0"/>
        <v>4.76837158203125E-7</v>
      </c>
      <c r="M274" s="38">
        <f t="shared" si="0"/>
        <v>0</v>
      </c>
    </row>
    <row r="275" spans="1:13" s="4" customFormat="1" ht="15" hidden="1" customHeight="1" x14ac:dyDescent="0.45">
      <c r="A275" s="37" t="s">
        <v>236</v>
      </c>
      <c r="B275" s="38">
        <f t="shared" ref="B275:M275" si="1">B28-B29-SUM(B31:B62)-SUM(B64:B69)-B70-B72-B73-SUM(B75:B114)-SUM(B116:B121)-SUM(B123:B125)-SUM(B127:B132)-B134-SUM(B137:B140)-B141-SUM(B143:B150)-SUM(B152:B155)-SUM(B157:B163)-SUM(B165:B170)-SUM(B172:B177)-SUM(B179:B180)-SUM(B182:B192)-SUM(B194:B198)-SUM(B200:B214)-B216-SUM(B218:B227)-B228-SUM(B230:B237)-B238-B135</f>
        <v>0</v>
      </c>
      <c r="C275" s="38">
        <f t="shared" si="1"/>
        <v>0</v>
      </c>
      <c r="D275" s="38">
        <f t="shared" si="1"/>
        <v>0</v>
      </c>
      <c r="E275" s="38">
        <f t="shared" si="1"/>
        <v>0</v>
      </c>
      <c r="F275" s="38">
        <f t="shared" si="1"/>
        <v>9.5367431640625E-7</v>
      </c>
      <c r="G275" s="38">
        <f t="shared" si="1"/>
        <v>-1.3411045074462891E-7</v>
      </c>
      <c r="H275" s="38">
        <f t="shared" si="1"/>
        <v>0</v>
      </c>
      <c r="I275" s="38">
        <f t="shared" si="1"/>
        <v>0</v>
      </c>
      <c r="J275" s="38">
        <f t="shared" si="1"/>
        <v>2.384185791015625E-7</v>
      </c>
      <c r="K275" s="38">
        <f t="shared" si="1"/>
        <v>5.9604644775390625E-8</v>
      </c>
      <c r="L275" s="38">
        <f t="shared" si="1"/>
        <v>4.76837158203125E-7</v>
      </c>
      <c r="M275" s="38">
        <f t="shared" si="1"/>
        <v>0</v>
      </c>
    </row>
    <row r="276" spans="1:13" s="4" customFormat="1" ht="15" hidden="1" customHeight="1" x14ac:dyDescent="0.45">
      <c r="A276" s="37" t="s">
        <v>237</v>
      </c>
      <c r="B276" s="38">
        <f t="shared" ref="B276:M276" si="2">B3-B25-B28-B239</f>
        <v>0</v>
      </c>
      <c r="C276" s="38">
        <f t="shared" si="2"/>
        <v>0</v>
      </c>
      <c r="D276" s="38">
        <f t="shared" si="2"/>
        <v>0</v>
      </c>
      <c r="E276" s="38">
        <f t="shared" si="2"/>
        <v>0</v>
      </c>
      <c r="F276" s="38">
        <f t="shared" si="2"/>
        <v>-1.9073486328125E-6</v>
      </c>
      <c r="G276" s="38">
        <f t="shared" si="2"/>
        <v>0</v>
      </c>
      <c r="H276" s="38">
        <f t="shared" si="2"/>
        <v>0</v>
      </c>
      <c r="I276" s="38">
        <f t="shared" si="2"/>
        <v>0</v>
      </c>
      <c r="J276" s="38">
        <f t="shared" si="2"/>
        <v>0</v>
      </c>
      <c r="K276" s="38">
        <f t="shared" si="2"/>
        <v>0</v>
      </c>
      <c r="L276" s="38">
        <f t="shared" si="2"/>
        <v>-5.9604644775390625E-8</v>
      </c>
      <c r="M276" s="38">
        <f t="shared" si="2"/>
        <v>0</v>
      </c>
    </row>
    <row r="277" spans="1:13" s="4" customFormat="1" ht="15" hidden="1" customHeight="1" x14ac:dyDescent="0.45">
      <c r="A277" s="37" t="s">
        <v>238</v>
      </c>
      <c r="B277" s="38">
        <f t="shared" ref="B277:M277" si="3">B239+B240-B250-B261-B260</f>
        <v>0</v>
      </c>
      <c r="C277" s="38">
        <f t="shared" si="3"/>
        <v>0</v>
      </c>
      <c r="D277" s="38">
        <f t="shared" si="3"/>
        <v>0</v>
      </c>
      <c r="E277" s="38">
        <f t="shared" si="3"/>
        <v>0</v>
      </c>
      <c r="F277" s="38">
        <f t="shared" si="3"/>
        <v>0</v>
      </c>
      <c r="G277" s="38">
        <f t="shared" si="3"/>
        <v>0</v>
      </c>
      <c r="H277" s="38">
        <f t="shared" si="3"/>
        <v>0</v>
      </c>
      <c r="I277" s="38">
        <f t="shared" si="3"/>
        <v>0</v>
      </c>
      <c r="J277" s="38">
        <f t="shared" si="3"/>
        <v>0</v>
      </c>
      <c r="K277" s="38">
        <f t="shared" si="3"/>
        <v>0</v>
      </c>
      <c r="L277" s="38">
        <f t="shared" si="3"/>
        <v>0</v>
      </c>
      <c r="M277" s="38">
        <f t="shared" si="3"/>
        <v>0</v>
      </c>
    </row>
    <row r="278" spans="1:13" s="4" customFormat="1" ht="15" hidden="1" customHeight="1" x14ac:dyDescent="0.45">
      <c r="A278" s="32" t="s">
        <v>244</v>
      </c>
      <c r="B278" s="32">
        <f t="shared" ref="B278:M278" si="4">B240-B241-B242-B244-B248-B249-B245-B247-B243-B246</f>
        <v>0</v>
      </c>
      <c r="C278" s="32">
        <f t="shared" si="4"/>
        <v>0</v>
      </c>
      <c r="D278" s="32">
        <f t="shared" si="4"/>
        <v>0</v>
      </c>
      <c r="E278" s="32">
        <f t="shared" si="4"/>
        <v>0</v>
      </c>
      <c r="F278" s="32">
        <f t="shared" si="4"/>
        <v>0</v>
      </c>
      <c r="G278" s="32">
        <f t="shared" si="4"/>
        <v>0</v>
      </c>
      <c r="H278" s="32">
        <f t="shared" si="4"/>
        <v>0</v>
      </c>
      <c r="I278" s="32">
        <f t="shared" si="4"/>
        <v>0</v>
      </c>
      <c r="J278" s="32">
        <f t="shared" si="4"/>
        <v>0</v>
      </c>
      <c r="K278" s="32">
        <f t="shared" si="4"/>
        <v>0</v>
      </c>
      <c r="L278" s="32">
        <f t="shared" si="4"/>
        <v>0</v>
      </c>
      <c r="M278" s="32">
        <f t="shared" si="4"/>
        <v>0</v>
      </c>
    </row>
    <row r="279" spans="1:13" ht="15.65" hidden="1" customHeight="1" x14ac:dyDescent="0.45">
      <c r="A279" s="32" t="s">
        <v>245</v>
      </c>
      <c r="B279" s="32">
        <f t="shared" ref="B279:M279" si="5">B250-B251-B254-B255-B256-B257-B259-B252-B253-B258</f>
        <v>0</v>
      </c>
      <c r="C279" s="32">
        <f t="shared" si="5"/>
        <v>0</v>
      </c>
      <c r="D279" s="32">
        <f t="shared" si="5"/>
        <v>0</v>
      </c>
      <c r="E279" s="32">
        <f t="shared" si="5"/>
        <v>0</v>
      </c>
      <c r="F279" s="32">
        <f t="shared" si="5"/>
        <v>0</v>
      </c>
      <c r="G279" s="32">
        <f t="shared" si="5"/>
        <v>0</v>
      </c>
      <c r="H279" s="32">
        <f t="shared" si="5"/>
        <v>0</v>
      </c>
      <c r="I279" s="32">
        <f t="shared" si="5"/>
        <v>0</v>
      </c>
      <c r="J279" s="32">
        <f t="shared" si="5"/>
        <v>0</v>
      </c>
      <c r="K279" s="32">
        <f t="shared" si="5"/>
        <v>0</v>
      </c>
      <c r="L279" s="32">
        <f t="shared" si="5"/>
        <v>0</v>
      </c>
      <c r="M279" s="32">
        <f t="shared" si="5"/>
        <v>0</v>
      </c>
    </row>
    <row r="280" spans="1:13" ht="15.65" hidden="1" customHeight="1" x14ac:dyDescent="0.45">
      <c r="A280" s="35"/>
      <c r="B280" s="35"/>
      <c r="C280" s="36"/>
      <c r="D280" s="36"/>
      <c r="E280" s="36"/>
      <c r="F280" s="36"/>
      <c r="G280" s="36"/>
      <c r="H280" s="35"/>
      <c r="I280" s="35"/>
      <c r="J280" s="35"/>
      <c r="K280" s="35"/>
      <c r="L280" s="35"/>
      <c r="M280" s="36"/>
    </row>
    <row r="281" spans="1:13" ht="15.65" hidden="1" customHeight="1" x14ac:dyDescent="0.45">
      <c r="A281" s="39" t="s">
        <v>239</v>
      </c>
      <c r="B281" s="38">
        <f>B4+B14+B21-B26-B53-B81-B131-B162-B168-B175-B189-B198-B210-B212-B218-B219-B221-B224-B230-B231-B232-B234-B235-B236-B227</f>
        <v>10552611373</v>
      </c>
      <c r="C281" s="38">
        <f>C4+C14+C21-C26-C53-C81-C131-C162-C168-C175-C189-C198-C210-C212-C219-C221-C224-C230-C231-C232-C235-C236</f>
        <v>2938845764</v>
      </c>
      <c r="D281" s="38"/>
      <c r="E281" s="38">
        <f>E4+E14+E21-E26-E53-E81-E131-E162-E168-E175-E189-E198-E210-E212-E218-E219-E221-E224-E230-E231-E232-E234-E235-E236-E227</f>
        <v>6745546670</v>
      </c>
      <c r="F281" s="38">
        <f>F4+F14+F21-F26-F53-F81-F131-F162-F168-F175-F189-F198-F210-F212-F218-F219-F221-F224-F230-F231-F232-F234-F235-F236-F227</f>
        <v>4090224474.9290237</v>
      </c>
      <c r="G281" s="38">
        <f>G4+G14+G21-G26-G53-G81-G131-G162-G168-G175-G189-G198-G210-G212-G218-G219-G221-G224-G230-G231-G232-G234-G235-G236-G227</f>
        <v>354780818.07097614</v>
      </c>
      <c r="H281" s="38">
        <f t="shared" ref="H281:L281" si="6">H4+H14+H21-H26-H53-H81-H131-H162-H168-H175-H189-H198-H210-H212-H218-H219-H221-H224-H230-H231-H232-H234-H235-H236-H227-H164-H215</f>
        <v>1044399864</v>
      </c>
      <c r="I281" s="38">
        <f t="shared" si="6"/>
        <v>98787862.752627373</v>
      </c>
      <c r="J281" s="38">
        <f t="shared" si="6"/>
        <v>31999318.592323303</v>
      </c>
      <c r="K281" s="38">
        <f t="shared" si="6"/>
        <v>176679642.70379776</v>
      </c>
      <c r="L281" s="38">
        <f t="shared" si="6"/>
        <v>-243778849.04874855</v>
      </c>
      <c r="M281" s="38">
        <f>M4+M14+M21-M26-M53-M81-M131-M162-M168-M175-M189-M198-M210-M212-M218-M219-M221-M224-M230-M231-M232-M234-M235-M236-M227</f>
        <v>1084142429</v>
      </c>
    </row>
    <row r="282" spans="1:13" s="4" customFormat="1" ht="15" hidden="1" customHeight="1" x14ac:dyDescent="0.45">
      <c r="A282" s="40" t="s">
        <v>240</v>
      </c>
      <c r="B282" s="38">
        <f>B18-B109-B163-B165-B170-B192-B222-B226-B237</f>
        <v>2306055691</v>
      </c>
      <c r="C282" s="38">
        <f>C18-C109-C163-C165-C170-C192-C226-C113</f>
        <v>-491913671</v>
      </c>
      <c r="D282" s="38"/>
      <c r="E282" s="38">
        <f t="shared" ref="E282:M282" si="7">E18-E109-E163-E165-E170-E192-E222-E226-E237-E113</f>
        <v>1409109517</v>
      </c>
      <c r="F282" s="38">
        <f t="shared" si="7"/>
        <v>515246289</v>
      </c>
      <c r="G282" s="38">
        <f t="shared" si="7"/>
        <v>-343443</v>
      </c>
      <c r="H282" s="38">
        <f t="shared" si="7"/>
        <v>51302731</v>
      </c>
      <c r="I282" s="38">
        <f t="shared" si="7"/>
        <v>654546</v>
      </c>
      <c r="J282" s="38">
        <f t="shared" si="7"/>
        <v>0</v>
      </c>
      <c r="K282" s="38">
        <f t="shared" si="7"/>
        <v>8437400</v>
      </c>
      <c r="L282" s="38">
        <f t="shared" si="7"/>
        <v>833811994</v>
      </c>
      <c r="M282" s="38">
        <f t="shared" si="7"/>
        <v>0</v>
      </c>
    </row>
    <row r="283" spans="1:13" s="4" customFormat="1" ht="15" hidden="1" customHeight="1" x14ac:dyDescent="0.45">
      <c r="A283" s="37" t="s">
        <v>241</v>
      </c>
      <c r="B283" s="41">
        <f>SUBTOTAL(9,B281:B282)</f>
        <v>12858667064</v>
      </c>
      <c r="C283" s="41">
        <f t="shared" ref="C283" si="8">SUBTOTAL(9,C281:C282)</f>
        <v>2446932093</v>
      </c>
      <c r="D283" s="41"/>
      <c r="E283" s="41">
        <f t="shared" ref="E283:L283" si="9">SUBTOTAL(9,E281:E282)</f>
        <v>8154656187</v>
      </c>
      <c r="F283" s="41">
        <f t="shared" si="9"/>
        <v>4605470763.9290237</v>
      </c>
      <c r="G283" s="41">
        <f>SUBTOTAL(9,G281:G282)</f>
        <v>354437375.07097614</v>
      </c>
      <c r="H283" s="41">
        <f>SUBTOTAL(9,H281:H282)</f>
        <v>1095702595</v>
      </c>
      <c r="I283" s="41">
        <f t="shared" si="9"/>
        <v>99442408.752627373</v>
      </c>
      <c r="J283" s="41">
        <f t="shared" si="9"/>
        <v>31999318.592323303</v>
      </c>
      <c r="K283" s="41">
        <f t="shared" si="9"/>
        <v>185117042.70379776</v>
      </c>
      <c r="L283" s="41">
        <f t="shared" si="9"/>
        <v>590033144.95125151</v>
      </c>
      <c r="M283" s="41">
        <f>SUBTOTAL(9,M281:M282)</f>
        <v>1084142429</v>
      </c>
    </row>
    <row r="284" spans="1:13" s="4" customFormat="1" ht="15" hidden="1" customHeight="1" x14ac:dyDescent="0.45">
      <c r="A284" s="9" t="s">
        <v>241</v>
      </c>
      <c r="B284" s="10">
        <f>SUBTOTAL(9,B282:B283)</f>
        <v>2306055691</v>
      </c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</row>
    <row r="285" spans="1:13" collapsed="1" x14ac:dyDescent="0.45">
      <c r="H285" s="3"/>
      <c r="I285" s="3"/>
      <c r="J285" s="3"/>
      <c r="K285" s="3"/>
      <c r="L285" s="3"/>
      <c r="M285" s="2"/>
    </row>
    <row r="286" spans="1:13" x14ac:dyDescent="0.45">
      <c r="E286" s="20"/>
      <c r="F286" s="20"/>
      <c r="G286" s="20"/>
      <c r="H286" s="20"/>
      <c r="M286" s="2"/>
    </row>
    <row r="287" spans="1:13" x14ac:dyDescent="0.45">
      <c r="H287" s="3"/>
      <c r="I287" s="3"/>
      <c r="J287" s="3"/>
      <c r="K287" s="3"/>
      <c r="L287" s="3"/>
    </row>
    <row r="288" spans="1:13" x14ac:dyDescent="0.45">
      <c r="B288" s="3"/>
      <c r="H288" s="3"/>
      <c r="I288" s="3"/>
      <c r="J288" s="3"/>
      <c r="K288" s="3"/>
      <c r="L288" s="3"/>
    </row>
    <row r="289" spans="8:12" x14ac:dyDescent="0.45">
      <c r="H289" s="3"/>
      <c r="I289" s="3"/>
      <c r="J289" s="3"/>
      <c r="K289" s="3"/>
      <c r="L289" s="3"/>
    </row>
    <row r="290" spans="8:12" x14ac:dyDescent="0.45">
      <c r="H290" s="3"/>
      <c r="I290" s="3"/>
      <c r="J290" s="3"/>
      <c r="K290" s="3"/>
      <c r="L290" s="3"/>
    </row>
    <row r="293" spans="8:12" x14ac:dyDescent="0.45">
      <c r="H293" s="3"/>
      <c r="I293" s="3"/>
      <c r="J293" s="3"/>
      <c r="K293" s="3"/>
      <c r="L293" s="3"/>
    </row>
    <row r="295" spans="8:12" x14ac:dyDescent="0.45">
      <c r="H295" s="3"/>
      <c r="I295" s="3"/>
      <c r="J295" s="3"/>
      <c r="K295" s="3"/>
      <c r="L295" s="3"/>
    </row>
  </sheetData>
  <mergeCells count="8">
    <mergeCell ref="I1:L1"/>
    <mergeCell ref="M1:M2"/>
    <mergeCell ref="A1:A2"/>
    <mergeCell ref="B1:B2"/>
    <mergeCell ref="C1:C2"/>
    <mergeCell ref="D1:D2"/>
    <mergeCell ref="E1:E2"/>
    <mergeCell ref="F1:H1"/>
  </mergeCells>
  <phoneticPr fontId="2" type="noConversion"/>
  <pageMargins left="0.75" right="0.75" top="1" bottom="1" header="0.5" footer="0.5"/>
  <pageSetup paperSize="8" scale="60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1FC89-4244-46ED-A013-B4165D6CE88F}">
  <sheetPr>
    <tabColor rgb="FFFFC000"/>
    <pageSetUpPr fitToPage="1"/>
  </sheetPr>
  <dimension ref="A1:N295"/>
  <sheetViews>
    <sheetView showGridLines="0" zoomScale="85" zoomScaleNormal="85" zoomScaleSheetLayoutView="85" workbookViewId="0">
      <pane xSplit="2" ySplit="3" topLeftCell="C4" activePane="bottomRight" state="frozen"/>
      <selection activeCell="J2" sqref="J2:J253"/>
      <selection pane="topRight" activeCell="J2" sqref="J2:J253"/>
      <selection pane="bottomLeft" activeCell="J2" sqref="J2:J253"/>
      <selection pane="bottomRight" sqref="A1:A2"/>
    </sheetView>
  </sheetViews>
  <sheetFormatPr defaultColWidth="9.08984375" defaultRowHeight="16" outlineLevelRow="1" x14ac:dyDescent="0.45"/>
  <cols>
    <col min="1" max="1" width="36.36328125" style="2" customWidth="1"/>
    <col min="2" max="2" width="19.08984375" style="2" customWidth="1"/>
    <col min="3" max="7" width="19.08984375" style="3" customWidth="1"/>
    <col min="8" max="12" width="19.08984375" style="2" customWidth="1"/>
    <col min="13" max="13" width="19.08984375" style="3" customWidth="1"/>
    <col min="14" max="16384" width="9.08984375" style="2"/>
  </cols>
  <sheetData>
    <row r="1" spans="1:14" s="1" customFormat="1" ht="15.65" customHeight="1" x14ac:dyDescent="0.45">
      <c r="A1" s="213" t="s">
        <v>313</v>
      </c>
      <c r="B1" s="210" t="s">
        <v>233</v>
      </c>
      <c r="C1" s="210" t="s">
        <v>250</v>
      </c>
      <c r="D1" s="210" t="s">
        <v>288</v>
      </c>
      <c r="E1" s="210" t="s">
        <v>167</v>
      </c>
      <c r="F1" s="204" t="s">
        <v>289</v>
      </c>
      <c r="G1" s="205"/>
      <c r="H1" s="212"/>
      <c r="I1" s="204" t="s">
        <v>290</v>
      </c>
      <c r="J1" s="205"/>
      <c r="K1" s="205"/>
      <c r="L1" s="212"/>
      <c r="M1" s="202" t="s">
        <v>291</v>
      </c>
    </row>
    <row r="2" spans="1:14" s="1" customFormat="1" ht="15.65" customHeight="1" x14ac:dyDescent="0.45">
      <c r="A2" s="214"/>
      <c r="B2" s="211"/>
      <c r="C2" s="211"/>
      <c r="D2" s="211"/>
      <c r="E2" s="211"/>
      <c r="F2" s="171" t="s">
        <v>248</v>
      </c>
      <c r="G2" s="171" t="s">
        <v>242</v>
      </c>
      <c r="H2" s="26" t="s">
        <v>365</v>
      </c>
      <c r="I2" s="26" t="s">
        <v>168</v>
      </c>
      <c r="J2" s="26" t="s">
        <v>169</v>
      </c>
      <c r="K2" s="26" t="s">
        <v>294</v>
      </c>
      <c r="L2" s="26" t="s">
        <v>295</v>
      </c>
      <c r="M2" s="203"/>
    </row>
    <row r="3" spans="1:14" s="1" customFormat="1" ht="15.65" customHeight="1" x14ac:dyDescent="0.45">
      <c r="A3" s="27" t="s">
        <v>0</v>
      </c>
      <c r="B3" s="42">
        <v>57241535059</v>
      </c>
      <c r="C3" s="57">
        <v>-3534148597</v>
      </c>
      <c r="D3" s="57">
        <v>99969728</v>
      </c>
      <c r="E3" s="58">
        <v>60675713928</v>
      </c>
      <c r="F3" s="57">
        <v>24947147804.821846</v>
      </c>
      <c r="G3" s="57">
        <v>3482139903.1781521</v>
      </c>
      <c r="H3" s="59">
        <v>21205282580</v>
      </c>
      <c r="I3" s="59">
        <v>695202647</v>
      </c>
      <c r="J3" s="59">
        <v>610545905</v>
      </c>
      <c r="K3" s="59">
        <v>3691208215</v>
      </c>
      <c r="L3" s="57">
        <v>1432581732</v>
      </c>
      <c r="M3" s="57">
        <v>4611605141</v>
      </c>
    </row>
    <row r="4" spans="1:14" s="1" customFormat="1" x14ac:dyDescent="0.45">
      <c r="A4" s="28" t="s">
        <v>1</v>
      </c>
      <c r="B4" s="43">
        <v>36572221931</v>
      </c>
      <c r="C4" s="60">
        <v>57629655</v>
      </c>
      <c r="D4" s="60">
        <v>1159546</v>
      </c>
      <c r="E4" s="61">
        <v>36513432730</v>
      </c>
      <c r="F4" s="60">
        <v>13771666496</v>
      </c>
      <c r="G4" s="60">
        <v>276948344</v>
      </c>
      <c r="H4" s="62">
        <v>15187770745</v>
      </c>
      <c r="I4" s="62">
        <v>337128362</v>
      </c>
      <c r="J4" s="62">
        <v>8314088</v>
      </c>
      <c r="K4" s="62">
        <v>2720517127</v>
      </c>
      <c r="L4" s="62">
        <v>137095364</v>
      </c>
      <c r="M4" s="60">
        <v>4073992204</v>
      </c>
    </row>
    <row r="5" spans="1:14" s="1" customFormat="1" ht="16" hidden="1" customHeight="1" outlineLevel="1" x14ac:dyDescent="0.45">
      <c r="A5" s="29" t="s">
        <v>2</v>
      </c>
      <c r="B5" s="44">
        <v>9376397664</v>
      </c>
      <c r="C5" s="63">
        <v>3563000</v>
      </c>
      <c r="D5" s="63">
        <v>0</v>
      </c>
      <c r="E5" s="64">
        <v>9372834664</v>
      </c>
      <c r="F5" s="63">
        <v>37266198</v>
      </c>
      <c r="G5" s="63">
        <v>275401000</v>
      </c>
      <c r="H5" s="65">
        <v>3152570245</v>
      </c>
      <c r="I5" s="65">
        <v>28279090</v>
      </c>
      <c r="J5" s="65">
        <v>7065000</v>
      </c>
      <c r="K5" s="65">
        <v>1865391472</v>
      </c>
      <c r="L5" s="65">
        <v>279182</v>
      </c>
      <c r="M5" s="63">
        <v>4006582477</v>
      </c>
    </row>
    <row r="6" spans="1:14" ht="16" hidden="1" customHeight="1" outlineLevel="1" x14ac:dyDescent="0.45">
      <c r="A6" s="29" t="s">
        <v>3</v>
      </c>
      <c r="B6" s="44">
        <v>0</v>
      </c>
      <c r="C6" s="63">
        <v>0</v>
      </c>
      <c r="D6" s="63">
        <v>0</v>
      </c>
      <c r="E6" s="64">
        <v>0</v>
      </c>
      <c r="F6" s="63">
        <v>0</v>
      </c>
      <c r="G6" s="63">
        <v>0</v>
      </c>
      <c r="H6" s="65">
        <v>0</v>
      </c>
      <c r="I6" s="65">
        <v>0</v>
      </c>
      <c r="J6" s="65">
        <v>0</v>
      </c>
      <c r="K6" s="65">
        <v>0</v>
      </c>
      <c r="L6" s="65">
        <v>0</v>
      </c>
      <c r="M6" s="63">
        <v>0</v>
      </c>
      <c r="N6" s="1"/>
    </row>
    <row r="7" spans="1:14" ht="16" hidden="1" customHeight="1" outlineLevel="1" x14ac:dyDescent="0.45">
      <c r="A7" s="29" t="s">
        <v>170</v>
      </c>
      <c r="B7" s="44">
        <v>0</v>
      </c>
      <c r="C7" s="63">
        <v>0</v>
      </c>
      <c r="D7" s="63">
        <v>0</v>
      </c>
      <c r="E7" s="64">
        <v>0</v>
      </c>
      <c r="F7" s="63">
        <v>0</v>
      </c>
      <c r="G7" s="63">
        <v>0</v>
      </c>
      <c r="H7" s="65">
        <v>0</v>
      </c>
      <c r="I7" s="65">
        <v>0</v>
      </c>
      <c r="J7" s="65">
        <v>0</v>
      </c>
      <c r="K7" s="65">
        <v>0</v>
      </c>
      <c r="L7" s="65">
        <v>0</v>
      </c>
      <c r="M7" s="63">
        <v>0</v>
      </c>
      <c r="N7" s="1"/>
    </row>
    <row r="8" spans="1:14" ht="16" hidden="1" customHeight="1" outlineLevel="1" x14ac:dyDescent="0.45">
      <c r="A8" s="29" t="s">
        <v>4</v>
      </c>
      <c r="B8" s="44">
        <v>26381856485</v>
      </c>
      <c r="C8" s="63">
        <v>54066655</v>
      </c>
      <c r="D8" s="63">
        <v>0</v>
      </c>
      <c r="E8" s="64">
        <v>26327789830</v>
      </c>
      <c r="F8" s="63">
        <v>13087051220</v>
      </c>
      <c r="G8" s="63">
        <v>1547344</v>
      </c>
      <c r="H8" s="65">
        <v>11949690338</v>
      </c>
      <c r="I8" s="65">
        <v>306542272</v>
      </c>
      <c r="J8" s="65">
        <v>975000</v>
      </c>
      <c r="K8" s="65">
        <v>848487474</v>
      </c>
      <c r="L8" s="65">
        <v>133496182</v>
      </c>
      <c r="M8" s="63">
        <v>0</v>
      </c>
      <c r="N8" s="1"/>
    </row>
    <row r="9" spans="1:14" ht="16" hidden="1" customHeight="1" outlineLevel="1" x14ac:dyDescent="0.45">
      <c r="A9" s="29" t="s">
        <v>5</v>
      </c>
      <c r="B9" s="44">
        <v>433230518</v>
      </c>
      <c r="C9" s="63">
        <v>0</v>
      </c>
      <c r="D9" s="63">
        <v>1159546</v>
      </c>
      <c r="E9" s="64">
        <v>432070972</v>
      </c>
      <c r="F9" s="63">
        <v>360564954</v>
      </c>
      <c r="G9" s="63">
        <v>0</v>
      </c>
      <c r="H9" s="65">
        <v>14591382</v>
      </c>
      <c r="I9" s="65">
        <v>2307000</v>
      </c>
      <c r="J9" s="65">
        <v>0</v>
      </c>
      <c r="K9" s="65">
        <v>0</v>
      </c>
      <c r="L9" s="65">
        <v>3320000</v>
      </c>
      <c r="M9" s="63">
        <v>51287636</v>
      </c>
      <c r="N9" s="1"/>
    </row>
    <row r="10" spans="1:14" ht="16" hidden="1" customHeight="1" outlineLevel="1" x14ac:dyDescent="0.45">
      <c r="A10" s="29" t="s">
        <v>118</v>
      </c>
      <c r="B10" s="44">
        <v>27230451</v>
      </c>
      <c r="C10" s="63">
        <v>0</v>
      </c>
      <c r="D10" s="63">
        <v>0</v>
      </c>
      <c r="E10" s="64">
        <v>27230451</v>
      </c>
      <c r="F10" s="63">
        <v>0</v>
      </c>
      <c r="G10" s="63">
        <v>0</v>
      </c>
      <c r="H10" s="65">
        <v>20318182</v>
      </c>
      <c r="I10" s="65">
        <v>0</v>
      </c>
      <c r="J10" s="65">
        <v>274088</v>
      </c>
      <c r="K10" s="65">
        <v>6638181</v>
      </c>
      <c r="L10" s="65">
        <v>0</v>
      </c>
      <c r="M10" s="63">
        <v>0</v>
      </c>
      <c r="N10" s="1"/>
    </row>
    <row r="11" spans="1:14" ht="16" hidden="1" customHeight="1" outlineLevel="1" x14ac:dyDescent="0.45">
      <c r="A11" s="29" t="s">
        <v>6</v>
      </c>
      <c r="B11" s="44">
        <v>337384722</v>
      </c>
      <c r="C11" s="63">
        <v>0</v>
      </c>
      <c r="D11" s="63">
        <v>0</v>
      </c>
      <c r="E11" s="64">
        <v>337384722</v>
      </c>
      <c r="F11" s="63">
        <v>286784124</v>
      </c>
      <c r="G11" s="63">
        <v>0</v>
      </c>
      <c r="H11" s="65">
        <v>50600598</v>
      </c>
      <c r="I11" s="65">
        <v>0</v>
      </c>
      <c r="J11" s="65">
        <v>0</v>
      </c>
      <c r="K11" s="65">
        <v>0</v>
      </c>
      <c r="L11" s="65">
        <v>0</v>
      </c>
      <c r="M11" s="63">
        <v>0</v>
      </c>
      <c r="N11" s="1"/>
    </row>
    <row r="12" spans="1:14" ht="16" hidden="1" customHeight="1" outlineLevel="1" x14ac:dyDescent="0.45">
      <c r="A12" s="29" t="s">
        <v>299</v>
      </c>
      <c r="B12" s="44">
        <v>16122091</v>
      </c>
      <c r="C12" s="63">
        <v>0</v>
      </c>
      <c r="D12" s="63">
        <v>0</v>
      </c>
      <c r="E12" s="64">
        <v>16122091</v>
      </c>
      <c r="F12" s="63">
        <v>0</v>
      </c>
      <c r="G12" s="63">
        <v>0</v>
      </c>
      <c r="H12" s="65">
        <v>0</v>
      </c>
      <c r="I12" s="65">
        <v>0</v>
      </c>
      <c r="J12" s="65">
        <v>0</v>
      </c>
      <c r="K12" s="65">
        <v>0</v>
      </c>
      <c r="L12" s="65">
        <v>0</v>
      </c>
      <c r="M12" s="63">
        <v>16122091</v>
      </c>
      <c r="N12" s="1"/>
    </row>
    <row r="13" spans="1:14" ht="16" customHeight="1" collapsed="1" x14ac:dyDescent="0.45">
      <c r="A13" s="28" t="s">
        <v>7</v>
      </c>
      <c r="B13" s="43">
        <v>20669313128</v>
      </c>
      <c r="C13" s="60">
        <v>-3591778252</v>
      </c>
      <c r="D13" s="60">
        <v>98810182</v>
      </c>
      <c r="E13" s="61">
        <v>24162281198</v>
      </c>
      <c r="F13" s="60">
        <v>11175481308.821848</v>
      </c>
      <c r="G13" s="60">
        <v>3205191559.1781521</v>
      </c>
      <c r="H13" s="62">
        <v>6017511835</v>
      </c>
      <c r="I13" s="62">
        <v>358074285</v>
      </c>
      <c r="J13" s="62">
        <v>602231817</v>
      </c>
      <c r="K13" s="62">
        <v>970691088</v>
      </c>
      <c r="L13" s="62">
        <v>1295486368</v>
      </c>
      <c r="M13" s="60">
        <v>537612937</v>
      </c>
      <c r="N13" s="1"/>
    </row>
    <row r="14" spans="1:14" s="1" customFormat="1" ht="16" hidden="1" customHeight="1" outlineLevel="1" collapsed="1" x14ac:dyDescent="0.45">
      <c r="A14" s="24" t="s">
        <v>8</v>
      </c>
      <c r="B14" s="45">
        <v>11623797327</v>
      </c>
      <c r="C14" s="63">
        <v>-738882976</v>
      </c>
      <c r="D14" s="63">
        <v>1818182</v>
      </c>
      <c r="E14" s="64">
        <v>12360862121</v>
      </c>
      <c r="F14" s="63">
        <v>6906947489</v>
      </c>
      <c r="G14" s="63">
        <v>-143660911</v>
      </c>
      <c r="H14" s="65">
        <v>3761068513</v>
      </c>
      <c r="I14" s="65">
        <v>272004322</v>
      </c>
      <c r="J14" s="65">
        <v>423626146</v>
      </c>
      <c r="K14" s="65">
        <v>701499259</v>
      </c>
      <c r="L14" s="65">
        <v>45897081</v>
      </c>
      <c r="M14" s="63">
        <v>393480222</v>
      </c>
    </row>
    <row r="15" spans="1:14" ht="16" hidden="1" customHeight="1" outlineLevel="1" x14ac:dyDescent="0.45">
      <c r="A15" s="29" t="s">
        <v>9</v>
      </c>
      <c r="B15" s="44">
        <v>198805537</v>
      </c>
      <c r="C15" s="63">
        <v>0</v>
      </c>
      <c r="D15" s="63">
        <v>0</v>
      </c>
      <c r="E15" s="64">
        <v>198805537</v>
      </c>
      <c r="F15" s="63">
        <v>21034726</v>
      </c>
      <c r="G15" s="63">
        <v>0</v>
      </c>
      <c r="H15" s="65">
        <v>12353636</v>
      </c>
      <c r="I15" s="65">
        <v>0</v>
      </c>
      <c r="J15" s="65">
        <v>0</v>
      </c>
      <c r="K15" s="65">
        <v>0</v>
      </c>
      <c r="L15" s="65">
        <v>95184460</v>
      </c>
      <c r="M15" s="63">
        <v>70232715</v>
      </c>
      <c r="N15" s="1"/>
    </row>
    <row r="16" spans="1:14" ht="16" hidden="1" customHeight="1" outlineLevel="1" x14ac:dyDescent="0.45">
      <c r="A16" s="29" t="s">
        <v>10</v>
      </c>
      <c r="B16" s="44">
        <v>4312328395</v>
      </c>
      <c r="C16" s="63">
        <v>-15754180</v>
      </c>
      <c r="D16" s="63">
        <v>0</v>
      </c>
      <c r="E16" s="64">
        <v>4328082575</v>
      </c>
      <c r="F16" s="63">
        <v>2431667456.8218479</v>
      </c>
      <c r="G16" s="63">
        <v>845965984.17815208</v>
      </c>
      <c r="H16" s="65">
        <v>485767071</v>
      </c>
      <c r="I16" s="65">
        <v>79567099</v>
      </c>
      <c r="J16" s="65">
        <v>140050945</v>
      </c>
      <c r="K16" s="65">
        <v>225353536</v>
      </c>
      <c r="L16" s="65">
        <v>119710483</v>
      </c>
      <c r="M16" s="63">
        <v>0</v>
      </c>
      <c r="N16" s="1"/>
    </row>
    <row r="17" spans="1:14" ht="16" hidden="1" customHeight="1" outlineLevel="1" x14ac:dyDescent="0.45">
      <c r="A17" s="29" t="s">
        <v>11</v>
      </c>
      <c r="B17" s="44">
        <v>67433715</v>
      </c>
      <c r="C17" s="63">
        <v>3546263</v>
      </c>
      <c r="D17" s="63">
        <v>0</v>
      </c>
      <c r="E17" s="64">
        <v>63887452</v>
      </c>
      <c r="F17" s="63">
        <v>58205908</v>
      </c>
      <c r="G17" s="63">
        <v>3100363</v>
      </c>
      <c r="H17" s="65">
        <v>2060454</v>
      </c>
      <c r="I17" s="65">
        <v>29227</v>
      </c>
      <c r="J17" s="65">
        <v>342000</v>
      </c>
      <c r="K17" s="65">
        <v>149500</v>
      </c>
      <c r="L17" s="65">
        <v>0</v>
      </c>
      <c r="M17" s="63">
        <v>0</v>
      </c>
      <c r="N17" s="1"/>
    </row>
    <row r="18" spans="1:14" ht="16" hidden="1" customHeight="1" outlineLevel="1" x14ac:dyDescent="0.45">
      <c r="A18" s="30" t="s">
        <v>12</v>
      </c>
      <c r="B18" s="46">
        <v>2167421940</v>
      </c>
      <c r="C18" s="63">
        <v>22279577</v>
      </c>
      <c r="D18" s="63">
        <v>0</v>
      </c>
      <c r="E18" s="64">
        <v>2145142363</v>
      </c>
      <c r="F18" s="63">
        <v>1067640297</v>
      </c>
      <c r="G18" s="63">
        <v>-213877</v>
      </c>
      <c r="H18" s="65">
        <v>32487271</v>
      </c>
      <c r="I18" s="65">
        <v>4063637</v>
      </c>
      <c r="J18" s="65">
        <v>0</v>
      </c>
      <c r="K18" s="65">
        <v>6470691</v>
      </c>
      <c r="L18" s="65">
        <v>1034694344</v>
      </c>
      <c r="M18" s="63">
        <v>0</v>
      </c>
      <c r="N18" s="1"/>
    </row>
    <row r="19" spans="1:14" ht="16" hidden="1" customHeight="1" outlineLevel="1" x14ac:dyDescent="0.45">
      <c r="A19" s="29" t="s">
        <v>119</v>
      </c>
      <c r="B19" s="44">
        <v>-2198027198</v>
      </c>
      <c r="C19" s="63">
        <v>-2198027198</v>
      </c>
      <c r="D19" s="63">
        <v>0</v>
      </c>
      <c r="E19" s="64">
        <v>0</v>
      </c>
      <c r="F19" s="63">
        <v>0</v>
      </c>
      <c r="G19" s="63">
        <v>0</v>
      </c>
      <c r="H19" s="65">
        <v>0</v>
      </c>
      <c r="I19" s="65">
        <v>0</v>
      </c>
      <c r="J19" s="65">
        <v>0</v>
      </c>
      <c r="K19" s="65">
        <v>0</v>
      </c>
      <c r="L19" s="65">
        <v>0</v>
      </c>
      <c r="M19" s="63">
        <v>0</v>
      </c>
      <c r="N19" s="1"/>
    </row>
    <row r="20" spans="1:14" ht="16" hidden="1" customHeight="1" outlineLevel="1" x14ac:dyDescent="0.45">
      <c r="A20" s="29" t="s">
        <v>120</v>
      </c>
      <c r="B20" s="44">
        <v>0</v>
      </c>
      <c r="C20" s="63">
        <v>0</v>
      </c>
      <c r="D20" s="63">
        <v>0</v>
      </c>
      <c r="E20" s="64">
        <v>0</v>
      </c>
      <c r="F20" s="63">
        <v>0</v>
      </c>
      <c r="G20" s="63">
        <v>0</v>
      </c>
      <c r="H20" s="65">
        <v>0</v>
      </c>
      <c r="I20" s="65">
        <v>0</v>
      </c>
      <c r="J20" s="65">
        <v>0</v>
      </c>
      <c r="K20" s="65">
        <v>0</v>
      </c>
      <c r="L20" s="65">
        <v>0</v>
      </c>
      <c r="M20" s="63">
        <v>0</v>
      </c>
      <c r="N20" s="1"/>
    </row>
    <row r="21" spans="1:14" ht="16" hidden="1" customHeight="1" outlineLevel="1" x14ac:dyDescent="0.45">
      <c r="A21" s="24" t="s">
        <v>13</v>
      </c>
      <c r="B21" s="45">
        <v>740375785</v>
      </c>
      <c r="C21" s="63">
        <v>0</v>
      </c>
      <c r="D21" s="63">
        <v>0</v>
      </c>
      <c r="E21" s="64">
        <v>740375785</v>
      </c>
      <c r="F21" s="63">
        <v>2712636</v>
      </c>
      <c r="G21" s="63">
        <v>0</v>
      </c>
      <c r="H21" s="65">
        <v>744818380</v>
      </c>
      <c r="I21" s="65">
        <v>2410000</v>
      </c>
      <c r="J21" s="65">
        <v>0</v>
      </c>
      <c r="K21" s="65">
        <v>-9565231</v>
      </c>
      <c r="L21" s="65">
        <v>0</v>
      </c>
      <c r="M21" s="63">
        <v>0</v>
      </c>
      <c r="N21" s="1"/>
    </row>
    <row r="22" spans="1:14" s="1" customFormat="1" ht="16" hidden="1" customHeight="1" outlineLevel="1" x14ac:dyDescent="0.45">
      <c r="A22" s="29" t="s">
        <v>121</v>
      </c>
      <c r="B22" s="44">
        <v>3734844569</v>
      </c>
      <c r="C22" s="63">
        <v>0</v>
      </c>
      <c r="D22" s="63">
        <v>96992000</v>
      </c>
      <c r="E22" s="64">
        <v>3637852569</v>
      </c>
      <c r="F22" s="63">
        <v>0</v>
      </c>
      <c r="G22" s="63">
        <v>2500000000</v>
      </c>
      <c r="H22" s="65">
        <v>978956510</v>
      </c>
      <c r="I22" s="65">
        <v>0</v>
      </c>
      <c r="J22" s="65">
        <v>38212726</v>
      </c>
      <c r="K22" s="65">
        <v>46783333</v>
      </c>
      <c r="L22" s="65">
        <v>0</v>
      </c>
      <c r="M22" s="63">
        <v>73900000</v>
      </c>
    </row>
    <row r="23" spans="1:14" ht="16" hidden="1" customHeight="1" outlineLevel="1" x14ac:dyDescent="0.45">
      <c r="A23" s="29" t="s">
        <v>249</v>
      </c>
      <c r="B23" s="44">
        <v>22333058</v>
      </c>
      <c r="C23" s="63">
        <v>-664939738</v>
      </c>
      <c r="D23" s="63">
        <v>0</v>
      </c>
      <c r="E23" s="64">
        <v>687272796</v>
      </c>
      <c r="F23" s="63">
        <v>687272796</v>
      </c>
      <c r="G23" s="63">
        <v>0</v>
      </c>
      <c r="H23" s="65">
        <v>0</v>
      </c>
      <c r="I23" s="65">
        <v>0</v>
      </c>
      <c r="J23" s="65">
        <v>0</v>
      </c>
      <c r="K23" s="65">
        <v>0</v>
      </c>
      <c r="L23" s="65">
        <v>0</v>
      </c>
      <c r="M23" s="63">
        <v>0</v>
      </c>
      <c r="N23" s="1"/>
    </row>
    <row r="24" spans="1:14" ht="16" hidden="1" customHeight="1" outlineLevel="1" x14ac:dyDescent="0.45">
      <c r="A24" s="24" t="s">
        <v>287</v>
      </c>
      <c r="B24" s="45">
        <v>0</v>
      </c>
      <c r="C24" s="63">
        <v>0</v>
      </c>
      <c r="D24" s="63">
        <v>0</v>
      </c>
      <c r="E24" s="64">
        <v>0</v>
      </c>
      <c r="F24" s="63">
        <v>0</v>
      </c>
      <c r="G24" s="63">
        <v>0</v>
      </c>
      <c r="H24" s="65">
        <v>0</v>
      </c>
      <c r="I24" s="65">
        <v>0</v>
      </c>
      <c r="J24" s="65">
        <v>0</v>
      </c>
      <c r="K24" s="65">
        <v>0</v>
      </c>
      <c r="L24" s="65">
        <v>0</v>
      </c>
      <c r="M24" s="63">
        <v>0</v>
      </c>
      <c r="N24" s="1"/>
    </row>
    <row r="25" spans="1:14" ht="16" customHeight="1" collapsed="1" x14ac:dyDescent="0.45">
      <c r="A25" s="27" t="s">
        <v>14</v>
      </c>
      <c r="B25" s="42">
        <v>39672068184</v>
      </c>
      <c r="C25" s="57">
        <v>-146753435</v>
      </c>
      <c r="D25" s="57">
        <v>0</v>
      </c>
      <c r="E25" s="58">
        <v>39818821619</v>
      </c>
      <c r="F25" s="58">
        <v>16189536341</v>
      </c>
      <c r="G25" s="58">
        <v>125776000</v>
      </c>
      <c r="H25" s="58">
        <v>16195740607</v>
      </c>
      <c r="I25" s="58">
        <v>589768886</v>
      </c>
      <c r="J25" s="58">
        <v>-98363178</v>
      </c>
      <c r="K25" s="58">
        <v>3268027557</v>
      </c>
      <c r="L25" s="58">
        <v>175646718</v>
      </c>
      <c r="M25" s="58">
        <v>3372688688</v>
      </c>
      <c r="N25" s="1"/>
    </row>
    <row r="26" spans="1:14" s="1" customFormat="1" ht="16" hidden="1" customHeight="1" outlineLevel="1" collapsed="1" x14ac:dyDescent="0.45">
      <c r="A26" s="28" t="s">
        <v>15</v>
      </c>
      <c r="B26" s="43">
        <v>39672068184</v>
      </c>
      <c r="C26" s="60">
        <v>-146753435</v>
      </c>
      <c r="D26" s="60">
        <v>0</v>
      </c>
      <c r="E26" s="61">
        <v>39818821619</v>
      </c>
      <c r="F26" s="60">
        <v>16189536341</v>
      </c>
      <c r="G26" s="60">
        <v>125776000</v>
      </c>
      <c r="H26" s="62">
        <v>16195740607</v>
      </c>
      <c r="I26" s="62">
        <v>589768886</v>
      </c>
      <c r="J26" s="62">
        <v>-98363178</v>
      </c>
      <c r="K26" s="62">
        <v>3268027557</v>
      </c>
      <c r="L26" s="62">
        <v>175646718</v>
      </c>
      <c r="M26" s="60">
        <v>3372688688</v>
      </c>
    </row>
    <row r="27" spans="1:14" s="1" customFormat="1" ht="16" customHeight="1" collapsed="1" x14ac:dyDescent="0.45">
      <c r="A27" s="27" t="s">
        <v>16</v>
      </c>
      <c r="B27" s="42">
        <v>17569466875</v>
      </c>
      <c r="C27" s="57">
        <v>-3387395162</v>
      </c>
      <c r="D27" s="57">
        <v>99969728</v>
      </c>
      <c r="E27" s="58">
        <v>20856892309</v>
      </c>
      <c r="F27" s="57">
        <v>8757611463.8218479</v>
      </c>
      <c r="G27" s="57">
        <v>3356363903.1781521</v>
      </c>
      <c r="H27" s="59">
        <v>5009541973</v>
      </c>
      <c r="I27" s="59">
        <v>105433761</v>
      </c>
      <c r="J27" s="59">
        <v>708909083</v>
      </c>
      <c r="K27" s="59">
        <v>423180658</v>
      </c>
      <c r="L27" s="59">
        <v>1256935014</v>
      </c>
      <c r="M27" s="57">
        <v>1238916453</v>
      </c>
    </row>
    <row r="28" spans="1:14" s="1" customFormat="1" collapsed="1" x14ac:dyDescent="0.45">
      <c r="A28" s="27" t="s">
        <v>17</v>
      </c>
      <c r="B28" s="42">
        <v>19400156555</v>
      </c>
      <c r="C28" s="57">
        <v>-1279196639.6906967</v>
      </c>
      <c r="D28" s="57">
        <v>598084405</v>
      </c>
      <c r="E28" s="58">
        <v>20081268789.690697</v>
      </c>
      <c r="F28" s="57">
        <v>10214356694.181034</v>
      </c>
      <c r="G28" s="57">
        <v>2878350062.7571573</v>
      </c>
      <c r="H28" s="59">
        <v>3288111707.0618086</v>
      </c>
      <c r="I28" s="59">
        <v>42131319.327557139</v>
      </c>
      <c r="J28" s="59">
        <v>612398856.02192056</v>
      </c>
      <c r="K28" s="59">
        <v>393601528.99173778</v>
      </c>
      <c r="L28" s="59">
        <v>1991602639.3494778</v>
      </c>
      <c r="M28" s="57">
        <v>660715982</v>
      </c>
    </row>
    <row r="29" spans="1:14" s="1" customFormat="1" x14ac:dyDescent="0.45">
      <c r="A29" s="28" t="s">
        <v>18</v>
      </c>
      <c r="B29" s="43">
        <v>107876570</v>
      </c>
      <c r="C29" s="60">
        <v>32943695.523018703</v>
      </c>
      <c r="D29" s="60">
        <v>16220000</v>
      </c>
      <c r="E29" s="61">
        <v>58712874.476981297</v>
      </c>
      <c r="F29" s="60">
        <v>40471039.286181264</v>
      </c>
      <c r="G29" s="60">
        <v>5705610.7138187401</v>
      </c>
      <c r="H29" s="62">
        <v>0</v>
      </c>
      <c r="I29" s="62">
        <v>1151820.078779482</v>
      </c>
      <c r="J29" s="62">
        <v>1786530.8997069399</v>
      </c>
      <c r="K29" s="62">
        <v>6659522.520008456</v>
      </c>
      <c r="L29" s="62">
        <v>2938350.9784864224</v>
      </c>
      <c r="M29" s="60">
        <v>0</v>
      </c>
    </row>
    <row r="30" spans="1:14" s="1" customFormat="1" x14ac:dyDescent="0.45">
      <c r="A30" s="28" t="s">
        <v>19</v>
      </c>
      <c r="B30" s="43">
        <v>8122845920</v>
      </c>
      <c r="C30" s="66">
        <v>544752736.50592709</v>
      </c>
      <c r="D30" s="60">
        <v>205245530</v>
      </c>
      <c r="E30" s="61">
        <v>7372847653.4940729</v>
      </c>
      <c r="F30" s="60">
        <v>4419246573.741293</v>
      </c>
      <c r="G30" s="60">
        <v>1463205211.9267006</v>
      </c>
      <c r="H30" s="62">
        <v>521607064.33200699</v>
      </c>
      <c r="I30" s="62">
        <v>43253708.2400622</v>
      </c>
      <c r="J30" s="62">
        <v>67088677.929336622</v>
      </c>
      <c r="K30" s="62">
        <v>250081631.15527442</v>
      </c>
      <c r="L30" s="62">
        <v>504438396.16939884</v>
      </c>
      <c r="M30" s="60">
        <v>103926390</v>
      </c>
    </row>
    <row r="31" spans="1:14" s="1" customFormat="1" ht="16" hidden="1" customHeight="1" outlineLevel="1" x14ac:dyDescent="0.45">
      <c r="A31" s="29" t="s">
        <v>20</v>
      </c>
      <c r="B31" s="44">
        <v>953594140</v>
      </c>
      <c r="C31" s="63">
        <v>253882069.52136803</v>
      </c>
      <c r="D31" s="63">
        <v>79971740</v>
      </c>
      <c r="E31" s="64">
        <v>619740330.47863197</v>
      </c>
      <c r="F31" s="63">
        <v>284321947.33726823</v>
      </c>
      <c r="G31" s="63">
        <v>133708187.76671506</v>
      </c>
      <c r="H31" s="65">
        <v>35397624.896016672</v>
      </c>
      <c r="I31" s="65">
        <v>4957125.1549096154</v>
      </c>
      <c r="J31" s="65">
        <v>11102826.850829925</v>
      </c>
      <c r="K31" s="65">
        <v>17830076.467152938</v>
      </c>
      <c r="L31" s="65">
        <v>73655652.00573954</v>
      </c>
      <c r="M31" s="63">
        <v>58766890</v>
      </c>
    </row>
    <row r="32" spans="1:14" ht="16" hidden="1" customHeight="1" outlineLevel="1" x14ac:dyDescent="0.45">
      <c r="A32" s="29" t="s">
        <v>21</v>
      </c>
      <c r="B32" s="44">
        <v>174005880</v>
      </c>
      <c r="C32" s="63">
        <v>46129578.518667981</v>
      </c>
      <c r="D32" s="63">
        <v>14513200</v>
      </c>
      <c r="E32" s="64">
        <v>113363101.48133202</v>
      </c>
      <c r="F32" s="63">
        <v>52337212.455379777</v>
      </c>
      <c r="G32" s="63">
        <v>24157729.08844389</v>
      </c>
      <c r="H32" s="65">
        <v>6404068.4561763313</v>
      </c>
      <c r="I32" s="65">
        <v>898198.46513823641</v>
      </c>
      <c r="J32" s="65">
        <v>2014547.3585519998</v>
      </c>
      <c r="K32" s="65">
        <v>3223479.8339515659</v>
      </c>
      <c r="L32" s="65">
        <v>13737865.823690236</v>
      </c>
      <c r="M32" s="63">
        <v>10590000</v>
      </c>
      <c r="N32" s="1"/>
    </row>
    <row r="33" spans="1:14" ht="16" hidden="1" customHeight="1" outlineLevel="1" x14ac:dyDescent="0.45">
      <c r="A33" s="29" t="s">
        <v>22</v>
      </c>
      <c r="B33" s="44">
        <v>33550000</v>
      </c>
      <c r="C33" s="63">
        <v>8450000</v>
      </c>
      <c r="D33" s="63">
        <v>2800000</v>
      </c>
      <c r="E33" s="64">
        <v>22300000</v>
      </c>
      <c r="F33" s="63">
        <v>10162931.076136082</v>
      </c>
      <c r="G33" s="63">
        <v>3723039.6953435084</v>
      </c>
      <c r="H33" s="65">
        <v>1114029.2285204108</v>
      </c>
      <c r="I33" s="65">
        <v>210000</v>
      </c>
      <c r="J33" s="65">
        <v>490000</v>
      </c>
      <c r="K33" s="65">
        <v>700000</v>
      </c>
      <c r="L33" s="65">
        <v>4200000</v>
      </c>
      <c r="M33" s="63">
        <v>1700000</v>
      </c>
      <c r="N33" s="1"/>
    </row>
    <row r="34" spans="1:14" ht="16" hidden="1" customHeight="1" outlineLevel="1" x14ac:dyDescent="0.45">
      <c r="A34" s="29" t="s">
        <v>171</v>
      </c>
      <c r="B34" s="44">
        <v>0</v>
      </c>
      <c r="C34" s="63">
        <v>0</v>
      </c>
      <c r="D34" s="63">
        <v>0</v>
      </c>
      <c r="E34" s="64">
        <v>0</v>
      </c>
      <c r="F34" s="63">
        <v>0</v>
      </c>
      <c r="G34" s="63">
        <v>0</v>
      </c>
      <c r="H34" s="65">
        <v>0</v>
      </c>
      <c r="I34" s="65">
        <v>0</v>
      </c>
      <c r="J34" s="65">
        <v>0</v>
      </c>
      <c r="K34" s="65">
        <v>0</v>
      </c>
      <c r="L34" s="65">
        <v>0</v>
      </c>
      <c r="M34" s="63">
        <v>0</v>
      </c>
      <c r="N34" s="1"/>
    </row>
    <row r="35" spans="1:14" ht="16" hidden="1" customHeight="1" outlineLevel="1" x14ac:dyDescent="0.45">
      <c r="A35" s="29" t="s">
        <v>23</v>
      </c>
      <c r="B35" s="44">
        <v>17207750</v>
      </c>
      <c r="C35" s="63">
        <v>1991542.4567616992</v>
      </c>
      <c r="D35" s="63">
        <v>1037010</v>
      </c>
      <c r="E35" s="64">
        <v>14179197.543238301</v>
      </c>
      <c r="F35" s="63">
        <v>7771212.1437073275</v>
      </c>
      <c r="G35" s="63">
        <v>4248887.8562926725</v>
      </c>
      <c r="H35" s="65">
        <v>342450</v>
      </c>
      <c r="I35" s="65">
        <v>15517.276650142872</v>
      </c>
      <c r="J35" s="65">
        <v>24068.076885894156</v>
      </c>
      <c r="K35" s="65">
        <v>111866.83616622559</v>
      </c>
      <c r="L35" s="65">
        <v>944305.35353603703</v>
      </c>
      <c r="M35" s="63">
        <v>720890</v>
      </c>
      <c r="N35" s="1"/>
    </row>
    <row r="36" spans="1:14" ht="16" hidden="1" customHeight="1" outlineLevel="1" x14ac:dyDescent="0.45">
      <c r="A36" s="29" t="s">
        <v>24</v>
      </c>
      <c r="B36" s="44">
        <v>20965690</v>
      </c>
      <c r="C36" s="63">
        <v>6619237.5556466468</v>
      </c>
      <c r="D36" s="63">
        <v>1657770</v>
      </c>
      <c r="E36" s="64">
        <v>12688682.444353353</v>
      </c>
      <c r="F36" s="63">
        <v>5011353.6154936301</v>
      </c>
      <c r="G36" s="63">
        <v>3365609.297799007</v>
      </c>
      <c r="H36" s="65">
        <v>561087.08670736302</v>
      </c>
      <c r="I36" s="65">
        <v>102008.78584410581</v>
      </c>
      <c r="J36" s="65">
        <v>159030.42266396168</v>
      </c>
      <c r="K36" s="65">
        <v>1083804.0273372182</v>
      </c>
      <c r="L36" s="65">
        <v>614529.20850806753</v>
      </c>
      <c r="M36" s="63">
        <v>1791260</v>
      </c>
      <c r="N36" s="1"/>
    </row>
    <row r="37" spans="1:14" ht="16" hidden="1" customHeight="1" outlineLevel="1" x14ac:dyDescent="0.45">
      <c r="A37" s="29" t="s">
        <v>122</v>
      </c>
      <c r="B37" s="44">
        <v>422162690</v>
      </c>
      <c r="C37" s="63">
        <v>29014370</v>
      </c>
      <c r="D37" s="63">
        <v>0</v>
      </c>
      <c r="E37" s="64">
        <v>393148320</v>
      </c>
      <c r="F37" s="63">
        <v>27726250</v>
      </c>
      <c r="G37" s="63">
        <v>0</v>
      </c>
      <c r="H37" s="65">
        <v>354058760</v>
      </c>
      <c r="I37" s="65">
        <v>0</v>
      </c>
      <c r="J37" s="65">
        <v>0</v>
      </c>
      <c r="K37" s="65">
        <v>11363310</v>
      </c>
      <c r="L37" s="65">
        <v>0</v>
      </c>
      <c r="M37" s="63">
        <v>0</v>
      </c>
      <c r="N37" s="1"/>
    </row>
    <row r="38" spans="1:14" ht="16" hidden="1" customHeight="1" outlineLevel="1" x14ac:dyDescent="0.45">
      <c r="A38" s="29" t="s">
        <v>123</v>
      </c>
      <c r="B38" s="44">
        <v>73418930</v>
      </c>
      <c r="C38" s="63">
        <v>4794200</v>
      </c>
      <c r="D38" s="63">
        <v>0</v>
      </c>
      <c r="E38" s="64">
        <v>68624730</v>
      </c>
      <c r="F38" s="63">
        <v>4903330</v>
      </c>
      <c r="G38" s="63">
        <v>0</v>
      </c>
      <c r="H38" s="65">
        <v>61829190</v>
      </c>
      <c r="I38" s="65">
        <v>0</v>
      </c>
      <c r="J38" s="65">
        <v>0</v>
      </c>
      <c r="K38" s="65">
        <v>1892210</v>
      </c>
      <c r="L38" s="65">
        <v>0</v>
      </c>
      <c r="M38" s="63">
        <v>0</v>
      </c>
      <c r="N38" s="1"/>
    </row>
    <row r="39" spans="1:14" ht="16" hidden="1" customHeight="1" outlineLevel="1" x14ac:dyDescent="0.45">
      <c r="A39" s="29" t="s">
        <v>124</v>
      </c>
      <c r="B39" s="44">
        <v>900000</v>
      </c>
      <c r="C39" s="63">
        <v>0</v>
      </c>
      <c r="D39" s="63">
        <v>0</v>
      </c>
      <c r="E39" s="64">
        <v>900000</v>
      </c>
      <c r="F39" s="63">
        <v>0</v>
      </c>
      <c r="G39" s="63">
        <v>0</v>
      </c>
      <c r="H39" s="65">
        <v>900000</v>
      </c>
      <c r="I39" s="65">
        <v>0</v>
      </c>
      <c r="J39" s="65">
        <v>0</v>
      </c>
      <c r="K39" s="65">
        <v>0</v>
      </c>
      <c r="L39" s="65">
        <v>0</v>
      </c>
      <c r="M39" s="63">
        <v>0</v>
      </c>
      <c r="N39" s="1"/>
    </row>
    <row r="40" spans="1:14" ht="16" hidden="1" customHeight="1" outlineLevel="1" x14ac:dyDescent="0.45">
      <c r="A40" s="29" t="s">
        <v>125</v>
      </c>
      <c r="B40" s="44">
        <v>0</v>
      </c>
      <c r="C40" s="63">
        <v>0</v>
      </c>
      <c r="D40" s="63">
        <v>0</v>
      </c>
      <c r="E40" s="64">
        <v>0</v>
      </c>
      <c r="F40" s="63">
        <v>0</v>
      </c>
      <c r="G40" s="63">
        <v>0</v>
      </c>
      <c r="H40" s="65">
        <v>0</v>
      </c>
      <c r="I40" s="65">
        <v>0</v>
      </c>
      <c r="J40" s="65">
        <v>0</v>
      </c>
      <c r="K40" s="65">
        <v>0</v>
      </c>
      <c r="L40" s="65">
        <v>0</v>
      </c>
      <c r="M40" s="63">
        <v>0</v>
      </c>
      <c r="N40" s="1"/>
    </row>
    <row r="41" spans="1:14" ht="16" hidden="1" customHeight="1" outlineLevel="1" x14ac:dyDescent="0.45">
      <c r="A41" s="29" t="s">
        <v>172</v>
      </c>
      <c r="B41" s="44">
        <v>516330</v>
      </c>
      <c r="C41" s="63">
        <v>516330</v>
      </c>
      <c r="D41" s="63">
        <v>0</v>
      </c>
      <c r="E41" s="64">
        <v>0</v>
      </c>
      <c r="F41" s="63">
        <v>0</v>
      </c>
      <c r="G41" s="63">
        <v>0</v>
      </c>
      <c r="H41" s="65">
        <v>0</v>
      </c>
      <c r="I41" s="65">
        <v>0</v>
      </c>
      <c r="J41" s="65">
        <v>0</v>
      </c>
      <c r="K41" s="65">
        <v>0</v>
      </c>
      <c r="L41" s="65">
        <v>0</v>
      </c>
      <c r="M41" s="63">
        <v>0</v>
      </c>
      <c r="N41" s="1"/>
    </row>
    <row r="42" spans="1:14" ht="16" hidden="1" customHeight="1" outlineLevel="1" x14ac:dyDescent="0.45">
      <c r="A42" s="29" t="s">
        <v>173</v>
      </c>
      <c r="B42" s="44">
        <v>0</v>
      </c>
      <c r="C42" s="63">
        <v>0</v>
      </c>
      <c r="D42" s="63">
        <v>0</v>
      </c>
      <c r="E42" s="64">
        <v>0</v>
      </c>
      <c r="F42" s="63">
        <v>0</v>
      </c>
      <c r="G42" s="63">
        <v>0</v>
      </c>
      <c r="H42" s="65">
        <v>0</v>
      </c>
      <c r="I42" s="65">
        <v>0</v>
      </c>
      <c r="J42" s="65">
        <v>0</v>
      </c>
      <c r="K42" s="65">
        <v>0</v>
      </c>
      <c r="L42" s="65">
        <v>0</v>
      </c>
      <c r="M42" s="63">
        <v>0</v>
      </c>
      <c r="N42" s="1"/>
    </row>
    <row r="43" spans="1:14" ht="16" hidden="1" customHeight="1" outlineLevel="1" x14ac:dyDescent="0.45">
      <c r="A43" s="29" t="s">
        <v>25</v>
      </c>
      <c r="B43" s="44">
        <v>29320840</v>
      </c>
      <c r="C43" s="63">
        <v>8342638.4534836449</v>
      </c>
      <c r="D43" s="63">
        <v>2480000</v>
      </c>
      <c r="E43" s="64">
        <v>18498201.546516355</v>
      </c>
      <c r="F43" s="63">
        <v>8508327.2859213501</v>
      </c>
      <c r="G43" s="63">
        <v>4214888.0494924616</v>
      </c>
      <c r="H43" s="65">
        <v>1097624.6645861883</v>
      </c>
      <c r="I43" s="65">
        <v>123996.55752009981</v>
      </c>
      <c r="J43" s="65">
        <v>265077.22040484042</v>
      </c>
      <c r="K43" s="65">
        <v>489213.99066647294</v>
      </c>
      <c r="L43" s="65">
        <v>2094073.7779249402</v>
      </c>
      <c r="M43" s="63">
        <v>1705000</v>
      </c>
      <c r="N43" s="1"/>
    </row>
    <row r="44" spans="1:14" ht="16" hidden="1" customHeight="1" outlineLevel="1" x14ac:dyDescent="0.45">
      <c r="A44" s="29" t="s">
        <v>174</v>
      </c>
      <c r="B44" s="44">
        <v>0</v>
      </c>
      <c r="C44" s="63">
        <v>0</v>
      </c>
      <c r="D44" s="63">
        <v>0</v>
      </c>
      <c r="E44" s="64">
        <v>0</v>
      </c>
      <c r="F44" s="63">
        <v>0</v>
      </c>
      <c r="G44" s="63">
        <v>0</v>
      </c>
      <c r="H44" s="65">
        <v>0</v>
      </c>
      <c r="I44" s="65">
        <v>0</v>
      </c>
      <c r="J44" s="65">
        <v>0</v>
      </c>
      <c r="K44" s="65">
        <v>0</v>
      </c>
      <c r="L44" s="65">
        <v>0</v>
      </c>
      <c r="M44" s="63">
        <v>0</v>
      </c>
      <c r="N44" s="1"/>
    </row>
    <row r="45" spans="1:14" ht="16" hidden="1" customHeight="1" outlineLevel="1" x14ac:dyDescent="0.45">
      <c r="A45" s="29" t="s">
        <v>126</v>
      </c>
      <c r="B45" s="44">
        <v>23875180</v>
      </c>
      <c r="C45" s="63">
        <v>1720500</v>
      </c>
      <c r="D45" s="63">
        <v>0</v>
      </c>
      <c r="E45" s="64">
        <v>22154680</v>
      </c>
      <c r="F45" s="63">
        <v>1550000</v>
      </c>
      <c r="G45" s="63">
        <v>0</v>
      </c>
      <c r="H45" s="65">
        <v>19984680</v>
      </c>
      <c r="I45" s="65">
        <v>0</v>
      </c>
      <c r="J45" s="65">
        <v>0</v>
      </c>
      <c r="K45" s="65">
        <v>620000</v>
      </c>
      <c r="L45" s="65">
        <v>0</v>
      </c>
      <c r="M45" s="63">
        <v>0</v>
      </c>
      <c r="N45" s="1"/>
    </row>
    <row r="46" spans="1:14" ht="16" hidden="1" customHeight="1" outlineLevel="1" x14ac:dyDescent="0.45">
      <c r="A46" s="29" t="s">
        <v>175</v>
      </c>
      <c r="B46" s="44">
        <v>0</v>
      </c>
      <c r="C46" s="63">
        <v>0</v>
      </c>
      <c r="D46" s="63">
        <v>0</v>
      </c>
      <c r="E46" s="64">
        <v>0</v>
      </c>
      <c r="F46" s="63">
        <v>0</v>
      </c>
      <c r="G46" s="63">
        <v>0</v>
      </c>
      <c r="H46" s="65">
        <v>0</v>
      </c>
      <c r="I46" s="65">
        <v>0</v>
      </c>
      <c r="J46" s="65">
        <v>0</v>
      </c>
      <c r="K46" s="65">
        <v>0</v>
      </c>
      <c r="L46" s="65">
        <v>0</v>
      </c>
      <c r="M46" s="63">
        <v>0</v>
      </c>
      <c r="N46" s="1"/>
    </row>
    <row r="47" spans="1:14" ht="16" hidden="1" customHeight="1" outlineLevel="1" x14ac:dyDescent="0.45">
      <c r="A47" s="29" t="s">
        <v>176</v>
      </c>
      <c r="B47" s="44">
        <v>0</v>
      </c>
      <c r="C47" s="63">
        <v>0</v>
      </c>
      <c r="D47" s="63">
        <v>0</v>
      </c>
      <c r="E47" s="64">
        <v>0</v>
      </c>
      <c r="F47" s="63">
        <v>0</v>
      </c>
      <c r="G47" s="63">
        <v>0</v>
      </c>
      <c r="H47" s="65">
        <v>0</v>
      </c>
      <c r="I47" s="65">
        <v>0</v>
      </c>
      <c r="J47" s="65">
        <v>0</v>
      </c>
      <c r="K47" s="65">
        <v>0</v>
      </c>
      <c r="L47" s="65">
        <v>0</v>
      </c>
      <c r="M47" s="63">
        <v>0</v>
      </c>
      <c r="N47" s="1"/>
    </row>
    <row r="48" spans="1:14" ht="16" hidden="1" customHeight="1" outlineLevel="1" x14ac:dyDescent="0.45">
      <c r="A48" s="29" t="s">
        <v>26</v>
      </c>
      <c r="B48" s="44">
        <v>5005596590</v>
      </c>
      <c r="C48" s="63">
        <v>139710130</v>
      </c>
      <c r="D48" s="63">
        <v>83222480</v>
      </c>
      <c r="E48" s="64">
        <v>4782663980</v>
      </c>
      <c r="F48" s="63">
        <v>3177840911.6071768</v>
      </c>
      <c r="G48" s="63">
        <v>1018044178.3928231</v>
      </c>
      <c r="H48" s="65">
        <v>30925280</v>
      </c>
      <c r="I48" s="65">
        <v>30124586</v>
      </c>
      <c r="J48" s="65">
        <v>43438084</v>
      </c>
      <c r="K48" s="65">
        <v>171464320</v>
      </c>
      <c r="L48" s="65">
        <v>288179730</v>
      </c>
      <c r="M48" s="63">
        <v>22646890</v>
      </c>
      <c r="N48" s="1"/>
    </row>
    <row r="49" spans="1:14" ht="16" hidden="1" customHeight="1" outlineLevel="1" x14ac:dyDescent="0.45">
      <c r="A49" s="29" t="s">
        <v>27</v>
      </c>
      <c r="B49" s="44">
        <v>876292530</v>
      </c>
      <c r="C49" s="63">
        <v>22352500</v>
      </c>
      <c r="D49" s="63">
        <v>13866870</v>
      </c>
      <c r="E49" s="64">
        <v>840073160</v>
      </c>
      <c r="F49" s="63">
        <v>562734577.92715597</v>
      </c>
      <c r="G49" s="63">
        <v>179833682.07284406</v>
      </c>
      <c r="H49" s="65">
        <v>5504160</v>
      </c>
      <c r="I49" s="65">
        <v>4852623</v>
      </c>
      <c r="J49" s="65">
        <v>6794187</v>
      </c>
      <c r="K49" s="65">
        <v>28746600</v>
      </c>
      <c r="L49" s="65">
        <v>47862510</v>
      </c>
      <c r="M49" s="63">
        <v>3744820</v>
      </c>
      <c r="N49" s="1"/>
    </row>
    <row r="50" spans="1:14" ht="16" hidden="1" customHeight="1" outlineLevel="1" x14ac:dyDescent="0.45">
      <c r="A50" s="29" t="s">
        <v>28</v>
      </c>
      <c r="B50" s="44">
        <v>123783340</v>
      </c>
      <c r="C50" s="63">
        <v>5830000</v>
      </c>
      <c r="D50" s="63">
        <v>600000</v>
      </c>
      <c r="E50" s="64">
        <v>117353340</v>
      </c>
      <c r="F50" s="63">
        <v>86373340</v>
      </c>
      <c r="G50" s="63">
        <v>25200000</v>
      </c>
      <c r="H50" s="65">
        <v>1200000</v>
      </c>
      <c r="I50" s="65">
        <v>384000</v>
      </c>
      <c r="J50" s="65">
        <v>496000</v>
      </c>
      <c r="K50" s="65">
        <v>3700000</v>
      </c>
      <c r="L50" s="65">
        <v>0</v>
      </c>
      <c r="M50" s="63">
        <v>0</v>
      </c>
      <c r="N50" s="1"/>
    </row>
    <row r="51" spans="1:14" ht="16" hidden="1" customHeight="1" outlineLevel="1" x14ac:dyDescent="0.45">
      <c r="A51" s="29" t="s">
        <v>29</v>
      </c>
      <c r="B51" s="44">
        <v>265716770</v>
      </c>
      <c r="C51" s="63">
        <v>6039890</v>
      </c>
      <c r="D51" s="63">
        <v>4185000</v>
      </c>
      <c r="E51" s="64">
        <v>255491880</v>
      </c>
      <c r="F51" s="63">
        <v>171103321.70109966</v>
      </c>
      <c r="G51" s="63">
        <v>54008528.298900336</v>
      </c>
      <c r="H51" s="65">
        <v>1550000</v>
      </c>
      <c r="I51" s="65">
        <v>1585653</v>
      </c>
      <c r="J51" s="65">
        <v>2304857</v>
      </c>
      <c r="K51" s="65">
        <v>8845340</v>
      </c>
      <c r="L51" s="65">
        <v>14854180</v>
      </c>
      <c r="M51" s="63">
        <v>1240000</v>
      </c>
      <c r="N51" s="1"/>
    </row>
    <row r="52" spans="1:14" ht="16" hidden="1" customHeight="1" outlineLevel="1" x14ac:dyDescent="0.45">
      <c r="A52" s="29" t="s">
        <v>127</v>
      </c>
      <c r="B52" s="44">
        <v>120000</v>
      </c>
      <c r="C52" s="63">
        <v>60000</v>
      </c>
      <c r="D52" s="63">
        <v>60000</v>
      </c>
      <c r="E52" s="64">
        <v>0</v>
      </c>
      <c r="F52" s="63">
        <v>0</v>
      </c>
      <c r="G52" s="63">
        <v>0</v>
      </c>
      <c r="H52" s="65">
        <v>0</v>
      </c>
      <c r="I52" s="65">
        <v>0</v>
      </c>
      <c r="J52" s="65">
        <v>0</v>
      </c>
      <c r="K52" s="65">
        <v>0</v>
      </c>
      <c r="L52" s="65">
        <v>0</v>
      </c>
      <c r="M52" s="63">
        <v>0</v>
      </c>
      <c r="N52" s="1"/>
    </row>
    <row r="53" spans="1:14" ht="16" hidden="1" customHeight="1" outlineLevel="1" x14ac:dyDescent="0.45">
      <c r="A53" s="29" t="s">
        <v>177</v>
      </c>
      <c r="B53" s="44">
        <v>0</v>
      </c>
      <c r="C53" s="63">
        <v>0</v>
      </c>
      <c r="D53" s="63">
        <v>0</v>
      </c>
      <c r="E53" s="64">
        <v>0</v>
      </c>
      <c r="F53" s="63">
        <v>0</v>
      </c>
      <c r="G53" s="63">
        <v>0</v>
      </c>
      <c r="H53" s="65">
        <v>0</v>
      </c>
      <c r="I53" s="65">
        <v>0</v>
      </c>
      <c r="J53" s="65">
        <v>0</v>
      </c>
      <c r="K53" s="65">
        <v>0</v>
      </c>
      <c r="L53" s="65">
        <v>0</v>
      </c>
      <c r="M53" s="63">
        <v>0</v>
      </c>
      <c r="N53" s="1"/>
    </row>
    <row r="54" spans="1:14" ht="16" hidden="1" customHeight="1" outlineLevel="1" x14ac:dyDescent="0.45">
      <c r="A54" s="29" t="s">
        <v>30</v>
      </c>
      <c r="B54" s="44">
        <v>17639970</v>
      </c>
      <c r="C54" s="63">
        <v>5716910</v>
      </c>
      <c r="D54" s="63">
        <v>0</v>
      </c>
      <c r="E54" s="64">
        <v>11923060</v>
      </c>
      <c r="F54" s="63">
        <v>6370020</v>
      </c>
      <c r="G54" s="63">
        <v>4003960</v>
      </c>
      <c r="H54" s="65">
        <v>0</v>
      </c>
      <c r="I54" s="65">
        <v>0</v>
      </c>
      <c r="J54" s="65">
        <v>0</v>
      </c>
      <c r="K54" s="65">
        <v>0</v>
      </c>
      <c r="L54" s="65">
        <v>1549080</v>
      </c>
      <c r="M54" s="63">
        <v>0</v>
      </c>
      <c r="N54" s="1"/>
    </row>
    <row r="55" spans="1:14" ht="16" hidden="1" customHeight="1" outlineLevel="1" x14ac:dyDescent="0.45">
      <c r="A55" s="29" t="s">
        <v>128</v>
      </c>
      <c r="B55" s="44">
        <v>55902420</v>
      </c>
      <c r="C55" s="63">
        <v>0</v>
      </c>
      <c r="D55" s="63">
        <v>0</v>
      </c>
      <c r="E55" s="64">
        <v>55902420</v>
      </c>
      <c r="F55" s="63">
        <v>0</v>
      </c>
      <c r="G55" s="63">
        <v>0</v>
      </c>
      <c r="H55" s="65">
        <v>0</v>
      </c>
      <c r="I55" s="65">
        <v>0</v>
      </c>
      <c r="J55" s="65">
        <v>0</v>
      </c>
      <c r="K55" s="65">
        <v>0</v>
      </c>
      <c r="L55" s="65">
        <v>55902420</v>
      </c>
      <c r="M55" s="63">
        <v>0</v>
      </c>
      <c r="N55" s="1"/>
    </row>
    <row r="56" spans="1:14" ht="16" hidden="1" customHeight="1" outlineLevel="1" x14ac:dyDescent="0.45">
      <c r="A56" s="29" t="s">
        <v>129</v>
      </c>
      <c r="B56" s="44">
        <v>0</v>
      </c>
      <c r="C56" s="63">
        <v>0</v>
      </c>
      <c r="D56" s="63">
        <v>0</v>
      </c>
      <c r="E56" s="64">
        <v>0</v>
      </c>
      <c r="F56" s="63">
        <v>0</v>
      </c>
      <c r="G56" s="63">
        <v>0</v>
      </c>
      <c r="H56" s="65">
        <v>0</v>
      </c>
      <c r="I56" s="65">
        <v>0</v>
      </c>
      <c r="J56" s="65">
        <v>0</v>
      </c>
      <c r="K56" s="65">
        <v>0</v>
      </c>
      <c r="L56" s="65">
        <v>0</v>
      </c>
      <c r="M56" s="63">
        <v>0</v>
      </c>
      <c r="N56" s="1"/>
    </row>
    <row r="57" spans="1:14" ht="16" hidden="1" customHeight="1" outlineLevel="1" x14ac:dyDescent="0.45">
      <c r="A57" s="29" t="s">
        <v>178</v>
      </c>
      <c r="B57" s="44">
        <v>0</v>
      </c>
      <c r="C57" s="63">
        <v>0</v>
      </c>
      <c r="D57" s="63">
        <v>0</v>
      </c>
      <c r="E57" s="64">
        <v>0</v>
      </c>
      <c r="F57" s="63">
        <v>0</v>
      </c>
      <c r="G57" s="63">
        <v>0</v>
      </c>
      <c r="H57" s="65">
        <v>0</v>
      </c>
      <c r="I57" s="65">
        <v>0</v>
      </c>
      <c r="J57" s="65">
        <v>0</v>
      </c>
      <c r="K57" s="65">
        <v>0</v>
      </c>
      <c r="L57" s="65">
        <v>0</v>
      </c>
      <c r="M57" s="63">
        <v>0</v>
      </c>
      <c r="N57" s="1"/>
    </row>
    <row r="58" spans="1:14" ht="16" hidden="1" customHeight="1" outlineLevel="1" x14ac:dyDescent="0.45">
      <c r="A58" s="29" t="s">
        <v>31</v>
      </c>
      <c r="B58" s="44">
        <v>15699610</v>
      </c>
      <c r="C58" s="63">
        <v>2282840</v>
      </c>
      <c r="D58" s="63">
        <v>351460</v>
      </c>
      <c r="E58" s="64">
        <v>13065310</v>
      </c>
      <c r="F58" s="63">
        <v>8459318.5919536576</v>
      </c>
      <c r="G58" s="63">
        <v>4080171.4080463429</v>
      </c>
      <c r="H58" s="65">
        <v>238110</v>
      </c>
      <c r="I58" s="65">
        <v>0</v>
      </c>
      <c r="J58" s="65">
        <v>0</v>
      </c>
      <c r="K58" s="65">
        <v>11410</v>
      </c>
      <c r="L58" s="65">
        <v>255660</v>
      </c>
      <c r="M58" s="63">
        <v>20640</v>
      </c>
      <c r="N58" s="1"/>
    </row>
    <row r="59" spans="1:14" ht="16" hidden="1" customHeight="1" outlineLevel="1" x14ac:dyDescent="0.45">
      <c r="A59" s="29" t="s">
        <v>113</v>
      </c>
      <c r="B59" s="44">
        <v>0</v>
      </c>
      <c r="C59" s="63">
        <v>0</v>
      </c>
      <c r="D59" s="63">
        <v>0</v>
      </c>
      <c r="E59" s="64">
        <v>0</v>
      </c>
      <c r="F59" s="63">
        <v>0</v>
      </c>
      <c r="G59" s="63">
        <v>0</v>
      </c>
      <c r="H59" s="65">
        <v>0</v>
      </c>
      <c r="I59" s="65">
        <v>0</v>
      </c>
      <c r="J59" s="65">
        <v>0</v>
      </c>
      <c r="K59" s="65">
        <v>0</v>
      </c>
      <c r="L59" s="65">
        <v>0</v>
      </c>
      <c r="M59" s="63">
        <v>0</v>
      </c>
      <c r="N59" s="1"/>
    </row>
    <row r="60" spans="1:14" ht="16" hidden="1" customHeight="1" outlineLevel="1" x14ac:dyDescent="0.45">
      <c r="A60" s="29" t="s">
        <v>32</v>
      </c>
      <c r="B60" s="44">
        <v>11077260</v>
      </c>
      <c r="C60" s="63">
        <v>1300000</v>
      </c>
      <c r="D60" s="63">
        <v>500000</v>
      </c>
      <c r="E60" s="64">
        <v>9277260</v>
      </c>
      <c r="F60" s="63">
        <v>2572520</v>
      </c>
      <c r="G60" s="63">
        <v>4616350</v>
      </c>
      <c r="H60" s="65">
        <v>500000</v>
      </c>
      <c r="I60" s="65">
        <v>0</v>
      </c>
      <c r="J60" s="65">
        <v>0</v>
      </c>
      <c r="K60" s="65">
        <v>0</v>
      </c>
      <c r="L60" s="65">
        <v>588390</v>
      </c>
      <c r="M60" s="63">
        <v>1000000</v>
      </c>
      <c r="N60" s="1"/>
    </row>
    <row r="61" spans="1:14" ht="16" hidden="1" customHeight="1" outlineLevel="1" x14ac:dyDescent="0.45">
      <c r="A61" s="24" t="s">
        <v>130</v>
      </c>
      <c r="B61" s="44">
        <v>0</v>
      </c>
      <c r="C61" s="63">
        <v>0</v>
      </c>
      <c r="D61" s="63">
        <v>0</v>
      </c>
      <c r="E61" s="64">
        <v>0</v>
      </c>
      <c r="F61" s="63">
        <v>0</v>
      </c>
      <c r="G61" s="63">
        <v>0</v>
      </c>
      <c r="H61" s="65">
        <v>0</v>
      </c>
      <c r="I61" s="65">
        <v>0</v>
      </c>
      <c r="J61" s="65">
        <v>0</v>
      </c>
      <c r="K61" s="65">
        <v>0</v>
      </c>
      <c r="L61" s="65">
        <v>0</v>
      </c>
      <c r="M61" s="63">
        <v>0</v>
      </c>
      <c r="N61" s="1"/>
    </row>
    <row r="62" spans="1:14" ht="16" hidden="1" customHeight="1" outlineLevel="1" x14ac:dyDescent="0.45">
      <c r="A62" s="29" t="s">
        <v>267</v>
      </c>
      <c r="B62" s="44">
        <v>1500000</v>
      </c>
      <c r="C62" s="63">
        <v>0</v>
      </c>
      <c r="D62" s="63">
        <v>0</v>
      </c>
      <c r="E62" s="64">
        <v>1500000</v>
      </c>
      <c r="F62" s="63">
        <v>1500000</v>
      </c>
      <c r="G62" s="63">
        <v>0</v>
      </c>
      <c r="H62" s="65">
        <v>0</v>
      </c>
      <c r="I62" s="65">
        <v>0</v>
      </c>
      <c r="J62" s="65">
        <v>0</v>
      </c>
      <c r="K62" s="65">
        <v>0</v>
      </c>
      <c r="L62" s="65">
        <v>0</v>
      </c>
      <c r="M62" s="63">
        <v>0</v>
      </c>
      <c r="N62" s="1"/>
    </row>
    <row r="63" spans="1:14" ht="16" customHeight="1" collapsed="1" x14ac:dyDescent="0.45">
      <c r="A63" s="28" t="s">
        <v>33</v>
      </c>
      <c r="B63" s="43">
        <v>939461264</v>
      </c>
      <c r="C63" s="60">
        <v>-810002962.52055359</v>
      </c>
      <c r="D63" s="60">
        <v>24209610</v>
      </c>
      <c r="E63" s="61">
        <v>1725254616.5205536</v>
      </c>
      <c r="F63" s="60">
        <v>1172870608.508317</v>
      </c>
      <c r="G63" s="60">
        <v>345551718.3817476</v>
      </c>
      <c r="H63" s="62">
        <v>36518213.10993541</v>
      </c>
      <c r="I63" s="62">
        <v>6191609.2151296958</v>
      </c>
      <c r="J63" s="62">
        <v>14117849.263340872</v>
      </c>
      <c r="K63" s="62">
        <v>63435829.563612327</v>
      </c>
      <c r="L63" s="62">
        <v>81330648.478470564</v>
      </c>
      <c r="M63" s="60">
        <v>5238140</v>
      </c>
      <c r="N63" s="1"/>
    </row>
    <row r="64" spans="1:14" s="1" customFormat="1" ht="16" hidden="1" customHeight="1" outlineLevel="1" collapsed="1" x14ac:dyDescent="0.45">
      <c r="A64" s="29" t="s">
        <v>34</v>
      </c>
      <c r="B64" s="44">
        <v>139772550</v>
      </c>
      <c r="C64" s="63">
        <v>121689403.47944653</v>
      </c>
      <c r="D64" s="63">
        <v>2100910</v>
      </c>
      <c r="E64" s="64">
        <v>15982236.520553462</v>
      </c>
      <c r="F64" s="63">
        <v>7183080.526139874</v>
      </c>
      <c r="G64" s="63">
        <v>3418416.3639247157</v>
      </c>
      <c r="H64" s="65">
        <v>930193.10993540974</v>
      </c>
      <c r="I64" s="65">
        <v>170952.21512969563</v>
      </c>
      <c r="J64" s="65">
        <v>386316.26334087097</v>
      </c>
      <c r="K64" s="65">
        <v>609569.56361232966</v>
      </c>
      <c r="L64" s="65">
        <v>1801008.4784705667</v>
      </c>
      <c r="M64" s="63">
        <v>1482700</v>
      </c>
    </row>
    <row r="65" spans="1:14" ht="16" hidden="1" customHeight="1" outlineLevel="1" x14ac:dyDescent="0.45">
      <c r="A65" s="29" t="s">
        <v>179</v>
      </c>
      <c r="B65" s="44">
        <v>184797144</v>
      </c>
      <c r="C65" s="63">
        <v>184797144</v>
      </c>
      <c r="D65" s="63">
        <v>0</v>
      </c>
      <c r="E65" s="64">
        <v>0</v>
      </c>
      <c r="F65" s="63">
        <v>0</v>
      </c>
      <c r="G65" s="63">
        <v>0</v>
      </c>
      <c r="H65" s="65">
        <v>0</v>
      </c>
      <c r="I65" s="65">
        <v>0</v>
      </c>
      <c r="J65" s="65">
        <v>0</v>
      </c>
      <c r="K65" s="65">
        <v>0</v>
      </c>
      <c r="L65" s="65">
        <v>0</v>
      </c>
      <c r="M65" s="63">
        <v>0</v>
      </c>
      <c r="N65" s="1"/>
    </row>
    <row r="66" spans="1:14" ht="16" hidden="1" customHeight="1" outlineLevel="1" x14ac:dyDescent="0.45">
      <c r="A66" s="29" t="s">
        <v>180</v>
      </c>
      <c r="B66" s="44">
        <v>0</v>
      </c>
      <c r="C66" s="63">
        <v>0</v>
      </c>
      <c r="D66" s="63">
        <v>0</v>
      </c>
      <c r="E66" s="64">
        <v>0</v>
      </c>
      <c r="F66" s="63">
        <v>0</v>
      </c>
      <c r="G66" s="63">
        <v>0</v>
      </c>
      <c r="H66" s="65">
        <v>0</v>
      </c>
      <c r="I66" s="65">
        <v>0</v>
      </c>
      <c r="J66" s="65">
        <v>0</v>
      </c>
      <c r="K66" s="65">
        <v>0</v>
      </c>
      <c r="L66" s="65">
        <v>0</v>
      </c>
      <c r="M66" s="63">
        <v>0</v>
      </c>
      <c r="N66" s="1"/>
    </row>
    <row r="67" spans="1:14" ht="16" hidden="1" customHeight="1" outlineLevel="1" x14ac:dyDescent="0.45">
      <c r="A67" s="29" t="s">
        <v>131</v>
      </c>
      <c r="B67" s="44">
        <v>33253020</v>
      </c>
      <c r="C67" s="63">
        <v>2470000</v>
      </c>
      <c r="D67" s="63">
        <v>0</v>
      </c>
      <c r="E67" s="64">
        <v>30783020</v>
      </c>
      <c r="F67" s="63">
        <v>1150000</v>
      </c>
      <c r="G67" s="63">
        <v>0</v>
      </c>
      <c r="H67" s="65">
        <v>28763020</v>
      </c>
      <c r="I67" s="65">
        <v>0</v>
      </c>
      <c r="J67" s="65">
        <v>0</v>
      </c>
      <c r="K67" s="65">
        <v>870000</v>
      </c>
      <c r="L67" s="65">
        <v>0</v>
      </c>
      <c r="M67" s="63">
        <v>0</v>
      </c>
      <c r="N67" s="1"/>
    </row>
    <row r="68" spans="1:14" ht="16" hidden="1" customHeight="1" outlineLevel="1" x14ac:dyDescent="0.45">
      <c r="A68" s="29" t="s">
        <v>35</v>
      </c>
      <c r="B68" s="44">
        <v>576838550</v>
      </c>
      <c r="C68" s="63">
        <v>-1118959510</v>
      </c>
      <c r="D68" s="63">
        <v>22108700</v>
      </c>
      <c r="E68" s="64">
        <v>1673689360</v>
      </c>
      <c r="F68" s="63">
        <v>1164537527.982177</v>
      </c>
      <c r="G68" s="63">
        <v>342133302.01782292</v>
      </c>
      <c r="H68" s="65">
        <v>6825000</v>
      </c>
      <c r="I68" s="65">
        <v>6020657</v>
      </c>
      <c r="J68" s="65">
        <v>13731533</v>
      </c>
      <c r="K68" s="65">
        <v>61956260</v>
      </c>
      <c r="L68" s="65">
        <v>74729640</v>
      </c>
      <c r="M68" s="63">
        <v>3755440</v>
      </c>
      <c r="N68" s="1"/>
    </row>
    <row r="69" spans="1:14" ht="16" hidden="1" customHeight="1" outlineLevel="1" x14ac:dyDescent="0.45">
      <c r="A69" s="29" t="s">
        <v>132</v>
      </c>
      <c r="B69" s="44">
        <v>4800000</v>
      </c>
      <c r="C69" s="63">
        <v>0</v>
      </c>
      <c r="D69" s="63">
        <v>0</v>
      </c>
      <c r="E69" s="64">
        <v>4800000</v>
      </c>
      <c r="F69" s="63">
        <v>0</v>
      </c>
      <c r="G69" s="63">
        <v>0</v>
      </c>
      <c r="H69" s="65">
        <v>0</v>
      </c>
      <c r="I69" s="65">
        <v>0</v>
      </c>
      <c r="J69" s="65">
        <v>0</v>
      </c>
      <c r="K69" s="65">
        <v>0</v>
      </c>
      <c r="L69" s="65">
        <v>4800000</v>
      </c>
      <c r="M69" s="63">
        <v>0</v>
      </c>
      <c r="N69" s="1"/>
    </row>
    <row r="70" spans="1:14" ht="16" customHeight="1" collapsed="1" x14ac:dyDescent="0.45">
      <c r="A70" s="28" t="s">
        <v>133</v>
      </c>
      <c r="B70" s="43">
        <v>3710560</v>
      </c>
      <c r="C70" s="60">
        <v>0</v>
      </c>
      <c r="D70" s="60">
        <v>0</v>
      </c>
      <c r="E70" s="61">
        <v>3710560</v>
      </c>
      <c r="F70" s="60">
        <v>0</v>
      </c>
      <c r="G70" s="60">
        <v>0</v>
      </c>
      <c r="H70" s="62">
        <v>0</v>
      </c>
      <c r="I70" s="62">
        <v>556584</v>
      </c>
      <c r="J70" s="62">
        <v>1298696</v>
      </c>
      <c r="K70" s="62">
        <v>1855280</v>
      </c>
      <c r="L70" s="62">
        <v>0</v>
      </c>
      <c r="M70" s="60">
        <v>0</v>
      </c>
      <c r="N70" s="1"/>
    </row>
    <row r="71" spans="1:14" s="1" customFormat="1" collapsed="1" x14ac:dyDescent="0.45">
      <c r="A71" s="28" t="s">
        <v>36</v>
      </c>
      <c r="B71" s="43">
        <v>743627707</v>
      </c>
      <c r="C71" s="60">
        <v>55541895.132059216</v>
      </c>
      <c r="D71" s="60">
        <v>18149594</v>
      </c>
      <c r="E71" s="61">
        <v>669936217.86794078</v>
      </c>
      <c r="F71" s="60">
        <v>408829906.62561017</v>
      </c>
      <c r="G71" s="60">
        <v>131703157.05532798</v>
      </c>
      <c r="H71" s="62">
        <v>40285510.31906186</v>
      </c>
      <c r="I71" s="62">
        <v>3805508.6796956728</v>
      </c>
      <c r="J71" s="62">
        <v>5172023.8186354628</v>
      </c>
      <c r="K71" s="62">
        <v>19999324.871278435</v>
      </c>
      <c r="L71" s="62">
        <v>52014987.498331137</v>
      </c>
      <c r="M71" s="60">
        <v>8125799</v>
      </c>
    </row>
    <row r="72" spans="1:14" s="1" customFormat="1" ht="16" hidden="1" customHeight="1" outlineLevel="1" x14ac:dyDescent="0.45">
      <c r="A72" s="29" t="s">
        <v>37</v>
      </c>
      <c r="B72" s="44">
        <v>743627707</v>
      </c>
      <c r="C72" s="63">
        <v>55541895.132059216</v>
      </c>
      <c r="D72" s="63">
        <v>18149594</v>
      </c>
      <c r="E72" s="64">
        <v>669936217.86794078</v>
      </c>
      <c r="F72" s="63">
        <v>408829906.62561017</v>
      </c>
      <c r="G72" s="63">
        <v>131703157.05532798</v>
      </c>
      <c r="H72" s="65">
        <v>40285510.31906186</v>
      </c>
      <c r="I72" s="65">
        <v>3805508.6796956728</v>
      </c>
      <c r="J72" s="65">
        <v>5172023.8186354628</v>
      </c>
      <c r="K72" s="65">
        <v>19999324.871278435</v>
      </c>
      <c r="L72" s="65">
        <v>52014987.498331137</v>
      </c>
      <c r="M72" s="63">
        <v>8125799</v>
      </c>
    </row>
    <row r="73" spans="1:14" ht="16" customHeight="1" collapsed="1" x14ac:dyDescent="0.45">
      <c r="A73" s="28" t="s">
        <v>181</v>
      </c>
      <c r="B73" s="43">
        <v>17043053</v>
      </c>
      <c r="C73" s="60">
        <v>-1456947</v>
      </c>
      <c r="D73" s="60">
        <v>0</v>
      </c>
      <c r="E73" s="61">
        <v>18500000</v>
      </c>
      <c r="F73" s="60">
        <v>12417890.523796761</v>
      </c>
      <c r="G73" s="60">
        <v>2082109.4762032388</v>
      </c>
      <c r="H73" s="62">
        <v>1000000</v>
      </c>
      <c r="I73" s="62">
        <v>500000</v>
      </c>
      <c r="J73" s="62">
        <v>0</v>
      </c>
      <c r="K73" s="62">
        <v>2000000</v>
      </c>
      <c r="L73" s="62">
        <v>500000</v>
      </c>
      <c r="M73" s="60">
        <v>0</v>
      </c>
      <c r="N73" s="1"/>
    </row>
    <row r="74" spans="1:14" s="1" customFormat="1" collapsed="1" x14ac:dyDescent="0.45">
      <c r="A74" s="28" t="s">
        <v>38</v>
      </c>
      <c r="B74" s="43">
        <v>2594244143</v>
      </c>
      <c r="C74" s="60">
        <v>163797162.92819834</v>
      </c>
      <c r="D74" s="60">
        <v>29920194</v>
      </c>
      <c r="E74" s="61">
        <v>2400526786.0718017</v>
      </c>
      <c r="F74" s="60">
        <v>1640890304.6357765</v>
      </c>
      <c r="G74" s="60">
        <v>314697753.95809221</v>
      </c>
      <c r="H74" s="62">
        <v>152225592.4061313</v>
      </c>
      <c r="I74" s="62">
        <v>5709295.7978433045</v>
      </c>
      <c r="J74" s="62">
        <v>7888201.8624833776</v>
      </c>
      <c r="K74" s="62">
        <v>32928994.751148477</v>
      </c>
      <c r="L74" s="62">
        <v>232350969.66032669</v>
      </c>
      <c r="M74" s="60">
        <v>13835673</v>
      </c>
    </row>
    <row r="75" spans="1:14" s="1" customFormat="1" ht="16" hidden="1" customHeight="1" outlineLevel="1" x14ac:dyDescent="0.45">
      <c r="A75" s="29" t="s">
        <v>39</v>
      </c>
      <c r="B75" s="44">
        <v>2624100</v>
      </c>
      <c r="C75" s="63">
        <v>2624100</v>
      </c>
      <c r="D75" s="63">
        <v>0</v>
      </c>
      <c r="E75" s="64">
        <v>0</v>
      </c>
      <c r="F75" s="63">
        <v>0</v>
      </c>
      <c r="G75" s="63">
        <v>0</v>
      </c>
      <c r="H75" s="65">
        <v>0</v>
      </c>
      <c r="I75" s="65">
        <v>0</v>
      </c>
      <c r="J75" s="65">
        <v>0</v>
      </c>
      <c r="K75" s="65">
        <v>0</v>
      </c>
      <c r="L75" s="65">
        <v>0</v>
      </c>
      <c r="M75" s="63">
        <v>0</v>
      </c>
    </row>
    <row r="76" spans="1:14" ht="16" hidden="1" customHeight="1" outlineLevel="1" x14ac:dyDescent="0.45">
      <c r="A76" s="29" t="s">
        <v>40</v>
      </c>
      <c r="B76" s="44">
        <v>68752200</v>
      </c>
      <c r="C76" s="63">
        <v>4359110.903387934</v>
      </c>
      <c r="D76" s="63">
        <v>1519102</v>
      </c>
      <c r="E76" s="64">
        <v>62873987.096612066</v>
      </c>
      <c r="F76" s="63">
        <v>39506267.14723292</v>
      </c>
      <c r="G76" s="63">
        <v>11603036.03359111</v>
      </c>
      <c r="H76" s="65">
        <v>3878330.8191759684</v>
      </c>
      <c r="I76" s="65">
        <v>307157.09063611284</v>
      </c>
      <c r="J76" s="65">
        <v>516398.00341269269</v>
      </c>
      <c r="K76" s="65">
        <v>1932614.908514464</v>
      </c>
      <c r="L76" s="65">
        <v>4464539.0940488055</v>
      </c>
      <c r="M76" s="63">
        <v>665644</v>
      </c>
      <c r="N76" s="1"/>
    </row>
    <row r="77" spans="1:14" ht="16" hidden="1" customHeight="1" outlineLevel="1" x14ac:dyDescent="0.45">
      <c r="A77" s="29" t="s">
        <v>41</v>
      </c>
      <c r="B77" s="44">
        <v>363888710</v>
      </c>
      <c r="C77" s="63">
        <v>27179010.375608981</v>
      </c>
      <c r="D77" s="63">
        <v>8881370</v>
      </c>
      <c r="E77" s="64">
        <v>327828329.62439102</v>
      </c>
      <c r="F77" s="63">
        <v>200057888.963337</v>
      </c>
      <c r="G77" s="63">
        <v>64447965.127215549</v>
      </c>
      <c r="H77" s="65">
        <v>19713415.90944742</v>
      </c>
      <c r="I77" s="65">
        <v>1862197.5607654522</v>
      </c>
      <c r="J77" s="65">
        <v>2530891.7096157745</v>
      </c>
      <c r="K77" s="65">
        <v>9786521.0836285912</v>
      </c>
      <c r="L77" s="65">
        <v>25453149.270381227</v>
      </c>
      <c r="M77" s="63">
        <v>3976300</v>
      </c>
      <c r="N77" s="1"/>
    </row>
    <row r="78" spans="1:14" ht="16" hidden="1" customHeight="1" outlineLevel="1" x14ac:dyDescent="0.45">
      <c r="A78" s="29" t="s">
        <v>42</v>
      </c>
      <c r="B78" s="44">
        <v>353062520</v>
      </c>
      <c r="C78" s="63">
        <v>22009478.791555345</v>
      </c>
      <c r="D78" s="63">
        <v>7854020</v>
      </c>
      <c r="E78" s="64">
        <v>323199021.20844465</v>
      </c>
      <c r="F78" s="63">
        <v>199736961.49516541</v>
      </c>
      <c r="G78" s="63">
        <v>63205621.020295039</v>
      </c>
      <c r="H78" s="65">
        <v>20704487.484539554</v>
      </c>
      <c r="I78" s="65">
        <v>1759845.6336331395</v>
      </c>
      <c r="J78" s="65">
        <v>2559569.8401874034</v>
      </c>
      <c r="K78" s="65">
        <v>9830700.2608035132</v>
      </c>
      <c r="L78" s="65">
        <v>21801225.473820545</v>
      </c>
      <c r="M78" s="63">
        <v>3600610</v>
      </c>
      <c r="N78" s="1"/>
    </row>
    <row r="79" spans="1:14" ht="16" hidden="1" customHeight="1" outlineLevel="1" x14ac:dyDescent="0.45">
      <c r="A79" s="29" t="s">
        <v>43</v>
      </c>
      <c r="B79" s="44">
        <v>119595450</v>
      </c>
      <c r="C79" s="63">
        <v>7216290.4054224491</v>
      </c>
      <c r="D79" s="63">
        <v>2651142</v>
      </c>
      <c r="E79" s="64">
        <v>109728017.59457755</v>
      </c>
      <c r="F79" s="63">
        <v>68946554.283996478</v>
      </c>
      <c r="G79" s="63">
        <v>20249675.906357281</v>
      </c>
      <c r="H79" s="65">
        <v>6768481.8096462404</v>
      </c>
      <c r="I79" s="65">
        <v>536051.61488184228</v>
      </c>
      <c r="J79" s="65">
        <v>901221.55890473316</v>
      </c>
      <c r="K79" s="65">
        <v>3372809.2470044047</v>
      </c>
      <c r="L79" s="65">
        <v>7791537.173786575</v>
      </c>
      <c r="M79" s="63">
        <v>1161686</v>
      </c>
      <c r="N79" s="1"/>
    </row>
    <row r="80" spans="1:14" ht="16" hidden="1" customHeight="1" outlineLevel="1" x14ac:dyDescent="0.45">
      <c r="A80" s="29" t="s">
        <v>134</v>
      </c>
      <c r="B80" s="44">
        <v>0</v>
      </c>
      <c r="C80" s="63">
        <v>0</v>
      </c>
      <c r="D80" s="63">
        <v>0</v>
      </c>
      <c r="E80" s="64">
        <v>0</v>
      </c>
      <c r="F80" s="63">
        <v>0</v>
      </c>
      <c r="G80" s="63">
        <v>0</v>
      </c>
      <c r="H80" s="65">
        <v>0</v>
      </c>
      <c r="I80" s="65">
        <v>0</v>
      </c>
      <c r="J80" s="65">
        <v>0</v>
      </c>
      <c r="K80" s="65">
        <v>0</v>
      </c>
      <c r="L80" s="65">
        <v>0</v>
      </c>
      <c r="M80" s="63">
        <v>0</v>
      </c>
      <c r="N80" s="1"/>
    </row>
    <row r="81" spans="1:14" ht="16" hidden="1" customHeight="1" outlineLevel="1" x14ac:dyDescent="0.45">
      <c r="A81" s="24" t="s">
        <v>44</v>
      </c>
      <c r="B81" s="45">
        <v>1122362557</v>
      </c>
      <c r="C81" s="63">
        <v>23171185.280942678</v>
      </c>
      <c r="D81" s="63">
        <v>550000</v>
      </c>
      <c r="E81" s="64">
        <v>1098641371.7190573</v>
      </c>
      <c r="F81" s="63">
        <v>859939273.24372816</v>
      </c>
      <c r="G81" s="63">
        <v>123599100.75627187</v>
      </c>
      <c r="H81" s="65">
        <v>96448493</v>
      </c>
      <c r="I81" s="65">
        <v>305998.11218844185</v>
      </c>
      <c r="J81" s="65">
        <v>1147364.9273187835</v>
      </c>
      <c r="K81" s="65">
        <v>3678278.6400429043</v>
      </c>
      <c r="L81" s="65">
        <v>10319863.039507225</v>
      </c>
      <c r="M81" s="63">
        <v>3203000</v>
      </c>
      <c r="N81" s="1"/>
    </row>
    <row r="82" spans="1:14" ht="16" hidden="1" customHeight="1" outlineLevel="1" x14ac:dyDescent="0.45">
      <c r="A82" s="29" t="s">
        <v>45</v>
      </c>
      <c r="B82" s="44">
        <v>43217400</v>
      </c>
      <c r="C82" s="63">
        <v>2750000</v>
      </c>
      <c r="D82" s="63">
        <v>4700000</v>
      </c>
      <c r="E82" s="64">
        <v>35767400</v>
      </c>
      <c r="F82" s="63">
        <v>15931666.711096343</v>
      </c>
      <c r="G82" s="63">
        <v>10345733.288903657</v>
      </c>
      <c r="H82" s="65">
        <v>1200000</v>
      </c>
      <c r="I82" s="65">
        <v>60000</v>
      </c>
      <c r="J82" s="65">
        <v>140000</v>
      </c>
      <c r="K82" s="65">
        <v>600000</v>
      </c>
      <c r="L82" s="65">
        <v>6690000</v>
      </c>
      <c r="M82" s="63">
        <v>800000</v>
      </c>
      <c r="N82" s="1"/>
    </row>
    <row r="83" spans="1:14" ht="16" hidden="1" customHeight="1" outlineLevel="1" x14ac:dyDescent="0.45">
      <c r="A83" s="29" t="s">
        <v>46</v>
      </c>
      <c r="B83" s="44">
        <v>40372552</v>
      </c>
      <c r="C83" s="63">
        <v>35164556.171280786</v>
      </c>
      <c r="D83" s="63">
        <v>88000</v>
      </c>
      <c r="E83" s="64">
        <v>5119995.8287192136</v>
      </c>
      <c r="F83" s="63">
        <v>4081585.3061643434</v>
      </c>
      <c r="G83" s="63">
        <v>615559.31051353528</v>
      </c>
      <c r="H83" s="65">
        <v>9855.3833221212262</v>
      </c>
      <c r="I83" s="65">
        <v>37945.785738315746</v>
      </c>
      <c r="J83" s="65">
        <v>58855.82304399016</v>
      </c>
      <c r="K83" s="65">
        <v>219392.61115460153</v>
      </c>
      <c r="L83" s="65">
        <v>96801.608782305906</v>
      </c>
      <c r="M83" s="63">
        <v>0</v>
      </c>
      <c r="N83" s="1"/>
    </row>
    <row r="84" spans="1:14" ht="16" hidden="1" customHeight="1" outlineLevel="1" x14ac:dyDescent="0.45">
      <c r="A84" s="29" t="s">
        <v>47</v>
      </c>
      <c r="B84" s="44">
        <v>9702945</v>
      </c>
      <c r="C84" s="63">
        <v>740671</v>
      </c>
      <c r="D84" s="63">
        <v>36000</v>
      </c>
      <c r="E84" s="64">
        <v>8926274</v>
      </c>
      <c r="F84" s="63">
        <v>7171663.2639650386</v>
      </c>
      <c r="G84" s="63">
        <v>1287606.7360349614</v>
      </c>
      <c r="H84" s="65">
        <v>231277</v>
      </c>
      <c r="I84" s="65">
        <v>0</v>
      </c>
      <c r="J84" s="65">
        <v>0</v>
      </c>
      <c r="K84" s="65">
        <v>139908</v>
      </c>
      <c r="L84" s="65">
        <v>33636</v>
      </c>
      <c r="M84" s="63">
        <v>62183</v>
      </c>
      <c r="N84" s="1"/>
    </row>
    <row r="85" spans="1:14" ht="16" hidden="1" customHeight="1" outlineLevel="1" x14ac:dyDescent="0.45">
      <c r="A85" s="29" t="s">
        <v>246</v>
      </c>
      <c r="B85" s="44">
        <v>8800000</v>
      </c>
      <c r="C85" s="63">
        <v>2500000</v>
      </c>
      <c r="D85" s="63">
        <v>0</v>
      </c>
      <c r="E85" s="64">
        <v>6300000</v>
      </c>
      <c r="F85" s="63">
        <v>6300000</v>
      </c>
      <c r="G85" s="63">
        <v>0</v>
      </c>
      <c r="H85" s="65">
        <v>0</v>
      </c>
      <c r="I85" s="65">
        <v>0</v>
      </c>
      <c r="J85" s="65">
        <v>0</v>
      </c>
      <c r="K85" s="65">
        <v>0</v>
      </c>
      <c r="L85" s="65">
        <v>0</v>
      </c>
      <c r="M85" s="63">
        <v>0</v>
      </c>
      <c r="N85" s="1"/>
    </row>
    <row r="86" spans="1:14" ht="16" hidden="1" customHeight="1" outlineLevel="1" x14ac:dyDescent="0.45">
      <c r="A86" s="29" t="s">
        <v>48</v>
      </c>
      <c r="B86" s="44">
        <v>42411080</v>
      </c>
      <c r="C86" s="63">
        <v>2780310</v>
      </c>
      <c r="D86" s="63">
        <v>2876460</v>
      </c>
      <c r="E86" s="64">
        <v>36754310</v>
      </c>
      <c r="F86" s="63">
        <v>21512657.584391572</v>
      </c>
      <c r="G86" s="63">
        <v>7741242.4156084275</v>
      </c>
      <c r="H86" s="65">
        <v>1962680</v>
      </c>
      <c r="I86" s="65">
        <v>208900</v>
      </c>
      <c r="J86" s="65">
        <v>0</v>
      </c>
      <c r="K86" s="65">
        <v>1602970</v>
      </c>
      <c r="L86" s="65">
        <v>3359610</v>
      </c>
      <c r="M86" s="63">
        <v>366250</v>
      </c>
      <c r="N86" s="1"/>
    </row>
    <row r="87" spans="1:14" ht="16" hidden="1" customHeight="1" outlineLevel="1" x14ac:dyDescent="0.45">
      <c r="A87" s="29" t="s">
        <v>49</v>
      </c>
      <c r="B87" s="44">
        <v>4667100</v>
      </c>
      <c r="C87" s="63">
        <v>0</v>
      </c>
      <c r="D87" s="63">
        <v>281900</v>
      </c>
      <c r="E87" s="64">
        <v>4385200</v>
      </c>
      <c r="F87" s="63">
        <v>1644700</v>
      </c>
      <c r="G87" s="63">
        <v>2091300</v>
      </c>
      <c r="H87" s="65">
        <v>41100</v>
      </c>
      <c r="I87" s="65">
        <v>500000</v>
      </c>
      <c r="J87" s="65">
        <v>0</v>
      </c>
      <c r="K87" s="65">
        <v>31900</v>
      </c>
      <c r="L87" s="65">
        <v>76200</v>
      </c>
      <c r="M87" s="63">
        <v>0</v>
      </c>
      <c r="N87" s="1"/>
    </row>
    <row r="88" spans="1:14" ht="16" hidden="1" customHeight="1" outlineLevel="1" x14ac:dyDescent="0.45">
      <c r="A88" s="29" t="s">
        <v>182</v>
      </c>
      <c r="B88" s="44">
        <v>0</v>
      </c>
      <c r="C88" s="63">
        <v>0</v>
      </c>
      <c r="D88" s="63">
        <v>0</v>
      </c>
      <c r="E88" s="64">
        <v>0</v>
      </c>
      <c r="F88" s="63">
        <v>0</v>
      </c>
      <c r="G88" s="63">
        <v>0</v>
      </c>
      <c r="H88" s="65">
        <v>0</v>
      </c>
      <c r="I88" s="65">
        <v>0</v>
      </c>
      <c r="J88" s="65">
        <v>0</v>
      </c>
      <c r="K88" s="65">
        <v>0</v>
      </c>
      <c r="L88" s="65">
        <v>0</v>
      </c>
      <c r="M88" s="63">
        <v>0</v>
      </c>
      <c r="N88" s="1"/>
    </row>
    <row r="89" spans="1:14" ht="16" hidden="1" customHeight="1" outlineLevel="1" x14ac:dyDescent="0.45">
      <c r="A89" s="29" t="s">
        <v>50</v>
      </c>
      <c r="B89" s="44">
        <v>2900000</v>
      </c>
      <c r="C89" s="63">
        <v>400000</v>
      </c>
      <c r="D89" s="63">
        <v>0</v>
      </c>
      <c r="E89" s="64">
        <v>2500000</v>
      </c>
      <c r="F89" s="63">
        <v>1000000</v>
      </c>
      <c r="G89" s="63">
        <v>1500000</v>
      </c>
      <c r="H89" s="65">
        <v>0</v>
      </c>
      <c r="I89" s="65">
        <v>0</v>
      </c>
      <c r="J89" s="65">
        <v>0</v>
      </c>
      <c r="K89" s="65">
        <v>0</v>
      </c>
      <c r="L89" s="65">
        <v>0</v>
      </c>
      <c r="M89" s="63">
        <v>0</v>
      </c>
      <c r="N89" s="1"/>
    </row>
    <row r="90" spans="1:14" ht="16" hidden="1" customHeight="1" outlineLevel="1" x14ac:dyDescent="0.45">
      <c r="A90" s="29" t="s">
        <v>183</v>
      </c>
      <c r="B90" s="44">
        <v>0</v>
      </c>
      <c r="C90" s="63">
        <v>0</v>
      </c>
      <c r="D90" s="63">
        <v>0</v>
      </c>
      <c r="E90" s="64">
        <v>0</v>
      </c>
      <c r="F90" s="63">
        <v>0</v>
      </c>
      <c r="G90" s="63">
        <v>0</v>
      </c>
      <c r="H90" s="65">
        <v>0</v>
      </c>
      <c r="I90" s="65">
        <v>0</v>
      </c>
      <c r="J90" s="65">
        <v>0</v>
      </c>
      <c r="K90" s="65">
        <v>0</v>
      </c>
      <c r="L90" s="65">
        <v>0</v>
      </c>
      <c r="M90" s="63">
        <v>0</v>
      </c>
      <c r="N90" s="1"/>
    </row>
    <row r="91" spans="1:14" ht="16" hidden="1" customHeight="1" outlineLevel="1" x14ac:dyDescent="0.45">
      <c r="A91" s="29" t="s">
        <v>51</v>
      </c>
      <c r="B91" s="44">
        <v>19300000</v>
      </c>
      <c r="C91" s="63">
        <v>0</v>
      </c>
      <c r="D91" s="63">
        <v>0</v>
      </c>
      <c r="E91" s="64">
        <v>19300000</v>
      </c>
      <c r="F91" s="63">
        <v>14100000</v>
      </c>
      <c r="G91" s="63">
        <v>4200000</v>
      </c>
      <c r="H91" s="65">
        <v>300000</v>
      </c>
      <c r="I91" s="65">
        <v>0</v>
      </c>
      <c r="J91" s="65">
        <v>0</v>
      </c>
      <c r="K91" s="65">
        <v>0</v>
      </c>
      <c r="L91" s="65">
        <v>700000</v>
      </c>
      <c r="M91" s="63">
        <v>0</v>
      </c>
      <c r="N91" s="1"/>
    </row>
    <row r="92" spans="1:14" ht="16" hidden="1" customHeight="1" outlineLevel="1" x14ac:dyDescent="0.45">
      <c r="A92" s="31" t="s">
        <v>227</v>
      </c>
      <c r="B92" s="47">
        <v>0</v>
      </c>
      <c r="C92" s="63">
        <v>0</v>
      </c>
      <c r="D92" s="63">
        <v>0</v>
      </c>
      <c r="E92" s="64">
        <v>0</v>
      </c>
      <c r="F92" s="63">
        <v>0</v>
      </c>
      <c r="G92" s="63">
        <v>0</v>
      </c>
      <c r="H92" s="65">
        <v>0</v>
      </c>
      <c r="I92" s="65">
        <v>0</v>
      </c>
      <c r="J92" s="65">
        <v>0</v>
      </c>
      <c r="K92" s="65">
        <v>0</v>
      </c>
      <c r="L92" s="65">
        <v>0</v>
      </c>
      <c r="M92" s="63">
        <v>0</v>
      </c>
      <c r="N92" s="1"/>
    </row>
    <row r="93" spans="1:14" ht="16" hidden="1" customHeight="1" outlineLevel="1" x14ac:dyDescent="0.45">
      <c r="A93" s="29" t="s">
        <v>184</v>
      </c>
      <c r="B93" s="44">
        <v>0</v>
      </c>
      <c r="C93" s="63">
        <v>0</v>
      </c>
      <c r="D93" s="63">
        <v>0</v>
      </c>
      <c r="E93" s="64">
        <v>0</v>
      </c>
      <c r="F93" s="63">
        <v>0</v>
      </c>
      <c r="G93" s="63">
        <v>0</v>
      </c>
      <c r="H93" s="65">
        <v>0</v>
      </c>
      <c r="I93" s="65">
        <v>0</v>
      </c>
      <c r="J93" s="65">
        <v>0</v>
      </c>
      <c r="K93" s="65">
        <v>0</v>
      </c>
      <c r="L93" s="65">
        <v>0</v>
      </c>
      <c r="M93" s="63">
        <v>0</v>
      </c>
      <c r="N93" s="1"/>
    </row>
    <row r="94" spans="1:14" ht="16" hidden="1" customHeight="1" outlineLevel="1" x14ac:dyDescent="0.45">
      <c r="A94" s="31" t="s">
        <v>185</v>
      </c>
      <c r="B94" s="47">
        <v>0</v>
      </c>
      <c r="C94" s="63">
        <v>0</v>
      </c>
      <c r="D94" s="63">
        <v>0</v>
      </c>
      <c r="E94" s="64">
        <v>0</v>
      </c>
      <c r="F94" s="63">
        <v>0</v>
      </c>
      <c r="G94" s="63">
        <v>0</v>
      </c>
      <c r="H94" s="65">
        <v>0</v>
      </c>
      <c r="I94" s="65">
        <v>0</v>
      </c>
      <c r="J94" s="65">
        <v>0</v>
      </c>
      <c r="K94" s="65">
        <v>0</v>
      </c>
      <c r="L94" s="65">
        <v>0</v>
      </c>
      <c r="M94" s="63">
        <v>0</v>
      </c>
      <c r="N94" s="1"/>
    </row>
    <row r="95" spans="1:14" ht="16" hidden="1" customHeight="1" outlineLevel="1" x14ac:dyDescent="0.45">
      <c r="A95" s="29" t="s">
        <v>186</v>
      </c>
      <c r="B95" s="44">
        <v>0</v>
      </c>
      <c r="C95" s="63">
        <v>0</v>
      </c>
      <c r="D95" s="63">
        <v>0</v>
      </c>
      <c r="E95" s="64">
        <v>0</v>
      </c>
      <c r="F95" s="63">
        <v>0</v>
      </c>
      <c r="G95" s="63">
        <v>0</v>
      </c>
      <c r="H95" s="65">
        <v>0</v>
      </c>
      <c r="I95" s="65">
        <v>0</v>
      </c>
      <c r="J95" s="65">
        <v>0</v>
      </c>
      <c r="K95" s="65">
        <v>0</v>
      </c>
      <c r="L95" s="65">
        <v>0</v>
      </c>
      <c r="M95" s="63">
        <v>0</v>
      </c>
      <c r="N95" s="1"/>
    </row>
    <row r="96" spans="1:14" ht="16" hidden="1" customHeight="1" outlineLevel="1" x14ac:dyDescent="0.45">
      <c r="A96" s="31" t="s">
        <v>228</v>
      </c>
      <c r="B96" s="47">
        <v>0</v>
      </c>
      <c r="C96" s="63">
        <v>0</v>
      </c>
      <c r="D96" s="63">
        <v>0</v>
      </c>
      <c r="E96" s="64">
        <v>0</v>
      </c>
      <c r="F96" s="63">
        <v>0</v>
      </c>
      <c r="G96" s="63">
        <v>0</v>
      </c>
      <c r="H96" s="65">
        <v>0</v>
      </c>
      <c r="I96" s="65">
        <v>0</v>
      </c>
      <c r="J96" s="65">
        <v>0</v>
      </c>
      <c r="K96" s="65">
        <v>0</v>
      </c>
      <c r="L96" s="65">
        <v>0</v>
      </c>
      <c r="M96" s="63">
        <v>0</v>
      </c>
      <c r="N96" s="1"/>
    </row>
    <row r="97" spans="1:14" ht="16" hidden="1" customHeight="1" outlineLevel="1" x14ac:dyDescent="0.45">
      <c r="A97" s="29" t="s">
        <v>135</v>
      </c>
      <c r="B97" s="44">
        <v>0</v>
      </c>
      <c r="C97" s="63">
        <v>0</v>
      </c>
      <c r="D97" s="63">
        <v>0</v>
      </c>
      <c r="E97" s="64">
        <v>0</v>
      </c>
      <c r="F97" s="63">
        <v>0</v>
      </c>
      <c r="G97" s="63">
        <v>0</v>
      </c>
      <c r="H97" s="65">
        <v>0</v>
      </c>
      <c r="I97" s="65">
        <v>0</v>
      </c>
      <c r="J97" s="65">
        <v>0</v>
      </c>
      <c r="K97" s="65">
        <v>0</v>
      </c>
      <c r="L97" s="65">
        <v>0</v>
      </c>
      <c r="M97" s="63">
        <v>0</v>
      </c>
      <c r="N97" s="1"/>
    </row>
    <row r="98" spans="1:14" ht="16" hidden="1" customHeight="1" outlineLevel="1" x14ac:dyDescent="0.45">
      <c r="A98" s="29" t="s">
        <v>52</v>
      </c>
      <c r="B98" s="44">
        <v>0</v>
      </c>
      <c r="C98" s="63">
        <v>0</v>
      </c>
      <c r="D98" s="63">
        <v>0</v>
      </c>
      <c r="E98" s="64">
        <v>0</v>
      </c>
      <c r="F98" s="63">
        <v>0</v>
      </c>
      <c r="G98" s="63">
        <v>0</v>
      </c>
      <c r="H98" s="65">
        <v>0</v>
      </c>
      <c r="I98" s="65">
        <v>0</v>
      </c>
      <c r="J98" s="65">
        <v>0</v>
      </c>
      <c r="K98" s="65">
        <v>0</v>
      </c>
      <c r="L98" s="65">
        <v>0</v>
      </c>
      <c r="M98" s="63">
        <v>0</v>
      </c>
      <c r="N98" s="1"/>
    </row>
    <row r="99" spans="1:14" ht="16" hidden="1" customHeight="1" outlineLevel="1" x14ac:dyDescent="0.45">
      <c r="A99" s="31" t="s">
        <v>187</v>
      </c>
      <c r="B99" s="47">
        <v>0</v>
      </c>
      <c r="C99" s="63">
        <v>0</v>
      </c>
      <c r="D99" s="63">
        <v>0</v>
      </c>
      <c r="E99" s="64">
        <v>0</v>
      </c>
      <c r="F99" s="63">
        <v>0</v>
      </c>
      <c r="G99" s="63">
        <v>0</v>
      </c>
      <c r="H99" s="65">
        <v>0</v>
      </c>
      <c r="I99" s="65">
        <v>0</v>
      </c>
      <c r="J99" s="65">
        <v>0</v>
      </c>
      <c r="K99" s="65">
        <v>0</v>
      </c>
      <c r="L99" s="65">
        <v>0</v>
      </c>
      <c r="M99" s="63">
        <v>0</v>
      </c>
      <c r="N99" s="1"/>
    </row>
    <row r="100" spans="1:14" ht="16" hidden="1" customHeight="1" outlineLevel="1" x14ac:dyDescent="0.45">
      <c r="A100" s="24" t="s">
        <v>114</v>
      </c>
      <c r="B100" s="44">
        <v>0</v>
      </c>
      <c r="C100" s="63">
        <v>0</v>
      </c>
      <c r="D100" s="63">
        <v>0</v>
      </c>
      <c r="E100" s="64">
        <v>0</v>
      </c>
      <c r="F100" s="63">
        <v>0</v>
      </c>
      <c r="G100" s="63">
        <v>0</v>
      </c>
      <c r="H100" s="65">
        <v>0</v>
      </c>
      <c r="I100" s="65">
        <v>0</v>
      </c>
      <c r="J100" s="65">
        <v>0</v>
      </c>
      <c r="K100" s="65">
        <v>0</v>
      </c>
      <c r="L100" s="65">
        <v>0</v>
      </c>
      <c r="M100" s="63">
        <v>0</v>
      </c>
      <c r="N100" s="1"/>
    </row>
    <row r="101" spans="1:14" ht="16" hidden="1" customHeight="1" outlineLevel="1" x14ac:dyDescent="0.45">
      <c r="A101" s="29" t="s">
        <v>188</v>
      </c>
      <c r="B101" s="44">
        <v>0</v>
      </c>
      <c r="C101" s="63">
        <v>0</v>
      </c>
      <c r="D101" s="63">
        <v>0</v>
      </c>
      <c r="E101" s="64">
        <v>0</v>
      </c>
      <c r="F101" s="63">
        <v>0</v>
      </c>
      <c r="G101" s="63">
        <v>0</v>
      </c>
      <c r="H101" s="65">
        <v>0</v>
      </c>
      <c r="I101" s="65">
        <v>0</v>
      </c>
      <c r="J101" s="65">
        <v>0</v>
      </c>
      <c r="K101" s="65">
        <v>0</v>
      </c>
      <c r="L101" s="65">
        <v>0</v>
      </c>
      <c r="M101" s="63">
        <v>0</v>
      </c>
      <c r="N101" s="1"/>
    </row>
    <row r="102" spans="1:14" ht="16" hidden="1" customHeight="1" outlineLevel="1" x14ac:dyDescent="0.45">
      <c r="A102" s="29" t="s">
        <v>259</v>
      </c>
      <c r="B102" s="44">
        <v>0</v>
      </c>
      <c r="C102" s="63">
        <v>0</v>
      </c>
      <c r="D102" s="63">
        <v>0</v>
      </c>
      <c r="E102" s="64">
        <v>0</v>
      </c>
      <c r="F102" s="63">
        <v>0</v>
      </c>
      <c r="G102" s="63">
        <v>0</v>
      </c>
      <c r="H102" s="65">
        <v>0</v>
      </c>
      <c r="I102" s="65">
        <v>0</v>
      </c>
      <c r="J102" s="65">
        <v>0</v>
      </c>
      <c r="K102" s="65">
        <v>0</v>
      </c>
      <c r="L102" s="65">
        <v>0</v>
      </c>
      <c r="M102" s="63">
        <v>0</v>
      </c>
      <c r="N102" s="1"/>
    </row>
    <row r="103" spans="1:14" ht="16" hidden="1" customHeight="1" outlineLevel="1" x14ac:dyDescent="0.45">
      <c r="A103" s="29" t="s">
        <v>189</v>
      </c>
      <c r="B103" s="44">
        <v>5505000</v>
      </c>
      <c r="C103" s="63">
        <v>5505000</v>
      </c>
      <c r="D103" s="63">
        <v>0</v>
      </c>
      <c r="E103" s="64">
        <v>0</v>
      </c>
      <c r="F103" s="63">
        <v>0</v>
      </c>
      <c r="G103" s="63">
        <v>0</v>
      </c>
      <c r="H103" s="65">
        <v>0</v>
      </c>
      <c r="I103" s="65">
        <v>0</v>
      </c>
      <c r="J103" s="65">
        <v>0</v>
      </c>
      <c r="K103" s="65">
        <v>0</v>
      </c>
      <c r="L103" s="65">
        <v>0</v>
      </c>
      <c r="M103" s="63">
        <v>0</v>
      </c>
      <c r="N103" s="1"/>
    </row>
    <row r="104" spans="1:14" ht="16" hidden="1" customHeight="1" outlineLevel="1" x14ac:dyDescent="0.45">
      <c r="A104" s="29" t="s">
        <v>115</v>
      </c>
      <c r="B104" s="44">
        <v>748000</v>
      </c>
      <c r="C104" s="63">
        <v>0</v>
      </c>
      <c r="D104" s="63">
        <v>0</v>
      </c>
      <c r="E104" s="64">
        <v>748000</v>
      </c>
      <c r="F104" s="63">
        <v>0</v>
      </c>
      <c r="G104" s="63">
        <v>0</v>
      </c>
      <c r="H104" s="65">
        <v>0</v>
      </c>
      <c r="I104" s="65">
        <v>0</v>
      </c>
      <c r="J104" s="65">
        <v>0</v>
      </c>
      <c r="K104" s="65">
        <v>748000</v>
      </c>
      <c r="L104" s="65">
        <v>0</v>
      </c>
      <c r="M104" s="63">
        <v>0</v>
      </c>
      <c r="N104" s="1"/>
    </row>
    <row r="105" spans="1:14" ht="16" hidden="1" customHeight="1" outlineLevel="1" x14ac:dyDescent="0.45">
      <c r="A105" s="29" t="s">
        <v>53</v>
      </c>
      <c r="B105" s="44">
        <v>9100000</v>
      </c>
      <c r="C105" s="63">
        <v>300000</v>
      </c>
      <c r="D105" s="63">
        <v>200000</v>
      </c>
      <c r="E105" s="64">
        <v>8600000</v>
      </c>
      <c r="F105" s="63">
        <v>4946240.7072880212</v>
      </c>
      <c r="G105" s="63">
        <v>2103759.2927119783</v>
      </c>
      <c r="H105" s="65">
        <v>650000</v>
      </c>
      <c r="I105" s="65">
        <v>50000</v>
      </c>
      <c r="J105" s="65">
        <v>0</v>
      </c>
      <c r="K105" s="65">
        <v>400000</v>
      </c>
      <c r="L105" s="65">
        <v>450000</v>
      </c>
      <c r="M105" s="63">
        <v>0</v>
      </c>
      <c r="N105" s="1"/>
    </row>
    <row r="106" spans="1:14" ht="16" hidden="1" customHeight="1" outlineLevel="1" x14ac:dyDescent="0.45">
      <c r="A106" s="29" t="s">
        <v>54</v>
      </c>
      <c r="B106" s="44">
        <v>4878912</v>
      </c>
      <c r="C106" s="63">
        <v>300000</v>
      </c>
      <c r="D106" s="63">
        <v>282200</v>
      </c>
      <c r="E106" s="64">
        <v>4296712</v>
      </c>
      <c r="F106" s="63">
        <v>2681927.904407321</v>
      </c>
      <c r="G106" s="63">
        <v>690313.09559267899</v>
      </c>
      <c r="H106" s="65">
        <v>177471</v>
      </c>
      <c r="I106" s="65">
        <v>81200</v>
      </c>
      <c r="J106" s="65">
        <v>33900</v>
      </c>
      <c r="K106" s="65">
        <v>445900</v>
      </c>
      <c r="L106" s="65">
        <v>186000</v>
      </c>
      <c r="M106" s="63">
        <v>0</v>
      </c>
      <c r="N106" s="1"/>
    </row>
    <row r="107" spans="1:14" ht="16" hidden="1" customHeight="1" outlineLevel="1" x14ac:dyDescent="0.45">
      <c r="A107" s="29" t="s">
        <v>55</v>
      </c>
      <c r="B107" s="44">
        <v>2030000</v>
      </c>
      <c r="C107" s="63">
        <v>350000</v>
      </c>
      <c r="D107" s="63">
        <v>0</v>
      </c>
      <c r="E107" s="64">
        <v>1680000</v>
      </c>
      <c r="F107" s="63">
        <v>833159.02500388888</v>
      </c>
      <c r="G107" s="63">
        <v>496840.97499611112</v>
      </c>
      <c r="H107" s="65">
        <v>140000</v>
      </c>
      <c r="I107" s="65">
        <v>0</v>
      </c>
      <c r="J107" s="65">
        <v>0</v>
      </c>
      <c r="K107" s="65">
        <v>140000</v>
      </c>
      <c r="L107" s="65">
        <v>70000</v>
      </c>
      <c r="M107" s="63">
        <v>0</v>
      </c>
      <c r="N107" s="1"/>
    </row>
    <row r="108" spans="1:14" ht="16" hidden="1" customHeight="1" outlineLevel="1" x14ac:dyDescent="0.45">
      <c r="A108" s="29" t="s">
        <v>190</v>
      </c>
      <c r="B108" s="44">
        <v>0</v>
      </c>
      <c r="C108" s="63">
        <v>0</v>
      </c>
      <c r="D108" s="63">
        <v>0</v>
      </c>
      <c r="E108" s="64">
        <v>0</v>
      </c>
      <c r="F108" s="63">
        <v>0</v>
      </c>
      <c r="G108" s="63">
        <v>0</v>
      </c>
      <c r="H108" s="65">
        <v>0</v>
      </c>
      <c r="I108" s="65">
        <v>0</v>
      </c>
      <c r="J108" s="65">
        <v>0</v>
      </c>
      <c r="K108" s="65">
        <v>0</v>
      </c>
      <c r="L108" s="65">
        <v>0</v>
      </c>
      <c r="M108" s="63">
        <v>0</v>
      </c>
      <c r="N108" s="1"/>
    </row>
    <row r="109" spans="1:14" ht="16" hidden="1" customHeight="1" outlineLevel="1" x14ac:dyDescent="0.45">
      <c r="A109" s="30" t="s">
        <v>56</v>
      </c>
      <c r="B109" s="46">
        <v>345958537</v>
      </c>
      <c r="C109" s="63">
        <v>2080370</v>
      </c>
      <c r="D109" s="63">
        <v>0</v>
      </c>
      <c r="E109" s="64">
        <v>343878167</v>
      </c>
      <c r="F109" s="63">
        <v>192499759</v>
      </c>
      <c r="G109" s="63">
        <v>520000</v>
      </c>
      <c r="H109" s="65">
        <v>0</v>
      </c>
      <c r="I109" s="65">
        <v>0</v>
      </c>
      <c r="J109" s="65">
        <v>0</v>
      </c>
      <c r="K109" s="65">
        <v>0</v>
      </c>
      <c r="L109" s="65">
        <v>150858408</v>
      </c>
      <c r="M109" s="63">
        <v>0</v>
      </c>
      <c r="N109" s="1"/>
    </row>
    <row r="110" spans="1:14" ht="16" hidden="1" customHeight="1" outlineLevel="1" x14ac:dyDescent="0.45">
      <c r="A110" s="29" t="s">
        <v>229</v>
      </c>
      <c r="B110" s="44">
        <v>0</v>
      </c>
      <c r="C110" s="63">
        <v>0</v>
      </c>
      <c r="D110" s="63">
        <v>0</v>
      </c>
      <c r="E110" s="64">
        <v>0</v>
      </c>
      <c r="F110" s="63">
        <v>0</v>
      </c>
      <c r="G110" s="63">
        <v>0</v>
      </c>
      <c r="H110" s="65">
        <v>0</v>
      </c>
      <c r="I110" s="65">
        <v>0</v>
      </c>
      <c r="J110" s="65">
        <v>0</v>
      </c>
      <c r="K110" s="65">
        <v>0</v>
      </c>
      <c r="L110" s="65">
        <v>0</v>
      </c>
      <c r="M110" s="63">
        <v>0</v>
      </c>
      <c r="N110" s="1"/>
    </row>
    <row r="111" spans="1:14" ht="16" hidden="1" customHeight="1" outlineLevel="1" x14ac:dyDescent="0.45">
      <c r="A111" s="29" t="s">
        <v>253</v>
      </c>
      <c r="B111" s="44">
        <v>0</v>
      </c>
      <c r="C111" s="63">
        <v>0</v>
      </c>
      <c r="D111" s="63">
        <v>0</v>
      </c>
      <c r="E111" s="64">
        <v>0</v>
      </c>
      <c r="F111" s="63">
        <v>0</v>
      </c>
      <c r="G111" s="63">
        <v>0</v>
      </c>
      <c r="H111" s="65">
        <v>0</v>
      </c>
      <c r="I111" s="65">
        <v>0</v>
      </c>
      <c r="J111" s="65">
        <v>0</v>
      </c>
      <c r="K111" s="65">
        <v>0</v>
      </c>
      <c r="L111" s="65">
        <v>0</v>
      </c>
      <c r="M111" s="63">
        <v>0</v>
      </c>
      <c r="N111" s="1"/>
    </row>
    <row r="112" spans="1:14" ht="16" hidden="1" customHeight="1" outlineLevel="1" x14ac:dyDescent="0.45">
      <c r="A112" s="29" t="s">
        <v>255</v>
      </c>
      <c r="B112" s="44">
        <v>0</v>
      </c>
      <c r="C112" s="63">
        <v>0</v>
      </c>
      <c r="D112" s="63">
        <v>0</v>
      </c>
      <c r="E112" s="64">
        <v>0</v>
      </c>
      <c r="F112" s="63">
        <v>0</v>
      </c>
      <c r="G112" s="63">
        <v>0</v>
      </c>
      <c r="H112" s="65">
        <v>0</v>
      </c>
      <c r="I112" s="65">
        <v>0</v>
      </c>
      <c r="J112" s="65">
        <v>0</v>
      </c>
      <c r="K112" s="65">
        <v>0</v>
      </c>
      <c r="L112" s="65">
        <v>0</v>
      </c>
      <c r="M112" s="63">
        <v>0</v>
      </c>
      <c r="N112" s="1"/>
    </row>
    <row r="113" spans="1:14" ht="16" hidden="1" customHeight="1" outlineLevel="1" x14ac:dyDescent="0.45">
      <c r="A113" s="29" t="s">
        <v>254</v>
      </c>
      <c r="B113" s="44">
        <v>0</v>
      </c>
      <c r="C113" s="63">
        <v>0</v>
      </c>
      <c r="D113" s="63">
        <v>0</v>
      </c>
      <c r="E113" s="64">
        <v>0</v>
      </c>
      <c r="F113" s="63">
        <v>0</v>
      </c>
      <c r="G113" s="63">
        <v>0</v>
      </c>
      <c r="H113" s="65">
        <v>0</v>
      </c>
      <c r="I113" s="65">
        <v>0</v>
      </c>
      <c r="J113" s="65">
        <v>0</v>
      </c>
      <c r="K113" s="65">
        <v>0</v>
      </c>
      <c r="L113" s="65">
        <v>0</v>
      </c>
      <c r="M113" s="63">
        <v>0</v>
      </c>
      <c r="N113" s="1"/>
    </row>
    <row r="114" spans="1:14" ht="16" hidden="1" customHeight="1" outlineLevel="1" x14ac:dyDescent="0.45">
      <c r="A114" s="29" t="s">
        <v>269</v>
      </c>
      <c r="B114" s="44">
        <v>24367080</v>
      </c>
      <c r="C114" s="63">
        <v>24367080</v>
      </c>
      <c r="D114" s="63">
        <v>0</v>
      </c>
      <c r="E114" s="64">
        <v>0</v>
      </c>
      <c r="F114" s="63">
        <v>0</v>
      </c>
      <c r="G114" s="63">
        <v>0</v>
      </c>
      <c r="H114" s="65">
        <v>0</v>
      </c>
      <c r="I114" s="65">
        <v>0</v>
      </c>
      <c r="J114" s="65">
        <v>0</v>
      </c>
      <c r="K114" s="65">
        <v>0</v>
      </c>
      <c r="L114" s="65">
        <v>0</v>
      </c>
      <c r="M114" s="63">
        <v>0</v>
      </c>
      <c r="N114" s="1"/>
    </row>
    <row r="115" spans="1:14" ht="16" customHeight="1" collapsed="1" x14ac:dyDescent="0.45">
      <c r="A115" s="28" t="s">
        <v>57</v>
      </c>
      <c r="B115" s="43">
        <v>42503084</v>
      </c>
      <c r="C115" s="60">
        <v>10495458.793135252</v>
      </c>
      <c r="D115" s="60">
        <v>4823800</v>
      </c>
      <c r="E115" s="61">
        <v>27183825.206864748</v>
      </c>
      <c r="F115" s="60">
        <v>12457938.382606305</v>
      </c>
      <c r="G115" s="60">
        <v>6490934.6173936957</v>
      </c>
      <c r="H115" s="62">
        <v>1155233</v>
      </c>
      <c r="I115" s="62">
        <v>144799.6113329145</v>
      </c>
      <c r="J115" s="62">
        <v>335128.07327151427</v>
      </c>
      <c r="K115" s="62">
        <v>852883.83765589213</v>
      </c>
      <c r="L115" s="62">
        <v>3823107.6846044287</v>
      </c>
      <c r="M115" s="60">
        <v>1923800</v>
      </c>
      <c r="N115" s="1"/>
    </row>
    <row r="116" spans="1:14" s="1" customFormat="1" ht="16" hidden="1" customHeight="1" outlineLevel="1" collapsed="1" x14ac:dyDescent="0.45">
      <c r="A116" s="29" t="s">
        <v>58</v>
      </c>
      <c r="B116" s="44">
        <v>24505193</v>
      </c>
      <c r="C116" s="63">
        <v>4674090</v>
      </c>
      <c r="D116" s="63">
        <v>2242800</v>
      </c>
      <c r="E116" s="64">
        <v>17588303</v>
      </c>
      <c r="F116" s="63">
        <v>8468384.9566849973</v>
      </c>
      <c r="G116" s="63">
        <v>4419735.0433150027</v>
      </c>
      <c r="H116" s="65">
        <v>605283</v>
      </c>
      <c r="I116" s="65">
        <v>0</v>
      </c>
      <c r="J116" s="65">
        <v>0</v>
      </c>
      <c r="K116" s="65">
        <v>271200</v>
      </c>
      <c r="L116" s="65">
        <v>2983500</v>
      </c>
      <c r="M116" s="63">
        <v>840200</v>
      </c>
    </row>
    <row r="117" spans="1:14" ht="16" hidden="1" customHeight="1" outlineLevel="1" x14ac:dyDescent="0.45">
      <c r="A117" s="29" t="s">
        <v>266</v>
      </c>
      <c r="B117" s="44">
        <v>147600</v>
      </c>
      <c r="C117" s="63">
        <v>0</v>
      </c>
      <c r="D117" s="63">
        <v>0</v>
      </c>
      <c r="E117" s="64">
        <v>147600</v>
      </c>
      <c r="F117" s="63">
        <v>124380.70865313985</v>
      </c>
      <c r="G117" s="63">
        <v>23219.291346860147</v>
      </c>
      <c r="H117" s="65">
        <v>0</v>
      </c>
      <c r="I117" s="65">
        <v>0</v>
      </c>
      <c r="J117" s="65">
        <v>0</v>
      </c>
      <c r="K117" s="65">
        <v>0</v>
      </c>
      <c r="L117" s="65">
        <v>0</v>
      </c>
      <c r="M117" s="63">
        <v>0</v>
      </c>
      <c r="N117" s="1"/>
    </row>
    <row r="118" spans="1:14" ht="16" hidden="1" customHeight="1" outlineLevel="1" x14ac:dyDescent="0.45">
      <c r="A118" s="29" t="s">
        <v>296</v>
      </c>
      <c r="B118" s="44">
        <v>0</v>
      </c>
      <c r="C118" s="63">
        <v>0</v>
      </c>
      <c r="D118" s="63">
        <v>0</v>
      </c>
      <c r="E118" s="64">
        <v>0</v>
      </c>
      <c r="F118" s="63">
        <v>0</v>
      </c>
      <c r="G118" s="63">
        <v>0</v>
      </c>
      <c r="H118" s="65">
        <v>0</v>
      </c>
      <c r="I118" s="65">
        <v>0</v>
      </c>
      <c r="J118" s="65">
        <v>0</v>
      </c>
      <c r="K118" s="65">
        <v>0</v>
      </c>
      <c r="L118" s="65">
        <v>0</v>
      </c>
      <c r="M118" s="63">
        <v>0</v>
      </c>
      <c r="N118" s="1"/>
    </row>
    <row r="119" spans="1:14" ht="16" hidden="1" customHeight="1" outlineLevel="1" x14ac:dyDescent="0.45">
      <c r="A119" s="29" t="s">
        <v>270</v>
      </c>
      <c r="B119" s="44">
        <v>6859940</v>
      </c>
      <c r="C119" s="63">
        <v>1126610.79313525</v>
      </c>
      <c r="D119" s="63">
        <v>281000</v>
      </c>
      <c r="E119" s="64">
        <v>5452329.20686475</v>
      </c>
      <c r="F119" s="63">
        <v>3065172.717268168</v>
      </c>
      <c r="G119" s="63">
        <v>1654067.2827318322</v>
      </c>
      <c r="H119" s="65">
        <v>33000</v>
      </c>
      <c r="I119" s="65">
        <v>54799.611332914494</v>
      </c>
      <c r="J119" s="65">
        <v>125128.07327151424</v>
      </c>
      <c r="K119" s="65">
        <v>285233.83765589213</v>
      </c>
      <c r="L119" s="65">
        <v>140927.68460442874</v>
      </c>
      <c r="M119" s="63">
        <v>94000</v>
      </c>
      <c r="N119" s="1"/>
    </row>
    <row r="120" spans="1:14" ht="16" hidden="1" customHeight="1" outlineLevel="1" x14ac:dyDescent="0.45">
      <c r="A120" s="29" t="s">
        <v>271</v>
      </c>
      <c r="B120" s="44">
        <v>1305010</v>
      </c>
      <c r="C120" s="63">
        <v>1305010</v>
      </c>
      <c r="D120" s="63">
        <v>0</v>
      </c>
      <c r="E120" s="64">
        <v>0</v>
      </c>
      <c r="F120" s="63">
        <v>0</v>
      </c>
      <c r="G120" s="63">
        <v>0</v>
      </c>
      <c r="H120" s="65">
        <v>0</v>
      </c>
      <c r="I120" s="65">
        <v>0</v>
      </c>
      <c r="J120" s="65">
        <v>0</v>
      </c>
      <c r="K120" s="65">
        <v>0</v>
      </c>
      <c r="L120" s="65">
        <v>0</v>
      </c>
      <c r="M120" s="63">
        <v>0</v>
      </c>
      <c r="N120" s="1"/>
    </row>
    <row r="121" spans="1:14" ht="16" hidden="1" customHeight="1" outlineLevel="1" x14ac:dyDescent="0.45">
      <c r="A121" s="29" t="s">
        <v>297</v>
      </c>
      <c r="B121" s="44">
        <v>9685341</v>
      </c>
      <c r="C121" s="63">
        <v>3389748</v>
      </c>
      <c r="D121" s="63">
        <v>2300000</v>
      </c>
      <c r="E121" s="64">
        <v>3995593</v>
      </c>
      <c r="F121" s="63">
        <v>800000</v>
      </c>
      <c r="G121" s="63">
        <v>393913</v>
      </c>
      <c r="H121" s="65">
        <v>516950</v>
      </c>
      <c r="I121" s="65">
        <v>90000</v>
      </c>
      <c r="J121" s="65">
        <v>210000</v>
      </c>
      <c r="K121" s="65">
        <v>296450</v>
      </c>
      <c r="L121" s="65">
        <v>698680</v>
      </c>
      <c r="M121" s="63">
        <v>989600</v>
      </c>
      <c r="N121" s="1"/>
    </row>
    <row r="122" spans="1:14" s="1" customFormat="1" collapsed="1" x14ac:dyDescent="0.45">
      <c r="A122" s="28" t="s">
        <v>136</v>
      </c>
      <c r="B122" s="43">
        <v>18141600</v>
      </c>
      <c r="C122" s="60">
        <v>16841600</v>
      </c>
      <c r="D122" s="60">
        <v>300000</v>
      </c>
      <c r="E122" s="61">
        <v>1000000</v>
      </c>
      <c r="F122" s="60">
        <v>421343.86400115129</v>
      </c>
      <c r="G122" s="60">
        <v>78656.135998848738</v>
      </c>
      <c r="H122" s="62">
        <v>0</v>
      </c>
      <c r="I122" s="62">
        <v>0</v>
      </c>
      <c r="J122" s="62">
        <v>0</v>
      </c>
      <c r="K122" s="62">
        <v>500000</v>
      </c>
      <c r="L122" s="62">
        <v>0</v>
      </c>
      <c r="M122" s="60">
        <v>0</v>
      </c>
    </row>
    <row r="123" spans="1:14" ht="16" hidden="1" customHeight="1" outlineLevel="1" x14ac:dyDescent="0.45">
      <c r="A123" s="29" t="s">
        <v>137</v>
      </c>
      <c r="B123" s="44">
        <v>0</v>
      </c>
      <c r="C123" s="63">
        <v>0</v>
      </c>
      <c r="D123" s="63">
        <v>0</v>
      </c>
      <c r="E123" s="64">
        <v>0</v>
      </c>
      <c r="F123" s="63">
        <v>0</v>
      </c>
      <c r="G123" s="63">
        <v>0</v>
      </c>
      <c r="H123" s="65">
        <v>0</v>
      </c>
      <c r="I123" s="65">
        <v>0</v>
      </c>
      <c r="J123" s="65">
        <v>0</v>
      </c>
      <c r="K123" s="65">
        <v>0</v>
      </c>
      <c r="L123" s="65">
        <v>0</v>
      </c>
      <c r="M123" s="63">
        <v>0</v>
      </c>
      <c r="N123" s="1"/>
    </row>
    <row r="124" spans="1:14" ht="16" hidden="1" customHeight="1" outlineLevel="1" x14ac:dyDescent="0.45">
      <c r="A124" s="29" t="s">
        <v>191</v>
      </c>
      <c r="B124" s="44">
        <v>0</v>
      </c>
      <c r="C124" s="63">
        <v>0</v>
      </c>
      <c r="D124" s="63">
        <v>0</v>
      </c>
      <c r="E124" s="64">
        <v>0</v>
      </c>
      <c r="F124" s="63">
        <v>0</v>
      </c>
      <c r="G124" s="63">
        <v>0</v>
      </c>
      <c r="H124" s="65">
        <v>0</v>
      </c>
      <c r="I124" s="65">
        <v>0</v>
      </c>
      <c r="J124" s="65">
        <v>0</v>
      </c>
      <c r="K124" s="65">
        <v>0</v>
      </c>
      <c r="L124" s="65">
        <v>0</v>
      </c>
      <c r="M124" s="63">
        <v>0</v>
      </c>
      <c r="N124" s="1"/>
    </row>
    <row r="125" spans="1:14" ht="16" hidden="1" customHeight="1" outlineLevel="1" x14ac:dyDescent="0.45">
      <c r="A125" s="29" t="s">
        <v>138</v>
      </c>
      <c r="B125" s="44">
        <v>18141600</v>
      </c>
      <c r="C125" s="63">
        <v>16841600</v>
      </c>
      <c r="D125" s="63">
        <v>300000</v>
      </c>
      <c r="E125" s="64">
        <v>1000000</v>
      </c>
      <c r="F125" s="63">
        <v>421343.86400115129</v>
      </c>
      <c r="G125" s="63">
        <v>78656.135998848738</v>
      </c>
      <c r="H125" s="65">
        <v>0</v>
      </c>
      <c r="I125" s="65">
        <v>0</v>
      </c>
      <c r="J125" s="65">
        <v>0</v>
      </c>
      <c r="K125" s="65">
        <v>500000</v>
      </c>
      <c r="L125" s="65">
        <v>0</v>
      </c>
      <c r="M125" s="63">
        <v>0</v>
      </c>
      <c r="N125" s="1"/>
    </row>
    <row r="126" spans="1:14" s="1" customFormat="1" collapsed="1" x14ac:dyDescent="0.45">
      <c r="A126" s="28" t="s">
        <v>59</v>
      </c>
      <c r="B126" s="43">
        <v>80618352</v>
      </c>
      <c r="C126" s="60">
        <v>31118787</v>
      </c>
      <c r="D126" s="60">
        <v>1195109</v>
      </c>
      <c r="E126" s="61">
        <v>48304456</v>
      </c>
      <c r="F126" s="60">
        <v>13193205.656544982</v>
      </c>
      <c r="G126" s="60">
        <v>11591816.343455018</v>
      </c>
      <c r="H126" s="62">
        <v>8369360</v>
      </c>
      <c r="I126" s="62">
        <v>216065.69999999998</v>
      </c>
      <c r="J126" s="62">
        <v>12279216.300000001</v>
      </c>
      <c r="K126" s="62">
        <v>1509160</v>
      </c>
      <c r="L126" s="62">
        <v>263010</v>
      </c>
      <c r="M126" s="60">
        <v>882622</v>
      </c>
    </row>
    <row r="127" spans="1:14" ht="16" hidden="1" customHeight="1" outlineLevel="1" x14ac:dyDescent="0.45">
      <c r="A127" s="29" t="s">
        <v>60</v>
      </c>
      <c r="B127" s="44">
        <v>34873827</v>
      </c>
      <c r="C127" s="63">
        <v>13339217</v>
      </c>
      <c r="D127" s="63">
        <v>653027</v>
      </c>
      <c r="E127" s="64">
        <v>20881583</v>
      </c>
      <c r="F127" s="63">
        <v>8918635.6565449815</v>
      </c>
      <c r="G127" s="63">
        <v>10663286.343455018</v>
      </c>
      <c r="H127" s="65">
        <v>745536</v>
      </c>
      <c r="I127" s="65">
        <v>0</v>
      </c>
      <c r="J127" s="65">
        <v>0</v>
      </c>
      <c r="K127" s="65">
        <v>413248</v>
      </c>
      <c r="L127" s="65">
        <v>69250</v>
      </c>
      <c r="M127" s="63">
        <v>71627</v>
      </c>
      <c r="N127" s="1"/>
    </row>
    <row r="128" spans="1:14" ht="16" hidden="1" customHeight="1" outlineLevel="1" x14ac:dyDescent="0.45">
      <c r="A128" s="29" t="s">
        <v>61</v>
      </c>
      <c r="B128" s="44">
        <v>26230108</v>
      </c>
      <c r="C128" s="63">
        <v>11048847</v>
      </c>
      <c r="D128" s="63">
        <v>0</v>
      </c>
      <c r="E128" s="64">
        <v>15181261</v>
      </c>
      <c r="F128" s="63">
        <v>0</v>
      </c>
      <c r="G128" s="63">
        <v>0</v>
      </c>
      <c r="H128" s="65">
        <v>2781219</v>
      </c>
      <c r="I128" s="65">
        <v>0</v>
      </c>
      <c r="J128" s="65">
        <v>11684063</v>
      </c>
      <c r="K128" s="65">
        <v>173297</v>
      </c>
      <c r="L128" s="65">
        <v>0</v>
      </c>
      <c r="M128" s="63">
        <v>542682</v>
      </c>
      <c r="N128" s="1"/>
    </row>
    <row r="129" spans="1:14" ht="16" hidden="1" customHeight="1" outlineLevel="1" x14ac:dyDescent="0.45">
      <c r="A129" s="29" t="s">
        <v>62</v>
      </c>
      <c r="B129" s="44">
        <v>13625917</v>
      </c>
      <c r="C129" s="63">
        <v>6629503</v>
      </c>
      <c r="D129" s="63">
        <v>514442</v>
      </c>
      <c r="E129" s="64">
        <v>6481972</v>
      </c>
      <c r="F129" s="63">
        <v>0</v>
      </c>
      <c r="G129" s="63">
        <v>0</v>
      </c>
      <c r="H129" s="65">
        <v>4767165</v>
      </c>
      <c r="I129" s="65">
        <v>216065.69999999998</v>
      </c>
      <c r="J129" s="65">
        <v>504153.30000000005</v>
      </c>
      <c r="K129" s="65">
        <v>754515</v>
      </c>
      <c r="L129" s="65">
        <v>0</v>
      </c>
      <c r="M129" s="63">
        <v>240073</v>
      </c>
      <c r="N129" s="1"/>
    </row>
    <row r="130" spans="1:14" ht="16" hidden="1" customHeight="1" outlineLevel="1" x14ac:dyDescent="0.45">
      <c r="A130" s="29" t="s">
        <v>63</v>
      </c>
      <c r="B130" s="44">
        <v>5888500</v>
      </c>
      <c r="C130" s="63">
        <v>101220</v>
      </c>
      <c r="D130" s="63">
        <v>27640</v>
      </c>
      <c r="E130" s="64">
        <v>5759640</v>
      </c>
      <c r="F130" s="63">
        <v>4274570</v>
      </c>
      <c r="G130" s="63">
        <v>928530</v>
      </c>
      <c r="H130" s="65">
        <v>75440</v>
      </c>
      <c r="I130" s="65">
        <v>0</v>
      </c>
      <c r="J130" s="65">
        <v>91000</v>
      </c>
      <c r="K130" s="65">
        <v>168100</v>
      </c>
      <c r="L130" s="65">
        <v>193760</v>
      </c>
      <c r="M130" s="63">
        <v>28240</v>
      </c>
      <c r="N130" s="1"/>
    </row>
    <row r="131" spans="1:14" ht="16" hidden="1" customHeight="1" outlineLevel="1" x14ac:dyDescent="0.45">
      <c r="A131" s="24" t="s">
        <v>192</v>
      </c>
      <c r="B131" s="45">
        <v>0</v>
      </c>
      <c r="C131" s="63">
        <v>0</v>
      </c>
      <c r="D131" s="63">
        <v>0</v>
      </c>
      <c r="E131" s="64">
        <v>0</v>
      </c>
      <c r="F131" s="63">
        <v>0</v>
      </c>
      <c r="G131" s="63">
        <v>0</v>
      </c>
      <c r="H131" s="65">
        <v>0</v>
      </c>
      <c r="I131" s="65">
        <v>0</v>
      </c>
      <c r="J131" s="65">
        <v>0</v>
      </c>
      <c r="K131" s="65">
        <v>0</v>
      </c>
      <c r="L131" s="65">
        <v>0</v>
      </c>
      <c r="M131" s="63">
        <v>0</v>
      </c>
      <c r="N131" s="1"/>
    </row>
    <row r="132" spans="1:14" ht="16" hidden="1" customHeight="1" outlineLevel="1" x14ac:dyDescent="0.45">
      <c r="A132" s="29" t="s">
        <v>193</v>
      </c>
      <c r="B132" s="44">
        <v>0</v>
      </c>
      <c r="C132" s="63">
        <v>0</v>
      </c>
      <c r="D132" s="63">
        <v>0</v>
      </c>
      <c r="E132" s="64">
        <v>0</v>
      </c>
      <c r="F132" s="63">
        <v>0</v>
      </c>
      <c r="G132" s="63">
        <v>0</v>
      </c>
      <c r="H132" s="65">
        <v>0</v>
      </c>
      <c r="I132" s="65">
        <v>0</v>
      </c>
      <c r="J132" s="65">
        <v>0</v>
      </c>
      <c r="K132" s="65">
        <v>0</v>
      </c>
      <c r="L132" s="65">
        <v>0</v>
      </c>
      <c r="M132" s="63">
        <v>0</v>
      </c>
      <c r="N132" s="1"/>
    </row>
    <row r="133" spans="1:14" s="1" customFormat="1" collapsed="1" x14ac:dyDescent="0.45">
      <c r="A133" s="28" t="s">
        <v>64</v>
      </c>
      <c r="B133" s="43">
        <v>62359115</v>
      </c>
      <c r="C133" s="60">
        <v>754774</v>
      </c>
      <c r="D133" s="60">
        <v>0</v>
      </c>
      <c r="E133" s="61">
        <v>61604341</v>
      </c>
      <c r="F133" s="60">
        <v>56721112.082965121</v>
      </c>
      <c r="G133" s="60">
        <v>4623324.9170348756</v>
      </c>
      <c r="H133" s="62">
        <v>0</v>
      </c>
      <c r="I133" s="62">
        <v>0</v>
      </c>
      <c r="J133" s="62">
        <v>0</v>
      </c>
      <c r="K133" s="62">
        <v>0</v>
      </c>
      <c r="L133" s="62">
        <v>0</v>
      </c>
      <c r="M133" s="60">
        <v>259904</v>
      </c>
    </row>
    <row r="134" spans="1:14" ht="16" hidden="1" customHeight="1" outlineLevel="1" x14ac:dyDescent="0.45">
      <c r="A134" s="29" t="s">
        <v>65</v>
      </c>
      <c r="B134" s="44">
        <v>62359115</v>
      </c>
      <c r="C134" s="63">
        <v>754774</v>
      </c>
      <c r="D134" s="63">
        <v>0</v>
      </c>
      <c r="E134" s="64">
        <v>61604341</v>
      </c>
      <c r="F134" s="63">
        <v>56721112.082965121</v>
      </c>
      <c r="G134" s="63">
        <v>4623324.9170348756</v>
      </c>
      <c r="H134" s="65">
        <v>0</v>
      </c>
      <c r="I134" s="65">
        <v>0</v>
      </c>
      <c r="J134" s="65">
        <v>0</v>
      </c>
      <c r="K134" s="65">
        <v>0</v>
      </c>
      <c r="L134" s="65">
        <v>0</v>
      </c>
      <c r="M134" s="63">
        <v>259904</v>
      </c>
      <c r="N134" s="1"/>
    </row>
    <row r="135" spans="1:14" ht="16" hidden="1" customHeight="1" outlineLevel="1" x14ac:dyDescent="0.45">
      <c r="A135" s="29" t="s">
        <v>261</v>
      </c>
      <c r="B135" s="44">
        <v>0</v>
      </c>
      <c r="C135" s="63">
        <v>0</v>
      </c>
      <c r="D135" s="63">
        <v>0</v>
      </c>
      <c r="E135" s="64">
        <v>0</v>
      </c>
      <c r="F135" s="63">
        <v>0</v>
      </c>
      <c r="G135" s="63">
        <v>0</v>
      </c>
      <c r="H135" s="65">
        <v>0</v>
      </c>
      <c r="I135" s="65">
        <v>0</v>
      </c>
      <c r="J135" s="65">
        <v>0</v>
      </c>
      <c r="K135" s="65">
        <v>0</v>
      </c>
      <c r="L135" s="65">
        <v>0</v>
      </c>
      <c r="M135" s="63">
        <v>0</v>
      </c>
      <c r="N135" s="1"/>
    </row>
    <row r="136" spans="1:14" s="1" customFormat="1" collapsed="1" x14ac:dyDescent="0.45">
      <c r="A136" s="28" t="s">
        <v>139</v>
      </c>
      <c r="B136" s="43">
        <v>13603249</v>
      </c>
      <c r="C136" s="60">
        <v>12373010</v>
      </c>
      <c r="D136" s="60">
        <v>0</v>
      </c>
      <c r="E136" s="61">
        <v>1230239</v>
      </c>
      <c r="F136" s="60">
        <v>1230239</v>
      </c>
      <c r="G136" s="60">
        <v>0</v>
      </c>
      <c r="H136" s="62">
        <v>0</v>
      </c>
      <c r="I136" s="62">
        <v>0</v>
      </c>
      <c r="J136" s="62">
        <v>0</v>
      </c>
      <c r="K136" s="62">
        <v>0</v>
      </c>
      <c r="L136" s="62">
        <v>0</v>
      </c>
      <c r="M136" s="60">
        <v>0</v>
      </c>
    </row>
    <row r="137" spans="1:14" ht="16" hidden="1" customHeight="1" outlineLevel="1" x14ac:dyDescent="0.45">
      <c r="A137" s="29" t="s">
        <v>140</v>
      </c>
      <c r="B137" s="43">
        <v>0</v>
      </c>
      <c r="C137" s="60">
        <v>0</v>
      </c>
      <c r="D137" s="60">
        <v>0</v>
      </c>
      <c r="E137" s="64">
        <v>0</v>
      </c>
      <c r="F137" s="63">
        <v>0</v>
      </c>
      <c r="G137" s="63">
        <v>0</v>
      </c>
      <c r="H137" s="65">
        <v>0</v>
      </c>
      <c r="I137" s="65">
        <v>0</v>
      </c>
      <c r="J137" s="65">
        <v>0</v>
      </c>
      <c r="K137" s="65">
        <v>0</v>
      </c>
      <c r="L137" s="65">
        <v>0</v>
      </c>
      <c r="M137" s="63">
        <v>0</v>
      </c>
      <c r="N137" s="1"/>
    </row>
    <row r="138" spans="1:14" ht="16" hidden="1" customHeight="1" outlineLevel="1" x14ac:dyDescent="0.45">
      <c r="A138" s="29" t="s">
        <v>194</v>
      </c>
      <c r="B138" s="43">
        <v>0</v>
      </c>
      <c r="C138" s="60">
        <v>0</v>
      </c>
      <c r="D138" s="60">
        <v>0</v>
      </c>
      <c r="E138" s="64">
        <v>0</v>
      </c>
      <c r="F138" s="63">
        <v>0</v>
      </c>
      <c r="G138" s="63">
        <v>0</v>
      </c>
      <c r="H138" s="65">
        <v>0</v>
      </c>
      <c r="I138" s="65">
        <v>0</v>
      </c>
      <c r="J138" s="65">
        <v>0</v>
      </c>
      <c r="K138" s="65">
        <v>0</v>
      </c>
      <c r="L138" s="65">
        <v>0</v>
      </c>
      <c r="M138" s="63">
        <v>0</v>
      </c>
      <c r="N138" s="1"/>
    </row>
    <row r="139" spans="1:14" ht="16" hidden="1" customHeight="1" outlineLevel="1" x14ac:dyDescent="0.45">
      <c r="A139" s="29" t="s">
        <v>195</v>
      </c>
      <c r="B139" s="44">
        <v>1230239</v>
      </c>
      <c r="C139" s="63">
        <v>0</v>
      </c>
      <c r="D139" s="63">
        <v>0</v>
      </c>
      <c r="E139" s="64">
        <v>1230239</v>
      </c>
      <c r="F139" s="63">
        <v>1230239</v>
      </c>
      <c r="G139" s="63">
        <v>0</v>
      </c>
      <c r="H139" s="65">
        <v>0</v>
      </c>
      <c r="I139" s="65">
        <v>0</v>
      </c>
      <c r="J139" s="65">
        <v>0</v>
      </c>
      <c r="K139" s="65">
        <v>0</v>
      </c>
      <c r="L139" s="65">
        <v>0</v>
      </c>
      <c r="M139" s="63">
        <v>0</v>
      </c>
      <c r="N139" s="1"/>
    </row>
    <row r="140" spans="1:14" ht="16" hidden="1" customHeight="1" outlineLevel="1" x14ac:dyDescent="0.45">
      <c r="A140" s="29" t="s">
        <v>141</v>
      </c>
      <c r="B140" s="44">
        <v>12373010</v>
      </c>
      <c r="C140" s="63">
        <v>12373010</v>
      </c>
      <c r="D140" s="63">
        <v>0</v>
      </c>
      <c r="E140" s="64">
        <v>0</v>
      </c>
      <c r="F140" s="63">
        <v>0</v>
      </c>
      <c r="G140" s="63">
        <v>0</v>
      </c>
      <c r="H140" s="65">
        <v>0</v>
      </c>
      <c r="I140" s="65">
        <v>0</v>
      </c>
      <c r="J140" s="65">
        <v>0</v>
      </c>
      <c r="K140" s="65">
        <v>0</v>
      </c>
      <c r="L140" s="65">
        <v>0</v>
      </c>
      <c r="M140" s="63">
        <v>0</v>
      </c>
      <c r="N140" s="1"/>
    </row>
    <row r="141" spans="1:14" s="1" customFormat="1" collapsed="1" x14ac:dyDescent="0.45">
      <c r="A141" s="28" t="s">
        <v>66</v>
      </c>
      <c r="B141" s="43">
        <v>43394409</v>
      </c>
      <c r="C141" s="66">
        <v>0</v>
      </c>
      <c r="D141" s="66">
        <v>0</v>
      </c>
      <c r="E141" s="61">
        <v>43394409</v>
      </c>
      <c r="F141" s="60">
        <v>11363913.110948466</v>
      </c>
      <c r="G141" s="60">
        <v>3030496.8890515352</v>
      </c>
      <c r="H141" s="62">
        <v>0</v>
      </c>
      <c r="I141" s="62">
        <v>0</v>
      </c>
      <c r="J141" s="62">
        <v>0</v>
      </c>
      <c r="K141" s="62">
        <v>0</v>
      </c>
      <c r="L141" s="62">
        <v>0</v>
      </c>
      <c r="M141" s="60">
        <v>28999999</v>
      </c>
    </row>
    <row r="142" spans="1:14" s="1" customFormat="1" x14ac:dyDescent="0.45">
      <c r="A142" s="28" t="s">
        <v>67</v>
      </c>
      <c r="B142" s="43">
        <v>911465560</v>
      </c>
      <c r="C142" s="66">
        <v>168236727.05512321</v>
      </c>
      <c r="D142" s="66">
        <v>33168990</v>
      </c>
      <c r="E142" s="61">
        <v>710059842.94487679</v>
      </c>
      <c r="F142" s="60">
        <v>283310985.25940979</v>
      </c>
      <c r="G142" s="60">
        <v>283528960.74059021</v>
      </c>
      <c r="H142" s="62">
        <v>62321896</v>
      </c>
      <c r="I142" s="62">
        <v>2910387.6620829124</v>
      </c>
      <c r="J142" s="62">
        <v>6710338.3419902762</v>
      </c>
      <c r="K142" s="62">
        <v>28698180.936730538</v>
      </c>
      <c r="L142" s="62">
        <v>25126404.004073188</v>
      </c>
      <c r="M142" s="60">
        <v>17452690</v>
      </c>
    </row>
    <row r="143" spans="1:14" ht="16" hidden="1" customHeight="1" outlineLevel="1" x14ac:dyDescent="0.45">
      <c r="A143" s="29" t="s">
        <v>68</v>
      </c>
      <c r="B143" s="44">
        <v>170692200</v>
      </c>
      <c r="C143" s="67">
        <v>9548289.0551230907</v>
      </c>
      <c r="D143" s="67">
        <v>1352000</v>
      </c>
      <c r="E143" s="64">
        <v>159791910.94487691</v>
      </c>
      <c r="F143" s="63">
        <v>24671398.841528311</v>
      </c>
      <c r="G143" s="63">
        <v>117290601.15847169</v>
      </c>
      <c r="H143" s="65">
        <v>0</v>
      </c>
      <c r="I143" s="65">
        <v>102988.56208291229</v>
      </c>
      <c r="J143" s="65">
        <v>159740.4419902763</v>
      </c>
      <c r="K143" s="65">
        <v>1673452.936730539</v>
      </c>
      <c r="L143" s="65">
        <v>15893729.004073188</v>
      </c>
      <c r="M143" s="63">
        <v>0</v>
      </c>
      <c r="N143" s="1"/>
    </row>
    <row r="144" spans="1:14" ht="16" hidden="1" customHeight="1" outlineLevel="1" x14ac:dyDescent="0.45">
      <c r="A144" s="29" t="s">
        <v>196</v>
      </c>
      <c r="B144" s="44">
        <v>0</v>
      </c>
      <c r="C144" s="67">
        <v>0</v>
      </c>
      <c r="D144" s="67">
        <v>0</v>
      </c>
      <c r="E144" s="64">
        <v>0</v>
      </c>
      <c r="F144" s="63">
        <v>0</v>
      </c>
      <c r="G144" s="63">
        <v>0</v>
      </c>
      <c r="H144" s="65">
        <v>0</v>
      </c>
      <c r="I144" s="65">
        <v>0</v>
      </c>
      <c r="J144" s="65">
        <v>0</v>
      </c>
      <c r="K144" s="65">
        <v>0</v>
      </c>
      <c r="L144" s="65">
        <v>0</v>
      </c>
      <c r="M144" s="63">
        <v>0</v>
      </c>
      <c r="N144" s="1"/>
    </row>
    <row r="145" spans="1:14" ht="16" hidden="1" customHeight="1" outlineLevel="1" x14ac:dyDescent="0.45">
      <c r="A145" s="29" t="s">
        <v>69</v>
      </c>
      <c r="B145" s="44">
        <v>381576771</v>
      </c>
      <c r="C145" s="67">
        <v>51423064</v>
      </c>
      <c r="D145" s="67">
        <v>18200280</v>
      </c>
      <c r="E145" s="64">
        <v>311953427</v>
      </c>
      <c r="F145" s="63">
        <v>101757527.57948011</v>
      </c>
      <c r="G145" s="63">
        <v>115752659.4205199</v>
      </c>
      <c r="H145" s="65">
        <v>45625668</v>
      </c>
      <c r="I145" s="65">
        <v>1785681.3</v>
      </c>
      <c r="J145" s="65">
        <v>4166589.7</v>
      </c>
      <c r="K145" s="65">
        <v>21886471</v>
      </c>
      <c r="L145" s="65">
        <v>5517830</v>
      </c>
      <c r="M145" s="63">
        <v>15461000</v>
      </c>
      <c r="N145" s="1"/>
    </row>
    <row r="146" spans="1:14" ht="16" hidden="1" customHeight="1" outlineLevel="1" x14ac:dyDescent="0.45">
      <c r="A146" s="29" t="s">
        <v>70</v>
      </c>
      <c r="B146" s="44">
        <v>280764279</v>
      </c>
      <c r="C146" s="67">
        <v>29897864</v>
      </c>
      <c r="D146" s="67">
        <v>12551910</v>
      </c>
      <c r="E146" s="64">
        <v>238314505</v>
      </c>
      <c r="F146" s="63">
        <v>156882058.83840138</v>
      </c>
      <c r="G146" s="63">
        <v>50485700.161598623</v>
      </c>
      <c r="H146" s="65">
        <v>16696228</v>
      </c>
      <c r="I146" s="65">
        <v>1021717.7999999999</v>
      </c>
      <c r="J146" s="65">
        <v>2384008.2000000002</v>
      </c>
      <c r="K146" s="65">
        <v>5138257</v>
      </c>
      <c r="L146" s="65">
        <v>3714845</v>
      </c>
      <c r="M146" s="63">
        <v>1991690</v>
      </c>
      <c r="N146" s="1"/>
    </row>
    <row r="147" spans="1:14" ht="16" hidden="1" customHeight="1" outlineLevel="1" x14ac:dyDescent="0.45">
      <c r="A147" s="29" t="s">
        <v>142</v>
      </c>
      <c r="B147" s="44">
        <v>78432310</v>
      </c>
      <c r="C147" s="63">
        <v>77367510</v>
      </c>
      <c r="D147" s="63">
        <v>1064800</v>
      </c>
      <c r="E147" s="64">
        <v>0</v>
      </c>
      <c r="F147" s="63">
        <v>0</v>
      </c>
      <c r="G147" s="63">
        <v>0</v>
      </c>
      <c r="H147" s="65">
        <v>0</v>
      </c>
      <c r="I147" s="65">
        <v>0</v>
      </c>
      <c r="J147" s="65">
        <v>0</v>
      </c>
      <c r="K147" s="65">
        <v>0</v>
      </c>
      <c r="L147" s="65">
        <v>0</v>
      </c>
      <c r="M147" s="63">
        <v>0</v>
      </c>
      <c r="N147" s="1"/>
    </row>
    <row r="148" spans="1:14" ht="16" hidden="1" customHeight="1" outlineLevel="1" x14ac:dyDescent="0.45">
      <c r="A148" s="29" t="s">
        <v>197</v>
      </c>
      <c r="B148" s="44">
        <v>0</v>
      </c>
      <c r="C148" s="63">
        <v>0</v>
      </c>
      <c r="D148" s="63">
        <v>0</v>
      </c>
      <c r="E148" s="64">
        <v>0</v>
      </c>
      <c r="F148" s="63">
        <v>0</v>
      </c>
      <c r="G148" s="63">
        <v>0</v>
      </c>
      <c r="H148" s="65">
        <v>0</v>
      </c>
      <c r="I148" s="65">
        <v>0</v>
      </c>
      <c r="J148" s="65">
        <v>0</v>
      </c>
      <c r="K148" s="65">
        <v>0</v>
      </c>
      <c r="L148" s="65">
        <v>0</v>
      </c>
      <c r="M148" s="63">
        <v>0</v>
      </c>
      <c r="N148" s="1"/>
    </row>
    <row r="149" spans="1:14" ht="16" hidden="1" customHeight="1" outlineLevel="1" x14ac:dyDescent="0.45">
      <c r="A149" s="29" t="s">
        <v>262</v>
      </c>
      <c r="B149" s="44">
        <v>0</v>
      </c>
      <c r="C149" s="63">
        <v>0</v>
      </c>
      <c r="D149" s="63">
        <v>0</v>
      </c>
      <c r="E149" s="64">
        <v>0</v>
      </c>
      <c r="F149" s="63">
        <v>0</v>
      </c>
      <c r="G149" s="63">
        <v>0</v>
      </c>
      <c r="H149" s="65">
        <v>0</v>
      </c>
      <c r="I149" s="65">
        <v>0</v>
      </c>
      <c r="J149" s="65">
        <v>0</v>
      </c>
      <c r="K149" s="65">
        <v>0</v>
      </c>
      <c r="L149" s="65">
        <v>0</v>
      </c>
      <c r="M149" s="63">
        <v>0</v>
      </c>
      <c r="N149" s="1"/>
    </row>
    <row r="150" spans="1:14" ht="16" hidden="1" customHeight="1" outlineLevel="1" x14ac:dyDescent="0.45">
      <c r="A150" s="29" t="s">
        <v>263</v>
      </c>
      <c r="B150" s="44">
        <v>0</v>
      </c>
      <c r="C150" s="63">
        <v>0</v>
      </c>
      <c r="D150" s="63">
        <v>0</v>
      </c>
      <c r="E150" s="64">
        <v>0</v>
      </c>
      <c r="F150" s="63">
        <v>0</v>
      </c>
      <c r="G150" s="63">
        <v>0</v>
      </c>
      <c r="H150" s="65">
        <v>0</v>
      </c>
      <c r="I150" s="65">
        <v>0</v>
      </c>
      <c r="J150" s="65">
        <v>0</v>
      </c>
      <c r="K150" s="65">
        <v>0</v>
      </c>
      <c r="L150" s="65">
        <v>0</v>
      </c>
      <c r="M150" s="63">
        <v>0</v>
      </c>
      <c r="N150" s="1"/>
    </row>
    <row r="151" spans="1:14" s="1" customFormat="1" collapsed="1" x14ac:dyDescent="0.45">
      <c r="A151" s="28" t="s">
        <v>71</v>
      </c>
      <c r="B151" s="43">
        <v>70509350</v>
      </c>
      <c r="C151" s="60">
        <v>68239990</v>
      </c>
      <c r="D151" s="60">
        <v>0</v>
      </c>
      <c r="E151" s="61">
        <v>2269360</v>
      </c>
      <c r="F151" s="60">
        <v>0</v>
      </c>
      <c r="G151" s="60">
        <v>0</v>
      </c>
      <c r="H151" s="62">
        <v>0</v>
      </c>
      <c r="I151" s="62">
        <v>0</v>
      </c>
      <c r="J151" s="62">
        <v>0</v>
      </c>
      <c r="K151" s="62">
        <v>2269360</v>
      </c>
      <c r="L151" s="62">
        <v>0</v>
      </c>
      <c r="M151" s="60">
        <v>0</v>
      </c>
    </row>
    <row r="152" spans="1:14" ht="16" hidden="1" customHeight="1" outlineLevel="1" x14ac:dyDescent="0.45">
      <c r="A152" s="29" t="s">
        <v>143</v>
      </c>
      <c r="B152" s="44">
        <v>2304410</v>
      </c>
      <c r="C152" s="63">
        <v>35050</v>
      </c>
      <c r="D152" s="63">
        <v>0</v>
      </c>
      <c r="E152" s="64">
        <v>2269360</v>
      </c>
      <c r="F152" s="63">
        <v>0</v>
      </c>
      <c r="G152" s="63">
        <v>0</v>
      </c>
      <c r="H152" s="65">
        <v>0</v>
      </c>
      <c r="I152" s="65">
        <v>0</v>
      </c>
      <c r="J152" s="65">
        <v>0</v>
      </c>
      <c r="K152" s="65">
        <v>2269360</v>
      </c>
      <c r="L152" s="65">
        <v>0</v>
      </c>
      <c r="M152" s="63">
        <v>0</v>
      </c>
      <c r="N152" s="1"/>
    </row>
    <row r="153" spans="1:14" ht="16" hidden="1" customHeight="1" outlineLevel="1" x14ac:dyDescent="0.45">
      <c r="A153" s="29" t="s">
        <v>72</v>
      </c>
      <c r="B153" s="44">
        <v>11838699</v>
      </c>
      <c r="C153" s="63">
        <v>11838699</v>
      </c>
      <c r="D153" s="63">
        <v>0</v>
      </c>
      <c r="E153" s="64">
        <v>0</v>
      </c>
      <c r="F153" s="63">
        <v>0</v>
      </c>
      <c r="G153" s="63">
        <v>0</v>
      </c>
      <c r="H153" s="65">
        <v>0</v>
      </c>
      <c r="I153" s="65">
        <v>0</v>
      </c>
      <c r="J153" s="65">
        <v>0</v>
      </c>
      <c r="K153" s="65">
        <v>0</v>
      </c>
      <c r="L153" s="65">
        <v>0</v>
      </c>
      <c r="M153" s="63">
        <v>0</v>
      </c>
      <c r="N153" s="1"/>
    </row>
    <row r="154" spans="1:14" ht="16" hidden="1" customHeight="1" outlineLevel="1" x14ac:dyDescent="0.45">
      <c r="A154" s="29" t="s">
        <v>144</v>
      </c>
      <c r="B154" s="44">
        <v>56366241</v>
      </c>
      <c r="C154" s="63">
        <v>56366241</v>
      </c>
      <c r="D154" s="63">
        <v>0</v>
      </c>
      <c r="E154" s="64">
        <v>0</v>
      </c>
      <c r="F154" s="63">
        <v>0</v>
      </c>
      <c r="G154" s="63">
        <v>0</v>
      </c>
      <c r="H154" s="65">
        <v>0</v>
      </c>
      <c r="I154" s="65">
        <v>0</v>
      </c>
      <c r="J154" s="65">
        <v>0</v>
      </c>
      <c r="K154" s="65">
        <v>0</v>
      </c>
      <c r="L154" s="65">
        <v>0</v>
      </c>
      <c r="M154" s="63">
        <v>0</v>
      </c>
      <c r="N154" s="1"/>
    </row>
    <row r="155" spans="1:14" ht="16" hidden="1" customHeight="1" outlineLevel="1" x14ac:dyDescent="0.45">
      <c r="A155" s="29" t="s">
        <v>145</v>
      </c>
      <c r="B155" s="44">
        <v>0</v>
      </c>
      <c r="C155" s="63">
        <v>0</v>
      </c>
      <c r="D155" s="63">
        <v>0</v>
      </c>
      <c r="E155" s="64">
        <v>0</v>
      </c>
      <c r="F155" s="63">
        <v>0</v>
      </c>
      <c r="G155" s="63">
        <v>0</v>
      </c>
      <c r="H155" s="65">
        <v>0</v>
      </c>
      <c r="I155" s="65">
        <v>0</v>
      </c>
      <c r="J155" s="65">
        <v>0</v>
      </c>
      <c r="K155" s="65">
        <v>0</v>
      </c>
      <c r="L155" s="65">
        <v>0</v>
      </c>
      <c r="M155" s="63">
        <v>0</v>
      </c>
      <c r="N155" s="1"/>
    </row>
    <row r="156" spans="1:14" s="1" customFormat="1" collapsed="1" x14ac:dyDescent="0.45">
      <c r="A156" s="28" t="s">
        <v>73</v>
      </c>
      <c r="B156" s="43">
        <v>99567847</v>
      </c>
      <c r="C156" s="60">
        <v>5441022.9564329088</v>
      </c>
      <c r="D156" s="60">
        <v>3543823</v>
      </c>
      <c r="E156" s="61">
        <v>90583001.043567091</v>
      </c>
      <c r="F156" s="60">
        <v>17749872.553210236</v>
      </c>
      <c r="G156" s="60">
        <v>46117349.866054252</v>
      </c>
      <c r="H156" s="62">
        <v>1326040.5807355177</v>
      </c>
      <c r="I156" s="62">
        <v>354173.65212751552</v>
      </c>
      <c r="J156" s="62">
        <v>1089217.0227807951</v>
      </c>
      <c r="K156" s="62">
        <v>5045312.6937504709</v>
      </c>
      <c r="L156" s="62">
        <v>18693474.67490831</v>
      </c>
      <c r="M156" s="60">
        <v>207560</v>
      </c>
    </row>
    <row r="157" spans="1:14" ht="16" hidden="1" customHeight="1" outlineLevel="1" x14ac:dyDescent="0.45">
      <c r="A157" s="29" t="s">
        <v>74</v>
      </c>
      <c r="B157" s="44">
        <v>26923227</v>
      </c>
      <c r="C157" s="63">
        <v>1388570.6680721566</v>
      </c>
      <c r="D157" s="63">
        <v>169700</v>
      </c>
      <c r="E157" s="64">
        <v>25364956.331927843</v>
      </c>
      <c r="F157" s="63">
        <v>7217881.115866214</v>
      </c>
      <c r="G157" s="63">
        <v>13639965.884133786</v>
      </c>
      <c r="H157" s="65">
        <v>84500</v>
      </c>
      <c r="I157" s="65">
        <v>160381.91407927597</v>
      </c>
      <c r="J157" s="65">
        <v>457631.69380917813</v>
      </c>
      <c r="K157" s="65">
        <v>983792.11615093634</v>
      </c>
      <c r="L157" s="65">
        <v>2693303.6078884541</v>
      </c>
      <c r="M157" s="63">
        <v>127500</v>
      </c>
      <c r="N157" s="1"/>
    </row>
    <row r="158" spans="1:14" ht="16" hidden="1" customHeight="1" outlineLevel="1" x14ac:dyDescent="0.45">
      <c r="A158" s="29" t="s">
        <v>75</v>
      </c>
      <c r="B158" s="44">
        <v>13410827</v>
      </c>
      <c r="C158" s="63">
        <v>2273393.2883607522</v>
      </c>
      <c r="D158" s="63">
        <v>3374123</v>
      </c>
      <c r="E158" s="64">
        <v>7763310.7116392478</v>
      </c>
      <c r="F158" s="63">
        <v>2836416.7847206881</v>
      </c>
      <c r="G158" s="63">
        <v>1193055.6345437942</v>
      </c>
      <c r="H158" s="65">
        <v>1241540.5807355177</v>
      </c>
      <c r="I158" s="65">
        <v>193791.73804823955</v>
      </c>
      <c r="J158" s="65">
        <v>631585.32897161704</v>
      </c>
      <c r="K158" s="65">
        <v>860113.577599535</v>
      </c>
      <c r="L158" s="65">
        <v>726747.06701985665</v>
      </c>
      <c r="M158" s="63">
        <v>80060</v>
      </c>
      <c r="N158" s="1"/>
    </row>
    <row r="159" spans="1:14" ht="16" hidden="1" customHeight="1" outlineLevel="1" x14ac:dyDescent="0.45">
      <c r="A159" s="29" t="s">
        <v>76</v>
      </c>
      <c r="B159" s="44">
        <v>18154597</v>
      </c>
      <c r="C159" s="63">
        <v>611582</v>
      </c>
      <c r="D159" s="63">
        <v>0</v>
      </c>
      <c r="E159" s="64">
        <v>17543015</v>
      </c>
      <c r="F159" s="63">
        <v>2039906</v>
      </c>
      <c r="G159" s="63">
        <v>1527335</v>
      </c>
      <c r="H159" s="65">
        <v>0</v>
      </c>
      <c r="I159" s="65">
        <v>0</v>
      </c>
      <c r="J159" s="65">
        <v>0</v>
      </c>
      <c r="K159" s="65">
        <v>2731439</v>
      </c>
      <c r="L159" s="65">
        <v>11244335</v>
      </c>
      <c r="M159" s="63">
        <v>0</v>
      </c>
      <c r="N159" s="1"/>
    </row>
    <row r="160" spans="1:14" ht="16" hidden="1" customHeight="1" outlineLevel="1" x14ac:dyDescent="0.45">
      <c r="A160" s="29" t="s">
        <v>77</v>
      </c>
      <c r="B160" s="44">
        <v>41079196</v>
      </c>
      <c r="C160" s="63">
        <v>1167477</v>
      </c>
      <c r="D160" s="63">
        <v>0</v>
      </c>
      <c r="E160" s="64">
        <v>39911719</v>
      </c>
      <c r="F160" s="63">
        <v>5655668.6526233321</v>
      </c>
      <c r="G160" s="63">
        <v>29756993.347376667</v>
      </c>
      <c r="H160" s="65">
        <v>0</v>
      </c>
      <c r="I160" s="65">
        <v>0</v>
      </c>
      <c r="J160" s="65">
        <v>0</v>
      </c>
      <c r="K160" s="65">
        <v>469968</v>
      </c>
      <c r="L160" s="65">
        <v>4029089</v>
      </c>
      <c r="M160" s="63">
        <v>0</v>
      </c>
      <c r="N160" s="1"/>
    </row>
    <row r="161" spans="1:14" ht="16" hidden="1" customHeight="1" outlineLevel="1" x14ac:dyDescent="0.45">
      <c r="A161" s="29" t="s">
        <v>198</v>
      </c>
      <c r="B161" s="44">
        <v>0</v>
      </c>
      <c r="C161" s="63">
        <v>0</v>
      </c>
      <c r="D161" s="63">
        <v>0</v>
      </c>
      <c r="E161" s="64">
        <v>0</v>
      </c>
      <c r="F161" s="63">
        <v>0</v>
      </c>
      <c r="G161" s="63">
        <v>0</v>
      </c>
      <c r="H161" s="65">
        <v>0</v>
      </c>
      <c r="I161" s="65">
        <v>0</v>
      </c>
      <c r="J161" s="65">
        <v>0</v>
      </c>
      <c r="K161" s="65">
        <v>0</v>
      </c>
      <c r="L161" s="65">
        <v>0</v>
      </c>
      <c r="M161" s="63">
        <v>0</v>
      </c>
      <c r="N161" s="1"/>
    </row>
    <row r="162" spans="1:14" ht="16" hidden="1" customHeight="1" outlineLevel="1" x14ac:dyDescent="0.45">
      <c r="A162" s="24" t="s">
        <v>199</v>
      </c>
      <c r="B162" s="45">
        <v>0</v>
      </c>
      <c r="C162" s="63">
        <v>0</v>
      </c>
      <c r="D162" s="63">
        <v>0</v>
      </c>
      <c r="E162" s="64">
        <v>0</v>
      </c>
      <c r="F162" s="63">
        <v>0</v>
      </c>
      <c r="G162" s="63">
        <v>0</v>
      </c>
      <c r="H162" s="65">
        <v>0</v>
      </c>
      <c r="I162" s="65">
        <v>0</v>
      </c>
      <c r="J162" s="65">
        <v>0</v>
      </c>
      <c r="K162" s="65">
        <v>0</v>
      </c>
      <c r="L162" s="65">
        <v>0</v>
      </c>
      <c r="M162" s="63">
        <v>0</v>
      </c>
      <c r="N162" s="1"/>
    </row>
    <row r="163" spans="1:14" ht="16" hidden="1" customHeight="1" outlineLevel="1" x14ac:dyDescent="0.45">
      <c r="A163" s="30" t="s">
        <v>200</v>
      </c>
      <c r="B163" s="46">
        <v>0</v>
      </c>
      <c r="C163" s="63">
        <v>0</v>
      </c>
      <c r="D163" s="63">
        <v>0</v>
      </c>
      <c r="E163" s="64">
        <v>0</v>
      </c>
      <c r="F163" s="63">
        <v>0</v>
      </c>
      <c r="G163" s="63">
        <v>0</v>
      </c>
      <c r="H163" s="65">
        <v>0</v>
      </c>
      <c r="I163" s="65">
        <v>0</v>
      </c>
      <c r="J163" s="65">
        <v>0</v>
      </c>
      <c r="K163" s="65">
        <v>0</v>
      </c>
      <c r="L163" s="65">
        <v>0</v>
      </c>
      <c r="M163" s="63">
        <v>0</v>
      </c>
      <c r="N163" s="1"/>
    </row>
    <row r="164" spans="1:14" s="1" customFormat="1" collapsed="1" x14ac:dyDescent="0.45">
      <c r="A164" s="28" t="s">
        <v>78</v>
      </c>
      <c r="B164" s="43">
        <v>390475271</v>
      </c>
      <c r="C164" s="60">
        <v>3003000</v>
      </c>
      <c r="D164" s="60">
        <v>121919611</v>
      </c>
      <c r="E164" s="61">
        <v>265552660</v>
      </c>
      <c r="F164" s="60">
        <v>93509800</v>
      </c>
      <c r="G164" s="60">
        <v>78414681</v>
      </c>
      <c r="H164" s="62">
        <v>47188133</v>
      </c>
      <c r="I164" s="62">
        <v>967276.79999999993</v>
      </c>
      <c r="J164" s="62">
        <v>2256979.2000000002</v>
      </c>
      <c r="K164" s="62">
        <v>4216711</v>
      </c>
      <c r="L164" s="62">
        <v>0</v>
      </c>
      <c r="M164" s="60">
        <v>38999079</v>
      </c>
    </row>
    <row r="165" spans="1:14" ht="16" hidden="1" customHeight="1" outlineLevel="1" x14ac:dyDescent="0.45">
      <c r="A165" s="30" t="s">
        <v>201</v>
      </c>
      <c r="B165" s="46">
        <v>0</v>
      </c>
      <c r="C165" s="63">
        <v>0</v>
      </c>
      <c r="D165" s="63">
        <v>0</v>
      </c>
      <c r="E165" s="64">
        <v>0</v>
      </c>
      <c r="F165" s="63">
        <v>0</v>
      </c>
      <c r="G165" s="63">
        <v>0</v>
      </c>
      <c r="H165" s="65">
        <v>0</v>
      </c>
      <c r="I165" s="65">
        <v>0</v>
      </c>
      <c r="J165" s="65">
        <v>0</v>
      </c>
      <c r="K165" s="65">
        <v>0</v>
      </c>
      <c r="L165" s="65">
        <v>0</v>
      </c>
      <c r="M165" s="63">
        <v>0</v>
      </c>
      <c r="N165" s="1"/>
    </row>
    <row r="166" spans="1:14" ht="16" hidden="1" customHeight="1" outlineLevel="1" x14ac:dyDescent="0.45">
      <c r="A166" s="29" t="s">
        <v>79</v>
      </c>
      <c r="B166" s="44">
        <v>390475271</v>
      </c>
      <c r="C166" s="63">
        <v>3003000</v>
      </c>
      <c r="D166" s="63">
        <v>121919611</v>
      </c>
      <c r="E166" s="64">
        <v>265552660</v>
      </c>
      <c r="F166" s="63">
        <v>93509800</v>
      </c>
      <c r="G166" s="63">
        <v>78414681</v>
      </c>
      <c r="H166" s="65">
        <v>47188133</v>
      </c>
      <c r="I166" s="65">
        <v>967276.79999999993</v>
      </c>
      <c r="J166" s="65">
        <v>2256979.2000000002</v>
      </c>
      <c r="K166" s="65">
        <v>4216711</v>
      </c>
      <c r="L166" s="65">
        <v>0</v>
      </c>
      <c r="M166" s="63">
        <v>38999079</v>
      </c>
      <c r="N166" s="1"/>
    </row>
    <row r="167" spans="1:14" ht="16" hidden="1" customHeight="1" outlineLevel="1" x14ac:dyDescent="0.45">
      <c r="A167" s="29" t="s">
        <v>202</v>
      </c>
      <c r="B167" s="44">
        <v>0</v>
      </c>
      <c r="C167" s="63">
        <v>0</v>
      </c>
      <c r="D167" s="63">
        <v>0</v>
      </c>
      <c r="E167" s="64">
        <v>0</v>
      </c>
      <c r="F167" s="63">
        <v>0</v>
      </c>
      <c r="G167" s="63">
        <v>0</v>
      </c>
      <c r="H167" s="65">
        <v>0</v>
      </c>
      <c r="I167" s="65">
        <v>0</v>
      </c>
      <c r="J167" s="65">
        <v>0</v>
      </c>
      <c r="K167" s="65">
        <v>0</v>
      </c>
      <c r="L167" s="65">
        <v>0</v>
      </c>
      <c r="M167" s="63">
        <v>0</v>
      </c>
      <c r="N167" s="1"/>
    </row>
    <row r="168" spans="1:14" ht="16" hidden="1" customHeight="1" outlineLevel="1" x14ac:dyDescent="0.45">
      <c r="A168" s="29" t="s">
        <v>203</v>
      </c>
      <c r="B168" s="44">
        <v>0</v>
      </c>
      <c r="C168" s="63">
        <v>0</v>
      </c>
      <c r="D168" s="63">
        <v>0</v>
      </c>
      <c r="E168" s="64">
        <v>0</v>
      </c>
      <c r="F168" s="63">
        <v>0</v>
      </c>
      <c r="G168" s="63">
        <v>0</v>
      </c>
      <c r="H168" s="65">
        <v>0</v>
      </c>
      <c r="I168" s="65">
        <v>0</v>
      </c>
      <c r="J168" s="65">
        <v>0</v>
      </c>
      <c r="K168" s="65">
        <v>0</v>
      </c>
      <c r="L168" s="65">
        <v>0</v>
      </c>
      <c r="M168" s="63">
        <v>0</v>
      </c>
      <c r="N168" s="1"/>
    </row>
    <row r="169" spans="1:14" ht="16" hidden="1" customHeight="1" outlineLevel="1" x14ac:dyDescent="0.45">
      <c r="A169" s="29" t="s">
        <v>204</v>
      </c>
      <c r="B169" s="44">
        <v>0</v>
      </c>
      <c r="C169" s="63">
        <v>0</v>
      </c>
      <c r="D169" s="63">
        <v>0</v>
      </c>
      <c r="E169" s="64">
        <v>0</v>
      </c>
      <c r="F169" s="63">
        <v>0</v>
      </c>
      <c r="G169" s="63">
        <v>0</v>
      </c>
      <c r="H169" s="65">
        <v>0</v>
      </c>
      <c r="I169" s="65">
        <v>0</v>
      </c>
      <c r="J169" s="65">
        <v>0</v>
      </c>
      <c r="K169" s="65">
        <v>0</v>
      </c>
      <c r="L169" s="65">
        <v>0</v>
      </c>
      <c r="M169" s="63">
        <v>0</v>
      </c>
      <c r="N169" s="1"/>
    </row>
    <row r="170" spans="1:14" ht="16" hidden="1" customHeight="1" outlineLevel="1" x14ac:dyDescent="0.45">
      <c r="A170" s="30" t="s">
        <v>205</v>
      </c>
      <c r="B170" s="46">
        <v>0</v>
      </c>
      <c r="C170" s="63">
        <v>0</v>
      </c>
      <c r="D170" s="63">
        <v>0</v>
      </c>
      <c r="E170" s="64">
        <v>0</v>
      </c>
      <c r="F170" s="63">
        <v>0</v>
      </c>
      <c r="G170" s="63">
        <v>0</v>
      </c>
      <c r="H170" s="65">
        <v>0</v>
      </c>
      <c r="I170" s="65">
        <v>0</v>
      </c>
      <c r="J170" s="65">
        <v>0</v>
      </c>
      <c r="K170" s="65">
        <v>0</v>
      </c>
      <c r="L170" s="65">
        <v>0</v>
      </c>
      <c r="M170" s="63">
        <v>0</v>
      </c>
      <c r="N170" s="1"/>
    </row>
    <row r="171" spans="1:14" s="1" customFormat="1" ht="16" hidden="1" customHeight="1" outlineLevel="1" collapsed="1" x14ac:dyDescent="0.45">
      <c r="A171" s="28" t="s">
        <v>80</v>
      </c>
      <c r="B171" s="43">
        <v>91638863</v>
      </c>
      <c r="C171" s="60">
        <v>26259825</v>
      </c>
      <c r="D171" s="60">
        <v>7675723</v>
      </c>
      <c r="E171" s="61">
        <v>57703315</v>
      </c>
      <c r="F171" s="60">
        <v>3701861</v>
      </c>
      <c r="G171" s="60">
        <v>52908453</v>
      </c>
      <c r="H171" s="62">
        <v>0</v>
      </c>
      <c r="I171" s="62">
        <v>0</v>
      </c>
      <c r="J171" s="62">
        <v>0</v>
      </c>
      <c r="K171" s="62">
        <v>0</v>
      </c>
      <c r="L171" s="62">
        <v>1093001</v>
      </c>
      <c r="M171" s="60">
        <v>0</v>
      </c>
    </row>
    <row r="172" spans="1:14" ht="16" hidden="1" customHeight="1" outlineLevel="1" x14ac:dyDescent="0.45">
      <c r="A172" s="29" t="s">
        <v>81</v>
      </c>
      <c r="B172" s="44">
        <v>27164500</v>
      </c>
      <c r="C172" s="63">
        <v>18219866</v>
      </c>
      <c r="D172" s="63">
        <v>7675723</v>
      </c>
      <c r="E172" s="64">
        <v>1268911</v>
      </c>
      <c r="F172" s="63">
        <v>111000</v>
      </c>
      <c r="G172" s="63">
        <v>64910</v>
      </c>
      <c r="H172" s="65">
        <v>0</v>
      </c>
      <c r="I172" s="65">
        <v>0</v>
      </c>
      <c r="J172" s="65">
        <v>0</v>
      </c>
      <c r="K172" s="65">
        <v>0</v>
      </c>
      <c r="L172" s="65">
        <v>1093001</v>
      </c>
      <c r="M172" s="63">
        <v>0</v>
      </c>
      <c r="N172" s="1"/>
    </row>
    <row r="173" spans="1:14" ht="16" hidden="1" customHeight="1" outlineLevel="1" x14ac:dyDescent="0.45">
      <c r="A173" s="29" t="s">
        <v>206</v>
      </c>
      <c r="B173" s="44">
        <v>6084000</v>
      </c>
      <c r="C173" s="63">
        <v>6084000</v>
      </c>
      <c r="D173" s="63">
        <v>0</v>
      </c>
      <c r="E173" s="64">
        <v>0</v>
      </c>
      <c r="F173" s="63">
        <v>0</v>
      </c>
      <c r="G173" s="63">
        <v>0</v>
      </c>
      <c r="H173" s="65">
        <v>0</v>
      </c>
      <c r="I173" s="65">
        <v>0</v>
      </c>
      <c r="J173" s="65">
        <v>0</v>
      </c>
      <c r="K173" s="65">
        <v>0</v>
      </c>
      <c r="L173" s="65">
        <v>0</v>
      </c>
      <c r="M173" s="63">
        <v>0</v>
      </c>
      <c r="N173" s="1"/>
    </row>
    <row r="174" spans="1:14" ht="16" hidden="1" customHeight="1" outlineLevel="1" x14ac:dyDescent="0.45">
      <c r="A174" s="29" t="s">
        <v>82</v>
      </c>
      <c r="B174" s="44">
        <v>7190363</v>
      </c>
      <c r="C174" s="63">
        <v>1955959</v>
      </c>
      <c r="D174" s="63">
        <v>0</v>
      </c>
      <c r="E174" s="64">
        <v>5234404</v>
      </c>
      <c r="F174" s="63">
        <v>3590861</v>
      </c>
      <c r="G174" s="63">
        <v>1643543</v>
      </c>
      <c r="H174" s="65">
        <v>0</v>
      </c>
      <c r="I174" s="65">
        <v>0</v>
      </c>
      <c r="J174" s="65">
        <v>0</v>
      </c>
      <c r="K174" s="65">
        <v>0</v>
      </c>
      <c r="L174" s="65">
        <v>0</v>
      </c>
      <c r="M174" s="63">
        <v>0</v>
      </c>
      <c r="N174" s="1"/>
    </row>
    <row r="175" spans="1:14" ht="16" hidden="1" customHeight="1" outlineLevel="1" x14ac:dyDescent="0.45">
      <c r="A175" s="29" t="s">
        <v>207</v>
      </c>
      <c r="B175" s="44">
        <v>0</v>
      </c>
      <c r="C175" s="63">
        <v>0</v>
      </c>
      <c r="D175" s="63">
        <v>0</v>
      </c>
      <c r="E175" s="64">
        <v>0</v>
      </c>
      <c r="F175" s="63">
        <v>0</v>
      </c>
      <c r="G175" s="63">
        <v>0</v>
      </c>
      <c r="H175" s="65">
        <v>0</v>
      </c>
      <c r="I175" s="65">
        <v>0</v>
      </c>
      <c r="J175" s="65">
        <v>0</v>
      </c>
      <c r="K175" s="65">
        <v>0</v>
      </c>
      <c r="L175" s="65">
        <v>0</v>
      </c>
      <c r="M175" s="63">
        <v>0</v>
      </c>
      <c r="N175" s="1"/>
    </row>
    <row r="176" spans="1:14" ht="16" hidden="1" customHeight="1" outlineLevel="1" x14ac:dyDescent="0.45">
      <c r="A176" s="29" t="s">
        <v>256</v>
      </c>
      <c r="B176" s="44">
        <v>0</v>
      </c>
      <c r="C176" s="63">
        <v>0</v>
      </c>
      <c r="D176" s="63">
        <v>0</v>
      </c>
      <c r="E176" s="64">
        <v>0</v>
      </c>
      <c r="F176" s="63">
        <v>0</v>
      </c>
      <c r="G176" s="63">
        <v>0</v>
      </c>
      <c r="H176" s="65">
        <v>0</v>
      </c>
      <c r="I176" s="65">
        <v>0</v>
      </c>
      <c r="J176" s="65">
        <v>0</v>
      </c>
      <c r="K176" s="65">
        <v>0</v>
      </c>
      <c r="L176" s="65">
        <v>0</v>
      </c>
      <c r="M176" s="63">
        <v>0</v>
      </c>
      <c r="N176" s="1"/>
    </row>
    <row r="177" spans="1:14" ht="16" hidden="1" customHeight="1" outlineLevel="1" x14ac:dyDescent="0.45">
      <c r="A177" s="29" t="s">
        <v>208</v>
      </c>
      <c r="B177" s="44">
        <v>51200000</v>
      </c>
      <c r="C177" s="63">
        <v>0</v>
      </c>
      <c r="D177" s="63">
        <v>0</v>
      </c>
      <c r="E177" s="64">
        <v>51200000</v>
      </c>
      <c r="F177" s="63">
        <v>0</v>
      </c>
      <c r="G177" s="63">
        <v>51200000</v>
      </c>
      <c r="H177" s="65">
        <v>0</v>
      </c>
      <c r="I177" s="65">
        <v>0</v>
      </c>
      <c r="J177" s="65">
        <v>0</v>
      </c>
      <c r="K177" s="65">
        <v>0</v>
      </c>
      <c r="L177" s="65">
        <v>0</v>
      </c>
      <c r="M177" s="63">
        <v>0</v>
      </c>
      <c r="N177" s="1"/>
    </row>
    <row r="178" spans="1:14" s="1" customFormat="1" collapsed="1" x14ac:dyDescent="0.45">
      <c r="A178" s="28" t="s">
        <v>146</v>
      </c>
      <c r="B178" s="43">
        <v>607091</v>
      </c>
      <c r="C178" s="60">
        <v>531818</v>
      </c>
      <c r="D178" s="60">
        <v>0</v>
      </c>
      <c r="E178" s="61">
        <v>75273.000000000015</v>
      </c>
      <c r="F178" s="60">
        <v>67916.704130253245</v>
      </c>
      <c r="G178" s="60">
        <v>7356.2958697467629</v>
      </c>
      <c r="H178" s="62">
        <v>0</v>
      </c>
      <c r="I178" s="62">
        <v>0</v>
      </c>
      <c r="J178" s="62">
        <v>0</v>
      </c>
      <c r="K178" s="62">
        <v>0</v>
      </c>
      <c r="L178" s="62">
        <v>0</v>
      </c>
      <c r="M178" s="60">
        <v>0</v>
      </c>
    </row>
    <row r="179" spans="1:14" ht="16" hidden="1" customHeight="1" outlineLevel="1" x14ac:dyDescent="0.45">
      <c r="A179" s="29" t="s">
        <v>147</v>
      </c>
      <c r="B179" s="44">
        <v>607091</v>
      </c>
      <c r="C179" s="63">
        <v>531818</v>
      </c>
      <c r="D179" s="63">
        <v>0</v>
      </c>
      <c r="E179" s="64">
        <v>75273.000000000015</v>
      </c>
      <c r="F179" s="63">
        <v>67916.704130253245</v>
      </c>
      <c r="G179" s="63">
        <v>7356.2958697467629</v>
      </c>
      <c r="H179" s="65">
        <v>0</v>
      </c>
      <c r="I179" s="65">
        <v>0</v>
      </c>
      <c r="J179" s="65">
        <v>0</v>
      </c>
      <c r="K179" s="65">
        <v>0</v>
      </c>
      <c r="L179" s="65">
        <v>0</v>
      </c>
      <c r="M179" s="63">
        <v>0</v>
      </c>
      <c r="N179" s="1"/>
    </row>
    <row r="180" spans="1:14" ht="16" hidden="1" customHeight="1" outlineLevel="1" x14ac:dyDescent="0.45">
      <c r="A180" s="29" t="s">
        <v>148</v>
      </c>
      <c r="B180" s="43">
        <v>0</v>
      </c>
      <c r="C180" s="63">
        <v>0</v>
      </c>
      <c r="D180" s="63">
        <v>0</v>
      </c>
      <c r="E180" s="64">
        <v>0</v>
      </c>
      <c r="F180" s="63">
        <v>0</v>
      </c>
      <c r="G180" s="63">
        <v>0</v>
      </c>
      <c r="H180" s="65">
        <v>0</v>
      </c>
      <c r="I180" s="65">
        <v>0</v>
      </c>
      <c r="J180" s="65">
        <v>0</v>
      </c>
      <c r="K180" s="65">
        <v>0</v>
      </c>
      <c r="L180" s="65">
        <v>0</v>
      </c>
      <c r="M180" s="63">
        <v>0</v>
      </c>
      <c r="N180" s="1"/>
    </row>
    <row r="181" spans="1:14" s="1" customFormat="1" collapsed="1" x14ac:dyDescent="0.45">
      <c r="A181" s="28" t="s">
        <v>83</v>
      </c>
      <c r="B181" s="43">
        <v>439274128</v>
      </c>
      <c r="C181" s="60">
        <v>58900870.935965002</v>
      </c>
      <c r="D181" s="60">
        <v>26981843</v>
      </c>
      <c r="E181" s="61">
        <v>353391414.064035</v>
      </c>
      <c r="F181" s="60">
        <v>198021258.42417473</v>
      </c>
      <c r="G181" s="60">
        <v>72900604.261887968</v>
      </c>
      <c r="H181" s="60">
        <v>16622387.313937327</v>
      </c>
      <c r="I181" s="60">
        <v>2340300.190503445</v>
      </c>
      <c r="J181" s="60">
        <v>3575847.0103746764</v>
      </c>
      <c r="K181" s="60">
        <v>11936451.662278764</v>
      </c>
      <c r="L181" s="60">
        <v>34858187.200878121</v>
      </c>
      <c r="M181" s="60">
        <v>13136378</v>
      </c>
    </row>
    <row r="182" spans="1:14" s="1" customFormat="1" ht="16" hidden="1" customHeight="1" outlineLevel="1" x14ac:dyDescent="0.45">
      <c r="A182" s="29" t="s">
        <v>84</v>
      </c>
      <c r="B182" s="44">
        <v>74144116</v>
      </c>
      <c r="C182" s="63">
        <v>506830</v>
      </c>
      <c r="D182" s="63">
        <v>503093</v>
      </c>
      <c r="E182" s="64">
        <v>73134193</v>
      </c>
      <c r="F182" s="63">
        <v>52341080</v>
      </c>
      <c r="G182" s="63">
        <v>12033049</v>
      </c>
      <c r="H182" s="63">
        <v>1867103</v>
      </c>
      <c r="I182" s="63">
        <v>373784.5</v>
      </c>
      <c r="J182" s="63">
        <v>483711.5</v>
      </c>
      <c r="K182" s="63">
        <v>2391058</v>
      </c>
      <c r="L182" s="63">
        <v>3419381</v>
      </c>
      <c r="M182" s="63">
        <v>225026</v>
      </c>
    </row>
    <row r="183" spans="1:14" ht="16" hidden="1" customHeight="1" outlineLevel="1" x14ac:dyDescent="0.45">
      <c r="A183" s="29" t="s">
        <v>149</v>
      </c>
      <c r="B183" s="44">
        <v>1560974</v>
      </c>
      <c r="C183" s="63">
        <v>1560974</v>
      </c>
      <c r="D183" s="63">
        <v>0</v>
      </c>
      <c r="E183" s="64">
        <v>0</v>
      </c>
      <c r="F183" s="63">
        <v>0</v>
      </c>
      <c r="G183" s="63">
        <v>0</v>
      </c>
      <c r="H183" s="63">
        <v>0</v>
      </c>
      <c r="I183" s="63">
        <v>0</v>
      </c>
      <c r="J183" s="63">
        <v>0</v>
      </c>
      <c r="K183" s="63">
        <v>0</v>
      </c>
      <c r="L183" s="63">
        <v>0</v>
      </c>
      <c r="M183" s="63">
        <v>0</v>
      </c>
      <c r="N183" s="1"/>
    </row>
    <row r="184" spans="1:14" ht="16" hidden="1" customHeight="1" outlineLevel="1" x14ac:dyDescent="0.45">
      <c r="A184" s="29" t="s">
        <v>85</v>
      </c>
      <c r="B184" s="44">
        <v>27121105</v>
      </c>
      <c r="C184" s="63">
        <v>7422544.0967239738</v>
      </c>
      <c r="D184" s="63">
        <v>3609839</v>
      </c>
      <c r="E184" s="64">
        <v>16088721.903276026</v>
      </c>
      <c r="F184" s="63">
        <v>8551994.2731517199</v>
      </c>
      <c r="G184" s="63">
        <v>3816541.4129109522</v>
      </c>
      <c r="H184" s="63">
        <v>694532.31393732713</v>
      </c>
      <c r="I184" s="63">
        <v>156359.65531307436</v>
      </c>
      <c r="J184" s="63">
        <v>292677.84687111207</v>
      </c>
      <c r="K184" s="63">
        <v>842879.89890765562</v>
      </c>
      <c r="L184" s="63">
        <v>1149728.5021841866</v>
      </c>
      <c r="M184" s="63">
        <v>584008</v>
      </c>
      <c r="N184" s="1"/>
    </row>
    <row r="185" spans="1:14" ht="16" hidden="1" customHeight="1" outlineLevel="1" x14ac:dyDescent="0.45">
      <c r="A185" s="29" t="s">
        <v>86</v>
      </c>
      <c r="B185" s="44">
        <v>5660763</v>
      </c>
      <c r="C185" s="63">
        <v>1194828</v>
      </c>
      <c r="D185" s="63">
        <v>0</v>
      </c>
      <c r="E185" s="64">
        <v>4465935</v>
      </c>
      <c r="F185" s="63">
        <v>3174412</v>
      </c>
      <c r="G185" s="63">
        <v>1291523</v>
      </c>
      <c r="H185" s="63">
        <v>0</v>
      </c>
      <c r="I185" s="63">
        <v>0</v>
      </c>
      <c r="J185" s="63">
        <v>0</v>
      </c>
      <c r="K185" s="63">
        <v>0</v>
      </c>
      <c r="L185" s="63">
        <v>0</v>
      </c>
      <c r="M185" s="63">
        <v>0</v>
      </c>
      <c r="N185" s="1"/>
    </row>
    <row r="186" spans="1:14" ht="16" hidden="1" customHeight="1" outlineLevel="1" x14ac:dyDescent="0.45">
      <c r="A186" s="29" t="s">
        <v>150</v>
      </c>
      <c r="B186" s="44">
        <v>60406972</v>
      </c>
      <c r="C186" s="63">
        <v>2816455</v>
      </c>
      <c r="D186" s="63">
        <v>3389509</v>
      </c>
      <c r="E186" s="64">
        <v>54201008</v>
      </c>
      <c r="F186" s="63">
        <v>25824222.640493486</v>
      </c>
      <c r="G186" s="63">
        <v>13298199.359506514</v>
      </c>
      <c r="H186" s="63">
        <v>7155110</v>
      </c>
      <c r="I186" s="63">
        <v>824635.8</v>
      </c>
      <c r="J186" s="63">
        <v>443545.2</v>
      </c>
      <c r="K186" s="63">
        <v>2343737</v>
      </c>
      <c r="L186" s="63">
        <v>2705466</v>
      </c>
      <c r="M186" s="63">
        <v>1606092</v>
      </c>
      <c r="N186" s="1"/>
    </row>
    <row r="187" spans="1:14" s="1" customFormat="1" ht="16" hidden="1" customHeight="1" outlineLevel="1" x14ac:dyDescent="0.45">
      <c r="A187" s="29" t="s">
        <v>87</v>
      </c>
      <c r="B187" s="44">
        <v>1380827</v>
      </c>
      <c r="C187" s="63">
        <v>0</v>
      </c>
      <c r="D187" s="63">
        <v>0</v>
      </c>
      <c r="E187" s="64">
        <v>1380827</v>
      </c>
      <c r="F187" s="63">
        <v>383818</v>
      </c>
      <c r="G187" s="63">
        <v>0</v>
      </c>
      <c r="H187" s="63">
        <v>0</v>
      </c>
      <c r="I187" s="63">
        <v>0</v>
      </c>
      <c r="J187" s="63">
        <v>0</v>
      </c>
      <c r="K187" s="63">
        <v>0</v>
      </c>
      <c r="L187" s="63">
        <v>997009</v>
      </c>
      <c r="M187" s="63">
        <v>0</v>
      </c>
    </row>
    <row r="188" spans="1:14" ht="16" hidden="1" customHeight="1" outlineLevel="1" x14ac:dyDescent="0.45">
      <c r="A188" s="29" t="s">
        <v>88</v>
      </c>
      <c r="B188" s="44">
        <v>115424086</v>
      </c>
      <c r="C188" s="63">
        <v>29779453.839241028</v>
      </c>
      <c r="D188" s="63">
        <v>19329760</v>
      </c>
      <c r="E188" s="64">
        <v>66314872.160758972</v>
      </c>
      <c r="F188" s="63">
        <v>8293716.4064247068</v>
      </c>
      <c r="G188" s="63">
        <v>38145570.593575291</v>
      </c>
      <c r="H188" s="63">
        <v>6606533</v>
      </c>
      <c r="I188" s="63">
        <v>319123.83519037056</v>
      </c>
      <c r="J188" s="63">
        <v>708946.86350356415</v>
      </c>
      <c r="K188" s="63">
        <v>3089122.7633711086</v>
      </c>
      <c r="L188" s="63">
        <v>2837485.6986939348</v>
      </c>
      <c r="M188" s="63">
        <v>6314373</v>
      </c>
      <c r="N188" s="1"/>
    </row>
    <row r="189" spans="1:14" ht="16" hidden="1" customHeight="1" outlineLevel="1" x14ac:dyDescent="0.45">
      <c r="A189" s="24" t="s">
        <v>89</v>
      </c>
      <c r="B189" s="45">
        <v>151666628</v>
      </c>
      <c r="C189" s="63">
        <v>15521240</v>
      </c>
      <c r="D189" s="63">
        <v>0</v>
      </c>
      <c r="E189" s="64">
        <v>136145388</v>
      </c>
      <c r="F189" s="63">
        <v>98828134.104104787</v>
      </c>
      <c r="G189" s="63">
        <v>3609242.8958952036</v>
      </c>
      <c r="H189" s="63">
        <v>0</v>
      </c>
      <c r="I189" s="63">
        <v>666396.4</v>
      </c>
      <c r="J189" s="63">
        <v>1646965.6</v>
      </c>
      <c r="K189" s="63">
        <v>3269654</v>
      </c>
      <c r="L189" s="63">
        <v>23718116</v>
      </c>
      <c r="M189" s="63">
        <v>4406879</v>
      </c>
      <c r="N189" s="1"/>
    </row>
    <row r="190" spans="1:14" ht="16" hidden="1" customHeight="1" outlineLevel="1" x14ac:dyDescent="0.45">
      <c r="A190" s="29" t="s">
        <v>209</v>
      </c>
      <c r="B190" s="44">
        <v>0</v>
      </c>
      <c r="C190" s="63">
        <v>0</v>
      </c>
      <c r="D190" s="63">
        <v>0</v>
      </c>
      <c r="E190" s="64">
        <v>0</v>
      </c>
      <c r="F190" s="63">
        <v>0</v>
      </c>
      <c r="G190" s="63">
        <v>0</v>
      </c>
      <c r="H190" s="63">
        <v>0</v>
      </c>
      <c r="I190" s="63">
        <v>0</v>
      </c>
      <c r="J190" s="63">
        <v>0</v>
      </c>
      <c r="K190" s="63">
        <v>0</v>
      </c>
      <c r="L190" s="63">
        <v>0</v>
      </c>
      <c r="M190" s="63">
        <v>0</v>
      </c>
      <c r="N190" s="1"/>
    </row>
    <row r="191" spans="1:14" ht="16" hidden="1" customHeight="1" outlineLevel="1" x14ac:dyDescent="0.45">
      <c r="A191" s="29" t="s">
        <v>90</v>
      </c>
      <c r="B191" s="44">
        <v>1908657</v>
      </c>
      <c r="C191" s="63">
        <v>98546</v>
      </c>
      <c r="D191" s="63">
        <v>149642</v>
      </c>
      <c r="E191" s="64">
        <v>1660469</v>
      </c>
      <c r="F191" s="63">
        <v>623881</v>
      </c>
      <c r="G191" s="63">
        <v>706478</v>
      </c>
      <c r="H191" s="63">
        <v>299109</v>
      </c>
      <c r="I191" s="63">
        <v>0</v>
      </c>
      <c r="J191" s="63">
        <v>0</v>
      </c>
      <c r="K191" s="63">
        <v>0</v>
      </c>
      <c r="L191" s="63">
        <v>31001</v>
      </c>
      <c r="M191" s="63">
        <v>0</v>
      </c>
      <c r="N191" s="1"/>
    </row>
    <row r="192" spans="1:14" ht="16" hidden="1" customHeight="1" outlineLevel="1" x14ac:dyDescent="0.45">
      <c r="A192" s="30" t="s">
        <v>151</v>
      </c>
      <c r="B192" s="46">
        <v>0</v>
      </c>
      <c r="C192" s="63">
        <v>0</v>
      </c>
      <c r="D192" s="63">
        <v>0</v>
      </c>
      <c r="E192" s="64">
        <v>0</v>
      </c>
      <c r="F192" s="63">
        <v>0</v>
      </c>
      <c r="G192" s="63">
        <v>0</v>
      </c>
      <c r="H192" s="63">
        <v>0</v>
      </c>
      <c r="I192" s="63">
        <v>0</v>
      </c>
      <c r="J192" s="63">
        <v>0</v>
      </c>
      <c r="K192" s="63">
        <v>0</v>
      </c>
      <c r="L192" s="63">
        <v>0</v>
      </c>
      <c r="M192" s="63">
        <v>0</v>
      </c>
      <c r="N192" s="1"/>
    </row>
    <row r="193" spans="1:14" s="1" customFormat="1" collapsed="1" x14ac:dyDescent="0.45">
      <c r="A193" s="28" t="s">
        <v>91</v>
      </c>
      <c r="B193" s="43">
        <v>126418492</v>
      </c>
      <c r="C193" s="60">
        <v>17715585</v>
      </c>
      <c r="D193" s="60">
        <v>1688911</v>
      </c>
      <c r="E193" s="61">
        <v>107013996</v>
      </c>
      <c r="F193" s="60">
        <v>69094096.865208834</v>
      </c>
      <c r="G193" s="60">
        <v>7772364.1347911628</v>
      </c>
      <c r="H193" s="60">
        <v>25723155</v>
      </c>
      <c r="I193" s="60">
        <v>54156.3</v>
      </c>
      <c r="J193" s="60">
        <v>126364.7</v>
      </c>
      <c r="K193" s="60">
        <v>616652</v>
      </c>
      <c r="L193" s="60">
        <v>2749656</v>
      </c>
      <c r="M193" s="60">
        <v>877551</v>
      </c>
    </row>
    <row r="194" spans="1:14" ht="16" hidden="1" customHeight="1" outlineLevel="1" x14ac:dyDescent="0.45">
      <c r="A194" s="29" t="s">
        <v>92</v>
      </c>
      <c r="B194" s="44">
        <v>37189475</v>
      </c>
      <c r="C194" s="63">
        <v>2301360</v>
      </c>
      <c r="D194" s="63">
        <v>437080</v>
      </c>
      <c r="E194" s="64">
        <v>34451035</v>
      </c>
      <c r="F194" s="63">
        <v>26823163.598485738</v>
      </c>
      <c r="G194" s="63">
        <v>4383881.4015142648</v>
      </c>
      <c r="H194" s="63">
        <v>242330</v>
      </c>
      <c r="I194" s="63">
        <v>25383</v>
      </c>
      <c r="J194" s="63">
        <v>59227</v>
      </c>
      <c r="K194" s="63">
        <v>481115</v>
      </c>
      <c r="L194" s="63">
        <v>2364730</v>
      </c>
      <c r="M194" s="63">
        <v>71205</v>
      </c>
      <c r="N194" s="1"/>
    </row>
    <row r="195" spans="1:14" ht="16" hidden="1" customHeight="1" outlineLevel="1" x14ac:dyDescent="0.45">
      <c r="A195" s="29" t="s">
        <v>93</v>
      </c>
      <c r="B195" s="44">
        <v>70522737</v>
      </c>
      <c r="C195" s="63">
        <v>14845800</v>
      </c>
      <c r="D195" s="63">
        <v>10722</v>
      </c>
      <c r="E195" s="64">
        <v>55666215</v>
      </c>
      <c r="F195" s="63">
        <v>29144437</v>
      </c>
      <c r="G195" s="63">
        <v>1039000</v>
      </c>
      <c r="H195" s="63">
        <v>25283694</v>
      </c>
      <c r="I195" s="63">
        <v>28773.3</v>
      </c>
      <c r="J195" s="63">
        <v>67137.7</v>
      </c>
      <c r="K195" s="63">
        <v>103173</v>
      </c>
      <c r="L195" s="63">
        <v>0</v>
      </c>
      <c r="M195" s="63">
        <v>0</v>
      </c>
      <c r="N195" s="1"/>
    </row>
    <row r="196" spans="1:14" ht="16" hidden="1" customHeight="1" outlineLevel="1" x14ac:dyDescent="0.45">
      <c r="A196" s="29" t="s">
        <v>94</v>
      </c>
      <c r="B196" s="44">
        <v>18706280</v>
      </c>
      <c r="C196" s="63">
        <v>568425</v>
      </c>
      <c r="D196" s="63">
        <v>1241109</v>
      </c>
      <c r="E196" s="64">
        <v>16896746</v>
      </c>
      <c r="F196" s="63">
        <v>13126496.266723102</v>
      </c>
      <c r="G196" s="63">
        <v>2349482.733276898</v>
      </c>
      <c r="H196" s="63">
        <v>197131</v>
      </c>
      <c r="I196" s="63">
        <v>0</v>
      </c>
      <c r="J196" s="63">
        <v>0</v>
      </c>
      <c r="K196" s="63">
        <v>32364</v>
      </c>
      <c r="L196" s="63">
        <v>384926</v>
      </c>
      <c r="M196" s="63">
        <v>806346</v>
      </c>
      <c r="N196" s="1"/>
    </row>
    <row r="197" spans="1:14" ht="16" hidden="1" customHeight="1" outlineLevel="1" x14ac:dyDescent="0.45">
      <c r="A197" s="29" t="s">
        <v>210</v>
      </c>
      <c r="B197" s="44">
        <v>0</v>
      </c>
      <c r="C197" s="63">
        <v>0</v>
      </c>
      <c r="D197" s="63">
        <v>0</v>
      </c>
      <c r="E197" s="64">
        <v>0</v>
      </c>
      <c r="F197" s="63">
        <v>0</v>
      </c>
      <c r="G197" s="63">
        <v>0</v>
      </c>
      <c r="H197" s="63">
        <v>0</v>
      </c>
      <c r="I197" s="63">
        <v>0</v>
      </c>
      <c r="J197" s="63">
        <v>0</v>
      </c>
      <c r="K197" s="63">
        <v>0</v>
      </c>
      <c r="L197" s="63">
        <v>0</v>
      </c>
      <c r="M197" s="63">
        <v>0</v>
      </c>
      <c r="N197" s="1"/>
    </row>
    <row r="198" spans="1:14" s="1" customFormat="1" ht="16" hidden="1" customHeight="1" outlineLevel="1" x14ac:dyDescent="0.45">
      <c r="A198" s="24" t="s">
        <v>211</v>
      </c>
      <c r="B198" s="45">
        <v>0</v>
      </c>
      <c r="C198" s="63">
        <v>0</v>
      </c>
      <c r="D198" s="63">
        <v>0</v>
      </c>
      <c r="E198" s="64">
        <v>0</v>
      </c>
      <c r="F198" s="63">
        <v>0</v>
      </c>
      <c r="G198" s="63">
        <v>0</v>
      </c>
      <c r="H198" s="63">
        <v>0</v>
      </c>
      <c r="I198" s="63">
        <v>0</v>
      </c>
      <c r="J198" s="63">
        <v>0</v>
      </c>
      <c r="K198" s="63">
        <v>0</v>
      </c>
      <c r="L198" s="63">
        <v>0</v>
      </c>
      <c r="M198" s="63">
        <v>0</v>
      </c>
    </row>
    <row r="199" spans="1:14" s="1" customFormat="1" collapsed="1" x14ac:dyDescent="0.45">
      <c r="A199" s="28" t="s">
        <v>95</v>
      </c>
      <c r="B199" s="43">
        <v>1359290737</v>
      </c>
      <c r="C199" s="69">
        <v>454092125</v>
      </c>
      <c r="D199" s="69">
        <v>103041667</v>
      </c>
      <c r="E199" s="61">
        <v>802156945</v>
      </c>
      <c r="F199" s="60">
        <v>96622779.475069553</v>
      </c>
      <c r="G199" s="60">
        <v>18048241.524930444</v>
      </c>
      <c r="H199" s="70">
        <v>325112262</v>
      </c>
      <c r="I199" s="70">
        <v>746981.39999999991</v>
      </c>
      <c r="J199" s="70">
        <v>1742956.6</v>
      </c>
      <c r="K199" s="70">
        <v>7399929</v>
      </c>
      <c r="L199" s="70">
        <v>5280529</v>
      </c>
      <c r="M199" s="60">
        <v>347203266</v>
      </c>
    </row>
    <row r="200" spans="1:14" ht="16" hidden="1" customHeight="1" outlineLevel="1" x14ac:dyDescent="0.45">
      <c r="A200" s="29" t="s">
        <v>152</v>
      </c>
      <c r="B200" s="44">
        <v>271136315</v>
      </c>
      <c r="C200" s="71">
        <v>265459134</v>
      </c>
      <c r="D200" s="71">
        <v>0</v>
      </c>
      <c r="E200" s="64">
        <v>5677181</v>
      </c>
      <c r="F200" s="63">
        <v>0</v>
      </c>
      <c r="G200" s="63">
        <v>0</v>
      </c>
      <c r="H200" s="32">
        <v>0</v>
      </c>
      <c r="I200" s="32">
        <v>0</v>
      </c>
      <c r="J200" s="32">
        <v>0</v>
      </c>
      <c r="K200" s="32">
        <v>0</v>
      </c>
      <c r="L200" s="32">
        <v>0</v>
      </c>
      <c r="M200" s="63">
        <v>5677181</v>
      </c>
      <c r="N200" s="1"/>
    </row>
    <row r="201" spans="1:14" ht="16" hidden="1" customHeight="1" outlineLevel="1" x14ac:dyDescent="0.45">
      <c r="A201" s="29" t="s">
        <v>153</v>
      </c>
      <c r="B201" s="44">
        <v>545289018</v>
      </c>
      <c r="C201" s="71">
        <v>9102378</v>
      </c>
      <c r="D201" s="71">
        <v>13072561</v>
      </c>
      <c r="E201" s="64">
        <v>523114079</v>
      </c>
      <c r="F201" s="63">
        <v>2294700</v>
      </c>
      <c r="G201" s="63">
        <v>2392339</v>
      </c>
      <c r="H201" s="32">
        <v>185768075</v>
      </c>
      <c r="I201" s="32">
        <v>47294.1</v>
      </c>
      <c r="J201" s="32">
        <v>110352.9</v>
      </c>
      <c r="K201" s="32">
        <v>2758824</v>
      </c>
      <c r="L201" s="32">
        <v>5152529</v>
      </c>
      <c r="M201" s="63">
        <v>324589965</v>
      </c>
      <c r="N201" s="1"/>
    </row>
    <row r="202" spans="1:14" ht="16" hidden="1" customHeight="1" outlineLevel="1" x14ac:dyDescent="0.45">
      <c r="A202" s="29" t="s">
        <v>117</v>
      </c>
      <c r="B202" s="44">
        <v>69429940</v>
      </c>
      <c r="C202" s="71">
        <v>69429940</v>
      </c>
      <c r="D202" s="71">
        <v>0</v>
      </c>
      <c r="E202" s="64">
        <v>0</v>
      </c>
      <c r="F202" s="63">
        <v>0</v>
      </c>
      <c r="G202" s="63">
        <v>0</v>
      </c>
      <c r="H202" s="32">
        <v>0</v>
      </c>
      <c r="I202" s="32">
        <v>0</v>
      </c>
      <c r="J202" s="32">
        <v>0</v>
      </c>
      <c r="K202" s="32">
        <v>0</v>
      </c>
      <c r="L202" s="32">
        <v>0</v>
      </c>
      <c r="M202" s="63">
        <v>0</v>
      </c>
      <c r="N202" s="1"/>
    </row>
    <row r="203" spans="1:14" ht="16" hidden="1" customHeight="1" outlineLevel="1" x14ac:dyDescent="0.45">
      <c r="A203" s="29" t="s">
        <v>154</v>
      </c>
      <c r="B203" s="44">
        <v>1272</v>
      </c>
      <c r="C203" s="71">
        <v>0</v>
      </c>
      <c r="D203" s="71">
        <v>1272</v>
      </c>
      <c r="E203" s="64">
        <v>0</v>
      </c>
      <c r="F203" s="63">
        <v>0</v>
      </c>
      <c r="G203" s="63">
        <v>0</v>
      </c>
      <c r="H203" s="32">
        <v>0</v>
      </c>
      <c r="I203" s="32">
        <v>0</v>
      </c>
      <c r="J203" s="32">
        <v>0</v>
      </c>
      <c r="K203" s="32">
        <v>0</v>
      </c>
      <c r="L203" s="32">
        <v>0</v>
      </c>
      <c r="M203" s="63">
        <v>0</v>
      </c>
      <c r="N203" s="1"/>
    </row>
    <row r="204" spans="1:14" ht="16" hidden="1" customHeight="1" outlineLevel="1" x14ac:dyDescent="0.45">
      <c r="A204" s="29" t="s">
        <v>96</v>
      </c>
      <c r="B204" s="44">
        <v>24611491</v>
      </c>
      <c r="C204" s="71">
        <v>792000</v>
      </c>
      <c r="D204" s="71">
        <v>911000</v>
      </c>
      <c r="E204" s="64">
        <v>22908491</v>
      </c>
      <c r="F204" s="63">
        <v>18791298.521201264</v>
      </c>
      <c r="G204" s="63">
        <v>3796192.4787987368</v>
      </c>
      <c r="H204" s="32">
        <v>0</v>
      </c>
      <c r="I204" s="32">
        <v>0</v>
      </c>
      <c r="J204" s="32">
        <v>0</v>
      </c>
      <c r="K204" s="32">
        <v>123000</v>
      </c>
      <c r="L204" s="32">
        <v>128000</v>
      </c>
      <c r="M204" s="63">
        <v>70000</v>
      </c>
      <c r="N204" s="1"/>
    </row>
    <row r="205" spans="1:14" ht="16" hidden="1" customHeight="1" outlineLevel="1" x14ac:dyDescent="0.45">
      <c r="A205" s="29" t="s">
        <v>97</v>
      </c>
      <c r="B205" s="44">
        <v>54700</v>
      </c>
      <c r="C205" s="71">
        <v>14000</v>
      </c>
      <c r="D205" s="71">
        <v>0</v>
      </c>
      <c r="E205" s="64">
        <v>40700</v>
      </c>
      <c r="F205" s="63">
        <v>40700</v>
      </c>
      <c r="G205" s="63">
        <v>0</v>
      </c>
      <c r="H205" s="32">
        <v>0</v>
      </c>
      <c r="I205" s="32">
        <v>0</v>
      </c>
      <c r="J205" s="32">
        <v>0</v>
      </c>
      <c r="K205" s="32">
        <v>0</v>
      </c>
      <c r="L205" s="32">
        <v>0</v>
      </c>
      <c r="M205" s="63">
        <v>0</v>
      </c>
      <c r="N205" s="1"/>
    </row>
    <row r="206" spans="1:14" ht="16" hidden="1" customHeight="1" outlineLevel="1" x14ac:dyDescent="0.45">
      <c r="A206" s="29" t="s">
        <v>98</v>
      </c>
      <c r="B206" s="44">
        <v>13690000</v>
      </c>
      <c r="C206" s="71">
        <v>0</v>
      </c>
      <c r="D206" s="71">
        <v>0</v>
      </c>
      <c r="E206" s="64">
        <v>13690000</v>
      </c>
      <c r="F206" s="63">
        <v>9020000</v>
      </c>
      <c r="G206" s="63">
        <v>4670000</v>
      </c>
      <c r="H206" s="32">
        <v>0</v>
      </c>
      <c r="I206" s="32">
        <v>0</v>
      </c>
      <c r="J206" s="32">
        <v>0</v>
      </c>
      <c r="K206" s="32">
        <v>0</v>
      </c>
      <c r="L206" s="32">
        <v>0</v>
      </c>
      <c r="M206" s="63">
        <v>0</v>
      </c>
      <c r="N206" s="1"/>
    </row>
    <row r="207" spans="1:14" ht="16" hidden="1" customHeight="1" outlineLevel="1" x14ac:dyDescent="0.45">
      <c r="A207" s="29" t="s">
        <v>99</v>
      </c>
      <c r="B207" s="44">
        <v>226300216</v>
      </c>
      <c r="C207" s="71">
        <v>85286737</v>
      </c>
      <c r="D207" s="71">
        <v>0</v>
      </c>
      <c r="E207" s="64">
        <v>141013479</v>
      </c>
      <c r="F207" s="63">
        <v>45729651.695627294</v>
      </c>
      <c r="G207" s="63">
        <v>4300539.3043727037</v>
      </c>
      <c r="H207" s="32">
        <v>77161698</v>
      </c>
      <c r="I207" s="32">
        <v>0</v>
      </c>
      <c r="J207" s="32">
        <v>0</v>
      </c>
      <c r="K207" s="32">
        <v>167900</v>
      </c>
      <c r="L207" s="32">
        <v>0</v>
      </c>
      <c r="M207" s="63">
        <v>13653690</v>
      </c>
      <c r="N207" s="1"/>
    </row>
    <row r="208" spans="1:14" ht="16" hidden="1" customHeight="1" outlineLevel="1" x14ac:dyDescent="0.45">
      <c r="A208" s="29" t="s">
        <v>155</v>
      </c>
      <c r="B208" s="44">
        <v>10148246</v>
      </c>
      <c r="C208" s="71">
        <v>10148246</v>
      </c>
      <c r="D208" s="71">
        <v>0</v>
      </c>
      <c r="E208" s="64">
        <v>0</v>
      </c>
      <c r="F208" s="63">
        <v>0</v>
      </c>
      <c r="G208" s="63">
        <v>0</v>
      </c>
      <c r="H208" s="32">
        <v>0</v>
      </c>
      <c r="I208" s="32">
        <v>0</v>
      </c>
      <c r="J208" s="32">
        <v>0</v>
      </c>
      <c r="K208" s="32">
        <v>0</v>
      </c>
      <c r="L208" s="32">
        <v>0</v>
      </c>
      <c r="M208" s="63">
        <v>0</v>
      </c>
      <c r="N208" s="1"/>
    </row>
    <row r="209" spans="1:14" ht="16" hidden="1" customHeight="1" outlineLevel="1" x14ac:dyDescent="0.45">
      <c r="A209" s="29" t="s">
        <v>100</v>
      </c>
      <c r="B209" s="44">
        <v>198100448</v>
      </c>
      <c r="C209" s="71">
        <v>13859690</v>
      </c>
      <c r="D209" s="71">
        <v>89056834</v>
      </c>
      <c r="E209" s="64">
        <v>95183924</v>
      </c>
      <c r="F209" s="63">
        <v>20746429.258240998</v>
      </c>
      <c r="G209" s="63">
        <v>2889170.7417590013</v>
      </c>
      <c r="H209" s="32">
        <v>62182489</v>
      </c>
      <c r="I209" s="32">
        <v>699687.29999999993</v>
      </c>
      <c r="J209" s="32">
        <v>1632603.7000000002</v>
      </c>
      <c r="K209" s="32">
        <v>3821114</v>
      </c>
      <c r="L209" s="32">
        <v>0</v>
      </c>
      <c r="M209" s="63">
        <v>3212430</v>
      </c>
      <c r="N209" s="1"/>
    </row>
    <row r="210" spans="1:14" ht="16" hidden="1" customHeight="1" outlineLevel="1" x14ac:dyDescent="0.45">
      <c r="A210" s="24" t="s">
        <v>212</v>
      </c>
      <c r="B210" s="45">
        <v>0</v>
      </c>
      <c r="C210" s="71">
        <v>0</v>
      </c>
      <c r="D210" s="71">
        <v>0</v>
      </c>
      <c r="E210" s="64">
        <v>0</v>
      </c>
      <c r="F210" s="63">
        <v>0</v>
      </c>
      <c r="G210" s="63">
        <v>0</v>
      </c>
      <c r="H210" s="32">
        <v>0</v>
      </c>
      <c r="I210" s="32">
        <v>0</v>
      </c>
      <c r="J210" s="32">
        <v>0</v>
      </c>
      <c r="K210" s="32">
        <v>0</v>
      </c>
      <c r="L210" s="32">
        <v>0</v>
      </c>
      <c r="M210" s="63">
        <v>0</v>
      </c>
      <c r="N210" s="1"/>
    </row>
    <row r="211" spans="1:14" ht="16" hidden="1" customHeight="1" outlineLevel="1" x14ac:dyDescent="0.45">
      <c r="A211" s="29" t="s">
        <v>213</v>
      </c>
      <c r="B211" s="44">
        <v>0</v>
      </c>
      <c r="C211" s="71">
        <v>0</v>
      </c>
      <c r="D211" s="71">
        <v>0</v>
      </c>
      <c r="E211" s="64">
        <v>0</v>
      </c>
      <c r="F211" s="63">
        <v>0</v>
      </c>
      <c r="G211" s="63">
        <v>0</v>
      </c>
      <c r="H211" s="32">
        <v>0</v>
      </c>
      <c r="I211" s="32">
        <v>0</v>
      </c>
      <c r="J211" s="32">
        <v>0</v>
      </c>
      <c r="K211" s="32">
        <v>0</v>
      </c>
      <c r="L211" s="32">
        <v>0</v>
      </c>
      <c r="M211" s="63">
        <v>0</v>
      </c>
      <c r="N211" s="1"/>
    </row>
    <row r="212" spans="1:14" ht="16" hidden="1" customHeight="1" outlineLevel="1" x14ac:dyDescent="0.45">
      <c r="A212" s="24" t="s">
        <v>214</v>
      </c>
      <c r="B212" s="45">
        <v>0</v>
      </c>
      <c r="C212" s="71">
        <v>0</v>
      </c>
      <c r="D212" s="71">
        <v>0</v>
      </c>
      <c r="E212" s="64">
        <v>0</v>
      </c>
      <c r="F212" s="63">
        <v>0</v>
      </c>
      <c r="G212" s="63">
        <v>0</v>
      </c>
      <c r="H212" s="32">
        <v>0</v>
      </c>
      <c r="I212" s="32">
        <v>0</v>
      </c>
      <c r="J212" s="32">
        <v>0</v>
      </c>
      <c r="K212" s="32">
        <v>0</v>
      </c>
      <c r="L212" s="32">
        <v>0</v>
      </c>
      <c r="M212" s="63">
        <v>0</v>
      </c>
      <c r="N212" s="1"/>
    </row>
    <row r="213" spans="1:14" ht="16" hidden="1" customHeight="1" outlineLevel="1" x14ac:dyDescent="0.45">
      <c r="A213" s="29" t="s">
        <v>215</v>
      </c>
      <c r="B213" s="44">
        <v>0</v>
      </c>
      <c r="C213" s="71">
        <v>0</v>
      </c>
      <c r="D213" s="71">
        <v>0</v>
      </c>
      <c r="E213" s="64">
        <v>0</v>
      </c>
      <c r="F213" s="63">
        <v>0</v>
      </c>
      <c r="G213" s="63">
        <v>0</v>
      </c>
      <c r="H213" s="32">
        <v>0</v>
      </c>
      <c r="I213" s="32">
        <v>0</v>
      </c>
      <c r="J213" s="32">
        <v>0</v>
      </c>
      <c r="K213" s="32">
        <v>0</v>
      </c>
      <c r="L213" s="32">
        <v>0</v>
      </c>
      <c r="M213" s="63">
        <v>0</v>
      </c>
      <c r="N213" s="1"/>
    </row>
    <row r="214" spans="1:14" ht="16" hidden="1" customHeight="1" outlineLevel="1" x14ac:dyDescent="0.45">
      <c r="A214" s="29" t="s">
        <v>257</v>
      </c>
      <c r="B214" s="44">
        <v>529091</v>
      </c>
      <c r="C214" s="71">
        <v>0</v>
      </c>
      <c r="D214" s="71">
        <v>0</v>
      </c>
      <c r="E214" s="64">
        <v>529091</v>
      </c>
      <c r="F214" s="63">
        <v>0</v>
      </c>
      <c r="G214" s="63">
        <v>0</v>
      </c>
      <c r="H214" s="32">
        <v>0</v>
      </c>
      <c r="I214" s="32">
        <v>0</v>
      </c>
      <c r="J214" s="32">
        <v>0</v>
      </c>
      <c r="K214" s="32">
        <v>529091</v>
      </c>
      <c r="L214" s="32">
        <v>0</v>
      </c>
      <c r="M214" s="63">
        <v>0</v>
      </c>
      <c r="N214" s="1"/>
    </row>
    <row r="215" spans="1:14" s="1" customFormat="1" collapsed="1" x14ac:dyDescent="0.45">
      <c r="A215" s="28" t="s">
        <v>156</v>
      </c>
      <c r="B215" s="43">
        <v>34327000</v>
      </c>
      <c r="C215" s="69">
        <v>0</v>
      </c>
      <c r="D215" s="69">
        <v>0</v>
      </c>
      <c r="E215" s="61">
        <v>34327000</v>
      </c>
      <c r="F215" s="60">
        <v>0</v>
      </c>
      <c r="G215" s="60">
        <v>0</v>
      </c>
      <c r="H215" s="70">
        <v>34327000</v>
      </c>
      <c r="I215" s="70">
        <v>0</v>
      </c>
      <c r="J215" s="70">
        <v>0</v>
      </c>
      <c r="K215" s="70">
        <v>0</v>
      </c>
      <c r="L215" s="70">
        <v>0</v>
      </c>
      <c r="M215" s="60">
        <v>0</v>
      </c>
    </row>
    <row r="216" spans="1:14" ht="16" hidden="1" customHeight="1" outlineLevel="1" x14ac:dyDescent="0.45">
      <c r="A216" s="29" t="s">
        <v>157</v>
      </c>
      <c r="B216" s="44">
        <v>34327000</v>
      </c>
      <c r="C216" s="71">
        <v>0</v>
      </c>
      <c r="D216" s="71">
        <v>0</v>
      </c>
      <c r="E216" s="64">
        <v>34327000</v>
      </c>
      <c r="F216" s="63">
        <v>0</v>
      </c>
      <c r="G216" s="63">
        <v>0</v>
      </c>
      <c r="H216" s="32">
        <v>34327000</v>
      </c>
      <c r="I216" s="32">
        <v>0</v>
      </c>
      <c r="J216" s="32">
        <v>0</v>
      </c>
      <c r="K216" s="32">
        <v>0</v>
      </c>
      <c r="L216" s="32">
        <v>0</v>
      </c>
      <c r="M216" s="63">
        <v>0</v>
      </c>
      <c r="N216" s="1"/>
    </row>
    <row r="217" spans="1:14" s="1" customFormat="1" collapsed="1" x14ac:dyDescent="0.45">
      <c r="A217" s="28" t="s">
        <v>101</v>
      </c>
      <c r="B217" s="43">
        <v>2672762977</v>
      </c>
      <c r="C217" s="69">
        <v>-2075705764</v>
      </c>
      <c r="D217" s="69">
        <v>0</v>
      </c>
      <c r="E217" s="61">
        <v>4748468741</v>
      </c>
      <c r="F217" s="60">
        <v>1662802230.481791</v>
      </c>
      <c r="G217" s="60">
        <v>28570005.518209144</v>
      </c>
      <c r="H217" s="70">
        <v>2000341001</v>
      </c>
      <c r="I217" s="70">
        <v>1649110</v>
      </c>
      <c r="J217" s="70">
        <v>1545120</v>
      </c>
      <c r="K217" s="70">
        <v>29750390</v>
      </c>
      <c r="L217" s="70">
        <v>946663753</v>
      </c>
      <c r="M217" s="60">
        <v>77147131</v>
      </c>
    </row>
    <row r="218" spans="1:14" s="1" customFormat="1" ht="16" hidden="1" customHeight="1" outlineLevel="1" x14ac:dyDescent="0.45">
      <c r="A218" s="28" t="s">
        <v>166</v>
      </c>
      <c r="B218" s="43">
        <v>0</v>
      </c>
      <c r="C218" s="69">
        <v>-425731520</v>
      </c>
      <c r="D218" s="69">
        <v>0</v>
      </c>
      <c r="E218" s="61">
        <v>425731520</v>
      </c>
      <c r="F218" s="60">
        <v>377395360</v>
      </c>
      <c r="G218" s="60">
        <v>0</v>
      </c>
      <c r="H218" s="70">
        <v>2180800</v>
      </c>
      <c r="I218" s="70">
        <v>115540</v>
      </c>
      <c r="J218" s="70">
        <v>0</v>
      </c>
      <c r="K218" s="70">
        <v>29135390</v>
      </c>
      <c r="L218" s="70">
        <v>16904430</v>
      </c>
      <c r="M218" s="60">
        <v>0</v>
      </c>
    </row>
    <row r="219" spans="1:14" ht="16" hidden="1" customHeight="1" outlineLevel="1" x14ac:dyDescent="0.45">
      <c r="A219" s="29" t="s">
        <v>216</v>
      </c>
      <c r="B219" s="44">
        <v>0</v>
      </c>
      <c r="C219" s="71">
        <v>0</v>
      </c>
      <c r="D219" s="71">
        <v>0</v>
      </c>
      <c r="E219" s="64">
        <v>0</v>
      </c>
      <c r="F219" s="63">
        <v>0</v>
      </c>
      <c r="G219" s="63">
        <v>0</v>
      </c>
      <c r="H219" s="32">
        <v>0</v>
      </c>
      <c r="I219" s="32">
        <v>0</v>
      </c>
      <c r="J219" s="32">
        <v>0</v>
      </c>
      <c r="K219" s="32">
        <v>0</v>
      </c>
      <c r="L219" s="32">
        <v>0</v>
      </c>
      <c r="M219" s="63">
        <v>0</v>
      </c>
      <c r="N219" s="1"/>
    </row>
    <row r="220" spans="1:14" ht="16" hidden="1" customHeight="1" outlineLevel="1" x14ac:dyDescent="0.45">
      <c r="A220" s="29" t="s">
        <v>102</v>
      </c>
      <c r="B220" s="44">
        <v>496444</v>
      </c>
      <c r="C220" s="71">
        <v>0</v>
      </c>
      <c r="D220" s="71">
        <v>0</v>
      </c>
      <c r="E220" s="64">
        <v>496444</v>
      </c>
      <c r="F220" s="63">
        <v>0</v>
      </c>
      <c r="G220" s="63">
        <v>496444</v>
      </c>
      <c r="H220" s="32">
        <v>0</v>
      </c>
      <c r="I220" s="32">
        <v>0</v>
      </c>
      <c r="J220" s="32">
        <v>0</v>
      </c>
      <c r="K220" s="32">
        <v>0</v>
      </c>
      <c r="L220" s="32">
        <v>0</v>
      </c>
      <c r="M220" s="63">
        <v>0</v>
      </c>
      <c r="N220" s="1"/>
    </row>
    <row r="221" spans="1:14" ht="16" hidden="1" customHeight="1" outlineLevel="1" x14ac:dyDescent="0.45">
      <c r="A221" s="29" t="s">
        <v>103</v>
      </c>
      <c r="B221" s="44">
        <v>29070822</v>
      </c>
      <c r="C221" s="71">
        <v>2613351</v>
      </c>
      <c r="D221" s="71">
        <v>0</v>
      </c>
      <c r="E221" s="64">
        <v>26457471</v>
      </c>
      <c r="F221" s="63">
        <v>25021096</v>
      </c>
      <c r="G221" s="63">
        <v>169025</v>
      </c>
      <c r="H221" s="32">
        <v>1255800</v>
      </c>
      <c r="I221" s="32">
        <v>0</v>
      </c>
      <c r="J221" s="32">
        <v>11550</v>
      </c>
      <c r="K221" s="32">
        <v>0</v>
      </c>
      <c r="L221" s="32">
        <v>0</v>
      </c>
      <c r="M221" s="63">
        <v>0</v>
      </c>
      <c r="N221" s="1"/>
    </row>
    <row r="222" spans="1:14" s="1" customFormat="1" ht="16" hidden="1" customHeight="1" outlineLevel="1" collapsed="1" x14ac:dyDescent="0.45">
      <c r="A222" s="28" t="s">
        <v>104</v>
      </c>
      <c r="B222" s="43">
        <v>0</v>
      </c>
      <c r="C222" s="69">
        <v>-1691850940</v>
      </c>
      <c r="D222" s="69">
        <v>0</v>
      </c>
      <c r="E222" s="61">
        <v>1691850940</v>
      </c>
      <c r="F222" s="60">
        <v>989055000</v>
      </c>
      <c r="G222" s="60">
        <v>0</v>
      </c>
      <c r="H222" s="70">
        <v>0</v>
      </c>
      <c r="I222" s="70">
        <v>0</v>
      </c>
      <c r="J222" s="70">
        <v>0</v>
      </c>
      <c r="K222" s="70">
        <v>0</v>
      </c>
      <c r="L222" s="70">
        <v>702795940</v>
      </c>
      <c r="M222" s="60">
        <v>0</v>
      </c>
    </row>
    <row r="223" spans="1:14" ht="16" hidden="1" customHeight="1" outlineLevel="1" x14ac:dyDescent="0.45">
      <c r="A223" s="29" t="s">
        <v>116</v>
      </c>
      <c r="B223" s="44">
        <v>74898224</v>
      </c>
      <c r="C223" s="71">
        <v>38522800</v>
      </c>
      <c r="D223" s="71">
        <v>0</v>
      </c>
      <c r="E223" s="64">
        <v>36375424</v>
      </c>
      <c r="F223" s="63">
        <v>812500</v>
      </c>
      <c r="G223" s="63">
        <v>27803432</v>
      </c>
      <c r="H223" s="32">
        <v>0</v>
      </c>
      <c r="I223" s="32">
        <v>0</v>
      </c>
      <c r="J223" s="32">
        <v>0</v>
      </c>
      <c r="K223" s="32">
        <v>0</v>
      </c>
      <c r="L223" s="32">
        <v>1389654</v>
      </c>
      <c r="M223" s="63">
        <v>6369838</v>
      </c>
      <c r="N223" s="1"/>
    </row>
    <row r="224" spans="1:14" ht="16" hidden="1" customHeight="1" outlineLevel="1" x14ac:dyDescent="0.45">
      <c r="A224" s="29" t="s">
        <v>105</v>
      </c>
      <c r="B224" s="44">
        <v>2568297487</v>
      </c>
      <c r="C224" s="71">
        <v>740545</v>
      </c>
      <c r="D224" s="71">
        <v>0</v>
      </c>
      <c r="E224" s="64">
        <v>2567556942</v>
      </c>
      <c r="F224" s="63">
        <v>270518274.4817909</v>
      </c>
      <c r="G224" s="63">
        <v>101104.5182091438</v>
      </c>
      <c r="H224" s="32">
        <v>1996904401</v>
      </c>
      <c r="I224" s="72">
        <v>1533570</v>
      </c>
      <c r="J224" s="72">
        <v>1533570</v>
      </c>
      <c r="K224" s="72">
        <v>615000</v>
      </c>
      <c r="L224" s="72">
        <v>225573729</v>
      </c>
      <c r="M224" s="63">
        <v>70777293</v>
      </c>
      <c r="N224" s="1"/>
    </row>
    <row r="225" spans="1:14" ht="16" hidden="1" customHeight="1" outlineLevel="1" x14ac:dyDescent="0.45">
      <c r="A225" s="29" t="s">
        <v>217</v>
      </c>
      <c r="B225" s="44">
        <v>0</v>
      </c>
      <c r="C225" s="71">
        <v>0</v>
      </c>
      <c r="D225" s="71">
        <v>0</v>
      </c>
      <c r="E225" s="64">
        <v>0</v>
      </c>
      <c r="F225" s="63">
        <v>0</v>
      </c>
      <c r="G225" s="63">
        <v>0</v>
      </c>
      <c r="H225" s="32">
        <v>0</v>
      </c>
      <c r="I225" s="32">
        <v>0</v>
      </c>
      <c r="J225" s="32">
        <v>0</v>
      </c>
      <c r="K225" s="32">
        <v>0</v>
      </c>
      <c r="L225" s="32">
        <v>0</v>
      </c>
      <c r="M225" s="63">
        <v>0</v>
      </c>
      <c r="N225" s="1"/>
    </row>
    <row r="226" spans="1:14" ht="16" hidden="1" customHeight="1" outlineLevel="1" x14ac:dyDescent="0.45">
      <c r="A226" s="29" t="s">
        <v>106</v>
      </c>
      <c r="B226" s="44">
        <v>0</v>
      </c>
      <c r="C226" s="71">
        <v>0</v>
      </c>
      <c r="D226" s="71">
        <v>0</v>
      </c>
      <c r="E226" s="64">
        <v>0</v>
      </c>
      <c r="F226" s="63">
        <v>0</v>
      </c>
      <c r="G226" s="63">
        <v>0</v>
      </c>
      <c r="H226" s="32">
        <v>0</v>
      </c>
      <c r="I226" s="32">
        <v>0</v>
      </c>
      <c r="J226" s="32">
        <v>0</v>
      </c>
      <c r="K226" s="32">
        <v>0</v>
      </c>
      <c r="L226" s="32">
        <v>0</v>
      </c>
      <c r="M226" s="63">
        <v>0</v>
      </c>
      <c r="N226" s="1"/>
    </row>
    <row r="227" spans="1:14" s="1" customFormat="1" ht="16" hidden="1" customHeight="1" outlineLevel="1" collapsed="1" x14ac:dyDescent="0.45">
      <c r="A227" s="28" t="s">
        <v>260</v>
      </c>
      <c r="B227" s="43">
        <v>0</v>
      </c>
      <c r="C227" s="69">
        <v>0</v>
      </c>
      <c r="D227" s="69">
        <v>0</v>
      </c>
      <c r="E227" s="61">
        <v>0</v>
      </c>
      <c r="F227" s="60">
        <v>0</v>
      </c>
      <c r="G227" s="60">
        <v>0</v>
      </c>
      <c r="H227" s="70">
        <v>0</v>
      </c>
      <c r="I227" s="70">
        <v>0</v>
      </c>
      <c r="J227" s="70">
        <v>0</v>
      </c>
      <c r="K227" s="70">
        <v>0</v>
      </c>
      <c r="L227" s="70">
        <v>0</v>
      </c>
      <c r="M227" s="60">
        <v>0</v>
      </c>
    </row>
    <row r="228" spans="1:14" s="1" customFormat="1" collapsed="1" x14ac:dyDescent="0.45">
      <c r="A228" s="28" t="s">
        <v>218</v>
      </c>
      <c r="B228" s="43">
        <v>0</v>
      </c>
      <c r="C228" s="69">
        <v>0</v>
      </c>
      <c r="D228" s="69">
        <v>0</v>
      </c>
      <c r="E228" s="61">
        <v>0</v>
      </c>
      <c r="F228" s="60">
        <v>0</v>
      </c>
      <c r="G228" s="60">
        <v>0</v>
      </c>
      <c r="H228" s="70">
        <v>0</v>
      </c>
      <c r="I228" s="70">
        <v>0</v>
      </c>
      <c r="J228" s="70">
        <v>0</v>
      </c>
      <c r="K228" s="70">
        <v>0</v>
      </c>
      <c r="L228" s="70">
        <v>0</v>
      </c>
      <c r="M228" s="60">
        <v>0</v>
      </c>
    </row>
    <row r="229" spans="1:14" s="1" customFormat="1" x14ac:dyDescent="0.45">
      <c r="A229" s="28" t="s">
        <v>107</v>
      </c>
      <c r="B229" s="43">
        <v>394161843</v>
      </c>
      <c r="C229" s="69">
        <v>-80799420</v>
      </c>
      <c r="D229" s="69">
        <v>0</v>
      </c>
      <c r="E229" s="61">
        <v>474961263</v>
      </c>
      <c r="F229" s="60">
        <v>-638182</v>
      </c>
      <c r="G229" s="60">
        <v>1321256</v>
      </c>
      <c r="H229" s="70">
        <v>13988859</v>
      </c>
      <c r="I229" s="70">
        <v>-28420458</v>
      </c>
      <c r="J229" s="70">
        <v>485385709</v>
      </c>
      <c r="K229" s="70">
        <v>-76154085</v>
      </c>
      <c r="L229" s="70">
        <v>79478164</v>
      </c>
      <c r="M229" s="60">
        <v>0</v>
      </c>
    </row>
    <row r="230" spans="1:14" ht="16" hidden="1" customHeight="1" outlineLevel="1" x14ac:dyDescent="0.45">
      <c r="A230" s="29" t="s">
        <v>158</v>
      </c>
      <c r="B230" s="44">
        <v>0</v>
      </c>
      <c r="C230" s="71">
        <v>0</v>
      </c>
      <c r="D230" s="71">
        <v>0</v>
      </c>
      <c r="E230" s="64">
        <v>0</v>
      </c>
      <c r="F230" s="63">
        <v>0</v>
      </c>
      <c r="G230" s="63">
        <v>0</v>
      </c>
      <c r="H230" s="32">
        <v>0</v>
      </c>
      <c r="I230" s="32">
        <v>0</v>
      </c>
      <c r="J230" s="32">
        <v>0</v>
      </c>
      <c r="K230" s="32">
        <v>0</v>
      </c>
      <c r="L230" s="32">
        <v>0</v>
      </c>
      <c r="M230" s="63">
        <v>0</v>
      </c>
      <c r="N230" s="1"/>
    </row>
    <row r="231" spans="1:14" ht="16" hidden="1" customHeight="1" outlineLevel="1" x14ac:dyDescent="0.45">
      <c r="A231" s="29" t="s">
        <v>219</v>
      </c>
      <c r="B231" s="44">
        <v>0</v>
      </c>
      <c r="C231" s="71">
        <v>0</v>
      </c>
      <c r="D231" s="71">
        <v>0</v>
      </c>
      <c r="E231" s="64">
        <v>0</v>
      </c>
      <c r="F231" s="63">
        <v>0</v>
      </c>
      <c r="G231" s="63">
        <v>0</v>
      </c>
      <c r="H231" s="32">
        <v>0</v>
      </c>
      <c r="I231" s="32">
        <v>0</v>
      </c>
      <c r="J231" s="32">
        <v>0</v>
      </c>
      <c r="K231" s="32">
        <v>0</v>
      </c>
      <c r="L231" s="32">
        <v>0</v>
      </c>
      <c r="M231" s="63">
        <v>0</v>
      </c>
      <c r="N231" s="1"/>
    </row>
    <row r="232" spans="1:14" ht="16" hidden="1" customHeight="1" outlineLevel="1" x14ac:dyDescent="0.45">
      <c r="A232" s="29" t="s">
        <v>230</v>
      </c>
      <c r="B232" s="44">
        <v>394800025</v>
      </c>
      <c r="C232" s="71">
        <v>0</v>
      </c>
      <c r="D232" s="71">
        <v>0</v>
      </c>
      <c r="E232" s="64">
        <v>394800025</v>
      </c>
      <c r="F232" s="63">
        <v>0</v>
      </c>
      <c r="G232" s="63">
        <v>0</v>
      </c>
      <c r="H232" s="32">
        <v>13988859</v>
      </c>
      <c r="I232" s="32">
        <v>-28420458</v>
      </c>
      <c r="J232" s="32">
        <v>485385709</v>
      </c>
      <c r="K232" s="32">
        <v>-76154085</v>
      </c>
      <c r="L232" s="32">
        <v>0</v>
      </c>
      <c r="M232" s="63">
        <v>0</v>
      </c>
      <c r="N232" s="1"/>
    </row>
    <row r="233" spans="1:14" ht="16" hidden="1" customHeight="1" outlineLevel="1" x14ac:dyDescent="0.45">
      <c r="A233" s="29" t="s">
        <v>220</v>
      </c>
      <c r="B233" s="44">
        <v>0</v>
      </c>
      <c r="C233" s="71">
        <v>0</v>
      </c>
      <c r="D233" s="71">
        <v>0</v>
      </c>
      <c r="E233" s="64">
        <v>0</v>
      </c>
      <c r="F233" s="63">
        <v>0</v>
      </c>
      <c r="G233" s="63">
        <v>0</v>
      </c>
      <c r="H233" s="32">
        <v>0</v>
      </c>
      <c r="I233" s="32">
        <v>0</v>
      </c>
      <c r="J233" s="32">
        <v>0</v>
      </c>
      <c r="K233" s="32">
        <v>0</v>
      </c>
      <c r="L233" s="32">
        <v>0</v>
      </c>
      <c r="M233" s="63">
        <v>0</v>
      </c>
      <c r="N233" s="1"/>
    </row>
    <row r="234" spans="1:14" s="1" customFormat="1" ht="16" hidden="1" customHeight="1" outlineLevel="1" collapsed="1" x14ac:dyDescent="0.45">
      <c r="A234" s="28" t="s">
        <v>108</v>
      </c>
      <c r="B234" s="44">
        <v>0</v>
      </c>
      <c r="C234" s="69">
        <v>-1321256</v>
      </c>
      <c r="D234" s="69">
        <v>0</v>
      </c>
      <c r="E234" s="61">
        <v>1321256</v>
      </c>
      <c r="F234" s="60">
        <v>0</v>
      </c>
      <c r="G234" s="60">
        <v>1321256</v>
      </c>
      <c r="H234" s="70">
        <v>0</v>
      </c>
      <c r="I234" s="70">
        <v>0</v>
      </c>
      <c r="J234" s="70">
        <v>0</v>
      </c>
      <c r="K234" s="70">
        <v>0</v>
      </c>
      <c r="L234" s="70">
        <v>0</v>
      </c>
      <c r="M234" s="60">
        <v>0</v>
      </c>
    </row>
    <row r="235" spans="1:14" ht="16" hidden="1" customHeight="1" outlineLevel="1" x14ac:dyDescent="0.45">
      <c r="A235" s="29" t="s">
        <v>221</v>
      </c>
      <c r="B235" s="44">
        <v>0</v>
      </c>
      <c r="C235" s="71">
        <v>0</v>
      </c>
      <c r="D235" s="71">
        <v>0</v>
      </c>
      <c r="E235" s="64">
        <v>0</v>
      </c>
      <c r="F235" s="63">
        <v>0</v>
      </c>
      <c r="G235" s="63">
        <v>0</v>
      </c>
      <c r="H235" s="32">
        <v>0</v>
      </c>
      <c r="I235" s="32">
        <v>0</v>
      </c>
      <c r="J235" s="32">
        <v>0</v>
      </c>
      <c r="K235" s="32">
        <v>0</v>
      </c>
      <c r="L235" s="32">
        <v>0</v>
      </c>
      <c r="M235" s="63">
        <v>0</v>
      </c>
      <c r="N235" s="1"/>
    </row>
    <row r="236" spans="1:14" ht="16" hidden="1" customHeight="1" outlineLevel="1" x14ac:dyDescent="0.45">
      <c r="A236" s="29" t="s">
        <v>222</v>
      </c>
      <c r="B236" s="44">
        <v>-638182</v>
      </c>
      <c r="C236" s="71">
        <v>0</v>
      </c>
      <c r="D236" s="71">
        <v>0</v>
      </c>
      <c r="E236" s="64">
        <v>-638182</v>
      </c>
      <c r="F236" s="63">
        <v>-638182</v>
      </c>
      <c r="G236" s="63">
        <v>0</v>
      </c>
      <c r="H236" s="32">
        <v>0</v>
      </c>
      <c r="I236" s="32">
        <v>0</v>
      </c>
      <c r="J236" s="32">
        <v>0</v>
      </c>
      <c r="K236" s="32">
        <v>0</v>
      </c>
      <c r="L236" s="32">
        <v>0</v>
      </c>
      <c r="M236" s="63">
        <v>0</v>
      </c>
      <c r="N236" s="1"/>
    </row>
    <row r="237" spans="1:14" s="1" customFormat="1" ht="16" hidden="1" customHeight="1" outlineLevel="1" collapsed="1" x14ac:dyDescent="0.45">
      <c r="A237" s="28" t="s">
        <v>109</v>
      </c>
      <c r="B237" s="44">
        <v>0</v>
      </c>
      <c r="C237" s="69">
        <v>-79478164</v>
      </c>
      <c r="D237" s="69">
        <v>0</v>
      </c>
      <c r="E237" s="61">
        <v>79478164</v>
      </c>
      <c r="F237" s="60">
        <v>0</v>
      </c>
      <c r="G237" s="60">
        <v>0</v>
      </c>
      <c r="H237" s="70">
        <v>0</v>
      </c>
      <c r="I237" s="70">
        <v>0</v>
      </c>
      <c r="J237" s="70">
        <v>0</v>
      </c>
      <c r="K237" s="70">
        <v>0</v>
      </c>
      <c r="L237" s="70">
        <v>79478164</v>
      </c>
      <c r="M237" s="60">
        <v>0</v>
      </c>
    </row>
    <row r="238" spans="1:14" s="1" customFormat="1" ht="16" customHeight="1" collapsed="1" x14ac:dyDescent="0.45">
      <c r="A238" s="28" t="s">
        <v>110</v>
      </c>
      <c r="B238" s="44">
        <v>20228370</v>
      </c>
      <c r="C238" s="69">
        <v>17728370</v>
      </c>
      <c r="D238" s="69">
        <v>0</v>
      </c>
      <c r="E238" s="61">
        <v>2500000</v>
      </c>
      <c r="F238" s="60">
        <v>0</v>
      </c>
      <c r="G238" s="60">
        <v>0</v>
      </c>
      <c r="H238" s="70">
        <v>0</v>
      </c>
      <c r="I238" s="70">
        <v>0</v>
      </c>
      <c r="J238" s="70">
        <v>0</v>
      </c>
      <c r="K238" s="70">
        <v>0</v>
      </c>
      <c r="L238" s="70">
        <v>0</v>
      </c>
      <c r="M238" s="60">
        <v>2500000</v>
      </c>
    </row>
    <row r="239" spans="1:14" s="1" customFormat="1" collapsed="1" x14ac:dyDescent="0.45">
      <c r="A239" s="27" t="s">
        <v>231</v>
      </c>
      <c r="B239" s="42">
        <v>-1830689680</v>
      </c>
      <c r="C239" s="73">
        <v>-2108198522.3093066</v>
      </c>
      <c r="D239" s="73">
        <v>-498114677</v>
      </c>
      <c r="E239" s="58">
        <v>775623519.30930662</v>
      </c>
      <c r="F239" s="57">
        <v>-1456745230.3591866</v>
      </c>
      <c r="G239" s="57">
        <v>478013840.42099488</v>
      </c>
      <c r="H239" s="57">
        <v>1721430265.9381917</v>
      </c>
      <c r="I239" s="57">
        <v>63302441.672442861</v>
      </c>
      <c r="J239" s="57">
        <v>96510226.978079438</v>
      </c>
      <c r="K239" s="57">
        <v>29579129.008262217</v>
      </c>
      <c r="L239" s="57">
        <v>-734667625.34947777</v>
      </c>
      <c r="M239" s="57">
        <v>578200471</v>
      </c>
    </row>
    <row r="240" spans="1:14" s="1" customFormat="1" x14ac:dyDescent="0.45">
      <c r="A240" s="28" t="s">
        <v>268</v>
      </c>
      <c r="B240" s="43">
        <v>128673491</v>
      </c>
      <c r="C240" s="69">
        <v>126573491</v>
      </c>
      <c r="D240" s="69">
        <v>0</v>
      </c>
      <c r="E240" s="61">
        <v>2100000</v>
      </c>
      <c r="F240" s="60">
        <v>0</v>
      </c>
      <c r="G240" s="60">
        <v>2100000</v>
      </c>
      <c r="H240" s="70">
        <v>0</v>
      </c>
      <c r="I240" s="70">
        <v>0</v>
      </c>
      <c r="J240" s="70">
        <v>0</v>
      </c>
      <c r="K240" s="70">
        <v>0</v>
      </c>
      <c r="L240" s="70">
        <v>0</v>
      </c>
      <c r="M240" s="70">
        <v>0</v>
      </c>
    </row>
    <row r="241" spans="1:14" ht="16" hidden="1" customHeight="1" outlineLevel="1" x14ac:dyDescent="0.45">
      <c r="A241" s="29" t="s">
        <v>159</v>
      </c>
      <c r="B241" s="44">
        <v>126573483</v>
      </c>
      <c r="C241" s="71">
        <v>126573483</v>
      </c>
      <c r="D241" s="71">
        <v>0</v>
      </c>
      <c r="E241" s="64">
        <v>0</v>
      </c>
      <c r="F241" s="63">
        <v>0</v>
      </c>
      <c r="G241" s="63">
        <v>0</v>
      </c>
      <c r="H241" s="32">
        <v>0</v>
      </c>
      <c r="I241" s="32">
        <v>0</v>
      </c>
      <c r="J241" s="32">
        <v>0</v>
      </c>
      <c r="K241" s="32">
        <v>0</v>
      </c>
      <c r="L241" s="32">
        <v>0</v>
      </c>
      <c r="M241" s="32">
        <v>0</v>
      </c>
      <c r="N241" s="1"/>
    </row>
    <row r="242" spans="1:14" ht="16" hidden="1" customHeight="1" outlineLevel="1" x14ac:dyDescent="0.45">
      <c r="A242" s="29" t="s">
        <v>160</v>
      </c>
      <c r="B242" s="44">
        <v>0</v>
      </c>
      <c r="C242" s="71">
        <v>0</v>
      </c>
      <c r="D242" s="71">
        <v>0</v>
      </c>
      <c r="E242" s="64">
        <v>0</v>
      </c>
      <c r="F242" s="63">
        <v>0</v>
      </c>
      <c r="G242" s="63">
        <v>0</v>
      </c>
      <c r="H242" s="32">
        <v>0</v>
      </c>
      <c r="I242" s="32">
        <v>0</v>
      </c>
      <c r="J242" s="32">
        <v>0</v>
      </c>
      <c r="K242" s="32">
        <v>0</v>
      </c>
      <c r="L242" s="32">
        <v>0</v>
      </c>
      <c r="M242" s="32">
        <v>0</v>
      </c>
      <c r="N242" s="1"/>
    </row>
    <row r="243" spans="1:14" ht="16" hidden="1" customHeight="1" outlineLevel="1" x14ac:dyDescent="0.45">
      <c r="A243" s="29" t="s">
        <v>258</v>
      </c>
      <c r="B243" s="44">
        <v>0</v>
      </c>
      <c r="C243" s="71">
        <v>0</v>
      </c>
      <c r="D243" s="71">
        <v>0</v>
      </c>
      <c r="E243" s="64">
        <v>0</v>
      </c>
      <c r="F243" s="63">
        <v>0</v>
      </c>
      <c r="G243" s="63">
        <v>0</v>
      </c>
      <c r="H243" s="32">
        <v>0</v>
      </c>
      <c r="I243" s="32">
        <v>0</v>
      </c>
      <c r="J243" s="32">
        <v>0</v>
      </c>
      <c r="K243" s="32">
        <v>0</v>
      </c>
      <c r="L243" s="32">
        <v>0</v>
      </c>
      <c r="M243" s="32">
        <v>0</v>
      </c>
      <c r="N243" s="1"/>
    </row>
    <row r="244" spans="1:14" ht="16" hidden="1" customHeight="1" outlineLevel="1" x14ac:dyDescent="0.45">
      <c r="A244" s="29" t="s">
        <v>223</v>
      </c>
      <c r="B244" s="44">
        <v>0</v>
      </c>
      <c r="C244" s="71">
        <v>0</v>
      </c>
      <c r="D244" s="71">
        <v>0</v>
      </c>
      <c r="E244" s="64">
        <v>0</v>
      </c>
      <c r="F244" s="63">
        <v>0</v>
      </c>
      <c r="G244" s="63">
        <v>0</v>
      </c>
      <c r="H244" s="32">
        <v>0</v>
      </c>
      <c r="I244" s="32">
        <v>0</v>
      </c>
      <c r="J244" s="32">
        <v>0</v>
      </c>
      <c r="K244" s="32">
        <v>0</v>
      </c>
      <c r="L244" s="32">
        <v>0</v>
      </c>
      <c r="M244" s="32">
        <v>0</v>
      </c>
      <c r="N244" s="1"/>
    </row>
    <row r="245" spans="1:14" s="3" customFormat="1" ht="16" hidden="1" customHeight="1" outlineLevel="1" x14ac:dyDescent="0.45">
      <c r="A245" s="33" t="s">
        <v>243</v>
      </c>
      <c r="B245" s="33">
        <v>0</v>
      </c>
      <c r="C245" s="71">
        <v>0</v>
      </c>
      <c r="D245" s="71">
        <v>0</v>
      </c>
      <c r="E245" s="64">
        <v>0</v>
      </c>
      <c r="F245" s="63">
        <v>0</v>
      </c>
      <c r="G245" s="63">
        <v>0</v>
      </c>
      <c r="H245" s="32">
        <v>0</v>
      </c>
      <c r="I245" s="32">
        <v>0</v>
      </c>
      <c r="J245" s="32">
        <v>0</v>
      </c>
      <c r="K245" s="32">
        <v>0</v>
      </c>
      <c r="L245" s="32">
        <v>0</v>
      </c>
      <c r="M245" s="32">
        <v>0</v>
      </c>
      <c r="N245" s="1"/>
    </row>
    <row r="246" spans="1:14" s="3" customFormat="1" ht="16" hidden="1" customHeight="1" outlineLevel="1" x14ac:dyDescent="0.45">
      <c r="A246" s="34" t="s">
        <v>264</v>
      </c>
      <c r="B246" s="33">
        <v>0</v>
      </c>
      <c r="C246" s="71">
        <v>0</v>
      </c>
      <c r="D246" s="71">
        <v>0</v>
      </c>
      <c r="E246" s="64">
        <v>0</v>
      </c>
      <c r="F246" s="63">
        <v>0</v>
      </c>
      <c r="G246" s="63">
        <v>0</v>
      </c>
      <c r="H246" s="32">
        <v>0</v>
      </c>
      <c r="I246" s="32">
        <v>0</v>
      </c>
      <c r="J246" s="32">
        <v>0</v>
      </c>
      <c r="K246" s="32">
        <v>0</v>
      </c>
      <c r="L246" s="32">
        <v>0</v>
      </c>
      <c r="M246" s="32">
        <v>0</v>
      </c>
      <c r="N246" s="1"/>
    </row>
    <row r="247" spans="1:14" s="3" customFormat="1" ht="16" hidden="1" customHeight="1" outlineLevel="1" x14ac:dyDescent="0.45">
      <c r="A247" s="34" t="s">
        <v>247</v>
      </c>
      <c r="B247" s="33">
        <v>0</v>
      </c>
      <c r="C247" s="71">
        <v>0</v>
      </c>
      <c r="D247" s="71">
        <v>0</v>
      </c>
      <c r="E247" s="64">
        <v>0</v>
      </c>
      <c r="F247" s="63">
        <v>0</v>
      </c>
      <c r="G247" s="63">
        <v>0</v>
      </c>
      <c r="H247" s="32">
        <v>0</v>
      </c>
      <c r="I247" s="32">
        <v>0</v>
      </c>
      <c r="J247" s="32">
        <v>0</v>
      </c>
      <c r="K247" s="32">
        <v>0</v>
      </c>
      <c r="L247" s="32">
        <v>0</v>
      </c>
      <c r="M247" s="32">
        <v>0</v>
      </c>
      <c r="N247" s="1"/>
    </row>
    <row r="248" spans="1:14" ht="16" hidden="1" customHeight="1" outlineLevel="1" collapsed="1" x14ac:dyDescent="0.45">
      <c r="A248" s="29" t="s">
        <v>161</v>
      </c>
      <c r="B248" s="44">
        <v>2100008</v>
      </c>
      <c r="C248" s="71">
        <v>8</v>
      </c>
      <c r="D248" s="71">
        <v>0</v>
      </c>
      <c r="E248" s="64">
        <v>2100000</v>
      </c>
      <c r="F248" s="63">
        <v>0</v>
      </c>
      <c r="G248" s="63">
        <v>2100000</v>
      </c>
      <c r="H248" s="32">
        <v>0</v>
      </c>
      <c r="I248" s="32">
        <v>0</v>
      </c>
      <c r="J248" s="32">
        <v>0</v>
      </c>
      <c r="K248" s="32">
        <v>0</v>
      </c>
      <c r="L248" s="32">
        <v>0</v>
      </c>
      <c r="M248" s="32">
        <v>0</v>
      </c>
      <c r="N248" s="1"/>
    </row>
    <row r="249" spans="1:14" ht="16" hidden="1" customHeight="1" outlineLevel="1" x14ac:dyDescent="0.45">
      <c r="A249" s="29" t="s">
        <v>224</v>
      </c>
      <c r="B249" s="44">
        <v>0</v>
      </c>
      <c r="C249" s="71">
        <v>0</v>
      </c>
      <c r="D249" s="71">
        <v>0</v>
      </c>
      <c r="E249" s="64">
        <v>0</v>
      </c>
      <c r="F249" s="63">
        <v>0</v>
      </c>
      <c r="G249" s="63">
        <v>0</v>
      </c>
      <c r="H249" s="32">
        <v>0</v>
      </c>
      <c r="I249" s="32">
        <v>0</v>
      </c>
      <c r="J249" s="32">
        <v>0</v>
      </c>
      <c r="K249" s="32">
        <v>0</v>
      </c>
      <c r="L249" s="32">
        <v>0</v>
      </c>
      <c r="M249" s="32">
        <v>0</v>
      </c>
      <c r="N249" s="1"/>
    </row>
    <row r="250" spans="1:14" s="1" customFormat="1" collapsed="1" x14ac:dyDescent="0.45">
      <c r="A250" s="28" t="s">
        <v>111</v>
      </c>
      <c r="B250" s="43">
        <v>185452510</v>
      </c>
      <c r="C250" s="69">
        <v>185452510</v>
      </c>
      <c r="D250" s="69">
        <v>0</v>
      </c>
      <c r="E250" s="61">
        <v>0</v>
      </c>
      <c r="F250" s="60">
        <v>0</v>
      </c>
      <c r="G250" s="60">
        <v>0</v>
      </c>
      <c r="H250" s="70">
        <v>0</v>
      </c>
      <c r="I250" s="70">
        <v>0</v>
      </c>
      <c r="J250" s="70">
        <v>0</v>
      </c>
      <c r="K250" s="70">
        <v>0</v>
      </c>
      <c r="L250" s="70">
        <v>0</v>
      </c>
      <c r="M250" s="70">
        <v>0</v>
      </c>
    </row>
    <row r="251" spans="1:14" ht="16" hidden="1" customHeight="1" outlineLevel="1" x14ac:dyDescent="0.45">
      <c r="A251" s="29" t="s">
        <v>162</v>
      </c>
      <c r="B251" s="44">
        <v>185452510</v>
      </c>
      <c r="C251" s="71">
        <v>185452510</v>
      </c>
      <c r="D251" s="71">
        <v>0</v>
      </c>
      <c r="E251" s="64">
        <v>0</v>
      </c>
      <c r="F251" s="63">
        <v>0</v>
      </c>
      <c r="G251" s="63">
        <v>0</v>
      </c>
      <c r="H251" s="32">
        <v>0</v>
      </c>
      <c r="I251" s="32">
        <v>0</v>
      </c>
      <c r="J251" s="32">
        <v>0</v>
      </c>
      <c r="K251" s="32">
        <v>0</v>
      </c>
      <c r="L251" s="32">
        <v>0</v>
      </c>
      <c r="M251" s="32">
        <v>0</v>
      </c>
      <c r="N251" s="1"/>
    </row>
    <row r="252" spans="1:14" ht="16" hidden="1" customHeight="1" outlineLevel="1" x14ac:dyDescent="0.45">
      <c r="A252" s="29" t="s">
        <v>251</v>
      </c>
      <c r="B252" s="44">
        <v>0</v>
      </c>
      <c r="C252" s="71">
        <v>0</v>
      </c>
      <c r="D252" s="71">
        <v>0</v>
      </c>
      <c r="E252" s="64">
        <v>0</v>
      </c>
      <c r="F252" s="63">
        <v>0</v>
      </c>
      <c r="G252" s="63">
        <v>0</v>
      </c>
      <c r="H252" s="32">
        <v>0</v>
      </c>
      <c r="I252" s="32">
        <v>0</v>
      </c>
      <c r="J252" s="32">
        <v>0</v>
      </c>
      <c r="K252" s="32">
        <v>0</v>
      </c>
      <c r="L252" s="32">
        <v>0</v>
      </c>
      <c r="M252" s="32">
        <v>0</v>
      </c>
      <c r="N252" s="1"/>
    </row>
    <row r="253" spans="1:14" ht="16" hidden="1" customHeight="1" outlineLevel="1" x14ac:dyDescent="0.45">
      <c r="A253" s="29" t="s">
        <v>314</v>
      </c>
      <c r="B253" s="44">
        <v>0</v>
      </c>
      <c r="C253" s="71">
        <v>0</v>
      </c>
      <c r="D253" s="71">
        <v>0</v>
      </c>
      <c r="E253" s="64">
        <v>0</v>
      </c>
      <c r="F253" s="63">
        <v>0</v>
      </c>
      <c r="G253" s="63">
        <v>0</v>
      </c>
      <c r="H253" s="32">
        <v>0</v>
      </c>
      <c r="I253" s="32">
        <v>0</v>
      </c>
      <c r="J253" s="32">
        <v>0</v>
      </c>
      <c r="K253" s="32">
        <v>0</v>
      </c>
      <c r="L253" s="32">
        <v>0</v>
      </c>
      <c r="M253" s="32">
        <v>0</v>
      </c>
      <c r="N253" s="1"/>
    </row>
    <row r="254" spans="1:14" ht="16" hidden="1" customHeight="1" outlineLevel="1" x14ac:dyDescent="0.45">
      <c r="A254" s="29" t="s">
        <v>225</v>
      </c>
      <c r="B254" s="44">
        <v>0</v>
      </c>
      <c r="C254" s="71">
        <v>0</v>
      </c>
      <c r="D254" s="71">
        <v>0</v>
      </c>
      <c r="E254" s="64">
        <v>0</v>
      </c>
      <c r="F254" s="63">
        <v>0</v>
      </c>
      <c r="G254" s="63">
        <v>0</v>
      </c>
      <c r="H254" s="32">
        <v>0</v>
      </c>
      <c r="I254" s="32">
        <v>0</v>
      </c>
      <c r="J254" s="32">
        <v>0</v>
      </c>
      <c r="K254" s="32">
        <v>0</v>
      </c>
      <c r="L254" s="32">
        <v>0</v>
      </c>
      <c r="M254" s="32">
        <v>0</v>
      </c>
      <c r="N254" s="1"/>
    </row>
    <row r="255" spans="1:14" ht="16" hidden="1" customHeight="1" outlineLevel="1" x14ac:dyDescent="0.45">
      <c r="A255" s="29" t="s">
        <v>226</v>
      </c>
      <c r="B255" s="44">
        <v>0</v>
      </c>
      <c r="C255" s="71">
        <v>0</v>
      </c>
      <c r="D255" s="71">
        <v>0</v>
      </c>
      <c r="E255" s="64">
        <v>0</v>
      </c>
      <c r="F255" s="63">
        <v>0</v>
      </c>
      <c r="G255" s="63">
        <v>0</v>
      </c>
      <c r="H255" s="32">
        <v>0</v>
      </c>
      <c r="I255" s="32">
        <v>0</v>
      </c>
      <c r="J255" s="32">
        <v>0</v>
      </c>
      <c r="K255" s="32">
        <v>0</v>
      </c>
      <c r="L255" s="32">
        <v>0</v>
      </c>
      <c r="M255" s="32">
        <v>0</v>
      </c>
      <c r="N255" s="1"/>
    </row>
    <row r="256" spans="1:14" ht="16" hidden="1" customHeight="1" outlineLevel="1" x14ac:dyDescent="0.45">
      <c r="A256" s="29" t="s">
        <v>163</v>
      </c>
      <c r="B256" s="44">
        <v>0</v>
      </c>
      <c r="C256" s="71">
        <v>0</v>
      </c>
      <c r="D256" s="71">
        <v>0</v>
      </c>
      <c r="E256" s="64">
        <v>0</v>
      </c>
      <c r="F256" s="63">
        <v>0</v>
      </c>
      <c r="G256" s="63">
        <v>0</v>
      </c>
      <c r="H256" s="32">
        <v>0</v>
      </c>
      <c r="I256" s="32">
        <v>0</v>
      </c>
      <c r="J256" s="32">
        <v>0</v>
      </c>
      <c r="K256" s="32">
        <v>0</v>
      </c>
      <c r="L256" s="32">
        <v>0</v>
      </c>
      <c r="M256" s="32">
        <v>0</v>
      </c>
      <c r="N256" s="1"/>
    </row>
    <row r="257" spans="1:14" ht="16" hidden="1" customHeight="1" outlineLevel="1" x14ac:dyDescent="0.45">
      <c r="A257" s="29" t="s">
        <v>164</v>
      </c>
      <c r="B257" s="44">
        <v>0</v>
      </c>
      <c r="C257" s="71">
        <v>0</v>
      </c>
      <c r="D257" s="71">
        <v>0</v>
      </c>
      <c r="E257" s="64">
        <v>0</v>
      </c>
      <c r="F257" s="63">
        <v>0</v>
      </c>
      <c r="G257" s="63">
        <v>0</v>
      </c>
      <c r="H257" s="32">
        <v>0</v>
      </c>
      <c r="I257" s="32">
        <v>0</v>
      </c>
      <c r="J257" s="32">
        <v>0</v>
      </c>
      <c r="K257" s="32">
        <v>0</v>
      </c>
      <c r="L257" s="32">
        <v>0</v>
      </c>
      <c r="M257" s="32">
        <v>0</v>
      </c>
      <c r="N257" s="1"/>
    </row>
    <row r="258" spans="1:14" ht="16" hidden="1" customHeight="1" outlineLevel="1" x14ac:dyDescent="0.45">
      <c r="A258" s="29" t="s">
        <v>265</v>
      </c>
      <c r="B258" s="44">
        <v>0</v>
      </c>
      <c r="C258" s="71">
        <v>0</v>
      </c>
      <c r="D258" s="71">
        <v>0</v>
      </c>
      <c r="E258" s="64">
        <v>0</v>
      </c>
      <c r="F258" s="63">
        <v>0</v>
      </c>
      <c r="G258" s="63">
        <v>0</v>
      </c>
      <c r="H258" s="32">
        <v>0</v>
      </c>
      <c r="I258" s="32">
        <v>0</v>
      </c>
      <c r="J258" s="32">
        <v>0</v>
      </c>
      <c r="K258" s="32">
        <v>0</v>
      </c>
      <c r="L258" s="32">
        <v>0</v>
      </c>
      <c r="M258" s="32">
        <v>0</v>
      </c>
      <c r="N258" s="1"/>
    </row>
    <row r="259" spans="1:14" ht="16" hidden="1" customHeight="1" outlineLevel="1" x14ac:dyDescent="0.45">
      <c r="A259" s="29" t="s">
        <v>165</v>
      </c>
      <c r="B259" s="44">
        <v>0</v>
      </c>
      <c r="C259" s="71">
        <v>0</v>
      </c>
      <c r="D259" s="71">
        <v>0</v>
      </c>
      <c r="E259" s="64">
        <v>0</v>
      </c>
      <c r="F259" s="63">
        <v>0</v>
      </c>
      <c r="G259" s="63">
        <v>0</v>
      </c>
      <c r="H259" s="32">
        <v>0</v>
      </c>
      <c r="I259" s="32">
        <v>0</v>
      </c>
      <c r="J259" s="32">
        <v>0</v>
      </c>
      <c r="K259" s="32">
        <v>0</v>
      </c>
      <c r="L259" s="32">
        <v>0</v>
      </c>
      <c r="M259" s="32">
        <v>0</v>
      </c>
      <c r="N259" s="1"/>
    </row>
    <row r="260" spans="1:14" s="1" customFormat="1" collapsed="1" x14ac:dyDescent="0.45">
      <c r="A260" s="74" t="s">
        <v>112</v>
      </c>
      <c r="B260" s="76">
        <v>0</v>
      </c>
      <c r="C260" s="76">
        <v>0</v>
      </c>
      <c r="D260" s="76">
        <v>0</v>
      </c>
      <c r="E260" s="77">
        <v>0</v>
      </c>
      <c r="F260" s="78">
        <v>0</v>
      </c>
      <c r="G260" s="78">
        <v>0</v>
      </c>
      <c r="H260" s="79">
        <v>0</v>
      </c>
      <c r="I260" s="79">
        <v>0</v>
      </c>
      <c r="J260" s="79">
        <v>0</v>
      </c>
      <c r="K260" s="79">
        <v>0</v>
      </c>
      <c r="L260" s="79">
        <v>0</v>
      </c>
      <c r="M260" s="79">
        <v>0</v>
      </c>
    </row>
    <row r="261" spans="1:14" s="1" customFormat="1" x14ac:dyDescent="0.45">
      <c r="A261" s="27" t="s">
        <v>232</v>
      </c>
      <c r="B261" s="42">
        <v>-1887468699</v>
      </c>
      <c r="C261" s="73">
        <v>-2167077541.3093066</v>
      </c>
      <c r="D261" s="73">
        <v>-498114677</v>
      </c>
      <c r="E261" s="58">
        <v>777723519.30930662</v>
      </c>
      <c r="F261" s="57">
        <v>-1456745230.3591866</v>
      </c>
      <c r="G261" s="57">
        <v>480113840.42099488</v>
      </c>
      <c r="H261" s="80">
        <v>1721430265.9381917</v>
      </c>
      <c r="I261" s="80">
        <v>63302441.672442861</v>
      </c>
      <c r="J261" s="80">
        <v>96510226.978079438</v>
      </c>
      <c r="K261" s="80">
        <v>29579129.008262217</v>
      </c>
      <c r="L261" s="80">
        <v>-734667625.34947777</v>
      </c>
      <c r="M261" s="57">
        <v>578200471</v>
      </c>
    </row>
    <row r="262" spans="1:14" ht="16" hidden="1" customHeight="1" x14ac:dyDescent="0.45">
      <c r="A262" s="83"/>
      <c r="B262" s="35"/>
      <c r="C262" s="84"/>
      <c r="D262" s="36"/>
      <c r="E262" s="36"/>
      <c r="F262" s="85"/>
      <c r="G262" s="36"/>
      <c r="H262" s="36"/>
      <c r="I262" s="36"/>
      <c r="J262" s="36"/>
      <c r="K262" s="36"/>
      <c r="L262" s="85"/>
      <c r="M262" s="36"/>
    </row>
    <row r="263" spans="1:14" s="4" customFormat="1" ht="15" hidden="1" customHeight="1" x14ac:dyDescent="0.45">
      <c r="A263" s="86" t="s">
        <v>298</v>
      </c>
      <c r="B263" s="87"/>
      <c r="C263" s="87"/>
      <c r="D263" s="87"/>
      <c r="E263" s="88">
        <v>1</v>
      </c>
      <c r="F263" s="89">
        <v>0.47</v>
      </c>
      <c r="G263" s="89">
        <v>0.4</v>
      </c>
      <c r="H263" s="89">
        <v>0.05</v>
      </c>
      <c r="I263" s="89">
        <v>1.06E-2</v>
      </c>
      <c r="J263" s="89">
        <v>8.9999999999999993E-3</v>
      </c>
      <c r="K263" s="90">
        <v>2.0400000000000001E-2</v>
      </c>
      <c r="L263" s="90">
        <v>0.02</v>
      </c>
      <c r="M263" s="90">
        <v>0.02</v>
      </c>
    </row>
    <row r="264" spans="1:14" s="4" customFormat="1" ht="15" customHeight="1" x14ac:dyDescent="0.45">
      <c r="A264" s="91"/>
      <c r="B264" s="5"/>
      <c r="C264" s="5"/>
      <c r="D264" s="5"/>
      <c r="E264" s="92"/>
      <c r="F264" s="93"/>
      <c r="G264" s="92"/>
      <c r="H264" s="92"/>
      <c r="I264" s="92"/>
      <c r="J264" s="92"/>
      <c r="K264" s="94"/>
      <c r="L264" s="94"/>
      <c r="M264" s="92"/>
    </row>
    <row r="265" spans="1:14" s="4" customFormat="1" ht="15" customHeight="1" x14ac:dyDescent="0.45">
      <c r="A265" s="95" t="s">
        <v>315</v>
      </c>
      <c r="B265" s="96">
        <v>-498114677</v>
      </c>
      <c r="C265" s="96"/>
      <c r="D265" s="117"/>
      <c r="E265" s="96">
        <v>-498114677.00000006</v>
      </c>
      <c r="F265" s="96">
        <v>-234113898.19</v>
      </c>
      <c r="G265" s="96">
        <v>-199245870.80000001</v>
      </c>
      <c r="H265" s="96">
        <v>-24905733.850000001</v>
      </c>
      <c r="I265" s="96">
        <v>-5280015.5762</v>
      </c>
      <c r="J265" s="96">
        <v>-4483032.0929999994</v>
      </c>
      <c r="K265" s="96">
        <v>-10161539.410800001</v>
      </c>
      <c r="L265" s="96">
        <v>-9962293.540000001</v>
      </c>
      <c r="M265" s="96">
        <v>-9962293.540000001</v>
      </c>
    </row>
    <row r="266" spans="1:14" s="4" customFormat="1" ht="15" customHeight="1" x14ac:dyDescent="0.45">
      <c r="A266" s="97" t="s">
        <v>316</v>
      </c>
      <c r="B266" s="98">
        <v>277508842.30930662</v>
      </c>
      <c r="C266" s="98"/>
      <c r="D266" s="118"/>
      <c r="E266" s="98">
        <v>277508842.30930668</v>
      </c>
      <c r="F266" s="98">
        <v>-1690859128.5491867</v>
      </c>
      <c r="G266" s="98">
        <v>278767969.62099487</v>
      </c>
      <c r="H266" s="98">
        <v>1696524532.0881917</v>
      </c>
      <c r="I266" s="98">
        <v>58022426.09624286</v>
      </c>
      <c r="J266" s="98">
        <v>92027194.885079443</v>
      </c>
      <c r="K266" s="98">
        <v>19417589.597462215</v>
      </c>
      <c r="L266" s="98">
        <v>-744629918.88947773</v>
      </c>
      <c r="M266" s="98">
        <v>568238177.46000004</v>
      </c>
    </row>
    <row r="267" spans="1:14" s="14" customFormat="1" ht="15" customHeight="1" x14ac:dyDescent="0.45">
      <c r="A267" s="35"/>
      <c r="B267" s="35"/>
      <c r="C267" s="36"/>
      <c r="D267" s="36"/>
      <c r="E267" s="36"/>
      <c r="F267" s="36"/>
      <c r="G267" s="36"/>
      <c r="H267" s="35"/>
      <c r="I267" s="35"/>
      <c r="J267" s="35"/>
      <c r="K267" s="35"/>
      <c r="L267" s="35"/>
      <c r="M267" s="36"/>
    </row>
    <row r="268" spans="1:14" ht="14" customHeight="1" x14ac:dyDescent="0.45">
      <c r="A268" s="95" t="s">
        <v>317</v>
      </c>
      <c r="B268" s="96">
        <v>-2108198522.3093066</v>
      </c>
      <c r="C268" s="96"/>
      <c r="D268" s="117"/>
      <c r="E268" s="96">
        <v>-2108198522.3093066</v>
      </c>
      <c r="F268" s="96">
        <v>-990853305.48537409</v>
      </c>
      <c r="G268" s="96">
        <v>-843279408.92372274</v>
      </c>
      <c r="H268" s="96">
        <v>-105409926.11546534</v>
      </c>
      <c r="I268" s="96">
        <v>-22346904.336478651</v>
      </c>
      <c r="J268" s="96">
        <v>-18973786.700783759</v>
      </c>
      <c r="K268" s="96">
        <v>-43007249.855109856</v>
      </c>
      <c r="L268" s="96">
        <v>-42163970.446186133</v>
      </c>
      <c r="M268" s="96">
        <v>-42163970.446186133</v>
      </c>
    </row>
    <row r="269" spans="1:14" s="4" customFormat="1" ht="15" customHeight="1" x14ac:dyDescent="0.45">
      <c r="A269" s="99" t="s">
        <v>318</v>
      </c>
      <c r="B269" s="100">
        <v>-1830689680</v>
      </c>
      <c r="C269" s="100"/>
      <c r="D269" s="119"/>
      <c r="E269" s="100">
        <v>-1830689680.0000005</v>
      </c>
      <c r="F269" s="100">
        <v>-2681712434.0345607</v>
      </c>
      <c r="G269" s="100">
        <v>-564511439.30272794</v>
      </c>
      <c r="H269" s="100">
        <v>1591114605.9727263</v>
      </c>
      <c r="I269" s="100">
        <v>35675521.759764209</v>
      </c>
      <c r="J269" s="100">
        <v>73053408.184295684</v>
      </c>
      <c r="K269" s="100">
        <v>-23589660.257647641</v>
      </c>
      <c r="L269" s="100">
        <v>-786793889.33566391</v>
      </c>
      <c r="M269" s="100">
        <v>526074207.01381391</v>
      </c>
    </row>
    <row r="270" spans="1:14" s="14" customFormat="1" ht="15" customHeight="1" x14ac:dyDescent="0.45">
      <c r="A270" s="35"/>
      <c r="B270" s="35"/>
      <c r="C270" s="36"/>
      <c r="D270" s="36"/>
      <c r="E270" s="101"/>
      <c r="F270" s="101"/>
      <c r="G270" s="101"/>
      <c r="H270" s="101"/>
      <c r="I270" s="101"/>
      <c r="J270" s="101"/>
      <c r="K270" s="101"/>
      <c r="L270" s="101"/>
      <c r="M270" s="101"/>
    </row>
    <row r="271" spans="1:14" x14ac:dyDescent="0.45">
      <c r="A271" s="102" t="s">
        <v>319</v>
      </c>
      <c r="B271" s="103">
        <v>-1830689680.0000005</v>
      </c>
      <c r="C271" s="103"/>
      <c r="D271" s="120"/>
      <c r="E271" s="103">
        <v>-1830689680.0000005</v>
      </c>
      <c r="F271" s="103">
        <v>-2724365336.0345607</v>
      </c>
      <c r="G271" s="103">
        <v>-521858537.30272794</v>
      </c>
      <c r="H271" s="103">
        <v>1591114605.9727263</v>
      </c>
      <c r="I271" s="103">
        <v>35675521.759764209</v>
      </c>
      <c r="J271" s="103">
        <v>73053408.184295684</v>
      </c>
      <c r="K271" s="103">
        <v>-23589660.257647641</v>
      </c>
      <c r="L271" s="103">
        <v>-786793889.33566391</v>
      </c>
      <c r="M271" s="103">
        <v>526074207.01381391</v>
      </c>
    </row>
    <row r="272" spans="1:14" s="1" customFormat="1" x14ac:dyDescent="0.45">
      <c r="A272" s="104" t="s">
        <v>320</v>
      </c>
      <c r="B272" s="104">
        <v>42652902</v>
      </c>
      <c r="C272" s="36"/>
      <c r="D272" s="36"/>
      <c r="E272" s="101"/>
      <c r="F272" s="101"/>
      <c r="G272" s="101"/>
      <c r="H272" s="101"/>
      <c r="I272" s="101"/>
      <c r="J272" s="101"/>
      <c r="K272" s="101"/>
      <c r="L272" s="101"/>
      <c r="M272" s="101"/>
    </row>
    <row r="273" spans="1:13" ht="15.65" customHeight="1" x14ac:dyDescent="0.45">
      <c r="A273" s="105" t="s">
        <v>321</v>
      </c>
      <c r="B273" s="106">
        <v>326888326</v>
      </c>
      <c r="C273" s="36"/>
      <c r="D273" s="36"/>
      <c r="E273" s="36"/>
      <c r="F273" s="36"/>
      <c r="G273" s="36"/>
      <c r="H273" s="35"/>
      <c r="I273" s="35"/>
      <c r="J273" s="35"/>
      <c r="K273" s="35"/>
      <c r="L273" s="35"/>
      <c r="M273" s="35"/>
    </row>
    <row r="274" spans="1:13" ht="15.65" hidden="1" customHeight="1" x14ac:dyDescent="0.45">
      <c r="A274" s="37" t="s">
        <v>235</v>
      </c>
      <c r="B274" s="38">
        <f t="shared" ref="B274:M274" si="0">B28-B29-B30-B63-B70-B71-B73-B74-B115-B122-B126-B133-B136-B141-B142-B151-B156-B164-B171-B178-B181-B193-B199-B215-B217-B228-B229-B238</f>
        <v>0</v>
      </c>
      <c r="C274" s="38">
        <f t="shared" si="0"/>
        <v>-2.86102294921875E-6</v>
      </c>
      <c r="D274" s="38">
        <f t="shared" si="0"/>
        <v>0</v>
      </c>
      <c r="E274" s="38">
        <f t="shared" si="0"/>
        <v>2.86102294921875E-6</v>
      </c>
      <c r="F274" s="38">
        <f t="shared" si="0"/>
        <v>-7.152557373046875E-7</v>
      </c>
      <c r="G274" s="38">
        <f t="shared" si="0"/>
        <v>1.5273690223693848E-7</v>
      </c>
      <c r="H274" s="38">
        <f t="shared" si="0"/>
        <v>4.76837158203125E-7</v>
      </c>
      <c r="I274" s="38">
        <f t="shared" si="0"/>
        <v>0</v>
      </c>
      <c r="J274" s="38">
        <f t="shared" si="0"/>
        <v>-5.9604644775390625E-8</v>
      </c>
      <c r="K274" s="38">
        <f t="shared" si="0"/>
        <v>1.4901161193847656E-8</v>
      </c>
      <c r="L274" s="38">
        <f t="shared" si="0"/>
        <v>1.1920928955078125E-7</v>
      </c>
      <c r="M274" s="38">
        <f t="shared" si="0"/>
        <v>0</v>
      </c>
    </row>
    <row r="275" spans="1:13" s="4" customFormat="1" ht="15" hidden="1" customHeight="1" x14ac:dyDescent="0.45">
      <c r="A275" s="37" t="s">
        <v>236</v>
      </c>
      <c r="B275" s="38">
        <f t="shared" ref="B275:M275" si="1">B28-B29-SUM(B31:B62)-SUM(B64:B69)-B70-B72-B73-SUM(B75:B114)-SUM(B116:B121)-SUM(B123:B125)-SUM(B127:B132)-B134-SUM(B137:B140)-B141-SUM(B143:B150)-SUM(B152:B155)-SUM(B157:B163)-SUM(B165:B170)-SUM(B172:B177)-SUM(B179:B180)-SUM(B182:B192)-SUM(B194:B198)-SUM(B200:B214)-B216-SUM(B218:B227)-B228-SUM(B230:B237)-B238-B135</f>
        <v>0</v>
      </c>
      <c r="C275" s="38">
        <f t="shared" si="1"/>
        <v>-3.337860107421875E-6</v>
      </c>
      <c r="D275" s="38">
        <f t="shared" si="1"/>
        <v>0</v>
      </c>
      <c r="E275" s="38">
        <f t="shared" si="1"/>
        <v>2.86102294921875E-6</v>
      </c>
      <c r="F275" s="38">
        <f t="shared" si="1"/>
        <v>2.384185791015625E-7</v>
      </c>
      <c r="G275" s="38">
        <f t="shared" si="1"/>
        <v>4.0978193283081055E-7</v>
      </c>
      <c r="H275" s="38">
        <f t="shared" si="1"/>
        <v>4.76837158203125E-7</v>
      </c>
      <c r="I275" s="38">
        <f t="shared" si="1"/>
        <v>0</v>
      </c>
      <c r="J275" s="38">
        <f t="shared" si="1"/>
        <v>-5.9604644775390625E-8</v>
      </c>
      <c r="K275" s="38">
        <f t="shared" si="1"/>
        <v>0</v>
      </c>
      <c r="L275" s="38">
        <f t="shared" si="1"/>
        <v>1.1920928955078125E-7</v>
      </c>
      <c r="M275" s="38">
        <f t="shared" si="1"/>
        <v>0</v>
      </c>
    </row>
    <row r="276" spans="1:13" s="4" customFormat="1" ht="15" hidden="1" customHeight="1" x14ac:dyDescent="0.45">
      <c r="A276" s="37" t="s">
        <v>237</v>
      </c>
      <c r="B276" s="38">
        <f t="shared" ref="B276:M276" si="2">B3-B25-B28-B239</f>
        <v>0</v>
      </c>
      <c r="C276" s="38">
        <f t="shared" si="2"/>
        <v>3.337860107421875E-6</v>
      </c>
      <c r="D276" s="38">
        <f t="shared" si="2"/>
        <v>0</v>
      </c>
      <c r="E276" s="38">
        <f t="shared" si="2"/>
        <v>-3.337860107421875E-6</v>
      </c>
      <c r="F276" s="38">
        <f t="shared" si="2"/>
        <v>0</v>
      </c>
      <c r="G276" s="38">
        <f t="shared" si="2"/>
        <v>0</v>
      </c>
      <c r="H276" s="38">
        <f t="shared" si="2"/>
        <v>0</v>
      </c>
      <c r="I276" s="38">
        <f t="shared" si="2"/>
        <v>0</v>
      </c>
      <c r="J276" s="38">
        <f t="shared" si="2"/>
        <v>0</v>
      </c>
      <c r="K276" s="38">
        <f t="shared" si="2"/>
        <v>0</v>
      </c>
      <c r="L276" s="38">
        <f t="shared" si="2"/>
        <v>0</v>
      </c>
      <c r="M276" s="38">
        <f t="shared" si="2"/>
        <v>0</v>
      </c>
    </row>
    <row r="277" spans="1:13" s="4" customFormat="1" ht="15" hidden="1" customHeight="1" x14ac:dyDescent="0.45">
      <c r="A277" s="37" t="s">
        <v>238</v>
      </c>
      <c r="B277" s="38">
        <f t="shared" ref="B277:M277" si="3">B239+B240-B250-B261-B260</f>
        <v>0</v>
      </c>
      <c r="C277" s="38">
        <f t="shared" si="3"/>
        <v>0</v>
      </c>
      <c r="D277" s="38">
        <f t="shared" si="3"/>
        <v>0</v>
      </c>
      <c r="E277" s="38">
        <f t="shared" si="3"/>
        <v>0</v>
      </c>
      <c r="F277" s="38">
        <f t="shared" si="3"/>
        <v>0</v>
      </c>
      <c r="G277" s="38">
        <f t="shared" si="3"/>
        <v>0</v>
      </c>
      <c r="H277" s="38">
        <f t="shared" si="3"/>
        <v>0</v>
      </c>
      <c r="I277" s="38">
        <f t="shared" si="3"/>
        <v>0</v>
      </c>
      <c r="J277" s="38">
        <f t="shared" si="3"/>
        <v>0</v>
      </c>
      <c r="K277" s="38">
        <f t="shared" si="3"/>
        <v>0</v>
      </c>
      <c r="L277" s="38">
        <f t="shared" si="3"/>
        <v>0</v>
      </c>
      <c r="M277" s="38">
        <f t="shared" si="3"/>
        <v>0</v>
      </c>
    </row>
    <row r="278" spans="1:13" s="4" customFormat="1" ht="15" hidden="1" customHeight="1" x14ac:dyDescent="0.45">
      <c r="A278" s="32" t="s">
        <v>244</v>
      </c>
      <c r="B278" s="32">
        <f t="shared" ref="B278:M278" si="4">B240-B241-B242-B244-B248-B249-B245-B247-B243-B246</f>
        <v>0</v>
      </c>
      <c r="C278" s="32">
        <f t="shared" si="4"/>
        <v>0</v>
      </c>
      <c r="D278" s="32">
        <f t="shared" si="4"/>
        <v>0</v>
      </c>
      <c r="E278" s="32">
        <f t="shared" si="4"/>
        <v>0</v>
      </c>
      <c r="F278" s="32">
        <f t="shared" si="4"/>
        <v>0</v>
      </c>
      <c r="G278" s="32">
        <f t="shared" si="4"/>
        <v>0</v>
      </c>
      <c r="H278" s="32">
        <f t="shared" si="4"/>
        <v>0</v>
      </c>
      <c r="I278" s="32">
        <f t="shared" si="4"/>
        <v>0</v>
      </c>
      <c r="J278" s="32">
        <f t="shared" si="4"/>
        <v>0</v>
      </c>
      <c r="K278" s="32">
        <f t="shared" si="4"/>
        <v>0</v>
      </c>
      <c r="L278" s="32">
        <f t="shared" si="4"/>
        <v>0</v>
      </c>
      <c r="M278" s="32">
        <f t="shared" si="4"/>
        <v>0</v>
      </c>
    </row>
    <row r="279" spans="1:13" ht="15.65" hidden="1" customHeight="1" x14ac:dyDescent="0.45">
      <c r="A279" s="32" t="s">
        <v>245</v>
      </c>
      <c r="B279" s="32">
        <f t="shared" ref="B279:M279" si="5">B250-B251-B254-B255-B256-B257-B259-B252-B253-B258</f>
        <v>0</v>
      </c>
      <c r="C279" s="32">
        <f t="shared" si="5"/>
        <v>0</v>
      </c>
      <c r="D279" s="32">
        <f t="shared" si="5"/>
        <v>0</v>
      </c>
      <c r="E279" s="32">
        <f t="shared" si="5"/>
        <v>0</v>
      </c>
      <c r="F279" s="32">
        <f t="shared" si="5"/>
        <v>0</v>
      </c>
      <c r="G279" s="32">
        <f t="shared" si="5"/>
        <v>0</v>
      </c>
      <c r="H279" s="32">
        <f t="shared" si="5"/>
        <v>0</v>
      </c>
      <c r="I279" s="32">
        <f t="shared" si="5"/>
        <v>0</v>
      </c>
      <c r="J279" s="32">
        <f t="shared" si="5"/>
        <v>0</v>
      </c>
      <c r="K279" s="32">
        <f t="shared" si="5"/>
        <v>0</v>
      </c>
      <c r="L279" s="32">
        <f t="shared" si="5"/>
        <v>0</v>
      </c>
      <c r="M279" s="32">
        <f t="shared" si="5"/>
        <v>0</v>
      </c>
    </row>
    <row r="280" spans="1:13" ht="15.65" hidden="1" customHeight="1" x14ac:dyDescent="0.45">
      <c r="A280" s="35"/>
      <c r="B280" s="35"/>
      <c r="C280" s="36"/>
      <c r="D280" s="36"/>
      <c r="E280" s="36"/>
      <c r="F280" s="36"/>
      <c r="G280" s="36"/>
      <c r="H280" s="35"/>
      <c r="I280" s="35"/>
      <c r="J280" s="35"/>
      <c r="K280" s="35"/>
      <c r="L280" s="35"/>
      <c r="M280" s="36"/>
    </row>
    <row r="281" spans="1:13" ht="15.65" hidden="1" customHeight="1" x14ac:dyDescent="0.45">
      <c r="A281" s="39" t="s">
        <v>239</v>
      </c>
      <c r="B281" s="38">
        <f>B4+B14+B21-B26-B53-B81-B131-B162-B168-B175-B189-B198-B210-B212-B218-B219-B221-B224-B230-B231-B232-B234-B235-B236-B227</f>
        <v>4998767522</v>
      </c>
      <c r="C281" s="38">
        <f>C4+C14+C21-C26-C53-C81-C131-C162-C168-C175-C189-C198-C210-C212-C219-C221-C224-C230-C231-C232-C235-C236</f>
        <v>-576546207.28094268</v>
      </c>
      <c r="D281" s="38"/>
      <c r="E281" s="38">
        <f>E4+E14+E21-E26-E53-E81-E131-E162-E168-E175-E189-E198-E210-E212-E218-E219-E221-E224-E230-E231-E232-E234-E235-E236-E227</f>
        <v>5145833225.2809429</v>
      </c>
      <c r="F281" s="38">
        <f>F4+F14+F21-F26-F53-F81-F131-F162-F168-F175-F189-F198-F210-F212-F218-F219-F221-F224-F230-F231-F232-F234-F235-F236-F227</f>
        <v>2860726324.1703758</v>
      </c>
      <c r="G281" s="38">
        <f>G4+G14+G21-G26-G53-G81-G131-G162-G168-G175-G189-G198-G210-G212-G218-G219-G221-G224-G230-G231-G232-G234-G235-G236-G227</f>
        <v>-121288296.17037621</v>
      </c>
      <c r="H281" s="38">
        <f t="shared" ref="H281:L281" si="6">H4+H14+H21-H26-H53-H81-H131-H162-H168-H175-H189-H198-H210-H212-H218-H219-H221-H224-H230-H231-H232-H234-H235-H236-H227-H164-H215</f>
        <v>1305623545</v>
      </c>
      <c r="I281" s="38">
        <f t="shared" si="6"/>
        <v>46605474.687811561</v>
      </c>
      <c r="J281" s="38">
        <f t="shared" si="6"/>
        <v>38321273.272681162</v>
      </c>
      <c r="K281" s="38">
        <f t="shared" si="6"/>
        <v>179662649.3599571</v>
      </c>
      <c r="L281" s="38">
        <f t="shared" si="6"/>
        <v>-269170411.03950721</v>
      </c>
      <c r="M281" s="38">
        <f>M4+M14+M21-M26-M53-M81-M131-M162-M168-M175-M189-M198-M210-M212-M218-M219-M221-M224-M230-M231-M232-M234-M235-M236-M227</f>
        <v>1016396566</v>
      </c>
    </row>
    <row r="282" spans="1:13" s="4" customFormat="1" ht="15" hidden="1" customHeight="1" x14ac:dyDescent="0.45">
      <c r="A282" s="40" t="s">
        <v>240</v>
      </c>
      <c r="B282" s="38">
        <f>B18-B109-B163-B165-B170-B192-B222-B226-B237</f>
        <v>1821463403</v>
      </c>
      <c r="C282" s="38">
        <f>C18-C109-C163-C165-C170-C192-C226-C113</f>
        <v>20199207</v>
      </c>
      <c r="D282" s="38"/>
      <c r="E282" s="38">
        <f t="shared" ref="E282:M282" si="7">E18-E109-E163-E165-E170-E192-E222-E226-E237-E113</f>
        <v>29935092</v>
      </c>
      <c r="F282" s="38">
        <f t="shared" si="7"/>
        <v>-113914462</v>
      </c>
      <c r="G282" s="38">
        <f t="shared" si="7"/>
        <v>-733877</v>
      </c>
      <c r="H282" s="38">
        <f t="shared" si="7"/>
        <v>32487271</v>
      </c>
      <c r="I282" s="38">
        <f t="shared" si="7"/>
        <v>4063637</v>
      </c>
      <c r="J282" s="38">
        <f t="shared" si="7"/>
        <v>0</v>
      </c>
      <c r="K282" s="38">
        <f t="shared" si="7"/>
        <v>6470691</v>
      </c>
      <c r="L282" s="38">
        <f t="shared" si="7"/>
        <v>101561832</v>
      </c>
      <c r="M282" s="38">
        <f t="shared" si="7"/>
        <v>0</v>
      </c>
    </row>
    <row r="283" spans="1:13" s="4" customFormat="1" ht="15" hidden="1" customHeight="1" x14ac:dyDescent="0.45">
      <c r="A283" s="37" t="s">
        <v>241</v>
      </c>
      <c r="B283" s="41">
        <f>SUBTOTAL(9,B281:B282)</f>
        <v>6820230925</v>
      </c>
      <c r="C283" s="41">
        <f t="shared" ref="C283" si="8">SUBTOTAL(9,C281:C282)</f>
        <v>-556347000.28094268</v>
      </c>
      <c r="D283" s="41"/>
      <c r="E283" s="41">
        <f t="shared" ref="E283:L283" si="9">SUBTOTAL(9,E281:E282)</f>
        <v>5175768317.2809429</v>
      </c>
      <c r="F283" s="41">
        <f t="shared" si="9"/>
        <v>2746811862.1703758</v>
      </c>
      <c r="G283" s="41">
        <f>SUBTOTAL(9,G281:G282)</f>
        <v>-122022173.17037621</v>
      </c>
      <c r="H283" s="41">
        <f>SUBTOTAL(9,H281:H282)</f>
        <v>1338110816</v>
      </c>
      <c r="I283" s="41">
        <f t="shared" si="9"/>
        <v>50669111.687811561</v>
      </c>
      <c r="J283" s="41">
        <f t="shared" si="9"/>
        <v>38321273.272681162</v>
      </c>
      <c r="K283" s="41">
        <f t="shared" si="9"/>
        <v>186133340.3599571</v>
      </c>
      <c r="L283" s="41">
        <f t="shared" si="9"/>
        <v>-167608579.03950721</v>
      </c>
      <c r="M283" s="41">
        <f>SUBTOTAL(9,M281:M282)</f>
        <v>1016396566</v>
      </c>
    </row>
    <row r="284" spans="1:13" s="4" customFormat="1" ht="15" hidden="1" customHeight="1" x14ac:dyDescent="0.45">
      <c r="A284" s="9" t="s">
        <v>241</v>
      </c>
      <c r="B284" s="10">
        <f>SUBTOTAL(9,B282:B283)</f>
        <v>1821463403</v>
      </c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</row>
    <row r="285" spans="1:13" collapsed="1" x14ac:dyDescent="0.45">
      <c r="H285" s="3"/>
      <c r="I285" s="3"/>
      <c r="J285" s="3"/>
      <c r="K285" s="3"/>
      <c r="L285" s="3"/>
      <c r="M285" s="2"/>
    </row>
    <row r="286" spans="1:13" x14ac:dyDescent="0.45">
      <c r="E286" s="20"/>
      <c r="F286" s="20"/>
      <c r="G286" s="20"/>
      <c r="H286" s="20"/>
      <c r="M286" s="2"/>
    </row>
    <row r="287" spans="1:13" x14ac:dyDescent="0.45">
      <c r="H287" s="3"/>
      <c r="I287" s="3"/>
      <c r="J287" s="3"/>
      <c r="K287" s="3"/>
      <c r="L287" s="3"/>
    </row>
    <row r="288" spans="1:13" x14ac:dyDescent="0.45">
      <c r="B288" s="3"/>
      <c r="H288" s="3"/>
      <c r="I288" s="3"/>
      <c r="J288" s="3"/>
      <c r="K288" s="3"/>
      <c r="L288" s="3"/>
    </row>
    <row r="289" spans="8:12" x14ac:dyDescent="0.45">
      <c r="H289" s="3"/>
      <c r="I289" s="3"/>
      <c r="J289" s="3"/>
      <c r="K289" s="3"/>
      <c r="L289" s="3"/>
    </row>
    <row r="290" spans="8:12" x14ac:dyDescent="0.45">
      <c r="H290" s="3"/>
      <c r="I290" s="3"/>
      <c r="J290" s="3"/>
      <c r="K290" s="3"/>
      <c r="L290" s="3"/>
    </row>
    <row r="293" spans="8:12" x14ac:dyDescent="0.45">
      <c r="H293" s="3"/>
      <c r="I293" s="3"/>
      <c r="J293" s="3"/>
      <c r="K293" s="3"/>
      <c r="L293" s="3"/>
    </row>
    <row r="295" spans="8:12" x14ac:dyDescent="0.45">
      <c r="H295" s="3"/>
      <c r="I295" s="3"/>
      <c r="J295" s="3"/>
      <c r="K295" s="3"/>
      <c r="L295" s="3"/>
    </row>
  </sheetData>
  <mergeCells count="8">
    <mergeCell ref="I1:L1"/>
    <mergeCell ref="M1:M2"/>
    <mergeCell ref="A1:A2"/>
    <mergeCell ref="B1:B2"/>
    <mergeCell ref="C1:C2"/>
    <mergeCell ref="D1:D2"/>
    <mergeCell ref="E1:E2"/>
    <mergeCell ref="F1:H1"/>
  </mergeCells>
  <phoneticPr fontId="2" type="noConversion"/>
  <pageMargins left="0.75" right="0.75" top="1" bottom="1" header="0.5" footer="0.5"/>
  <pageSetup paperSize="8" scale="60" fitToHeight="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405CF-4282-4820-96E3-CBF714E0C516}">
  <sheetPr>
    <tabColor rgb="FFFFC000"/>
    <pageSetUpPr fitToPage="1"/>
  </sheetPr>
  <dimension ref="A1:N295"/>
  <sheetViews>
    <sheetView showGridLines="0" zoomScale="85" zoomScaleNormal="85" zoomScaleSheetLayoutView="85" workbookViewId="0">
      <pane xSplit="2" ySplit="3" topLeftCell="C122" activePane="bottomRight" state="frozen"/>
      <selection activeCell="J2" sqref="J2:J253"/>
      <selection pane="topRight" activeCell="J2" sqref="J2:J253"/>
      <selection pane="bottomLeft" activeCell="J2" sqref="J2:J253"/>
      <selection pane="bottomRight" activeCell="C217" sqref="C217"/>
    </sheetView>
  </sheetViews>
  <sheetFormatPr defaultColWidth="9.08984375" defaultRowHeight="16" outlineLevelRow="1" x14ac:dyDescent="0.45"/>
  <cols>
    <col min="1" max="1" width="36.36328125" style="2" customWidth="1"/>
    <col min="2" max="2" width="19.08984375" style="2" customWidth="1"/>
    <col min="3" max="7" width="19.08984375" style="3" customWidth="1"/>
    <col min="8" max="12" width="19.08984375" style="2" customWidth="1"/>
    <col min="13" max="13" width="19.08984375" style="3" customWidth="1"/>
    <col min="14" max="16384" width="9.08984375" style="2"/>
  </cols>
  <sheetData>
    <row r="1" spans="1:14" s="1" customFormat="1" ht="15.65" customHeight="1" x14ac:dyDescent="0.45">
      <c r="A1" s="213" t="s">
        <v>313</v>
      </c>
      <c r="B1" s="210" t="s">
        <v>233</v>
      </c>
      <c r="C1" s="210" t="s">
        <v>250</v>
      </c>
      <c r="D1" s="210" t="s">
        <v>288</v>
      </c>
      <c r="E1" s="210" t="s">
        <v>167</v>
      </c>
      <c r="F1" s="204" t="s">
        <v>289</v>
      </c>
      <c r="G1" s="205"/>
      <c r="H1" s="212"/>
      <c r="I1" s="204" t="s">
        <v>290</v>
      </c>
      <c r="J1" s="205"/>
      <c r="K1" s="205"/>
      <c r="L1" s="212"/>
      <c r="M1" s="202" t="s">
        <v>291</v>
      </c>
    </row>
    <row r="2" spans="1:14" s="1" customFormat="1" ht="15.65" customHeight="1" x14ac:dyDescent="0.45">
      <c r="A2" s="214"/>
      <c r="B2" s="211"/>
      <c r="C2" s="211"/>
      <c r="D2" s="211"/>
      <c r="E2" s="211"/>
      <c r="F2" s="172" t="s">
        <v>248</v>
      </c>
      <c r="G2" s="172" t="s">
        <v>242</v>
      </c>
      <c r="H2" s="26" t="s">
        <v>365</v>
      </c>
      <c r="I2" s="26" t="s">
        <v>168</v>
      </c>
      <c r="J2" s="26" t="s">
        <v>169</v>
      </c>
      <c r="K2" s="26" t="s">
        <v>294</v>
      </c>
      <c r="L2" s="26" t="s">
        <v>295</v>
      </c>
      <c r="M2" s="203"/>
    </row>
    <row r="3" spans="1:14" s="1" customFormat="1" ht="15.65" customHeight="1" x14ac:dyDescent="0.45">
      <c r="A3" s="27" t="s">
        <v>0</v>
      </c>
      <c r="B3" s="42">
        <v>56938080047</v>
      </c>
      <c r="C3" s="57">
        <v>-1216274619</v>
      </c>
      <c r="D3" s="57">
        <v>380947585</v>
      </c>
      <c r="E3" s="58">
        <v>57773407081</v>
      </c>
      <c r="F3" s="57">
        <v>19958408267.552013</v>
      </c>
      <c r="G3" s="57">
        <v>3534003369.4479876</v>
      </c>
      <c r="H3" s="59">
        <v>15240701428</v>
      </c>
      <c r="I3" s="59">
        <v>3756567801</v>
      </c>
      <c r="J3" s="59">
        <v>695440463</v>
      </c>
      <c r="K3" s="59">
        <v>7979714640</v>
      </c>
      <c r="L3" s="57">
        <v>1175729261</v>
      </c>
      <c r="M3" s="57">
        <v>5432841851</v>
      </c>
    </row>
    <row r="4" spans="1:14" s="1" customFormat="1" x14ac:dyDescent="0.45">
      <c r="A4" s="28" t="s">
        <v>1</v>
      </c>
      <c r="B4" s="43">
        <v>33672216888</v>
      </c>
      <c r="C4" s="60">
        <v>56442968</v>
      </c>
      <c r="D4" s="60">
        <v>281717403</v>
      </c>
      <c r="E4" s="61">
        <v>33334056517</v>
      </c>
      <c r="F4" s="60">
        <v>10147547291</v>
      </c>
      <c r="G4" s="60">
        <v>134520822</v>
      </c>
      <c r="H4" s="62">
        <v>10169271290</v>
      </c>
      <c r="I4" s="62">
        <v>372704271</v>
      </c>
      <c r="J4" s="62">
        <v>19748995</v>
      </c>
      <c r="K4" s="62">
        <v>7242366926</v>
      </c>
      <c r="L4" s="62">
        <v>58993726</v>
      </c>
      <c r="M4" s="60">
        <v>5188903196</v>
      </c>
    </row>
    <row r="5" spans="1:14" s="1" customFormat="1" ht="16" hidden="1" customHeight="1" outlineLevel="1" x14ac:dyDescent="0.45">
      <c r="A5" s="29" t="s">
        <v>2</v>
      </c>
      <c r="B5" s="44">
        <v>13511133308</v>
      </c>
      <c r="C5" s="63">
        <v>28396414</v>
      </c>
      <c r="D5" s="63">
        <v>281412040</v>
      </c>
      <c r="E5" s="64">
        <v>13201324854</v>
      </c>
      <c r="F5" s="63">
        <v>29010388</v>
      </c>
      <c r="G5" s="63">
        <v>133381000</v>
      </c>
      <c r="H5" s="65">
        <v>1361174547</v>
      </c>
      <c r="I5" s="65">
        <v>37669272</v>
      </c>
      <c r="J5" s="65">
        <v>16130000</v>
      </c>
      <c r="K5" s="65">
        <v>6478783744</v>
      </c>
      <c r="L5" s="65">
        <v>7000</v>
      </c>
      <c r="M5" s="63">
        <v>5145168903</v>
      </c>
    </row>
    <row r="6" spans="1:14" ht="16" hidden="1" customHeight="1" outlineLevel="1" x14ac:dyDescent="0.45">
      <c r="A6" s="29" t="s">
        <v>3</v>
      </c>
      <c r="B6" s="44">
        <v>0</v>
      </c>
      <c r="C6" s="63">
        <v>0</v>
      </c>
      <c r="D6" s="63">
        <v>0</v>
      </c>
      <c r="E6" s="64">
        <v>0</v>
      </c>
      <c r="F6" s="63">
        <v>0</v>
      </c>
      <c r="G6" s="63">
        <v>0</v>
      </c>
      <c r="H6" s="65">
        <v>0</v>
      </c>
      <c r="I6" s="65">
        <v>0</v>
      </c>
      <c r="J6" s="65">
        <v>0</v>
      </c>
      <c r="K6" s="65">
        <v>0</v>
      </c>
      <c r="L6" s="65">
        <v>0</v>
      </c>
      <c r="M6" s="63">
        <v>0</v>
      </c>
      <c r="N6" s="1"/>
    </row>
    <row r="7" spans="1:14" ht="16" hidden="1" customHeight="1" outlineLevel="1" x14ac:dyDescent="0.45">
      <c r="A7" s="29" t="s">
        <v>170</v>
      </c>
      <c r="B7" s="44">
        <v>0</v>
      </c>
      <c r="C7" s="63">
        <v>0</v>
      </c>
      <c r="D7" s="63">
        <v>0</v>
      </c>
      <c r="E7" s="64">
        <v>0</v>
      </c>
      <c r="F7" s="63">
        <v>0</v>
      </c>
      <c r="G7" s="63">
        <v>0</v>
      </c>
      <c r="H7" s="65">
        <v>0</v>
      </c>
      <c r="I7" s="65">
        <v>0</v>
      </c>
      <c r="J7" s="65">
        <v>0</v>
      </c>
      <c r="K7" s="65">
        <v>0</v>
      </c>
      <c r="L7" s="65">
        <v>0</v>
      </c>
      <c r="M7" s="63">
        <v>0</v>
      </c>
      <c r="N7" s="1"/>
    </row>
    <row r="8" spans="1:14" ht="16" hidden="1" customHeight="1" outlineLevel="1" x14ac:dyDescent="0.45">
      <c r="A8" s="29" t="s">
        <v>4</v>
      </c>
      <c r="B8" s="44">
        <v>19417680947</v>
      </c>
      <c r="C8" s="63">
        <v>28039554</v>
      </c>
      <c r="D8" s="63">
        <v>0</v>
      </c>
      <c r="E8" s="64">
        <v>19389641393</v>
      </c>
      <c r="F8" s="63">
        <v>9555434266</v>
      </c>
      <c r="G8" s="63">
        <v>1139822</v>
      </c>
      <c r="H8" s="65">
        <v>8696779216</v>
      </c>
      <c r="I8" s="65">
        <v>334267090</v>
      </c>
      <c r="J8" s="65">
        <v>1180000</v>
      </c>
      <c r="K8" s="65">
        <v>741945273</v>
      </c>
      <c r="L8" s="65">
        <v>58895726</v>
      </c>
      <c r="M8" s="63">
        <v>0</v>
      </c>
      <c r="N8" s="1"/>
    </row>
    <row r="9" spans="1:14" ht="16" hidden="1" customHeight="1" outlineLevel="1" x14ac:dyDescent="0.45">
      <c r="A9" s="29" t="s">
        <v>5</v>
      </c>
      <c r="B9" s="44">
        <v>300354274</v>
      </c>
      <c r="C9" s="63">
        <v>7000</v>
      </c>
      <c r="D9" s="63">
        <v>305363</v>
      </c>
      <c r="E9" s="64">
        <v>300041911</v>
      </c>
      <c r="F9" s="63">
        <v>256025100</v>
      </c>
      <c r="G9" s="63">
        <v>0</v>
      </c>
      <c r="H9" s="65">
        <v>16801518</v>
      </c>
      <c r="I9" s="65">
        <v>767909</v>
      </c>
      <c r="J9" s="65">
        <v>0</v>
      </c>
      <c r="K9" s="65">
        <v>2473455</v>
      </c>
      <c r="L9" s="65">
        <v>91000</v>
      </c>
      <c r="M9" s="63">
        <v>23882929</v>
      </c>
      <c r="N9" s="1"/>
    </row>
    <row r="10" spans="1:14" ht="16" hidden="1" customHeight="1" outlineLevel="1" x14ac:dyDescent="0.45">
      <c r="A10" s="29" t="s">
        <v>118</v>
      </c>
      <c r="B10" s="44">
        <v>42103449</v>
      </c>
      <c r="C10" s="63">
        <v>0</v>
      </c>
      <c r="D10" s="63">
        <v>0</v>
      </c>
      <c r="E10" s="64">
        <v>42103449</v>
      </c>
      <c r="F10" s="63">
        <v>0</v>
      </c>
      <c r="G10" s="63">
        <v>0</v>
      </c>
      <c r="H10" s="65">
        <v>20500000</v>
      </c>
      <c r="I10" s="65">
        <v>0</v>
      </c>
      <c r="J10" s="65">
        <v>2438995</v>
      </c>
      <c r="K10" s="65">
        <v>19164454</v>
      </c>
      <c r="L10" s="65">
        <v>0</v>
      </c>
      <c r="M10" s="63">
        <v>0</v>
      </c>
      <c r="N10" s="1"/>
    </row>
    <row r="11" spans="1:14" ht="16" hidden="1" customHeight="1" outlineLevel="1" x14ac:dyDescent="0.45">
      <c r="A11" s="29" t="s">
        <v>6</v>
      </c>
      <c r="B11" s="44">
        <v>381093546</v>
      </c>
      <c r="C11" s="63">
        <v>0</v>
      </c>
      <c r="D11" s="63">
        <v>0</v>
      </c>
      <c r="E11" s="64">
        <v>381093546</v>
      </c>
      <c r="F11" s="63">
        <v>307077537</v>
      </c>
      <c r="G11" s="63">
        <v>0</v>
      </c>
      <c r="H11" s="65">
        <v>74016009</v>
      </c>
      <c r="I11" s="65">
        <v>0</v>
      </c>
      <c r="J11" s="65">
        <v>0</v>
      </c>
      <c r="K11" s="65">
        <v>0</v>
      </c>
      <c r="L11" s="65">
        <v>0</v>
      </c>
      <c r="M11" s="63">
        <v>0</v>
      </c>
      <c r="N11" s="1"/>
    </row>
    <row r="12" spans="1:14" ht="16" hidden="1" customHeight="1" outlineLevel="1" x14ac:dyDescent="0.45">
      <c r="A12" s="29" t="s">
        <v>299</v>
      </c>
      <c r="B12" s="44">
        <v>19851364</v>
      </c>
      <c r="C12" s="63">
        <v>0</v>
      </c>
      <c r="D12" s="63">
        <v>0</v>
      </c>
      <c r="E12" s="64">
        <v>19851364</v>
      </c>
      <c r="F12" s="63">
        <v>0</v>
      </c>
      <c r="G12" s="63">
        <v>0</v>
      </c>
      <c r="H12" s="65">
        <v>0</v>
      </c>
      <c r="I12" s="65">
        <v>0</v>
      </c>
      <c r="J12" s="65">
        <v>0</v>
      </c>
      <c r="K12" s="65">
        <v>0</v>
      </c>
      <c r="L12" s="65">
        <v>0</v>
      </c>
      <c r="M12" s="63">
        <v>19851364</v>
      </c>
      <c r="N12" s="1"/>
    </row>
    <row r="13" spans="1:14" ht="16" customHeight="1" collapsed="1" x14ac:dyDescent="0.45">
      <c r="A13" s="28" t="s">
        <v>7</v>
      </c>
      <c r="B13" s="43">
        <v>23265863159</v>
      </c>
      <c r="C13" s="60">
        <v>-1272717587</v>
      </c>
      <c r="D13" s="60">
        <v>99230182</v>
      </c>
      <c r="E13" s="61">
        <v>24439350564</v>
      </c>
      <c r="F13" s="60">
        <v>9810860976.5520134</v>
      </c>
      <c r="G13" s="60">
        <v>3399482547.4479876</v>
      </c>
      <c r="H13" s="62">
        <v>5071430138</v>
      </c>
      <c r="I13" s="62">
        <v>3383863530</v>
      </c>
      <c r="J13" s="62">
        <v>675691468</v>
      </c>
      <c r="K13" s="62">
        <v>737347714</v>
      </c>
      <c r="L13" s="62">
        <v>1116735535</v>
      </c>
      <c r="M13" s="60">
        <v>243938655</v>
      </c>
      <c r="N13" s="1"/>
    </row>
    <row r="14" spans="1:14" s="1" customFormat="1" ht="16" hidden="1" customHeight="1" outlineLevel="1" collapsed="1" x14ac:dyDescent="0.45">
      <c r="A14" s="24" t="s">
        <v>8</v>
      </c>
      <c r="B14" s="45">
        <v>13903786655</v>
      </c>
      <c r="C14" s="63">
        <v>48199953</v>
      </c>
      <c r="D14" s="63">
        <v>1818182</v>
      </c>
      <c r="E14" s="64">
        <v>13853768520</v>
      </c>
      <c r="F14" s="63">
        <v>5507995515</v>
      </c>
      <c r="G14" s="63">
        <v>55559514</v>
      </c>
      <c r="H14" s="65">
        <v>3665549750</v>
      </c>
      <c r="I14" s="65">
        <v>3308169331</v>
      </c>
      <c r="J14" s="65">
        <v>513398296</v>
      </c>
      <c r="K14" s="65">
        <v>616487302</v>
      </c>
      <c r="L14" s="65">
        <v>29914584</v>
      </c>
      <c r="M14" s="63">
        <v>156694228</v>
      </c>
    </row>
    <row r="15" spans="1:14" ht="16" hidden="1" customHeight="1" outlineLevel="1" x14ac:dyDescent="0.45">
      <c r="A15" s="29" t="s">
        <v>9</v>
      </c>
      <c r="B15" s="44">
        <v>149540531</v>
      </c>
      <c r="C15" s="63">
        <v>140000</v>
      </c>
      <c r="D15" s="63">
        <v>0</v>
      </c>
      <c r="E15" s="64">
        <v>149400531</v>
      </c>
      <c r="F15" s="63">
        <v>7217360</v>
      </c>
      <c r="G15" s="63">
        <v>0</v>
      </c>
      <c r="H15" s="65">
        <v>5301454</v>
      </c>
      <c r="I15" s="65">
        <v>0</v>
      </c>
      <c r="J15" s="65">
        <v>26875000</v>
      </c>
      <c r="K15" s="65">
        <v>0</v>
      </c>
      <c r="L15" s="65">
        <v>96662290</v>
      </c>
      <c r="M15" s="63">
        <v>13344427</v>
      </c>
      <c r="N15" s="1"/>
    </row>
    <row r="16" spans="1:14" ht="16" hidden="1" customHeight="1" outlineLevel="1" x14ac:dyDescent="0.45">
      <c r="A16" s="29" t="s">
        <v>10</v>
      </c>
      <c r="B16" s="44">
        <v>4249562058</v>
      </c>
      <c r="C16" s="63">
        <v>-19689480</v>
      </c>
      <c r="D16" s="63">
        <v>0</v>
      </c>
      <c r="E16" s="64">
        <v>4269251538</v>
      </c>
      <c r="F16" s="63">
        <v>2415332137.2221994</v>
      </c>
      <c r="G16" s="63">
        <v>840216991.77780056</v>
      </c>
      <c r="H16" s="65">
        <v>466199954</v>
      </c>
      <c r="I16" s="65">
        <v>74581199</v>
      </c>
      <c r="J16" s="65">
        <v>130801672</v>
      </c>
      <c r="K16" s="65">
        <v>226232607</v>
      </c>
      <c r="L16" s="65">
        <v>115886977</v>
      </c>
      <c r="M16" s="63">
        <v>0</v>
      </c>
      <c r="N16" s="1"/>
    </row>
    <row r="17" spans="1:14" ht="16" hidden="1" customHeight="1" outlineLevel="1" x14ac:dyDescent="0.45">
      <c r="A17" s="29" t="s">
        <v>11</v>
      </c>
      <c r="B17" s="44">
        <v>88575874</v>
      </c>
      <c r="C17" s="63">
        <v>943066</v>
      </c>
      <c r="D17" s="63">
        <v>0</v>
      </c>
      <c r="E17" s="64">
        <v>87632808</v>
      </c>
      <c r="F17" s="63">
        <v>81182807</v>
      </c>
      <c r="G17" s="63">
        <v>3638273</v>
      </c>
      <c r="H17" s="65">
        <v>2129228</v>
      </c>
      <c r="I17" s="65">
        <v>28500</v>
      </c>
      <c r="J17" s="65">
        <v>556500</v>
      </c>
      <c r="K17" s="65">
        <v>97500</v>
      </c>
      <c r="L17" s="65">
        <v>0</v>
      </c>
      <c r="M17" s="63">
        <v>0</v>
      </c>
      <c r="N17" s="1"/>
    </row>
    <row r="18" spans="1:14" ht="16" hidden="1" customHeight="1" outlineLevel="1" x14ac:dyDescent="0.45">
      <c r="A18" s="30" t="s">
        <v>12</v>
      </c>
      <c r="B18" s="46">
        <v>2009860132</v>
      </c>
      <c r="C18" s="63">
        <v>-25846924</v>
      </c>
      <c r="D18" s="63">
        <v>0</v>
      </c>
      <c r="E18" s="64">
        <v>2035707056</v>
      </c>
      <c r="F18" s="63">
        <v>1112254907.329813</v>
      </c>
      <c r="G18" s="63">
        <v>67768.670187073672</v>
      </c>
      <c r="H18" s="65">
        <v>43294542</v>
      </c>
      <c r="I18" s="65">
        <v>0</v>
      </c>
      <c r="J18" s="65">
        <v>0</v>
      </c>
      <c r="K18" s="65">
        <v>5818154</v>
      </c>
      <c r="L18" s="65">
        <v>874271684</v>
      </c>
      <c r="M18" s="63">
        <v>0</v>
      </c>
      <c r="N18" s="1"/>
    </row>
    <row r="19" spans="1:14" ht="16" hidden="1" customHeight="1" outlineLevel="1" x14ac:dyDescent="0.45">
      <c r="A19" s="29" t="s">
        <v>119</v>
      </c>
      <c r="B19" s="44">
        <v>-1279191475</v>
      </c>
      <c r="C19" s="63">
        <v>-1279191475</v>
      </c>
      <c r="D19" s="63">
        <v>0</v>
      </c>
      <c r="E19" s="64">
        <v>0</v>
      </c>
      <c r="F19" s="63">
        <v>0</v>
      </c>
      <c r="G19" s="63">
        <v>0</v>
      </c>
      <c r="H19" s="65">
        <v>0</v>
      </c>
      <c r="I19" s="65">
        <v>0</v>
      </c>
      <c r="J19" s="65">
        <v>0</v>
      </c>
      <c r="K19" s="65">
        <v>0</v>
      </c>
      <c r="L19" s="65">
        <v>0</v>
      </c>
      <c r="M19" s="63">
        <v>0</v>
      </c>
      <c r="N19" s="1"/>
    </row>
    <row r="20" spans="1:14" ht="16" hidden="1" customHeight="1" outlineLevel="1" x14ac:dyDescent="0.45">
      <c r="A20" s="29" t="s">
        <v>120</v>
      </c>
      <c r="B20" s="44">
        <v>0</v>
      </c>
      <c r="C20" s="63">
        <v>0</v>
      </c>
      <c r="D20" s="63">
        <v>0</v>
      </c>
      <c r="E20" s="64">
        <v>0</v>
      </c>
      <c r="F20" s="63">
        <v>0</v>
      </c>
      <c r="G20" s="63">
        <v>0</v>
      </c>
      <c r="H20" s="65">
        <v>0</v>
      </c>
      <c r="I20" s="65">
        <v>0</v>
      </c>
      <c r="J20" s="65">
        <v>0</v>
      </c>
      <c r="K20" s="65">
        <v>0</v>
      </c>
      <c r="L20" s="65">
        <v>0</v>
      </c>
      <c r="M20" s="63">
        <v>0</v>
      </c>
      <c r="N20" s="1"/>
    </row>
    <row r="21" spans="1:14" ht="16" hidden="1" customHeight="1" outlineLevel="1" x14ac:dyDescent="0.45">
      <c r="A21" s="24" t="s">
        <v>13</v>
      </c>
      <c r="B21" s="45">
        <v>-154653955</v>
      </c>
      <c r="C21" s="63">
        <v>0</v>
      </c>
      <c r="D21" s="63">
        <v>0</v>
      </c>
      <c r="E21" s="64">
        <v>-154653955</v>
      </c>
      <c r="F21" s="63">
        <v>2332727</v>
      </c>
      <c r="G21" s="63">
        <v>0</v>
      </c>
      <c r="H21" s="65">
        <v>0</v>
      </c>
      <c r="I21" s="65">
        <v>1084500</v>
      </c>
      <c r="J21" s="65">
        <v>0</v>
      </c>
      <c r="K21" s="65">
        <v>-158071182</v>
      </c>
      <c r="L21" s="65">
        <v>0</v>
      </c>
      <c r="M21" s="63">
        <v>0</v>
      </c>
      <c r="N21" s="1"/>
    </row>
    <row r="22" spans="1:14" s="1" customFormat="1" ht="16" hidden="1" customHeight="1" outlineLevel="1" x14ac:dyDescent="0.45">
      <c r="A22" s="29" t="s">
        <v>121</v>
      </c>
      <c r="B22" s="44">
        <v>3611110543</v>
      </c>
      <c r="C22" s="63">
        <v>0</v>
      </c>
      <c r="D22" s="63">
        <v>97412000</v>
      </c>
      <c r="E22" s="64">
        <v>3513698543</v>
      </c>
      <c r="F22" s="63">
        <v>0</v>
      </c>
      <c r="G22" s="63">
        <v>2500000000</v>
      </c>
      <c r="H22" s="65">
        <v>888955210</v>
      </c>
      <c r="I22" s="65">
        <v>0</v>
      </c>
      <c r="J22" s="65">
        <v>4060000</v>
      </c>
      <c r="K22" s="65">
        <v>46783333</v>
      </c>
      <c r="L22" s="65">
        <v>0</v>
      </c>
      <c r="M22" s="63">
        <v>73900000</v>
      </c>
    </row>
    <row r="23" spans="1:14" ht="16" hidden="1" customHeight="1" outlineLevel="1" x14ac:dyDescent="0.45">
      <c r="A23" s="29" t="s">
        <v>249</v>
      </c>
      <c r="B23" s="44">
        <v>687272796</v>
      </c>
      <c r="C23" s="63">
        <v>2727273</v>
      </c>
      <c r="D23" s="63">
        <v>0</v>
      </c>
      <c r="E23" s="64">
        <v>684545523</v>
      </c>
      <c r="F23" s="63">
        <v>684545523</v>
      </c>
      <c r="G23" s="63">
        <v>0</v>
      </c>
      <c r="H23" s="65">
        <v>0</v>
      </c>
      <c r="I23" s="65">
        <v>0</v>
      </c>
      <c r="J23" s="65">
        <v>0</v>
      </c>
      <c r="K23" s="65">
        <v>0</v>
      </c>
      <c r="L23" s="65">
        <v>0</v>
      </c>
      <c r="M23" s="63">
        <v>0</v>
      </c>
      <c r="N23" s="1"/>
    </row>
    <row r="24" spans="1:14" ht="16" hidden="1" customHeight="1" outlineLevel="1" x14ac:dyDescent="0.45">
      <c r="A24" s="24" t="s">
        <v>287</v>
      </c>
      <c r="B24" s="45">
        <v>0</v>
      </c>
      <c r="C24" s="63">
        <v>0</v>
      </c>
      <c r="D24" s="63">
        <v>0</v>
      </c>
      <c r="E24" s="64">
        <v>0</v>
      </c>
      <c r="F24" s="63">
        <v>0</v>
      </c>
      <c r="G24" s="63">
        <v>0</v>
      </c>
      <c r="H24" s="65">
        <v>0</v>
      </c>
      <c r="I24" s="65">
        <v>0</v>
      </c>
      <c r="J24" s="65">
        <v>0</v>
      </c>
      <c r="K24" s="65">
        <v>0</v>
      </c>
      <c r="L24" s="65">
        <v>0</v>
      </c>
      <c r="M24" s="63">
        <v>0</v>
      </c>
      <c r="N24" s="1"/>
    </row>
    <row r="25" spans="1:14" ht="16" customHeight="1" collapsed="1" x14ac:dyDescent="0.45">
      <c r="A25" s="27" t="s">
        <v>14</v>
      </c>
      <c r="B25" s="42">
        <v>35962469528</v>
      </c>
      <c r="C25" s="57">
        <v>417851547</v>
      </c>
      <c r="D25" s="57">
        <v>0</v>
      </c>
      <c r="E25" s="58">
        <v>35544617981</v>
      </c>
      <c r="F25" s="58">
        <v>12303031404</v>
      </c>
      <c r="G25" s="58">
        <v>48261000</v>
      </c>
      <c r="H25" s="58">
        <v>11376619307</v>
      </c>
      <c r="I25" s="58">
        <v>564405542</v>
      </c>
      <c r="J25" s="58">
        <v>-169400317</v>
      </c>
      <c r="K25" s="58">
        <v>7503524405</v>
      </c>
      <c r="L25" s="58">
        <v>89533363</v>
      </c>
      <c r="M25" s="58">
        <v>3828643277</v>
      </c>
      <c r="N25" s="1"/>
    </row>
    <row r="26" spans="1:14" s="1" customFormat="1" ht="16" hidden="1" customHeight="1" outlineLevel="1" collapsed="1" x14ac:dyDescent="0.45">
      <c r="A26" s="28" t="s">
        <v>15</v>
      </c>
      <c r="B26" s="43">
        <v>35962469528</v>
      </c>
      <c r="C26" s="60">
        <v>417851547</v>
      </c>
      <c r="D26" s="60">
        <v>0</v>
      </c>
      <c r="E26" s="61">
        <v>35544617981</v>
      </c>
      <c r="F26" s="60">
        <v>12303031404</v>
      </c>
      <c r="G26" s="60">
        <v>48261000</v>
      </c>
      <c r="H26" s="62">
        <v>11376619307</v>
      </c>
      <c r="I26" s="62">
        <v>564405542</v>
      </c>
      <c r="J26" s="62">
        <v>-169400317</v>
      </c>
      <c r="K26" s="62">
        <v>7503524405</v>
      </c>
      <c r="L26" s="62">
        <v>89533363</v>
      </c>
      <c r="M26" s="60">
        <v>3828643277</v>
      </c>
    </row>
    <row r="27" spans="1:14" s="1" customFormat="1" ht="16" customHeight="1" collapsed="1" x14ac:dyDescent="0.45">
      <c r="A27" s="27" t="s">
        <v>16</v>
      </c>
      <c r="B27" s="42">
        <v>20975610519</v>
      </c>
      <c r="C27" s="57">
        <v>-1634126166</v>
      </c>
      <c r="D27" s="57">
        <v>380947585</v>
      </c>
      <c r="E27" s="58">
        <v>22228789100</v>
      </c>
      <c r="F27" s="57">
        <v>7655376863.5520124</v>
      </c>
      <c r="G27" s="57">
        <v>3485742369.4479876</v>
      </c>
      <c r="H27" s="59">
        <v>3864082121</v>
      </c>
      <c r="I27" s="59">
        <v>3192162259</v>
      </c>
      <c r="J27" s="59">
        <v>864840780</v>
      </c>
      <c r="K27" s="59">
        <v>476190235</v>
      </c>
      <c r="L27" s="59">
        <v>1086195898</v>
      </c>
      <c r="M27" s="57">
        <v>1604198574</v>
      </c>
    </row>
    <row r="28" spans="1:14" s="1" customFormat="1" collapsed="1" x14ac:dyDescent="0.45">
      <c r="A28" s="27" t="s">
        <v>17</v>
      </c>
      <c r="B28" s="42">
        <v>21800446875</v>
      </c>
      <c r="C28" s="57">
        <v>1631971236.4178886</v>
      </c>
      <c r="D28" s="57">
        <v>508405703</v>
      </c>
      <c r="E28" s="58">
        <v>19660069935.582111</v>
      </c>
      <c r="F28" s="57">
        <v>7607945501</v>
      </c>
      <c r="G28" s="57">
        <v>2701188686.1786313</v>
      </c>
      <c r="H28" s="59">
        <v>3139441119.4040856</v>
      </c>
      <c r="I28" s="59">
        <v>3129775725.4772625</v>
      </c>
      <c r="J28" s="59">
        <v>800025435.73657048</v>
      </c>
      <c r="K28" s="59">
        <v>419956576.14940327</v>
      </c>
      <c r="L28" s="59">
        <v>1429816835.6361597</v>
      </c>
      <c r="M28" s="57">
        <v>431920056</v>
      </c>
    </row>
    <row r="29" spans="1:14" s="1" customFormat="1" x14ac:dyDescent="0.45">
      <c r="A29" s="28" t="s">
        <v>18</v>
      </c>
      <c r="B29" s="43">
        <v>107876570</v>
      </c>
      <c r="C29" s="60">
        <v>34882993.288505837</v>
      </c>
      <c r="D29" s="60">
        <v>16220000</v>
      </c>
      <c r="E29" s="61">
        <v>56773576.711494163</v>
      </c>
      <c r="F29" s="60">
        <v>39488711.550886422</v>
      </c>
      <c r="G29" s="60">
        <v>6687938.449113572</v>
      </c>
      <c r="H29" s="62">
        <v>0</v>
      </c>
      <c r="I29" s="62">
        <v>1231056.8590026936</v>
      </c>
      <c r="J29" s="62">
        <v>1658673.992253894</v>
      </c>
      <c r="K29" s="62">
        <v>6556410.6122891139</v>
      </c>
      <c r="L29" s="62">
        <v>1150785.2479484652</v>
      </c>
      <c r="M29" s="60">
        <v>0</v>
      </c>
    </row>
    <row r="30" spans="1:14" s="1" customFormat="1" x14ac:dyDescent="0.45">
      <c r="A30" s="28" t="s">
        <v>19</v>
      </c>
      <c r="B30" s="43">
        <v>6459891910</v>
      </c>
      <c r="C30" s="66">
        <v>431115432.03560925</v>
      </c>
      <c r="D30" s="60">
        <v>166519150</v>
      </c>
      <c r="E30" s="61">
        <v>5862257327.9643908</v>
      </c>
      <c r="F30" s="60">
        <v>3511520998.9402609</v>
      </c>
      <c r="G30" s="60">
        <v>1162428678.8217564</v>
      </c>
      <c r="H30" s="62">
        <v>418887972.23798245</v>
      </c>
      <c r="I30" s="62">
        <v>37685247.032625869</v>
      </c>
      <c r="J30" s="62">
        <v>50775509.423113488</v>
      </c>
      <c r="K30" s="62">
        <v>200705557.80145693</v>
      </c>
      <c r="L30" s="62">
        <v>397140673.70719433</v>
      </c>
      <c r="M30" s="60">
        <v>83112690</v>
      </c>
    </row>
    <row r="31" spans="1:14" s="1" customFormat="1" ht="16" hidden="1" customHeight="1" outlineLevel="1" x14ac:dyDescent="0.45">
      <c r="A31" s="29" t="s">
        <v>20</v>
      </c>
      <c r="B31" s="44">
        <v>744978870</v>
      </c>
      <c r="C31" s="63">
        <v>202543521.66767663</v>
      </c>
      <c r="D31" s="63">
        <v>62146030</v>
      </c>
      <c r="E31" s="64">
        <v>480289318.33232337</v>
      </c>
      <c r="F31" s="63">
        <v>220547586.04078522</v>
      </c>
      <c r="G31" s="63">
        <v>104729986.97143969</v>
      </c>
      <c r="H31" s="65">
        <v>27512246.987775091</v>
      </c>
      <c r="I31" s="65">
        <v>5568892.3793145008</v>
      </c>
      <c r="J31" s="65">
        <v>5737408.6049123416</v>
      </c>
      <c r="K31" s="65">
        <v>12602763.567779094</v>
      </c>
      <c r="L31" s="65">
        <v>57438933.7803175</v>
      </c>
      <c r="M31" s="63">
        <v>46151500</v>
      </c>
    </row>
    <row r="32" spans="1:14" ht="16" hidden="1" customHeight="1" outlineLevel="1" x14ac:dyDescent="0.45">
      <c r="A32" s="29" t="s">
        <v>21</v>
      </c>
      <c r="B32" s="44">
        <v>137007100</v>
      </c>
      <c r="C32" s="63">
        <v>37304328.378100425</v>
      </c>
      <c r="D32" s="63">
        <v>11463980</v>
      </c>
      <c r="E32" s="64">
        <v>88238791.621899575</v>
      </c>
      <c r="F32" s="63">
        <v>40547164.425073683</v>
      </c>
      <c r="G32" s="63">
        <v>18966517.514094301</v>
      </c>
      <c r="H32" s="65">
        <v>5055478.060832019</v>
      </c>
      <c r="I32" s="65">
        <v>1034929.7174779215</v>
      </c>
      <c r="J32" s="65">
        <v>1064663.4422261636</v>
      </c>
      <c r="K32" s="65">
        <v>2329140.3124392298</v>
      </c>
      <c r="L32" s="65">
        <v>10808898.14975626</v>
      </c>
      <c r="M32" s="63">
        <v>8432000</v>
      </c>
      <c r="N32" s="1"/>
    </row>
    <row r="33" spans="1:14" ht="16" hidden="1" customHeight="1" outlineLevel="1" x14ac:dyDescent="0.45">
      <c r="A33" s="29" t="s">
        <v>22</v>
      </c>
      <c r="B33" s="44">
        <v>33700000</v>
      </c>
      <c r="C33" s="63">
        <v>8600000</v>
      </c>
      <c r="D33" s="63">
        <v>2800000</v>
      </c>
      <c r="E33" s="64">
        <v>22300000</v>
      </c>
      <c r="F33" s="63">
        <v>10059257.935765883</v>
      </c>
      <c r="G33" s="63">
        <v>3825591.4936807491</v>
      </c>
      <c r="H33" s="65">
        <v>1115150.5705533682</v>
      </c>
      <c r="I33" s="65">
        <v>350000</v>
      </c>
      <c r="J33" s="65">
        <v>350000</v>
      </c>
      <c r="K33" s="65">
        <v>700000</v>
      </c>
      <c r="L33" s="65">
        <v>4200000</v>
      </c>
      <c r="M33" s="63">
        <v>1700000</v>
      </c>
      <c r="N33" s="1"/>
    </row>
    <row r="34" spans="1:14" ht="16" hidden="1" customHeight="1" outlineLevel="1" x14ac:dyDescent="0.45">
      <c r="A34" s="29" t="s">
        <v>171</v>
      </c>
      <c r="B34" s="44">
        <v>0</v>
      </c>
      <c r="C34" s="63">
        <v>0</v>
      </c>
      <c r="D34" s="63">
        <v>0</v>
      </c>
      <c r="E34" s="64">
        <v>0</v>
      </c>
      <c r="F34" s="63">
        <v>0</v>
      </c>
      <c r="G34" s="63">
        <v>0</v>
      </c>
      <c r="H34" s="65">
        <v>0</v>
      </c>
      <c r="I34" s="65">
        <v>0</v>
      </c>
      <c r="J34" s="65">
        <v>0</v>
      </c>
      <c r="K34" s="65">
        <v>0</v>
      </c>
      <c r="L34" s="65">
        <v>0</v>
      </c>
      <c r="M34" s="63">
        <v>0</v>
      </c>
      <c r="N34" s="1"/>
    </row>
    <row r="35" spans="1:14" ht="16" hidden="1" customHeight="1" outlineLevel="1" x14ac:dyDescent="0.45">
      <c r="A35" s="29" t="s">
        <v>23</v>
      </c>
      <c r="B35" s="44">
        <v>14870860</v>
      </c>
      <c r="C35" s="63">
        <v>2485880</v>
      </c>
      <c r="D35" s="63">
        <v>381590</v>
      </c>
      <c r="E35" s="64">
        <v>12003390</v>
      </c>
      <c r="F35" s="63">
        <v>7135256.0249074781</v>
      </c>
      <c r="G35" s="63">
        <v>4302043.9750925219</v>
      </c>
      <c r="H35" s="65">
        <v>78220</v>
      </c>
      <c r="I35" s="65">
        <v>0</v>
      </c>
      <c r="J35" s="65">
        <v>0</v>
      </c>
      <c r="K35" s="65">
        <v>0</v>
      </c>
      <c r="L35" s="65">
        <v>136370</v>
      </c>
      <c r="M35" s="63">
        <v>351500</v>
      </c>
      <c r="N35" s="1"/>
    </row>
    <row r="36" spans="1:14" ht="16" hidden="1" customHeight="1" outlineLevel="1" x14ac:dyDescent="0.45">
      <c r="A36" s="29" t="s">
        <v>24</v>
      </c>
      <c r="B36" s="44">
        <v>20198130</v>
      </c>
      <c r="C36" s="63">
        <v>6631345.2164505366</v>
      </c>
      <c r="D36" s="63">
        <v>1622560</v>
      </c>
      <c r="E36" s="64">
        <v>11944224.783549463</v>
      </c>
      <c r="F36" s="63">
        <v>4721534.3380889166</v>
      </c>
      <c r="G36" s="63">
        <v>3337127.8562574927</v>
      </c>
      <c r="H36" s="65">
        <v>561687.80565359013</v>
      </c>
      <c r="I36" s="65">
        <v>109260.04231648218</v>
      </c>
      <c r="J36" s="65">
        <v>146746.90474549154</v>
      </c>
      <c r="K36" s="65">
        <v>1074764.7686197781</v>
      </c>
      <c r="L36" s="65">
        <v>378243.06786771258</v>
      </c>
      <c r="M36" s="63">
        <v>1614860</v>
      </c>
      <c r="N36" s="1"/>
    </row>
    <row r="37" spans="1:14" ht="16" hidden="1" customHeight="1" outlineLevel="1" x14ac:dyDescent="0.45">
      <c r="A37" s="29" t="s">
        <v>122</v>
      </c>
      <c r="B37" s="44">
        <v>337147440</v>
      </c>
      <c r="C37" s="63">
        <v>23491100</v>
      </c>
      <c r="D37" s="63">
        <v>0</v>
      </c>
      <c r="E37" s="64">
        <v>313656340</v>
      </c>
      <c r="F37" s="63">
        <v>21551900</v>
      </c>
      <c r="G37" s="63">
        <v>0</v>
      </c>
      <c r="H37" s="65">
        <v>283274610</v>
      </c>
      <c r="I37" s="65">
        <v>0</v>
      </c>
      <c r="J37" s="65">
        <v>0</v>
      </c>
      <c r="K37" s="65">
        <v>8829830</v>
      </c>
      <c r="L37" s="65">
        <v>0</v>
      </c>
      <c r="M37" s="63">
        <v>0</v>
      </c>
      <c r="N37" s="1"/>
    </row>
    <row r="38" spans="1:14" ht="16" hidden="1" customHeight="1" outlineLevel="1" x14ac:dyDescent="0.45">
      <c r="A38" s="29" t="s">
        <v>123</v>
      </c>
      <c r="B38" s="44">
        <v>56150540</v>
      </c>
      <c r="C38" s="63">
        <v>3741510</v>
      </c>
      <c r="D38" s="63">
        <v>0</v>
      </c>
      <c r="E38" s="64">
        <v>52409030</v>
      </c>
      <c r="F38" s="63">
        <v>3647700</v>
      </c>
      <c r="G38" s="63">
        <v>0</v>
      </c>
      <c r="H38" s="65">
        <v>47269230</v>
      </c>
      <c r="I38" s="65">
        <v>0</v>
      </c>
      <c r="J38" s="65">
        <v>0</v>
      </c>
      <c r="K38" s="65">
        <v>1492100</v>
      </c>
      <c r="L38" s="65">
        <v>0</v>
      </c>
      <c r="M38" s="63">
        <v>0</v>
      </c>
      <c r="N38" s="1"/>
    </row>
    <row r="39" spans="1:14" ht="16" hidden="1" customHeight="1" outlineLevel="1" x14ac:dyDescent="0.45">
      <c r="A39" s="29" t="s">
        <v>124</v>
      </c>
      <c r="B39" s="44">
        <v>900000</v>
      </c>
      <c r="C39" s="63">
        <v>0</v>
      </c>
      <c r="D39" s="63">
        <v>0</v>
      </c>
      <c r="E39" s="64">
        <v>900000</v>
      </c>
      <c r="F39" s="63">
        <v>0</v>
      </c>
      <c r="G39" s="63">
        <v>0</v>
      </c>
      <c r="H39" s="65">
        <v>900000</v>
      </c>
      <c r="I39" s="65">
        <v>0</v>
      </c>
      <c r="J39" s="65">
        <v>0</v>
      </c>
      <c r="K39" s="65">
        <v>0</v>
      </c>
      <c r="L39" s="65">
        <v>0</v>
      </c>
      <c r="M39" s="63">
        <v>0</v>
      </c>
      <c r="N39" s="1"/>
    </row>
    <row r="40" spans="1:14" ht="16" hidden="1" customHeight="1" outlineLevel="1" x14ac:dyDescent="0.45">
      <c r="A40" s="29" t="s">
        <v>125</v>
      </c>
      <c r="B40" s="44">
        <v>0</v>
      </c>
      <c r="C40" s="63">
        <v>0</v>
      </c>
      <c r="D40" s="63">
        <v>0</v>
      </c>
      <c r="E40" s="64">
        <v>0</v>
      </c>
      <c r="F40" s="63">
        <v>0</v>
      </c>
      <c r="G40" s="63">
        <v>0</v>
      </c>
      <c r="H40" s="65">
        <v>0</v>
      </c>
      <c r="I40" s="65">
        <v>0</v>
      </c>
      <c r="J40" s="65">
        <v>0</v>
      </c>
      <c r="K40" s="65">
        <v>0</v>
      </c>
      <c r="L40" s="65">
        <v>0</v>
      </c>
      <c r="M40" s="63">
        <v>0</v>
      </c>
      <c r="N40" s="1"/>
    </row>
    <row r="41" spans="1:14" ht="16" hidden="1" customHeight="1" outlineLevel="1" x14ac:dyDescent="0.45">
      <c r="A41" s="29" t="s">
        <v>172</v>
      </c>
      <c r="B41" s="44">
        <v>0</v>
      </c>
      <c r="C41" s="63">
        <v>0</v>
      </c>
      <c r="D41" s="63">
        <v>0</v>
      </c>
      <c r="E41" s="64">
        <v>0</v>
      </c>
      <c r="F41" s="63">
        <v>0</v>
      </c>
      <c r="G41" s="63">
        <v>0</v>
      </c>
      <c r="H41" s="65">
        <v>0</v>
      </c>
      <c r="I41" s="65">
        <v>0</v>
      </c>
      <c r="J41" s="65">
        <v>0</v>
      </c>
      <c r="K41" s="65">
        <v>0</v>
      </c>
      <c r="L41" s="65">
        <v>0</v>
      </c>
      <c r="M41" s="63">
        <v>0</v>
      </c>
      <c r="N41" s="1"/>
    </row>
    <row r="42" spans="1:14" ht="16" hidden="1" customHeight="1" outlineLevel="1" x14ac:dyDescent="0.45">
      <c r="A42" s="29" t="s">
        <v>173</v>
      </c>
      <c r="B42" s="44">
        <v>0</v>
      </c>
      <c r="C42" s="63">
        <v>0</v>
      </c>
      <c r="D42" s="63">
        <v>0</v>
      </c>
      <c r="E42" s="64">
        <v>0</v>
      </c>
      <c r="F42" s="63">
        <v>0</v>
      </c>
      <c r="G42" s="63">
        <v>0</v>
      </c>
      <c r="H42" s="65">
        <v>0</v>
      </c>
      <c r="I42" s="65">
        <v>0</v>
      </c>
      <c r="J42" s="65">
        <v>0</v>
      </c>
      <c r="K42" s="65">
        <v>0</v>
      </c>
      <c r="L42" s="65">
        <v>0</v>
      </c>
      <c r="M42" s="63">
        <v>0</v>
      </c>
      <c r="N42" s="1"/>
    </row>
    <row r="43" spans="1:14" ht="16" hidden="1" customHeight="1" outlineLevel="1" x14ac:dyDescent="0.45">
      <c r="A43" s="29" t="s">
        <v>25</v>
      </c>
      <c r="B43" s="44">
        <v>29305000</v>
      </c>
      <c r="C43" s="63">
        <v>8404826.7733818516</v>
      </c>
      <c r="D43" s="63">
        <v>2480000</v>
      </c>
      <c r="E43" s="64">
        <v>18420173.226618148</v>
      </c>
      <c r="F43" s="63">
        <v>8433044.6978570689</v>
      </c>
      <c r="G43" s="63">
        <v>4264206.4889745228</v>
      </c>
      <c r="H43" s="65">
        <v>1097748.8131684086</v>
      </c>
      <c r="I43" s="65">
        <v>188128.89351696736</v>
      </c>
      <c r="J43" s="65">
        <v>199636.47122949187</v>
      </c>
      <c r="K43" s="65">
        <v>486439.15261883568</v>
      </c>
      <c r="L43" s="65">
        <v>2045968.7092528504</v>
      </c>
      <c r="M43" s="63">
        <v>1705000</v>
      </c>
      <c r="N43" s="1"/>
    </row>
    <row r="44" spans="1:14" ht="16" hidden="1" customHeight="1" outlineLevel="1" x14ac:dyDescent="0.45">
      <c r="A44" s="29" t="s">
        <v>174</v>
      </c>
      <c r="B44" s="44">
        <v>0</v>
      </c>
      <c r="C44" s="63">
        <v>0</v>
      </c>
      <c r="D44" s="63">
        <v>0</v>
      </c>
      <c r="E44" s="64">
        <v>0</v>
      </c>
      <c r="F44" s="63">
        <v>0</v>
      </c>
      <c r="G44" s="63">
        <v>0</v>
      </c>
      <c r="H44" s="65">
        <v>0</v>
      </c>
      <c r="I44" s="65">
        <v>0</v>
      </c>
      <c r="J44" s="65">
        <v>0</v>
      </c>
      <c r="K44" s="65">
        <v>0</v>
      </c>
      <c r="L44" s="65">
        <v>0</v>
      </c>
      <c r="M44" s="63">
        <v>0</v>
      </c>
      <c r="N44" s="1"/>
    </row>
    <row r="45" spans="1:14" ht="16" hidden="1" customHeight="1" outlineLevel="1" x14ac:dyDescent="0.45">
      <c r="A45" s="29" t="s">
        <v>126</v>
      </c>
      <c r="B45" s="44">
        <v>23840000</v>
      </c>
      <c r="C45" s="63">
        <v>1735000</v>
      </c>
      <c r="D45" s="63">
        <v>0</v>
      </c>
      <c r="E45" s="64">
        <v>22105000</v>
      </c>
      <c r="F45" s="63">
        <v>1550000</v>
      </c>
      <c r="G45" s="63">
        <v>0</v>
      </c>
      <c r="H45" s="65">
        <v>19935000</v>
      </c>
      <c r="I45" s="65">
        <v>0</v>
      </c>
      <c r="J45" s="65">
        <v>0</v>
      </c>
      <c r="K45" s="65">
        <v>620000</v>
      </c>
      <c r="L45" s="65">
        <v>0</v>
      </c>
      <c r="M45" s="63">
        <v>0</v>
      </c>
      <c r="N45" s="1"/>
    </row>
    <row r="46" spans="1:14" ht="16" hidden="1" customHeight="1" outlineLevel="1" x14ac:dyDescent="0.45">
      <c r="A46" s="29" t="s">
        <v>175</v>
      </c>
      <c r="B46" s="44">
        <v>0</v>
      </c>
      <c r="C46" s="63">
        <v>0</v>
      </c>
      <c r="D46" s="63">
        <v>0</v>
      </c>
      <c r="E46" s="64">
        <v>0</v>
      </c>
      <c r="F46" s="63">
        <v>0</v>
      </c>
      <c r="G46" s="63">
        <v>0</v>
      </c>
      <c r="H46" s="65">
        <v>0</v>
      </c>
      <c r="I46" s="65">
        <v>0</v>
      </c>
      <c r="J46" s="65">
        <v>0</v>
      </c>
      <c r="K46" s="65">
        <v>0</v>
      </c>
      <c r="L46" s="65">
        <v>0</v>
      </c>
      <c r="M46" s="63">
        <v>0</v>
      </c>
      <c r="N46" s="1"/>
    </row>
    <row r="47" spans="1:14" ht="16" hidden="1" customHeight="1" outlineLevel="1" x14ac:dyDescent="0.45">
      <c r="A47" s="29" t="s">
        <v>176</v>
      </c>
      <c r="B47" s="44">
        <v>0</v>
      </c>
      <c r="C47" s="63">
        <v>0</v>
      </c>
      <c r="D47" s="63">
        <v>0</v>
      </c>
      <c r="E47" s="64">
        <v>0</v>
      </c>
      <c r="F47" s="63">
        <v>0</v>
      </c>
      <c r="G47" s="63">
        <v>0</v>
      </c>
      <c r="H47" s="65">
        <v>0</v>
      </c>
      <c r="I47" s="65">
        <v>0</v>
      </c>
      <c r="J47" s="65">
        <v>0</v>
      </c>
      <c r="K47" s="65">
        <v>0</v>
      </c>
      <c r="L47" s="65">
        <v>0</v>
      </c>
      <c r="M47" s="63">
        <v>0</v>
      </c>
      <c r="N47" s="1"/>
    </row>
    <row r="48" spans="1:14" ht="16" hidden="1" customHeight="1" outlineLevel="1" x14ac:dyDescent="0.45">
      <c r="A48" s="29" t="s">
        <v>26</v>
      </c>
      <c r="B48" s="44">
        <v>3915912300</v>
      </c>
      <c r="C48" s="63">
        <v>103254210</v>
      </c>
      <c r="D48" s="63">
        <v>68368210</v>
      </c>
      <c r="E48" s="64">
        <v>3744289880</v>
      </c>
      <c r="F48" s="63">
        <v>2491439675.3544712</v>
      </c>
      <c r="G48" s="63">
        <v>791548564.64552891</v>
      </c>
      <c r="H48" s="65">
        <v>24111770</v>
      </c>
      <c r="I48" s="65">
        <v>24361915</v>
      </c>
      <c r="J48" s="65">
        <v>34789265</v>
      </c>
      <c r="K48" s="65">
        <v>136580320</v>
      </c>
      <c r="L48" s="65">
        <v>223213950</v>
      </c>
      <c r="M48" s="63">
        <v>18244420</v>
      </c>
      <c r="N48" s="1"/>
    </row>
    <row r="49" spans="1:14" ht="16" hidden="1" customHeight="1" outlineLevel="1" x14ac:dyDescent="0.45">
      <c r="A49" s="29" t="s">
        <v>27</v>
      </c>
      <c r="B49" s="44">
        <v>658076190</v>
      </c>
      <c r="C49" s="63">
        <v>16319200</v>
      </c>
      <c r="D49" s="63">
        <v>11439270</v>
      </c>
      <c r="E49" s="64">
        <v>630317720</v>
      </c>
      <c r="F49" s="63">
        <v>420297899.21255064</v>
      </c>
      <c r="G49" s="63">
        <v>132565810.78744936</v>
      </c>
      <c r="H49" s="65">
        <v>4236110</v>
      </c>
      <c r="I49" s="65">
        <v>4040121</v>
      </c>
      <c r="J49" s="65">
        <v>5644789</v>
      </c>
      <c r="K49" s="65">
        <v>23315200</v>
      </c>
      <c r="L49" s="65">
        <v>37544380</v>
      </c>
      <c r="M49" s="63">
        <v>2673410</v>
      </c>
      <c r="N49" s="1"/>
    </row>
    <row r="50" spans="1:14" ht="16" hidden="1" customHeight="1" outlineLevel="1" x14ac:dyDescent="0.45">
      <c r="A50" s="29" t="s">
        <v>28</v>
      </c>
      <c r="B50" s="44">
        <v>123900040</v>
      </c>
      <c r="C50" s="63">
        <v>5700000</v>
      </c>
      <c r="D50" s="63">
        <v>600000</v>
      </c>
      <c r="E50" s="64">
        <v>117600040</v>
      </c>
      <c r="F50" s="63">
        <v>86019390</v>
      </c>
      <c r="G50" s="63">
        <v>25780650</v>
      </c>
      <c r="H50" s="65">
        <v>1200000</v>
      </c>
      <c r="I50" s="65">
        <v>390000</v>
      </c>
      <c r="J50" s="65">
        <v>510000</v>
      </c>
      <c r="K50" s="65">
        <v>3700000</v>
      </c>
      <c r="L50" s="65">
        <v>0</v>
      </c>
      <c r="M50" s="63">
        <v>0</v>
      </c>
      <c r="N50" s="1"/>
    </row>
    <row r="51" spans="1:14" ht="16" hidden="1" customHeight="1" outlineLevel="1" x14ac:dyDescent="0.45">
      <c r="A51" s="29" t="s">
        <v>29</v>
      </c>
      <c r="B51" s="44">
        <v>264175000</v>
      </c>
      <c r="C51" s="63">
        <v>6485000</v>
      </c>
      <c r="D51" s="63">
        <v>4415000</v>
      </c>
      <c r="E51" s="64">
        <v>253275000</v>
      </c>
      <c r="F51" s="63">
        <v>170041459.02469751</v>
      </c>
      <c r="G51" s="63">
        <v>52928540.975302488</v>
      </c>
      <c r="H51" s="65">
        <v>1550000</v>
      </c>
      <c r="I51" s="65">
        <v>1642000</v>
      </c>
      <c r="J51" s="65">
        <v>2333000</v>
      </c>
      <c r="K51" s="65">
        <v>8975000</v>
      </c>
      <c r="L51" s="65">
        <v>14565000</v>
      </c>
      <c r="M51" s="63">
        <v>1240000</v>
      </c>
      <c r="N51" s="1"/>
    </row>
    <row r="52" spans="1:14" ht="16" hidden="1" customHeight="1" outlineLevel="1" x14ac:dyDescent="0.45">
      <c r="A52" s="29" t="s">
        <v>127</v>
      </c>
      <c r="B52" s="44">
        <v>120000</v>
      </c>
      <c r="C52" s="63">
        <v>60000</v>
      </c>
      <c r="D52" s="63">
        <v>60000</v>
      </c>
      <c r="E52" s="64">
        <v>0</v>
      </c>
      <c r="F52" s="63">
        <v>0</v>
      </c>
      <c r="G52" s="63">
        <v>0</v>
      </c>
      <c r="H52" s="65">
        <v>0</v>
      </c>
      <c r="I52" s="65">
        <v>0</v>
      </c>
      <c r="J52" s="65">
        <v>0</v>
      </c>
      <c r="K52" s="65">
        <v>0</v>
      </c>
      <c r="L52" s="65">
        <v>0</v>
      </c>
      <c r="M52" s="63">
        <v>0</v>
      </c>
      <c r="N52" s="1"/>
    </row>
    <row r="53" spans="1:14" ht="16" hidden="1" customHeight="1" outlineLevel="1" x14ac:dyDescent="0.45">
      <c r="A53" s="29" t="s">
        <v>177</v>
      </c>
      <c r="B53" s="44">
        <v>0</v>
      </c>
      <c r="C53" s="63">
        <v>0</v>
      </c>
      <c r="D53" s="63">
        <v>0</v>
      </c>
      <c r="E53" s="64">
        <v>0</v>
      </c>
      <c r="F53" s="63">
        <v>0</v>
      </c>
      <c r="G53" s="63">
        <v>0</v>
      </c>
      <c r="H53" s="65">
        <v>0</v>
      </c>
      <c r="I53" s="65">
        <v>0</v>
      </c>
      <c r="J53" s="65">
        <v>0</v>
      </c>
      <c r="K53" s="65">
        <v>0</v>
      </c>
      <c r="L53" s="65">
        <v>0</v>
      </c>
      <c r="M53" s="63">
        <v>0</v>
      </c>
      <c r="N53" s="1"/>
    </row>
    <row r="54" spans="1:14" ht="16" hidden="1" customHeight="1" outlineLevel="1" x14ac:dyDescent="0.45">
      <c r="A54" s="29" t="s">
        <v>30</v>
      </c>
      <c r="B54" s="44">
        <v>25872430</v>
      </c>
      <c r="C54" s="63">
        <v>1234340</v>
      </c>
      <c r="D54" s="63">
        <v>0</v>
      </c>
      <c r="E54" s="64">
        <v>24638090</v>
      </c>
      <c r="F54" s="63">
        <v>14526730</v>
      </c>
      <c r="G54" s="63">
        <v>9587950</v>
      </c>
      <c r="H54" s="65">
        <v>0</v>
      </c>
      <c r="I54" s="65">
        <v>0</v>
      </c>
      <c r="J54" s="65">
        <v>0</v>
      </c>
      <c r="K54" s="65">
        <v>0</v>
      </c>
      <c r="L54" s="65">
        <v>523410</v>
      </c>
      <c r="M54" s="63">
        <v>0</v>
      </c>
      <c r="N54" s="1"/>
    </row>
    <row r="55" spans="1:14" ht="16" hidden="1" customHeight="1" outlineLevel="1" x14ac:dyDescent="0.45">
      <c r="A55" s="29" t="s">
        <v>128</v>
      </c>
      <c r="B55" s="44">
        <v>45474320</v>
      </c>
      <c r="C55" s="63">
        <v>0</v>
      </c>
      <c r="D55" s="63">
        <v>0</v>
      </c>
      <c r="E55" s="64">
        <v>45474320</v>
      </c>
      <c r="F55" s="63">
        <v>0</v>
      </c>
      <c r="G55" s="63">
        <v>0</v>
      </c>
      <c r="H55" s="65">
        <v>0</v>
      </c>
      <c r="I55" s="65">
        <v>0</v>
      </c>
      <c r="J55" s="65">
        <v>0</v>
      </c>
      <c r="K55" s="65">
        <v>0</v>
      </c>
      <c r="L55" s="65">
        <v>45474320</v>
      </c>
      <c r="M55" s="63">
        <v>0</v>
      </c>
      <c r="N55" s="1"/>
    </row>
    <row r="56" spans="1:14" ht="16" hidden="1" customHeight="1" outlineLevel="1" x14ac:dyDescent="0.45">
      <c r="A56" s="29" t="s">
        <v>129</v>
      </c>
      <c r="B56" s="44">
        <v>85640</v>
      </c>
      <c r="C56" s="63">
        <v>0</v>
      </c>
      <c r="D56" s="63">
        <v>0</v>
      </c>
      <c r="E56" s="64">
        <v>85640</v>
      </c>
      <c r="F56" s="63">
        <v>0</v>
      </c>
      <c r="G56" s="63">
        <v>0</v>
      </c>
      <c r="H56" s="65">
        <v>0</v>
      </c>
      <c r="I56" s="65">
        <v>0</v>
      </c>
      <c r="J56" s="65">
        <v>0</v>
      </c>
      <c r="K56" s="65">
        <v>0</v>
      </c>
      <c r="L56" s="65">
        <v>85640</v>
      </c>
      <c r="M56" s="63">
        <v>0</v>
      </c>
      <c r="N56" s="1"/>
    </row>
    <row r="57" spans="1:14" ht="16" hidden="1" customHeight="1" outlineLevel="1" x14ac:dyDescent="0.45">
      <c r="A57" s="29" t="s">
        <v>178</v>
      </c>
      <c r="B57" s="44">
        <v>0</v>
      </c>
      <c r="C57" s="63">
        <v>0</v>
      </c>
      <c r="D57" s="63">
        <v>0</v>
      </c>
      <c r="E57" s="64">
        <v>0</v>
      </c>
      <c r="F57" s="63">
        <v>0</v>
      </c>
      <c r="G57" s="63">
        <v>0</v>
      </c>
      <c r="H57" s="65">
        <v>0</v>
      </c>
      <c r="I57" s="65">
        <v>0</v>
      </c>
      <c r="J57" s="65">
        <v>0</v>
      </c>
      <c r="K57" s="65">
        <v>0</v>
      </c>
      <c r="L57" s="65">
        <v>0</v>
      </c>
      <c r="M57" s="63">
        <v>0</v>
      </c>
      <c r="N57" s="1"/>
    </row>
    <row r="58" spans="1:14" ht="16" hidden="1" customHeight="1" outlineLevel="1" x14ac:dyDescent="0.45">
      <c r="A58" s="29" t="s">
        <v>31</v>
      </c>
      <c r="B58" s="44">
        <v>15203310</v>
      </c>
      <c r="C58" s="63">
        <v>1825170</v>
      </c>
      <c r="D58" s="63">
        <v>242510</v>
      </c>
      <c r="E58" s="64">
        <v>13135630</v>
      </c>
      <c r="F58" s="63">
        <v>8032401.8860635106</v>
      </c>
      <c r="G58" s="63">
        <v>4475338.1139364894</v>
      </c>
      <c r="H58" s="65">
        <v>490720</v>
      </c>
      <c r="I58" s="65">
        <v>0</v>
      </c>
      <c r="J58" s="65">
        <v>0</v>
      </c>
      <c r="K58" s="65">
        <v>0</v>
      </c>
      <c r="L58" s="65">
        <v>137170</v>
      </c>
      <c r="M58" s="63">
        <v>0</v>
      </c>
      <c r="N58" s="1"/>
    </row>
    <row r="59" spans="1:14" ht="16" hidden="1" customHeight="1" outlineLevel="1" x14ac:dyDescent="0.45">
      <c r="A59" s="29" t="s">
        <v>113</v>
      </c>
      <c r="B59" s="44">
        <v>0</v>
      </c>
      <c r="C59" s="63">
        <v>0</v>
      </c>
      <c r="D59" s="63">
        <v>0</v>
      </c>
      <c r="E59" s="64">
        <v>0</v>
      </c>
      <c r="F59" s="63">
        <v>0</v>
      </c>
      <c r="G59" s="63">
        <v>0</v>
      </c>
      <c r="H59" s="65">
        <v>0</v>
      </c>
      <c r="I59" s="65">
        <v>0</v>
      </c>
      <c r="J59" s="65">
        <v>0</v>
      </c>
      <c r="K59" s="65">
        <v>0</v>
      </c>
      <c r="L59" s="65">
        <v>0</v>
      </c>
      <c r="M59" s="63">
        <v>0</v>
      </c>
      <c r="N59" s="1"/>
    </row>
    <row r="60" spans="1:14" ht="16" hidden="1" customHeight="1" outlineLevel="1" x14ac:dyDescent="0.45">
      <c r="A60" s="29" t="s">
        <v>32</v>
      </c>
      <c r="B60" s="44">
        <v>12974740</v>
      </c>
      <c r="C60" s="63">
        <v>1300000</v>
      </c>
      <c r="D60" s="63">
        <v>500000</v>
      </c>
      <c r="E60" s="64">
        <v>11174740</v>
      </c>
      <c r="F60" s="63">
        <v>2970000</v>
      </c>
      <c r="G60" s="63">
        <v>6116350</v>
      </c>
      <c r="H60" s="65">
        <v>500000</v>
      </c>
      <c r="I60" s="65">
        <v>0</v>
      </c>
      <c r="J60" s="65">
        <v>0</v>
      </c>
      <c r="K60" s="65">
        <v>0</v>
      </c>
      <c r="L60" s="65">
        <v>588390</v>
      </c>
      <c r="M60" s="63">
        <v>1000000</v>
      </c>
      <c r="N60" s="1"/>
    </row>
    <row r="61" spans="1:14" ht="16" hidden="1" customHeight="1" outlineLevel="1" x14ac:dyDescent="0.45">
      <c r="A61" s="24" t="s">
        <v>130</v>
      </c>
      <c r="B61" s="44">
        <v>0</v>
      </c>
      <c r="C61" s="63">
        <v>0</v>
      </c>
      <c r="D61" s="63">
        <v>0</v>
      </c>
      <c r="E61" s="64">
        <v>0</v>
      </c>
      <c r="F61" s="63">
        <v>0</v>
      </c>
      <c r="G61" s="63">
        <v>0</v>
      </c>
      <c r="H61" s="65">
        <v>0</v>
      </c>
      <c r="I61" s="65">
        <v>0</v>
      </c>
      <c r="J61" s="65">
        <v>0</v>
      </c>
      <c r="K61" s="65">
        <v>0</v>
      </c>
      <c r="L61" s="65">
        <v>0</v>
      </c>
      <c r="M61" s="63">
        <v>0</v>
      </c>
      <c r="N61" s="1"/>
    </row>
    <row r="62" spans="1:14" ht="16" hidden="1" customHeight="1" outlineLevel="1" x14ac:dyDescent="0.45">
      <c r="A62" s="29" t="s">
        <v>267</v>
      </c>
      <c r="B62" s="44">
        <v>0</v>
      </c>
      <c r="C62" s="63">
        <v>0</v>
      </c>
      <c r="D62" s="63">
        <v>0</v>
      </c>
      <c r="E62" s="64">
        <v>0</v>
      </c>
      <c r="F62" s="63">
        <v>0</v>
      </c>
      <c r="G62" s="63">
        <v>0</v>
      </c>
      <c r="H62" s="65">
        <v>0</v>
      </c>
      <c r="I62" s="65">
        <v>0</v>
      </c>
      <c r="J62" s="65">
        <v>0</v>
      </c>
      <c r="K62" s="65">
        <v>0</v>
      </c>
      <c r="L62" s="65">
        <v>0</v>
      </c>
      <c r="M62" s="63">
        <v>0</v>
      </c>
      <c r="N62" s="1"/>
    </row>
    <row r="63" spans="1:14" ht="16" customHeight="1" collapsed="1" x14ac:dyDescent="0.45">
      <c r="A63" s="28" t="s">
        <v>33</v>
      </c>
      <c r="B63" s="43">
        <v>939573334</v>
      </c>
      <c r="C63" s="60">
        <v>904243334</v>
      </c>
      <c r="D63" s="60">
        <v>0</v>
      </c>
      <c r="E63" s="61">
        <v>35330000</v>
      </c>
      <c r="F63" s="60">
        <v>1150000</v>
      </c>
      <c r="G63" s="60">
        <v>0</v>
      </c>
      <c r="H63" s="62">
        <v>28810000</v>
      </c>
      <c r="I63" s="62">
        <v>0</v>
      </c>
      <c r="J63" s="62">
        <v>0</v>
      </c>
      <c r="K63" s="62">
        <v>870000</v>
      </c>
      <c r="L63" s="62">
        <v>4500000</v>
      </c>
      <c r="M63" s="60">
        <v>0</v>
      </c>
      <c r="N63" s="1"/>
    </row>
    <row r="64" spans="1:14" s="1" customFormat="1" ht="16" hidden="1" customHeight="1" outlineLevel="1" collapsed="1" x14ac:dyDescent="0.45">
      <c r="A64" s="29" t="s">
        <v>34</v>
      </c>
      <c r="B64" s="44">
        <v>115597020</v>
      </c>
      <c r="C64" s="63">
        <v>115597020</v>
      </c>
      <c r="D64" s="63">
        <v>0</v>
      </c>
      <c r="E64" s="64">
        <v>0</v>
      </c>
      <c r="F64" s="63">
        <v>0</v>
      </c>
      <c r="G64" s="63">
        <v>0</v>
      </c>
      <c r="H64" s="65">
        <v>0</v>
      </c>
      <c r="I64" s="65">
        <v>0</v>
      </c>
      <c r="J64" s="65">
        <v>0</v>
      </c>
      <c r="K64" s="65">
        <v>0</v>
      </c>
      <c r="L64" s="65">
        <v>0</v>
      </c>
      <c r="M64" s="63">
        <v>0</v>
      </c>
    </row>
    <row r="65" spans="1:14" ht="16" hidden="1" customHeight="1" outlineLevel="1" x14ac:dyDescent="0.45">
      <c r="A65" s="29" t="s">
        <v>179</v>
      </c>
      <c r="B65" s="44">
        <v>184797144</v>
      </c>
      <c r="C65" s="63">
        <v>184797144</v>
      </c>
      <c r="D65" s="63">
        <v>0</v>
      </c>
      <c r="E65" s="64">
        <v>0</v>
      </c>
      <c r="F65" s="63">
        <v>0</v>
      </c>
      <c r="G65" s="63">
        <v>0</v>
      </c>
      <c r="H65" s="65">
        <v>0</v>
      </c>
      <c r="I65" s="65">
        <v>0</v>
      </c>
      <c r="J65" s="65">
        <v>0</v>
      </c>
      <c r="K65" s="65">
        <v>0</v>
      </c>
      <c r="L65" s="65">
        <v>0</v>
      </c>
      <c r="M65" s="63">
        <v>0</v>
      </c>
      <c r="N65" s="1"/>
    </row>
    <row r="66" spans="1:14" ht="16" hidden="1" customHeight="1" outlineLevel="1" x14ac:dyDescent="0.45">
      <c r="A66" s="29" t="s">
        <v>180</v>
      </c>
      <c r="B66" s="44">
        <v>0</v>
      </c>
      <c r="C66" s="63">
        <v>0</v>
      </c>
      <c r="D66" s="63">
        <v>0</v>
      </c>
      <c r="E66" s="64">
        <v>0</v>
      </c>
      <c r="F66" s="63">
        <v>0</v>
      </c>
      <c r="G66" s="63">
        <v>0</v>
      </c>
      <c r="H66" s="65">
        <v>0</v>
      </c>
      <c r="I66" s="65">
        <v>0</v>
      </c>
      <c r="J66" s="65">
        <v>0</v>
      </c>
      <c r="K66" s="65">
        <v>0</v>
      </c>
      <c r="L66" s="65">
        <v>0</v>
      </c>
      <c r="M66" s="63">
        <v>0</v>
      </c>
      <c r="N66" s="1"/>
    </row>
    <row r="67" spans="1:14" ht="16" hidden="1" customHeight="1" outlineLevel="1" x14ac:dyDescent="0.45">
      <c r="A67" s="29" t="s">
        <v>131</v>
      </c>
      <c r="B67" s="44">
        <v>32855170</v>
      </c>
      <c r="C67" s="63">
        <v>2025170</v>
      </c>
      <c r="D67" s="63">
        <v>0</v>
      </c>
      <c r="E67" s="64">
        <v>30830000</v>
      </c>
      <c r="F67" s="63">
        <v>1150000</v>
      </c>
      <c r="G67" s="63">
        <v>0</v>
      </c>
      <c r="H67" s="65">
        <v>28810000</v>
      </c>
      <c r="I67" s="65">
        <v>0</v>
      </c>
      <c r="J67" s="65">
        <v>0</v>
      </c>
      <c r="K67" s="65">
        <v>870000</v>
      </c>
      <c r="L67" s="65">
        <v>0</v>
      </c>
      <c r="M67" s="63">
        <v>0</v>
      </c>
      <c r="N67" s="1"/>
    </row>
    <row r="68" spans="1:14" ht="16" hidden="1" customHeight="1" outlineLevel="1" x14ac:dyDescent="0.45">
      <c r="A68" s="29" t="s">
        <v>35</v>
      </c>
      <c r="B68" s="44">
        <v>601824000</v>
      </c>
      <c r="C68" s="63">
        <v>601824000</v>
      </c>
      <c r="D68" s="63">
        <v>0</v>
      </c>
      <c r="E68" s="64">
        <v>0</v>
      </c>
      <c r="F68" s="63">
        <v>0</v>
      </c>
      <c r="G68" s="63">
        <v>0</v>
      </c>
      <c r="H68" s="65">
        <v>0</v>
      </c>
      <c r="I68" s="65">
        <v>0</v>
      </c>
      <c r="J68" s="65">
        <v>0</v>
      </c>
      <c r="K68" s="65">
        <v>0</v>
      </c>
      <c r="L68" s="65">
        <v>0</v>
      </c>
      <c r="M68" s="63">
        <v>0</v>
      </c>
      <c r="N68" s="1"/>
    </row>
    <row r="69" spans="1:14" ht="16" hidden="1" customHeight="1" outlineLevel="1" x14ac:dyDescent="0.45">
      <c r="A69" s="29" t="s">
        <v>132</v>
      </c>
      <c r="B69" s="44">
        <v>4500000</v>
      </c>
      <c r="C69" s="63">
        <v>0</v>
      </c>
      <c r="D69" s="63">
        <v>0</v>
      </c>
      <c r="E69" s="64">
        <v>4500000</v>
      </c>
      <c r="F69" s="63">
        <v>0</v>
      </c>
      <c r="G69" s="63">
        <v>0</v>
      </c>
      <c r="H69" s="65">
        <v>0</v>
      </c>
      <c r="I69" s="65">
        <v>0</v>
      </c>
      <c r="J69" s="65">
        <v>0</v>
      </c>
      <c r="K69" s="65">
        <v>0</v>
      </c>
      <c r="L69" s="65">
        <v>4500000</v>
      </c>
      <c r="M69" s="63">
        <v>0</v>
      </c>
      <c r="N69" s="1"/>
    </row>
    <row r="70" spans="1:14" ht="16" customHeight="1" collapsed="1" x14ac:dyDescent="0.45">
      <c r="A70" s="28" t="s">
        <v>133</v>
      </c>
      <c r="B70" s="43">
        <v>4116700</v>
      </c>
      <c r="C70" s="60">
        <v>0</v>
      </c>
      <c r="D70" s="60">
        <v>0</v>
      </c>
      <c r="E70" s="61">
        <v>4116700</v>
      </c>
      <c r="F70" s="60">
        <v>0</v>
      </c>
      <c r="G70" s="60">
        <v>0</v>
      </c>
      <c r="H70" s="62">
        <v>0</v>
      </c>
      <c r="I70" s="62">
        <v>633300</v>
      </c>
      <c r="J70" s="62">
        <v>1477700</v>
      </c>
      <c r="K70" s="62">
        <v>2005700</v>
      </c>
      <c r="L70" s="62">
        <v>0</v>
      </c>
      <c r="M70" s="60">
        <v>0</v>
      </c>
      <c r="N70" s="1"/>
    </row>
    <row r="71" spans="1:14" s="1" customFormat="1" collapsed="1" x14ac:dyDescent="0.45">
      <c r="A71" s="28" t="s">
        <v>36</v>
      </c>
      <c r="B71" s="43">
        <v>743627707</v>
      </c>
      <c r="C71" s="60">
        <v>54034583.060410619</v>
      </c>
      <c r="D71" s="60">
        <v>18983494</v>
      </c>
      <c r="E71" s="61">
        <v>670609629.93958938</v>
      </c>
      <c r="F71" s="60">
        <v>415297956.46452338</v>
      </c>
      <c r="G71" s="60">
        <v>125623422.22177026</v>
      </c>
      <c r="H71" s="62">
        <v>40399076.313706391</v>
      </c>
      <c r="I71" s="62">
        <v>4180163.6331616878</v>
      </c>
      <c r="J71" s="62">
        <v>4963010.1953510102</v>
      </c>
      <c r="K71" s="62">
        <v>20266416.089425679</v>
      </c>
      <c r="L71" s="62">
        <v>51739078.021651067</v>
      </c>
      <c r="M71" s="60">
        <v>8140507</v>
      </c>
    </row>
    <row r="72" spans="1:14" s="1" customFormat="1" ht="16" hidden="1" customHeight="1" outlineLevel="1" x14ac:dyDescent="0.45">
      <c r="A72" s="29" t="s">
        <v>37</v>
      </c>
      <c r="B72" s="44">
        <v>743627707</v>
      </c>
      <c r="C72" s="63">
        <v>54034583.060410619</v>
      </c>
      <c r="D72" s="63">
        <v>18983494</v>
      </c>
      <c r="E72" s="64">
        <v>670609629.93958938</v>
      </c>
      <c r="F72" s="63">
        <v>415297956.46452338</v>
      </c>
      <c r="G72" s="63">
        <v>125623422.22177026</v>
      </c>
      <c r="H72" s="65">
        <v>40399076.313706391</v>
      </c>
      <c r="I72" s="65">
        <v>4180163.6331616878</v>
      </c>
      <c r="J72" s="65">
        <v>4963010.1953510102</v>
      </c>
      <c r="K72" s="65">
        <v>20266416.089425679</v>
      </c>
      <c r="L72" s="65">
        <v>51739078.021651067</v>
      </c>
      <c r="M72" s="63">
        <v>8140507</v>
      </c>
    </row>
    <row r="73" spans="1:14" ht="16" customHeight="1" collapsed="1" x14ac:dyDescent="0.45">
      <c r="A73" s="28" t="s">
        <v>181</v>
      </c>
      <c r="B73" s="43">
        <v>27643053</v>
      </c>
      <c r="C73" s="60">
        <v>2643053</v>
      </c>
      <c r="D73" s="60">
        <v>0</v>
      </c>
      <c r="E73" s="61">
        <v>25000000</v>
      </c>
      <c r="F73" s="60">
        <v>22500000</v>
      </c>
      <c r="G73" s="60">
        <v>1000000</v>
      </c>
      <c r="H73" s="62">
        <v>0</v>
      </c>
      <c r="I73" s="62">
        <v>500000</v>
      </c>
      <c r="J73" s="62">
        <v>0</v>
      </c>
      <c r="K73" s="62">
        <v>0</v>
      </c>
      <c r="L73" s="62">
        <v>1000000</v>
      </c>
      <c r="M73" s="60">
        <v>0</v>
      </c>
      <c r="N73" s="1"/>
    </row>
    <row r="74" spans="1:14" s="1" customFormat="1" collapsed="1" x14ac:dyDescent="0.45">
      <c r="A74" s="28" t="s">
        <v>38</v>
      </c>
      <c r="B74" s="43">
        <v>2365094004</v>
      </c>
      <c r="C74" s="60">
        <v>154630057.89490843</v>
      </c>
      <c r="D74" s="60">
        <v>31536080</v>
      </c>
      <c r="E74" s="61">
        <v>2178927866.1050916</v>
      </c>
      <c r="F74" s="60">
        <v>1306133087.2226992</v>
      </c>
      <c r="G74" s="60">
        <v>357643699.73370391</v>
      </c>
      <c r="H74" s="62">
        <v>121298853.04359703</v>
      </c>
      <c r="I74" s="62">
        <v>11174680.477446329</v>
      </c>
      <c r="J74" s="62">
        <v>11225074.797219606</v>
      </c>
      <c r="K74" s="62">
        <v>45437480.551105119</v>
      </c>
      <c r="L74" s="62">
        <v>309931979.27932072</v>
      </c>
      <c r="M74" s="60">
        <v>16083011</v>
      </c>
    </row>
    <row r="75" spans="1:14" s="1" customFormat="1" ht="16" hidden="1" customHeight="1" outlineLevel="1" x14ac:dyDescent="0.45">
      <c r="A75" s="29" t="s">
        <v>39</v>
      </c>
      <c r="B75" s="44">
        <v>0</v>
      </c>
      <c r="C75" s="63">
        <v>0</v>
      </c>
      <c r="D75" s="63">
        <v>0</v>
      </c>
      <c r="E75" s="64">
        <v>0</v>
      </c>
      <c r="F75" s="63">
        <v>0</v>
      </c>
      <c r="G75" s="63">
        <v>0</v>
      </c>
      <c r="H75" s="65">
        <v>0</v>
      </c>
      <c r="I75" s="65">
        <v>0</v>
      </c>
      <c r="J75" s="65">
        <v>0</v>
      </c>
      <c r="K75" s="65">
        <v>0</v>
      </c>
      <c r="L75" s="65">
        <v>0</v>
      </c>
      <c r="M75" s="63">
        <v>0</v>
      </c>
    </row>
    <row r="76" spans="1:14" ht="16" hidden="1" customHeight="1" outlineLevel="1" x14ac:dyDescent="0.45">
      <c r="A76" s="29" t="s">
        <v>40</v>
      </c>
      <c r="B76" s="44">
        <v>65590130</v>
      </c>
      <c r="C76" s="63">
        <v>4140099.8073278591</v>
      </c>
      <c r="D76" s="63">
        <v>1570190</v>
      </c>
      <c r="E76" s="64">
        <v>59879840.192672141</v>
      </c>
      <c r="F76" s="63">
        <v>35653343.40388459</v>
      </c>
      <c r="G76" s="63">
        <v>11193299.779934773</v>
      </c>
      <c r="H76" s="65">
        <v>4208770.8161806343</v>
      </c>
      <c r="I76" s="65">
        <v>372511.01627820806</v>
      </c>
      <c r="J76" s="65">
        <v>467310.17108595849</v>
      </c>
      <c r="K76" s="65">
        <v>1881345.0292870193</v>
      </c>
      <c r="L76" s="65">
        <v>5368898.9760209639</v>
      </c>
      <c r="M76" s="63">
        <v>734361</v>
      </c>
      <c r="N76" s="1"/>
    </row>
    <row r="77" spans="1:14" ht="16" hidden="1" customHeight="1" outlineLevel="1" x14ac:dyDescent="0.45">
      <c r="A77" s="29" t="s">
        <v>41</v>
      </c>
      <c r="B77" s="44">
        <v>363231300</v>
      </c>
      <c r="C77" s="63">
        <v>26393650.34431994</v>
      </c>
      <c r="D77" s="63">
        <v>9272650</v>
      </c>
      <c r="E77" s="64">
        <v>327564999.65568006</v>
      </c>
      <c r="F77" s="63">
        <v>202855833.22278002</v>
      </c>
      <c r="G77" s="63">
        <v>61361832.591366746</v>
      </c>
      <c r="H77" s="65">
        <v>19733274.185853235</v>
      </c>
      <c r="I77" s="65">
        <v>2041836.6537125849</v>
      </c>
      <c r="J77" s="65">
        <v>2424224.7289585159</v>
      </c>
      <c r="K77" s="65">
        <v>9899304.3406098112</v>
      </c>
      <c r="L77" s="65">
        <v>25272393.932399243</v>
      </c>
      <c r="M77" s="63">
        <v>3976300</v>
      </c>
      <c r="N77" s="1"/>
    </row>
    <row r="78" spans="1:14" ht="16" hidden="1" customHeight="1" outlineLevel="1" x14ac:dyDescent="0.45">
      <c r="A78" s="29" t="s">
        <v>42</v>
      </c>
      <c r="B78" s="44">
        <v>329691690</v>
      </c>
      <c r="C78" s="63">
        <v>19329063.513483286</v>
      </c>
      <c r="D78" s="63">
        <v>8133690</v>
      </c>
      <c r="E78" s="64">
        <v>302228936.48651671</v>
      </c>
      <c r="F78" s="63">
        <v>188459643.96873248</v>
      </c>
      <c r="G78" s="63">
        <v>55914868.951946735</v>
      </c>
      <c r="H78" s="65">
        <v>20361827.079320803</v>
      </c>
      <c r="I78" s="65">
        <v>1922537.0795267012</v>
      </c>
      <c r="J78" s="65">
        <v>2481778.6740511861</v>
      </c>
      <c r="K78" s="65">
        <v>9963548.6006334797</v>
      </c>
      <c r="L78" s="65">
        <v>19524122.132305354</v>
      </c>
      <c r="M78" s="63">
        <v>3600610</v>
      </c>
      <c r="N78" s="1"/>
    </row>
    <row r="79" spans="1:14" ht="16" hidden="1" customHeight="1" outlineLevel="1" x14ac:dyDescent="0.45">
      <c r="A79" s="29" t="s">
        <v>43</v>
      </c>
      <c r="B79" s="44">
        <v>153519490</v>
      </c>
      <c r="C79" s="63">
        <v>9288212.6632288098</v>
      </c>
      <c r="D79" s="63">
        <v>3685440</v>
      </c>
      <c r="E79" s="64">
        <v>140545837.33677119</v>
      </c>
      <c r="F79" s="63">
        <v>83683079.579835415</v>
      </c>
      <c r="G79" s="63">
        <v>26272141.248268511</v>
      </c>
      <c r="H79" s="65">
        <v>9878531.1718960665</v>
      </c>
      <c r="I79" s="65">
        <v>874332.36830494052</v>
      </c>
      <c r="J79" s="65">
        <v>1096838.063122961</v>
      </c>
      <c r="K79" s="65">
        <v>4415765.6199547527</v>
      </c>
      <c r="L79" s="65">
        <v>12601507.285388555</v>
      </c>
      <c r="M79" s="63">
        <v>1723642</v>
      </c>
      <c r="N79" s="1"/>
    </row>
    <row r="80" spans="1:14" ht="16" hidden="1" customHeight="1" outlineLevel="1" x14ac:dyDescent="0.45">
      <c r="A80" s="29" t="s">
        <v>134</v>
      </c>
      <c r="B80" s="44">
        <v>1200000</v>
      </c>
      <c r="C80" s="63">
        <v>1200000</v>
      </c>
      <c r="D80" s="63">
        <v>0</v>
      </c>
      <c r="E80" s="64">
        <v>0</v>
      </c>
      <c r="F80" s="63">
        <v>0</v>
      </c>
      <c r="G80" s="63">
        <v>0</v>
      </c>
      <c r="H80" s="65">
        <v>0</v>
      </c>
      <c r="I80" s="65">
        <v>0</v>
      </c>
      <c r="J80" s="65">
        <v>0</v>
      </c>
      <c r="K80" s="65">
        <v>0</v>
      </c>
      <c r="L80" s="65">
        <v>0</v>
      </c>
      <c r="M80" s="63">
        <v>0</v>
      </c>
      <c r="N80" s="1"/>
    </row>
    <row r="81" spans="1:14" ht="16" hidden="1" customHeight="1" outlineLevel="1" x14ac:dyDescent="0.45">
      <c r="A81" s="24" t="s">
        <v>44</v>
      </c>
      <c r="B81" s="45">
        <v>770984228</v>
      </c>
      <c r="C81" s="63">
        <v>13280004.318287373</v>
      </c>
      <c r="D81" s="63">
        <v>800000</v>
      </c>
      <c r="E81" s="64">
        <v>756904223.68171263</v>
      </c>
      <c r="F81" s="63">
        <v>500843931.45351291</v>
      </c>
      <c r="G81" s="63">
        <v>168240646.54648712</v>
      </c>
      <c r="H81" s="65">
        <v>60622650</v>
      </c>
      <c r="I81" s="65">
        <v>3678843.3699220917</v>
      </c>
      <c r="J81" s="65">
        <v>2464699.4308434664</v>
      </c>
      <c r="K81" s="65">
        <v>9852457.9278417472</v>
      </c>
      <c r="L81" s="65">
        <v>7906994.9531052988</v>
      </c>
      <c r="M81" s="63">
        <v>3294000</v>
      </c>
      <c r="N81" s="1"/>
    </row>
    <row r="82" spans="1:14" ht="16" hidden="1" customHeight="1" outlineLevel="1" x14ac:dyDescent="0.45">
      <c r="A82" s="29" t="s">
        <v>45</v>
      </c>
      <c r="B82" s="44">
        <v>47200000</v>
      </c>
      <c r="C82" s="63">
        <v>3770000</v>
      </c>
      <c r="D82" s="63">
        <v>4720000</v>
      </c>
      <c r="E82" s="64">
        <v>38710000</v>
      </c>
      <c r="F82" s="63">
        <v>23442850.354448404</v>
      </c>
      <c r="G82" s="63">
        <v>6327149.6455515949</v>
      </c>
      <c r="H82" s="65">
        <v>1200000</v>
      </c>
      <c r="I82" s="65">
        <v>100000</v>
      </c>
      <c r="J82" s="65">
        <v>100000</v>
      </c>
      <c r="K82" s="65">
        <v>1400000</v>
      </c>
      <c r="L82" s="65">
        <v>5340000</v>
      </c>
      <c r="M82" s="63">
        <v>800000</v>
      </c>
      <c r="N82" s="1"/>
    </row>
    <row r="83" spans="1:14" ht="16" hidden="1" customHeight="1" outlineLevel="1" x14ac:dyDescent="0.45">
      <c r="A83" s="29" t="s">
        <v>46</v>
      </c>
      <c r="B83" s="44">
        <v>34511645</v>
      </c>
      <c r="C83" s="63">
        <v>33405502.050905854</v>
      </c>
      <c r="D83" s="63">
        <v>154000</v>
      </c>
      <c r="E83" s="64">
        <v>952142.949094143</v>
      </c>
      <c r="F83" s="63">
        <v>496025.1597156286</v>
      </c>
      <c r="G83" s="63">
        <v>53332.049938097451</v>
      </c>
      <c r="H83" s="65">
        <v>8142.7903462739023</v>
      </c>
      <c r="I83" s="65">
        <v>45846.113931545136</v>
      </c>
      <c r="J83" s="65">
        <v>61771.116636941988</v>
      </c>
      <c r="K83" s="65">
        <v>244169.02088219521</v>
      </c>
      <c r="L83" s="65">
        <v>42856.697643460604</v>
      </c>
      <c r="M83" s="63">
        <v>0</v>
      </c>
      <c r="N83" s="1"/>
    </row>
    <row r="84" spans="1:14" ht="16" hidden="1" customHeight="1" outlineLevel="1" x14ac:dyDescent="0.45">
      <c r="A84" s="29" t="s">
        <v>47</v>
      </c>
      <c r="B84" s="44">
        <v>9507850</v>
      </c>
      <c r="C84" s="63">
        <v>306935</v>
      </c>
      <c r="D84" s="63">
        <v>36000</v>
      </c>
      <c r="E84" s="64">
        <v>9164915</v>
      </c>
      <c r="F84" s="63">
        <v>7453009.2696157787</v>
      </c>
      <c r="G84" s="63">
        <v>1389990.7303842211</v>
      </c>
      <c r="H84" s="65">
        <v>231277</v>
      </c>
      <c r="I84" s="65">
        <v>0</v>
      </c>
      <c r="J84" s="65">
        <v>0</v>
      </c>
      <c r="K84" s="65">
        <v>36273</v>
      </c>
      <c r="L84" s="65">
        <v>33637</v>
      </c>
      <c r="M84" s="63">
        <v>20728</v>
      </c>
      <c r="N84" s="1"/>
    </row>
    <row r="85" spans="1:14" ht="16" hidden="1" customHeight="1" outlineLevel="1" x14ac:dyDescent="0.45">
      <c r="A85" s="29" t="s">
        <v>246</v>
      </c>
      <c r="B85" s="44">
        <v>8550000</v>
      </c>
      <c r="C85" s="63">
        <v>2250000</v>
      </c>
      <c r="D85" s="63">
        <v>0</v>
      </c>
      <c r="E85" s="64">
        <v>6300000</v>
      </c>
      <c r="F85" s="63">
        <v>1750000</v>
      </c>
      <c r="G85" s="63">
        <v>4550000</v>
      </c>
      <c r="H85" s="65">
        <v>0</v>
      </c>
      <c r="I85" s="65">
        <v>0</v>
      </c>
      <c r="J85" s="65">
        <v>0</v>
      </c>
      <c r="K85" s="65">
        <v>0</v>
      </c>
      <c r="L85" s="65">
        <v>0</v>
      </c>
      <c r="M85" s="63">
        <v>0</v>
      </c>
      <c r="N85" s="1"/>
    </row>
    <row r="86" spans="1:14" ht="16" hidden="1" customHeight="1" outlineLevel="1" x14ac:dyDescent="0.45">
      <c r="A86" s="29" t="s">
        <v>48</v>
      </c>
      <c r="B86" s="44">
        <v>69447650</v>
      </c>
      <c r="C86" s="63">
        <v>5639330.1973552331</v>
      </c>
      <c r="D86" s="63">
        <v>2633510</v>
      </c>
      <c r="E86" s="64">
        <v>61174809.802644767</v>
      </c>
      <c r="F86" s="63">
        <v>34896508.011872247</v>
      </c>
      <c r="G86" s="63">
        <v>13307871.988127757</v>
      </c>
      <c r="H86" s="65">
        <v>1519380</v>
      </c>
      <c r="I86" s="65">
        <v>1278773.8757702578</v>
      </c>
      <c r="J86" s="65">
        <v>1288452.6125205767</v>
      </c>
      <c r="K86" s="65">
        <v>3138617.0118961157</v>
      </c>
      <c r="L86" s="65">
        <v>4371136.3024578188</v>
      </c>
      <c r="M86" s="63">
        <v>1374070</v>
      </c>
      <c r="N86" s="1"/>
    </row>
    <row r="87" spans="1:14" ht="16" hidden="1" customHeight="1" outlineLevel="1" x14ac:dyDescent="0.45">
      <c r="A87" s="29" t="s">
        <v>49</v>
      </c>
      <c r="B87" s="44">
        <v>13566300</v>
      </c>
      <c r="C87" s="63">
        <v>1735600</v>
      </c>
      <c r="D87" s="63">
        <v>0</v>
      </c>
      <c r="E87" s="64">
        <v>11830700</v>
      </c>
      <c r="F87" s="63">
        <v>9145530.7567581963</v>
      </c>
      <c r="G87" s="63">
        <v>1359469.2432418037</v>
      </c>
      <c r="H87" s="65">
        <v>0</v>
      </c>
      <c r="I87" s="65">
        <v>0</v>
      </c>
      <c r="J87" s="65">
        <v>0</v>
      </c>
      <c r="K87" s="65">
        <v>284100</v>
      </c>
      <c r="L87" s="65">
        <v>632300</v>
      </c>
      <c r="M87" s="63">
        <v>409300</v>
      </c>
      <c r="N87" s="1"/>
    </row>
    <row r="88" spans="1:14" ht="16" hidden="1" customHeight="1" outlineLevel="1" x14ac:dyDescent="0.45">
      <c r="A88" s="29" t="s">
        <v>182</v>
      </c>
      <c r="B88" s="44">
        <v>0</v>
      </c>
      <c r="C88" s="63">
        <v>0</v>
      </c>
      <c r="D88" s="63">
        <v>0</v>
      </c>
      <c r="E88" s="64">
        <v>0</v>
      </c>
      <c r="F88" s="63">
        <v>0</v>
      </c>
      <c r="G88" s="63">
        <v>0</v>
      </c>
      <c r="H88" s="65">
        <v>0</v>
      </c>
      <c r="I88" s="65">
        <v>0</v>
      </c>
      <c r="J88" s="65">
        <v>0</v>
      </c>
      <c r="K88" s="65">
        <v>0</v>
      </c>
      <c r="L88" s="65">
        <v>0</v>
      </c>
      <c r="M88" s="63">
        <v>0</v>
      </c>
      <c r="N88" s="1"/>
    </row>
    <row r="89" spans="1:14" ht="16" hidden="1" customHeight="1" outlineLevel="1" x14ac:dyDescent="0.45">
      <c r="A89" s="29" t="s">
        <v>50</v>
      </c>
      <c r="B89" s="44">
        <v>700000</v>
      </c>
      <c r="C89" s="63">
        <v>0</v>
      </c>
      <c r="D89" s="63">
        <v>0</v>
      </c>
      <c r="E89" s="64">
        <v>700000</v>
      </c>
      <c r="F89" s="63">
        <v>0</v>
      </c>
      <c r="G89" s="63">
        <v>400000</v>
      </c>
      <c r="H89" s="65">
        <v>300000</v>
      </c>
      <c r="I89" s="65">
        <v>0</v>
      </c>
      <c r="J89" s="65">
        <v>0</v>
      </c>
      <c r="K89" s="65">
        <v>0</v>
      </c>
      <c r="L89" s="65">
        <v>0</v>
      </c>
      <c r="M89" s="63">
        <v>0</v>
      </c>
      <c r="N89" s="1"/>
    </row>
    <row r="90" spans="1:14" ht="16" hidden="1" customHeight="1" outlineLevel="1" x14ac:dyDescent="0.45">
      <c r="A90" s="29" t="s">
        <v>183</v>
      </c>
      <c r="B90" s="44">
        <v>2500000</v>
      </c>
      <c r="C90" s="63">
        <v>500000</v>
      </c>
      <c r="D90" s="63">
        <v>0</v>
      </c>
      <c r="E90" s="64">
        <v>2000000</v>
      </c>
      <c r="F90" s="63">
        <v>0</v>
      </c>
      <c r="G90" s="63">
        <v>0</v>
      </c>
      <c r="H90" s="65">
        <v>2000000</v>
      </c>
      <c r="I90" s="65">
        <v>0</v>
      </c>
      <c r="J90" s="65">
        <v>0</v>
      </c>
      <c r="K90" s="65">
        <v>0</v>
      </c>
      <c r="L90" s="65">
        <v>0</v>
      </c>
      <c r="M90" s="63">
        <v>0</v>
      </c>
      <c r="N90" s="1"/>
    </row>
    <row r="91" spans="1:14" ht="16" hidden="1" customHeight="1" outlineLevel="1" x14ac:dyDescent="0.45">
      <c r="A91" s="29" t="s">
        <v>51</v>
      </c>
      <c r="B91" s="44">
        <v>21400000</v>
      </c>
      <c r="C91" s="63">
        <v>2000000</v>
      </c>
      <c r="D91" s="63">
        <v>0</v>
      </c>
      <c r="E91" s="64">
        <v>19400000</v>
      </c>
      <c r="F91" s="63">
        <v>11800000</v>
      </c>
      <c r="G91" s="63">
        <v>4000000</v>
      </c>
      <c r="H91" s="65">
        <v>0</v>
      </c>
      <c r="I91" s="65">
        <v>800000</v>
      </c>
      <c r="J91" s="65">
        <v>700000</v>
      </c>
      <c r="K91" s="65">
        <v>1000000</v>
      </c>
      <c r="L91" s="65">
        <v>1100000</v>
      </c>
      <c r="M91" s="63">
        <v>0</v>
      </c>
      <c r="N91" s="1"/>
    </row>
    <row r="92" spans="1:14" ht="16" hidden="1" customHeight="1" outlineLevel="1" x14ac:dyDescent="0.45">
      <c r="A92" s="31" t="s">
        <v>227</v>
      </c>
      <c r="B92" s="47">
        <v>0</v>
      </c>
      <c r="C92" s="63">
        <v>0</v>
      </c>
      <c r="D92" s="63">
        <v>0</v>
      </c>
      <c r="E92" s="64">
        <v>0</v>
      </c>
      <c r="F92" s="63">
        <v>0</v>
      </c>
      <c r="G92" s="63">
        <v>0</v>
      </c>
      <c r="H92" s="65">
        <v>0</v>
      </c>
      <c r="I92" s="65">
        <v>0</v>
      </c>
      <c r="J92" s="65">
        <v>0</v>
      </c>
      <c r="K92" s="65">
        <v>0</v>
      </c>
      <c r="L92" s="65">
        <v>0</v>
      </c>
      <c r="M92" s="63">
        <v>0</v>
      </c>
      <c r="N92" s="1"/>
    </row>
    <row r="93" spans="1:14" ht="16" hidden="1" customHeight="1" outlineLevel="1" x14ac:dyDescent="0.45">
      <c r="A93" s="29" t="s">
        <v>184</v>
      </c>
      <c r="B93" s="44">
        <v>0</v>
      </c>
      <c r="C93" s="63">
        <v>0</v>
      </c>
      <c r="D93" s="63">
        <v>0</v>
      </c>
      <c r="E93" s="64">
        <v>0</v>
      </c>
      <c r="F93" s="63">
        <v>0</v>
      </c>
      <c r="G93" s="63">
        <v>0</v>
      </c>
      <c r="H93" s="65">
        <v>0</v>
      </c>
      <c r="I93" s="65">
        <v>0</v>
      </c>
      <c r="J93" s="65">
        <v>0</v>
      </c>
      <c r="K93" s="65">
        <v>0</v>
      </c>
      <c r="L93" s="65">
        <v>0</v>
      </c>
      <c r="M93" s="63">
        <v>0</v>
      </c>
      <c r="N93" s="1"/>
    </row>
    <row r="94" spans="1:14" ht="16" hidden="1" customHeight="1" outlineLevel="1" x14ac:dyDescent="0.45">
      <c r="A94" s="31" t="s">
        <v>185</v>
      </c>
      <c r="B94" s="47">
        <v>0</v>
      </c>
      <c r="C94" s="63">
        <v>0</v>
      </c>
      <c r="D94" s="63">
        <v>0</v>
      </c>
      <c r="E94" s="64">
        <v>0</v>
      </c>
      <c r="F94" s="63">
        <v>0</v>
      </c>
      <c r="G94" s="63">
        <v>0</v>
      </c>
      <c r="H94" s="65">
        <v>0</v>
      </c>
      <c r="I94" s="65">
        <v>0</v>
      </c>
      <c r="J94" s="65">
        <v>0</v>
      </c>
      <c r="K94" s="65">
        <v>0</v>
      </c>
      <c r="L94" s="65">
        <v>0</v>
      </c>
      <c r="M94" s="63">
        <v>0</v>
      </c>
      <c r="N94" s="1"/>
    </row>
    <row r="95" spans="1:14" ht="16" hidden="1" customHeight="1" outlineLevel="1" x14ac:dyDescent="0.45">
      <c r="A95" s="29" t="s">
        <v>186</v>
      </c>
      <c r="B95" s="44">
        <v>0</v>
      </c>
      <c r="C95" s="63">
        <v>0</v>
      </c>
      <c r="D95" s="63">
        <v>0</v>
      </c>
      <c r="E95" s="64">
        <v>0</v>
      </c>
      <c r="F95" s="63">
        <v>0</v>
      </c>
      <c r="G95" s="63">
        <v>0</v>
      </c>
      <c r="H95" s="65">
        <v>0</v>
      </c>
      <c r="I95" s="65">
        <v>0</v>
      </c>
      <c r="J95" s="65">
        <v>0</v>
      </c>
      <c r="K95" s="65">
        <v>0</v>
      </c>
      <c r="L95" s="65">
        <v>0</v>
      </c>
      <c r="M95" s="63">
        <v>0</v>
      </c>
      <c r="N95" s="1"/>
    </row>
    <row r="96" spans="1:14" ht="16" hidden="1" customHeight="1" outlineLevel="1" x14ac:dyDescent="0.45">
      <c r="A96" s="31" t="s">
        <v>228</v>
      </c>
      <c r="B96" s="47">
        <v>0</v>
      </c>
      <c r="C96" s="63">
        <v>0</v>
      </c>
      <c r="D96" s="63">
        <v>0</v>
      </c>
      <c r="E96" s="64">
        <v>0</v>
      </c>
      <c r="F96" s="63">
        <v>0</v>
      </c>
      <c r="G96" s="63">
        <v>0</v>
      </c>
      <c r="H96" s="65">
        <v>0</v>
      </c>
      <c r="I96" s="65">
        <v>0</v>
      </c>
      <c r="J96" s="65">
        <v>0</v>
      </c>
      <c r="K96" s="65">
        <v>0</v>
      </c>
      <c r="L96" s="65">
        <v>0</v>
      </c>
      <c r="M96" s="63">
        <v>0</v>
      </c>
      <c r="N96" s="1"/>
    </row>
    <row r="97" spans="1:14" ht="16" hidden="1" customHeight="1" outlineLevel="1" x14ac:dyDescent="0.45">
      <c r="A97" s="29" t="s">
        <v>135</v>
      </c>
      <c r="B97" s="44">
        <v>0</v>
      </c>
      <c r="C97" s="63">
        <v>0</v>
      </c>
      <c r="D97" s="63">
        <v>0</v>
      </c>
      <c r="E97" s="64">
        <v>0</v>
      </c>
      <c r="F97" s="63">
        <v>0</v>
      </c>
      <c r="G97" s="63">
        <v>0</v>
      </c>
      <c r="H97" s="65">
        <v>0</v>
      </c>
      <c r="I97" s="65">
        <v>0</v>
      </c>
      <c r="J97" s="65">
        <v>0</v>
      </c>
      <c r="K97" s="65">
        <v>0</v>
      </c>
      <c r="L97" s="65">
        <v>0</v>
      </c>
      <c r="M97" s="63">
        <v>0</v>
      </c>
      <c r="N97" s="1"/>
    </row>
    <row r="98" spans="1:14" ht="16" hidden="1" customHeight="1" outlineLevel="1" x14ac:dyDescent="0.45">
      <c r="A98" s="29" t="s">
        <v>52</v>
      </c>
      <c r="B98" s="44">
        <v>0</v>
      </c>
      <c r="C98" s="63">
        <v>0</v>
      </c>
      <c r="D98" s="63">
        <v>0</v>
      </c>
      <c r="E98" s="64">
        <v>0</v>
      </c>
      <c r="F98" s="63">
        <v>0</v>
      </c>
      <c r="G98" s="63">
        <v>0</v>
      </c>
      <c r="H98" s="65">
        <v>0</v>
      </c>
      <c r="I98" s="65">
        <v>0</v>
      </c>
      <c r="J98" s="65">
        <v>0</v>
      </c>
      <c r="K98" s="65">
        <v>0</v>
      </c>
      <c r="L98" s="65">
        <v>0</v>
      </c>
      <c r="M98" s="63">
        <v>0</v>
      </c>
      <c r="N98" s="1"/>
    </row>
    <row r="99" spans="1:14" ht="16" hidden="1" customHeight="1" outlineLevel="1" x14ac:dyDescent="0.45">
      <c r="A99" s="31" t="s">
        <v>187</v>
      </c>
      <c r="B99" s="47">
        <v>0</v>
      </c>
      <c r="C99" s="63">
        <v>0</v>
      </c>
      <c r="D99" s="63">
        <v>0</v>
      </c>
      <c r="E99" s="64">
        <v>0</v>
      </c>
      <c r="F99" s="63">
        <v>0</v>
      </c>
      <c r="G99" s="63">
        <v>0</v>
      </c>
      <c r="H99" s="65">
        <v>0</v>
      </c>
      <c r="I99" s="65">
        <v>0</v>
      </c>
      <c r="J99" s="65">
        <v>0</v>
      </c>
      <c r="K99" s="65">
        <v>0</v>
      </c>
      <c r="L99" s="65">
        <v>0</v>
      </c>
      <c r="M99" s="63">
        <v>0</v>
      </c>
      <c r="N99" s="1"/>
    </row>
    <row r="100" spans="1:14" ht="16" hidden="1" customHeight="1" outlineLevel="1" x14ac:dyDescent="0.45">
      <c r="A100" s="24" t="s">
        <v>114</v>
      </c>
      <c r="B100" s="44">
        <v>0</v>
      </c>
      <c r="C100" s="63">
        <v>0</v>
      </c>
      <c r="D100" s="63">
        <v>0</v>
      </c>
      <c r="E100" s="64">
        <v>0</v>
      </c>
      <c r="F100" s="63">
        <v>0</v>
      </c>
      <c r="G100" s="63">
        <v>0</v>
      </c>
      <c r="H100" s="65">
        <v>0</v>
      </c>
      <c r="I100" s="65">
        <v>0</v>
      </c>
      <c r="J100" s="65">
        <v>0</v>
      </c>
      <c r="K100" s="65">
        <v>0</v>
      </c>
      <c r="L100" s="65">
        <v>0</v>
      </c>
      <c r="M100" s="63">
        <v>0</v>
      </c>
      <c r="N100" s="1"/>
    </row>
    <row r="101" spans="1:14" ht="16" hidden="1" customHeight="1" outlineLevel="1" x14ac:dyDescent="0.45">
      <c r="A101" s="29" t="s">
        <v>188</v>
      </c>
      <c r="B101" s="44">
        <v>0</v>
      </c>
      <c r="C101" s="63">
        <v>0</v>
      </c>
      <c r="D101" s="63">
        <v>0</v>
      </c>
      <c r="E101" s="64">
        <v>0</v>
      </c>
      <c r="F101" s="63">
        <v>0</v>
      </c>
      <c r="G101" s="63">
        <v>0</v>
      </c>
      <c r="H101" s="65">
        <v>0</v>
      </c>
      <c r="I101" s="65">
        <v>0</v>
      </c>
      <c r="J101" s="65">
        <v>0</v>
      </c>
      <c r="K101" s="65">
        <v>0</v>
      </c>
      <c r="L101" s="65">
        <v>0</v>
      </c>
      <c r="M101" s="63">
        <v>0</v>
      </c>
      <c r="N101" s="1"/>
    </row>
    <row r="102" spans="1:14" ht="16" hidden="1" customHeight="1" outlineLevel="1" x14ac:dyDescent="0.45">
      <c r="A102" s="29" t="s">
        <v>259</v>
      </c>
      <c r="B102" s="44">
        <v>0</v>
      </c>
      <c r="C102" s="63">
        <v>0</v>
      </c>
      <c r="D102" s="63">
        <v>0</v>
      </c>
      <c r="E102" s="64">
        <v>0</v>
      </c>
      <c r="F102" s="63">
        <v>0</v>
      </c>
      <c r="G102" s="63">
        <v>0</v>
      </c>
      <c r="H102" s="65">
        <v>0</v>
      </c>
      <c r="I102" s="65">
        <v>0</v>
      </c>
      <c r="J102" s="65">
        <v>0</v>
      </c>
      <c r="K102" s="65">
        <v>0</v>
      </c>
      <c r="L102" s="65">
        <v>0</v>
      </c>
      <c r="M102" s="63">
        <v>0</v>
      </c>
      <c r="N102" s="1"/>
    </row>
    <row r="103" spans="1:14" ht="16" hidden="1" customHeight="1" outlineLevel="1" x14ac:dyDescent="0.45">
      <c r="A103" s="29" t="s">
        <v>189</v>
      </c>
      <c r="B103" s="44">
        <v>0</v>
      </c>
      <c r="C103" s="63">
        <v>0</v>
      </c>
      <c r="D103" s="63">
        <v>0</v>
      </c>
      <c r="E103" s="64">
        <v>0</v>
      </c>
      <c r="F103" s="63">
        <v>0</v>
      </c>
      <c r="G103" s="63">
        <v>0</v>
      </c>
      <c r="H103" s="65">
        <v>0</v>
      </c>
      <c r="I103" s="65">
        <v>0</v>
      </c>
      <c r="J103" s="65">
        <v>0</v>
      </c>
      <c r="K103" s="65">
        <v>0</v>
      </c>
      <c r="L103" s="65">
        <v>0</v>
      </c>
      <c r="M103" s="63">
        <v>0</v>
      </c>
      <c r="N103" s="1"/>
    </row>
    <row r="104" spans="1:14" ht="16" hidden="1" customHeight="1" outlineLevel="1" x14ac:dyDescent="0.45">
      <c r="A104" s="29" t="s">
        <v>115</v>
      </c>
      <c r="B104" s="44">
        <v>1889000</v>
      </c>
      <c r="C104" s="63">
        <v>0</v>
      </c>
      <c r="D104" s="63">
        <v>0</v>
      </c>
      <c r="E104" s="64">
        <v>1889000</v>
      </c>
      <c r="F104" s="63">
        <v>1889000</v>
      </c>
      <c r="G104" s="63">
        <v>0</v>
      </c>
      <c r="H104" s="65">
        <v>0</v>
      </c>
      <c r="I104" s="65">
        <v>0</v>
      </c>
      <c r="J104" s="65">
        <v>0</v>
      </c>
      <c r="K104" s="65">
        <v>0</v>
      </c>
      <c r="L104" s="65">
        <v>0</v>
      </c>
      <c r="M104" s="63">
        <v>0</v>
      </c>
      <c r="N104" s="1"/>
    </row>
    <row r="105" spans="1:14" ht="16" hidden="1" customHeight="1" outlineLevel="1" x14ac:dyDescent="0.45">
      <c r="A105" s="29" t="s">
        <v>53</v>
      </c>
      <c r="B105" s="44">
        <v>11750000</v>
      </c>
      <c r="C105" s="63">
        <v>4850000</v>
      </c>
      <c r="D105" s="63">
        <v>150000</v>
      </c>
      <c r="E105" s="64">
        <v>6750000</v>
      </c>
      <c r="F105" s="63">
        <v>3690799.9570793789</v>
      </c>
      <c r="G105" s="63">
        <v>1509200.0429206211</v>
      </c>
      <c r="H105" s="65">
        <v>900000</v>
      </c>
      <c r="I105" s="65">
        <v>30000</v>
      </c>
      <c r="J105" s="65">
        <v>70000</v>
      </c>
      <c r="K105" s="65">
        <v>150000</v>
      </c>
      <c r="L105" s="65">
        <v>250000</v>
      </c>
      <c r="M105" s="63">
        <v>150000</v>
      </c>
      <c r="N105" s="1"/>
    </row>
    <row r="106" spans="1:14" ht="16" hidden="1" customHeight="1" outlineLevel="1" x14ac:dyDescent="0.45">
      <c r="A106" s="29" t="s">
        <v>54</v>
      </c>
      <c r="B106" s="44">
        <v>5218599</v>
      </c>
      <c r="C106" s="63">
        <v>125500</v>
      </c>
      <c r="D106" s="63">
        <v>310600</v>
      </c>
      <c r="E106" s="64">
        <v>4782499</v>
      </c>
      <c r="F106" s="63">
        <v>3091049.2315952182</v>
      </c>
      <c r="G106" s="63">
        <v>975349.76840478182</v>
      </c>
      <c r="H106" s="65">
        <v>265000</v>
      </c>
      <c r="I106" s="65">
        <v>30000</v>
      </c>
      <c r="J106" s="65">
        <v>70000</v>
      </c>
      <c r="K106" s="65">
        <v>191900</v>
      </c>
      <c r="L106" s="65">
        <v>159200</v>
      </c>
      <c r="M106" s="63">
        <v>0</v>
      </c>
      <c r="N106" s="1"/>
    </row>
    <row r="107" spans="1:14" ht="16" hidden="1" customHeight="1" outlineLevel="1" x14ac:dyDescent="0.45">
      <c r="A107" s="29" t="s">
        <v>55</v>
      </c>
      <c r="B107" s="44">
        <v>2724550</v>
      </c>
      <c r="C107" s="63">
        <v>210000</v>
      </c>
      <c r="D107" s="63">
        <v>70000</v>
      </c>
      <c r="E107" s="64">
        <v>2444550</v>
      </c>
      <c r="F107" s="63">
        <v>1596002.8528688492</v>
      </c>
      <c r="G107" s="63">
        <v>428547.14713115082</v>
      </c>
      <c r="H107" s="65">
        <v>70000</v>
      </c>
      <c r="I107" s="65">
        <v>0</v>
      </c>
      <c r="J107" s="65">
        <v>0</v>
      </c>
      <c r="K107" s="65">
        <v>70000</v>
      </c>
      <c r="L107" s="65">
        <v>280000</v>
      </c>
      <c r="M107" s="63">
        <v>0</v>
      </c>
      <c r="N107" s="1"/>
    </row>
    <row r="108" spans="1:14" ht="16" hidden="1" customHeight="1" outlineLevel="1" x14ac:dyDescent="0.45">
      <c r="A108" s="29" t="s">
        <v>190</v>
      </c>
      <c r="B108" s="44">
        <v>0</v>
      </c>
      <c r="C108" s="63">
        <v>0</v>
      </c>
      <c r="D108" s="63">
        <v>0</v>
      </c>
      <c r="E108" s="64">
        <v>0</v>
      </c>
      <c r="F108" s="63">
        <v>0</v>
      </c>
      <c r="G108" s="63">
        <v>0</v>
      </c>
      <c r="H108" s="65">
        <v>0</v>
      </c>
      <c r="I108" s="65">
        <v>0</v>
      </c>
      <c r="J108" s="65">
        <v>0</v>
      </c>
      <c r="K108" s="65">
        <v>0</v>
      </c>
      <c r="L108" s="65">
        <v>0</v>
      </c>
      <c r="M108" s="63">
        <v>0</v>
      </c>
      <c r="N108" s="1"/>
    </row>
    <row r="109" spans="1:14" ht="16" hidden="1" customHeight="1" outlineLevel="1" x14ac:dyDescent="0.45">
      <c r="A109" s="30" t="s">
        <v>56</v>
      </c>
      <c r="B109" s="46">
        <v>427049812</v>
      </c>
      <c r="C109" s="63">
        <v>1344400</v>
      </c>
      <c r="D109" s="63">
        <v>0</v>
      </c>
      <c r="E109" s="64">
        <v>425705412</v>
      </c>
      <c r="F109" s="63">
        <v>195386480</v>
      </c>
      <c r="G109" s="63">
        <v>360000</v>
      </c>
      <c r="H109" s="65">
        <v>0</v>
      </c>
      <c r="I109" s="65">
        <v>0</v>
      </c>
      <c r="J109" s="65">
        <v>0</v>
      </c>
      <c r="K109" s="65">
        <v>2910000</v>
      </c>
      <c r="L109" s="65">
        <v>227048932</v>
      </c>
      <c r="M109" s="63">
        <v>0</v>
      </c>
      <c r="N109" s="1"/>
    </row>
    <row r="110" spans="1:14" ht="16" hidden="1" customHeight="1" outlineLevel="1" x14ac:dyDescent="0.45">
      <c r="A110" s="29" t="s">
        <v>229</v>
      </c>
      <c r="B110" s="44">
        <v>0</v>
      </c>
      <c r="C110" s="63">
        <v>0</v>
      </c>
      <c r="D110" s="63">
        <v>0</v>
      </c>
      <c r="E110" s="64">
        <v>0</v>
      </c>
      <c r="F110" s="63">
        <v>0</v>
      </c>
      <c r="G110" s="63">
        <v>0</v>
      </c>
      <c r="H110" s="65">
        <v>0</v>
      </c>
      <c r="I110" s="65">
        <v>0</v>
      </c>
      <c r="J110" s="65">
        <v>0</v>
      </c>
      <c r="K110" s="65">
        <v>0</v>
      </c>
      <c r="L110" s="65">
        <v>0</v>
      </c>
      <c r="M110" s="63">
        <v>0</v>
      </c>
      <c r="N110" s="1"/>
    </row>
    <row r="111" spans="1:14" ht="16" hidden="1" customHeight="1" outlineLevel="1" x14ac:dyDescent="0.45">
      <c r="A111" s="29" t="s">
        <v>253</v>
      </c>
      <c r="B111" s="44">
        <v>0</v>
      </c>
      <c r="C111" s="63">
        <v>0</v>
      </c>
      <c r="D111" s="63">
        <v>0</v>
      </c>
      <c r="E111" s="64">
        <v>0</v>
      </c>
      <c r="F111" s="63">
        <v>0</v>
      </c>
      <c r="G111" s="63">
        <v>0</v>
      </c>
      <c r="H111" s="65">
        <v>0</v>
      </c>
      <c r="I111" s="65">
        <v>0</v>
      </c>
      <c r="J111" s="65">
        <v>0</v>
      </c>
      <c r="K111" s="65">
        <v>0</v>
      </c>
      <c r="L111" s="65">
        <v>0</v>
      </c>
      <c r="M111" s="63">
        <v>0</v>
      </c>
      <c r="N111" s="1"/>
    </row>
    <row r="112" spans="1:14" ht="16" hidden="1" customHeight="1" outlineLevel="1" x14ac:dyDescent="0.45">
      <c r="A112" s="29" t="s">
        <v>255</v>
      </c>
      <c r="B112" s="44">
        <v>0</v>
      </c>
      <c r="C112" s="63">
        <v>0</v>
      </c>
      <c r="D112" s="63">
        <v>0</v>
      </c>
      <c r="E112" s="64">
        <v>0</v>
      </c>
      <c r="F112" s="63">
        <v>0</v>
      </c>
      <c r="G112" s="63">
        <v>0</v>
      </c>
      <c r="H112" s="65">
        <v>0</v>
      </c>
      <c r="I112" s="65">
        <v>0</v>
      </c>
      <c r="J112" s="65">
        <v>0</v>
      </c>
      <c r="K112" s="65">
        <v>0</v>
      </c>
      <c r="L112" s="65">
        <v>0</v>
      </c>
      <c r="M112" s="63">
        <v>0</v>
      </c>
      <c r="N112" s="1"/>
    </row>
    <row r="113" spans="1:14" ht="16" hidden="1" customHeight="1" outlineLevel="1" x14ac:dyDescent="0.45">
      <c r="A113" s="29" t="s">
        <v>254</v>
      </c>
      <c r="B113" s="44">
        <v>0</v>
      </c>
      <c r="C113" s="63">
        <v>0</v>
      </c>
      <c r="D113" s="63">
        <v>0</v>
      </c>
      <c r="E113" s="64">
        <v>0</v>
      </c>
      <c r="F113" s="63">
        <v>0</v>
      </c>
      <c r="G113" s="63">
        <v>0</v>
      </c>
      <c r="H113" s="65">
        <v>0</v>
      </c>
      <c r="I113" s="65">
        <v>0</v>
      </c>
      <c r="J113" s="65">
        <v>0</v>
      </c>
      <c r="K113" s="65">
        <v>0</v>
      </c>
      <c r="L113" s="65">
        <v>0</v>
      </c>
      <c r="M113" s="63">
        <v>0</v>
      </c>
      <c r="N113" s="1"/>
    </row>
    <row r="114" spans="1:14" ht="16" hidden="1" customHeight="1" outlineLevel="1" x14ac:dyDescent="0.45">
      <c r="A114" s="29" t="s">
        <v>269</v>
      </c>
      <c r="B114" s="44">
        <v>24861760</v>
      </c>
      <c r="C114" s="63">
        <v>24861760</v>
      </c>
      <c r="D114" s="63">
        <v>0</v>
      </c>
      <c r="E114" s="64">
        <v>0</v>
      </c>
      <c r="F114" s="63">
        <v>0</v>
      </c>
      <c r="G114" s="63">
        <v>0</v>
      </c>
      <c r="H114" s="65">
        <v>0</v>
      </c>
      <c r="I114" s="65">
        <v>0</v>
      </c>
      <c r="J114" s="65">
        <v>0</v>
      </c>
      <c r="K114" s="65">
        <v>0</v>
      </c>
      <c r="L114" s="65">
        <v>0</v>
      </c>
      <c r="M114" s="63">
        <v>0</v>
      </c>
      <c r="N114" s="1"/>
    </row>
    <row r="115" spans="1:14" ht="16" customHeight="1" collapsed="1" x14ac:dyDescent="0.45">
      <c r="A115" s="28" t="s">
        <v>57</v>
      </c>
      <c r="B115" s="43">
        <v>44896455</v>
      </c>
      <c r="C115" s="60">
        <v>13386963.363889754</v>
      </c>
      <c r="D115" s="60">
        <v>4288600</v>
      </c>
      <c r="E115" s="61">
        <v>27220891.636110246</v>
      </c>
      <c r="F115" s="60">
        <v>14129847.467321679</v>
      </c>
      <c r="G115" s="60">
        <v>6300671.5326783201</v>
      </c>
      <c r="H115" s="62">
        <v>1286783</v>
      </c>
      <c r="I115" s="62">
        <v>219824.08781301961</v>
      </c>
      <c r="J115" s="62">
        <v>224278.63402431944</v>
      </c>
      <c r="K115" s="62">
        <v>1113599.0268201944</v>
      </c>
      <c r="L115" s="62">
        <v>2199487.887452716</v>
      </c>
      <c r="M115" s="60">
        <v>1746400</v>
      </c>
      <c r="N115" s="1"/>
    </row>
    <row r="116" spans="1:14" s="1" customFormat="1" ht="16" hidden="1" customHeight="1" outlineLevel="1" collapsed="1" x14ac:dyDescent="0.45">
      <c r="A116" s="29" t="s">
        <v>58</v>
      </c>
      <c r="B116" s="44">
        <v>24455214</v>
      </c>
      <c r="C116" s="63">
        <v>6518008</v>
      </c>
      <c r="D116" s="63">
        <v>1379600</v>
      </c>
      <c r="E116" s="64">
        <v>16557606</v>
      </c>
      <c r="F116" s="63">
        <v>9596427.1403665971</v>
      </c>
      <c r="G116" s="63">
        <v>3965745.8596334029</v>
      </c>
      <c r="H116" s="65">
        <v>538633</v>
      </c>
      <c r="I116" s="65">
        <v>0</v>
      </c>
      <c r="J116" s="65">
        <v>0</v>
      </c>
      <c r="K116" s="65">
        <v>461300</v>
      </c>
      <c r="L116" s="65">
        <v>1195100</v>
      </c>
      <c r="M116" s="63">
        <v>800400</v>
      </c>
    </row>
    <row r="117" spans="1:14" ht="16" hidden="1" customHeight="1" outlineLevel="1" x14ac:dyDescent="0.45">
      <c r="A117" s="29" t="s">
        <v>266</v>
      </c>
      <c r="B117" s="44">
        <v>553400</v>
      </c>
      <c r="C117" s="63">
        <v>3400</v>
      </c>
      <c r="D117" s="63">
        <v>320000</v>
      </c>
      <c r="E117" s="64">
        <v>230000</v>
      </c>
      <c r="F117" s="63">
        <v>190953.7192275105</v>
      </c>
      <c r="G117" s="63">
        <v>39046.280772489496</v>
      </c>
      <c r="H117" s="65">
        <v>0</v>
      </c>
      <c r="I117" s="65">
        <v>0</v>
      </c>
      <c r="J117" s="65">
        <v>0</v>
      </c>
      <c r="K117" s="65">
        <v>0</v>
      </c>
      <c r="L117" s="65">
        <v>0</v>
      </c>
      <c r="M117" s="63">
        <v>0</v>
      </c>
      <c r="N117" s="1"/>
    </row>
    <row r="118" spans="1:14" ht="16" hidden="1" customHeight="1" outlineLevel="1" x14ac:dyDescent="0.45">
      <c r="A118" s="29" t="s">
        <v>296</v>
      </c>
      <c r="B118" s="44">
        <v>0</v>
      </c>
      <c r="C118" s="63">
        <v>0</v>
      </c>
      <c r="D118" s="63">
        <v>0</v>
      </c>
      <c r="E118" s="64">
        <v>0</v>
      </c>
      <c r="F118" s="63">
        <v>0</v>
      </c>
      <c r="G118" s="63">
        <v>0</v>
      </c>
      <c r="H118" s="65">
        <v>0</v>
      </c>
      <c r="I118" s="65">
        <v>0</v>
      </c>
      <c r="J118" s="65">
        <v>0</v>
      </c>
      <c r="K118" s="65">
        <v>0</v>
      </c>
      <c r="L118" s="65">
        <v>0</v>
      </c>
      <c r="M118" s="63">
        <v>0</v>
      </c>
      <c r="N118" s="1"/>
    </row>
    <row r="119" spans="1:14" ht="16" hidden="1" customHeight="1" outlineLevel="1" x14ac:dyDescent="0.45">
      <c r="A119" s="29" t="s">
        <v>270</v>
      </c>
      <c r="B119" s="44">
        <v>8246340</v>
      </c>
      <c r="C119" s="63">
        <v>1514910.3638897501</v>
      </c>
      <c r="D119" s="63">
        <v>289000</v>
      </c>
      <c r="E119" s="64">
        <v>6442429.6361102499</v>
      </c>
      <c r="F119" s="63">
        <v>3542466.6077275723</v>
      </c>
      <c r="G119" s="63">
        <v>1899173.3922724274</v>
      </c>
      <c r="H119" s="65">
        <v>154000</v>
      </c>
      <c r="I119" s="65">
        <v>69824.087813019622</v>
      </c>
      <c r="J119" s="65">
        <v>74278.634024319443</v>
      </c>
      <c r="K119" s="65">
        <v>352299.02682019444</v>
      </c>
      <c r="L119" s="65">
        <v>304387.88745271624</v>
      </c>
      <c r="M119" s="63">
        <v>46000</v>
      </c>
      <c r="N119" s="1"/>
    </row>
    <row r="120" spans="1:14" ht="16" hidden="1" customHeight="1" outlineLevel="1" x14ac:dyDescent="0.45">
      <c r="A120" s="29" t="s">
        <v>271</v>
      </c>
      <c r="B120" s="44">
        <v>1847520</v>
      </c>
      <c r="C120" s="63">
        <v>1847520</v>
      </c>
      <c r="D120" s="63">
        <v>0</v>
      </c>
      <c r="E120" s="64">
        <v>0</v>
      </c>
      <c r="F120" s="63">
        <v>0</v>
      </c>
      <c r="G120" s="63">
        <v>0</v>
      </c>
      <c r="H120" s="65">
        <v>0</v>
      </c>
      <c r="I120" s="65">
        <v>0</v>
      </c>
      <c r="J120" s="65">
        <v>0</v>
      </c>
      <c r="K120" s="65">
        <v>0</v>
      </c>
      <c r="L120" s="65">
        <v>0</v>
      </c>
      <c r="M120" s="63">
        <v>0</v>
      </c>
      <c r="N120" s="1"/>
    </row>
    <row r="121" spans="1:14" ht="16" hidden="1" customHeight="1" outlineLevel="1" x14ac:dyDescent="0.45">
      <c r="A121" s="29" t="s">
        <v>297</v>
      </c>
      <c r="B121" s="44">
        <v>9793981</v>
      </c>
      <c r="C121" s="63">
        <v>3503125</v>
      </c>
      <c r="D121" s="63">
        <v>2300000</v>
      </c>
      <c r="E121" s="64">
        <v>3990856</v>
      </c>
      <c r="F121" s="63">
        <v>800000</v>
      </c>
      <c r="G121" s="63">
        <v>396706</v>
      </c>
      <c r="H121" s="65">
        <v>594150</v>
      </c>
      <c r="I121" s="65">
        <v>150000</v>
      </c>
      <c r="J121" s="65">
        <v>150000</v>
      </c>
      <c r="K121" s="65">
        <v>300000</v>
      </c>
      <c r="L121" s="65">
        <v>700000</v>
      </c>
      <c r="M121" s="63">
        <v>900000</v>
      </c>
      <c r="N121" s="1"/>
    </row>
    <row r="122" spans="1:14" s="1" customFormat="1" collapsed="1" x14ac:dyDescent="0.45">
      <c r="A122" s="28" t="s">
        <v>136</v>
      </c>
      <c r="B122" s="43">
        <v>26696590</v>
      </c>
      <c r="C122" s="60">
        <v>23696590</v>
      </c>
      <c r="D122" s="60">
        <v>800000</v>
      </c>
      <c r="E122" s="61">
        <v>2200000</v>
      </c>
      <c r="F122" s="60">
        <v>1411099.2303539966</v>
      </c>
      <c r="G122" s="60">
        <v>188900.76964600346</v>
      </c>
      <c r="H122" s="62">
        <v>0</v>
      </c>
      <c r="I122" s="62">
        <v>0</v>
      </c>
      <c r="J122" s="62">
        <v>0</v>
      </c>
      <c r="K122" s="62">
        <v>500000</v>
      </c>
      <c r="L122" s="62">
        <v>100000</v>
      </c>
      <c r="M122" s="60">
        <v>0</v>
      </c>
    </row>
    <row r="123" spans="1:14" ht="16" hidden="1" customHeight="1" outlineLevel="1" x14ac:dyDescent="0.45">
      <c r="A123" s="29" t="s">
        <v>137</v>
      </c>
      <c r="B123" s="44">
        <v>0</v>
      </c>
      <c r="C123" s="63">
        <v>0</v>
      </c>
      <c r="D123" s="63">
        <v>0</v>
      </c>
      <c r="E123" s="64">
        <v>0</v>
      </c>
      <c r="F123" s="63">
        <v>0</v>
      </c>
      <c r="G123" s="63">
        <v>0</v>
      </c>
      <c r="H123" s="65">
        <v>0</v>
      </c>
      <c r="I123" s="65">
        <v>0</v>
      </c>
      <c r="J123" s="65">
        <v>0</v>
      </c>
      <c r="K123" s="65">
        <v>0</v>
      </c>
      <c r="L123" s="65">
        <v>0</v>
      </c>
      <c r="M123" s="63">
        <v>0</v>
      </c>
      <c r="N123" s="1"/>
    </row>
    <row r="124" spans="1:14" ht="16" hidden="1" customHeight="1" outlineLevel="1" x14ac:dyDescent="0.45">
      <c r="A124" s="29" t="s">
        <v>191</v>
      </c>
      <c r="B124" s="44">
        <v>0</v>
      </c>
      <c r="C124" s="63">
        <v>0</v>
      </c>
      <c r="D124" s="63">
        <v>0</v>
      </c>
      <c r="E124" s="64">
        <v>0</v>
      </c>
      <c r="F124" s="63">
        <v>0</v>
      </c>
      <c r="G124" s="63">
        <v>0</v>
      </c>
      <c r="H124" s="65">
        <v>0</v>
      </c>
      <c r="I124" s="65">
        <v>0</v>
      </c>
      <c r="J124" s="65">
        <v>0</v>
      </c>
      <c r="K124" s="65">
        <v>0</v>
      </c>
      <c r="L124" s="65">
        <v>0</v>
      </c>
      <c r="M124" s="63">
        <v>0</v>
      </c>
      <c r="N124" s="1"/>
    </row>
    <row r="125" spans="1:14" ht="16" hidden="1" customHeight="1" outlineLevel="1" x14ac:dyDescent="0.45">
      <c r="A125" s="29" t="s">
        <v>138</v>
      </c>
      <c r="B125" s="44">
        <v>26696590</v>
      </c>
      <c r="C125" s="63">
        <v>23696590</v>
      </c>
      <c r="D125" s="63">
        <v>800000</v>
      </c>
      <c r="E125" s="64">
        <v>2200000</v>
      </c>
      <c r="F125" s="63">
        <v>1411099.2303539966</v>
      </c>
      <c r="G125" s="63">
        <v>188900.76964600346</v>
      </c>
      <c r="H125" s="65">
        <v>0</v>
      </c>
      <c r="I125" s="65">
        <v>0</v>
      </c>
      <c r="J125" s="65">
        <v>0</v>
      </c>
      <c r="K125" s="65">
        <v>500000</v>
      </c>
      <c r="L125" s="65">
        <v>100000</v>
      </c>
      <c r="M125" s="63">
        <v>0</v>
      </c>
      <c r="N125" s="1"/>
    </row>
    <row r="126" spans="1:14" s="1" customFormat="1" collapsed="1" x14ac:dyDescent="0.45">
      <c r="A126" s="28" t="s">
        <v>59</v>
      </c>
      <c r="B126" s="43">
        <v>79709526</v>
      </c>
      <c r="C126" s="60">
        <v>31720233</v>
      </c>
      <c r="D126" s="60">
        <v>1209207</v>
      </c>
      <c r="E126" s="61">
        <v>46780086</v>
      </c>
      <c r="F126" s="60">
        <v>12937909.351438288</v>
      </c>
      <c r="G126" s="60">
        <v>10111847.648561712</v>
      </c>
      <c r="H126" s="62">
        <v>8494438</v>
      </c>
      <c r="I126" s="62">
        <v>384909.5</v>
      </c>
      <c r="J126" s="62">
        <v>12079772.5</v>
      </c>
      <c r="K126" s="62">
        <v>1471752</v>
      </c>
      <c r="L126" s="62">
        <v>419148</v>
      </c>
      <c r="M126" s="60">
        <v>880309</v>
      </c>
    </row>
    <row r="127" spans="1:14" ht="16" hidden="1" customHeight="1" outlineLevel="1" x14ac:dyDescent="0.45">
      <c r="A127" s="29" t="s">
        <v>60</v>
      </c>
      <c r="B127" s="44">
        <v>33491891</v>
      </c>
      <c r="C127" s="63">
        <v>13887329</v>
      </c>
      <c r="D127" s="63">
        <v>650116</v>
      </c>
      <c r="E127" s="64">
        <v>18954446</v>
      </c>
      <c r="F127" s="63">
        <v>8705195.6980014406</v>
      </c>
      <c r="G127" s="63">
        <v>8951151.3019985594</v>
      </c>
      <c r="H127" s="65">
        <v>744851</v>
      </c>
      <c r="I127" s="65">
        <v>0</v>
      </c>
      <c r="J127" s="65">
        <v>0</v>
      </c>
      <c r="K127" s="65">
        <v>410978</v>
      </c>
      <c r="L127" s="65">
        <v>69448</v>
      </c>
      <c r="M127" s="63">
        <v>72822</v>
      </c>
      <c r="N127" s="1"/>
    </row>
    <row r="128" spans="1:14" ht="16" hidden="1" customHeight="1" outlineLevel="1" x14ac:dyDescent="0.45">
      <c r="A128" s="29" t="s">
        <v>61</v>
      </c>
      <c r="B128" s="44">
        <v>26022182</v>
      </c>
      <c r="C128" s="63">
        <v>11082104</v>
      </c>
      <c r="D128" s="63">
        <v>0</v>
      </c>
      <c r="E128" s="64">
        <v>14940078</v>
      </c>
      <c r="F128" s="63">
        <v>0</v>
      </c>
      <c r="G128" s="63">
        <v>0</v>
      </c>
      <c r="H128" s="65">
        <v>2629337</v>
      </c>
      <c r="I128" s="65">
        <v>0</v>
      </c>
      <c r="J128" s="65">
        <v>11594863</v>
      </c>
      <c r="K128" s="65">
        <v>173297</v>
      </c>
      <c r="L128" s="65">
        <v>0</v>
      </c>
      <c r="M128" s="63">
        <v>542581</v>
      </c>
      <c r="N128" s="1"/>
    </row>
    <row r="129" spans="1:14" ht="16" hidden="1" customHeight="1" outlineLevel="1" x14ac:dyDescent="0.45">
      <c r="A129" s="29" t="s">
        <v>62</v>
      </c>
      <c r="B129" s="44">
        <v>13886573</v>
      </c>
      <c r="C129" s="63">
        <v>6408330</v>
      </c>
      <c r="D129" s="63">
        <v>549871</v>
      </c>
      <c r="E129" s="64">
        <v>6928372</v>
      </c>
      <c r="F129" s="63">
        <v>0</v>
      </c>
      <c r="G129" s="63">
        <v>0</v>
      </c>
      <c r="H129" s="65">
        <v>5095470</v>
      </c>
      <c r="I129" s="65">
        <v>384909.5</v>
      </c>
      <c r="J129" s="65">
        <v>384909.5</v>
      </c>
      <c r="K129" s="65">
        <v>806477</v>
      </c>
      <c r="L129" s="65">
        <v>0</v>
      </c>
      <c r="M129" s="63">
        <v>256606</v>
      </c>
      <c r="N129" s="1"/>
    </row>
    <row r="130" spans="1:14" ht="16" hidden="1" customHeight="1" outlineLevel="1" x14ac:dyDescent="0.45">
      <c r="A130" s="29" t="s">
        <v>63</v>
      </c>
      <c r="B130" s="44">
        <v>6308880</v>
      </c>
      <c r="C130" s="63">
        <v>342470</v>
      </c>
      <c r="D130" s="63">
        <v>9220</v>
      </c>
      <c r="E130" s="64">
        <v>5957190</v>
      </c>
      <c r="F130" s="63">
        <v>4232713.653436847</v>
      </c>
      <c r="G130" s="63">
        <v>1160696.3465631525</v>
      </c>
      <c r="H130" s="65">
        <v>24780</v>
      </c>
      <c r="I130" s="65">
        <v>0</v>
      </c>
      <c r="J130" s="65">
        <v>100000</v>
      </c>
      <c r="K130" s="65">
        <v>81000</v>
      </c>
      <c r="L130" s="65">
        <v>349700</v>
      </c>
      <c r="M130" s="63">
        <v>8300</v>
      </c>
      <c r="N130" s="1"/>
    </row>
    <row r="131" spans="1:14" ht="16" hidden="1" customHeight="1" outlineLevel="1" x14ac:dyDescent="0.45">
      <c r="A131" s="24" t="s">
        <v>192</v>
      </c>
      <c r="B131" s="45">
        <v>0</v>
      </c>
      <c r="C131" s="63">
        <v>0</v>
      </c>
      <c r="D131" s="63">
        <v>0</v>
      </c>
      <c r="E131" s="64">
        <v>0</v>
      </c>
      <c r="F131" s="63">
        <v>0</v>
      </c>
      <c r="G131" s="63">
        <v>0</v>
      </c>
      <c r="H131" s="65">
        <v>0</v>
      </c>
      <c r="I131" s="65">
        <v>0</v>
      </c>
      <c r="J131" s="65">
        <v>0</v>
      </c>
      <c r="K131" s="65">
        <v>0</v>
      </c>
      <c r="L131" s="65">
        <v>0</v>
      </c>
      <c r="M131" s="63">
        <v>0</v>
      </c>
      <c r="N131" s="1"/>
    </row>
    <row r="132" spans="1:14" ht="16" hidden="1" customHeight="1" outlineLevel="1" x14ac:dyDescent="0.45">
      <c r="A132" s="29" t="s">
        <v>193</v>
      </c>
      <c r="B132" s="44">
        <v>0</v>
      </c>
      <c r="C132" s="63">
        <v>0</v>
      </c>
      <c r="D132" s="63">
        <v>0</v>
      </c>
      <c r="E132" s="64">
        <v>0</v>
      </c>
      <c r="F132" s="63">
        <v>0</v>
      </c>
      <c r="G132" s="63">
        <v>0</v>
      </c>
      <c r="H132" s="65">
        <v>0</v>
      </c>
      <c r="I132" s="65">
        <v>0</v>
      </c>
      <c r="J132" s="65">
        <v>0</v>
      </c>
      <c r="K132" s="65">
        <v>0</v>
      </c>
      <c r="L132" s="65">
        <v>0</v>
      </c>
      <c r="M132" s="63">
        <v>0</v>
      </c>
      <c r="N132" s="1"/>
    </row>
    <row r="133" spans="1:14" s="1" customFormat="1" collapsed="1" x14ac:dyDescent="0.45">
      <c r="A133" s="28" t="s">
        <v>64</v>
      </c>
      <c r="B133" s="43">
        <v>52352583</v>
      </c>
      <c r="C133" s="60">
        <v>714424</v>
      </c>
      <c r="D133" s="60">
        <v>0</v>
      </c>
      <c r="E133" s="61">
        <v>51638159</v>
      </c>
      <c r="F133" s="60">
        <v>47818677.233441725</v>
      </c>
      <c r="G133" s="60">
        <v>3711815.7665582709</v>
      </c>
      <c r="H133" s="62">
        <v>0</v>
      </c>
      <c r="I133" s="62">
        <v>0</v>
      </c>
      <c r="J133" s="62">
        <v>0</v>
      </c>
      <c r="K133" s="62">
        <v>0</v>
      </c>
      <c r="L133" s="62">
        <v>0</v>
      </c>
      <c r="M133" s="60">
        <v>107666</v>
      </c>
    </row>
    <row r="134" spans="1:14" ht="16" hidden="1" customHeight="1" outlineLevel="1" x14ac:dyDescent="0.45">
      <c r="A134" s="29" t="s">
        <v>65</v>
      </c>
      <c r="B134" s="44">
        <v>52352583</v>
      </c>
      <c r="C134" s="63">
        <v>714424</v>
      </c>
      <c r="D134" s="63">
        <v>0</v>
      </c>
      <c r="E134" s="64">
        <v>51638159</v>
      </c>
      <c r="F134" s="63">
        <v>47818677.233441725</v>
      </c>
      <c r="G134" s="63">
        <v>3711815.7665582709</v>
      </c>
      <c r="H134" s="65">
        <v>0</v>
      </c>
      <c r="I134" s="65">
        <v>0</v>
      </c>
      <c r="J134" s="65">
        <v>0</v>
      </c>
      <c r="K134" s="65">
        <v>0</v>
      </c>
      <c r="L134" s="65">
        <v>0</v>
      </c>
      <c r="M134" s="63">
        <v>107666</v>
      </c>
      <c r="N134" s="1"/>
    </row>
    <row r="135" spans="1:14" ht="16" hidden="1" customHeight="1" outlineLevel="1" x14ac:dyDescent="0.45">
      <c r="A135" s="29" t="s">
        <v>261</v>
      </c>
      <c r="B135" s="44">
        <v>0</v>
      </c>
      <c r="C135" s="63">
        <v>0</v>
      </c>
      <c r="D135" s="63">
        <v>0</v>
      </c>
      <c r="E135" s="64">
        <v>0</v>
      </c>
      <c r="F135" s="63">
        <v>0</v>
      </c>
      <c r="G135" s="63">
        <v>0</v>
      </c>
      <c r="H135" s="65">
        <v>0</v>
      </c>
      <c r="I135" s="65">
        <v>0</v>
      </c>
      <c r="J135" s="65">
        <v>0</v>
      </c>
      <c r="K135" s="65">
        <v>0</v>
      </c>
      <c r="L135" s="65">
        <v>0</v>
      </c>
      <c r="M135" s="63">
        <v>0</v>
      </c>
      <c r="N135" s="1"/>
    </row>
    <row r="136" spans="1:14" s="1" customFormat="1" collapsed="1" x14ac:dyDescent="0.45">
      <c r="A136" s="28" t="s">
        <v>139</v>
      </c>
      <c r="B136" s="43">
        <v>15828280</v>
      </c>
      <c r="C136" s="60">
        <v>15201750</v>
      </c>
      <c r="D136" s="60">
        <v>0</v>
      </c>
      <c r="E136" s="61">
        <v>626530</v>
      </c>
      <c r="F136" s="60">
        <v>626530</v>
      </c>
      <c r="G136" s="60">
        <v>0</v>
      </c>
      <c r="H136" s="62">
        <v>0</v>
      </c>
      <c r="I136" s="62">
        <v>0</v>
      </c>
      <c r="J136" s="62">
        <v>0</v>
      </c>
      <c r="K136" s="62">
        <v>0</v>
      </c>
      <c r="L136" s="62">
        <v>0</v>
      </c>
      <c r="M136" s="60">
        <v>0</v>
      </c>
    </row>
    <row r="137" spans="1:14" ht="16" hidden="1" customHeight="1" outlineLevel="1" x14ac:dyDescent="0.45">
      <c r="A137" s="29" t="s">
        <v>140</v>
      </c>
      <c r="B137" s="43">
        <v>0</v>
      </c>
      <c r="C137" s="60">
        <v>0</v>
      </c>
      <c r="D137" s="60">
        <v>0</v>
      </c>
      <c r="E137" s="64">
        <v>0</v>
      </c>
      <c r="F137" s="63">
        <v>0</v>
      </c>
      <c r="G137" s="63">
        <v>0</v>
      </c>
      <c r="H137" s="65">
        <v>0</v>
      </c>
      <c r="I137" s="65">
        <v>0</v>
      </c>
      <c r="J137" s="65">
        <v>0</v>
      </c>
      <c r="K137" s="65">
        <v>0</v>
      </c>
      <c r="L137" s="65">
        <v>0</v>
      </c>
      <c r="M137" s="63">
        <v>0</v>
      </c>
      <c r="N137" s="1"/>
    </row>
    <row r="138" spans="1:14" ht="16" hidden="1" customHeight="1" outlineLevel="1" x14ac:dyDescent="0.45">
      <c r="A138" s="29" t="s">
        <v>194</v>
      </c>
      <c r="B138" s="43">
        <v>0</v>
      </c>
      <c r="C138" s="60">
        <v>0</v>
      </c>
      <c r="D138" s="60">
        <v>0</v>
      </c>
      <c r="E138" s="64">
        <v>0</v>
      </c>
      <c r="F138" s="63">
        <v>0</v>
      </c>
      <c r="G138" s="63">
        <v>0</v>
      </c>
      <c r="H138" s="65">
        <v>0</v>
      </c>
      <c r="I138" s="65">
        <v>0</v>
      </c>
      <c r="J138" s="65">
        <v>0</v>
      </c>
      <c r="K138" s="65">
        <v>0</v>
      </c>
      <c r="L138" s="65">
        <v>0</v>
      </c>
      <c r="M138" s="63">
        <v>0</v>
      </c>
      <c r="N138" s="1"/>
    </row>
    <row r="139" spans="1:14" ht="16" hidden="1" customHeight="1" outlineLevel="1" x14ac:dyDescent="0.45">
      <c r="A139" s="29" t="s">
        <v>195</v>
      </c>
      <c r="B139" s="44">
        <v>626530</v>
      </c>
      <c r="C139" s="63">
        <v>0</v>
      </c>
      <c r="D139" s="63">
        <v>0</v>
      </c>
      <c r="E139" s="64">
        <v>626530</v>
      </c>
      <c r="F139" s="63">
        <v>626530</v>
      </c>
      <c r="G139" s="63">
        <v>0</v>
      </c>
      <c r="H139" s="65">
        <v>0</v>
      </c>
      <c r="I139" s="65">
        <v>0</v>
      </c>
      <c r="J139" s="65">
        <v>0</v>
      </c>
      <c r="K139" s="65">
        <v>0</v>
      </c>
      <c r="L139" s="65">
        <v>0</v>
      </c>
      <c r="M139" s="63">
        <v>0</v>
      </c>
      <c r="N139" s="1"/>
    </row>
    <row r="140" spans="1:14" ht="16" hidden="1" customHeight="1" outlineLevel="1" x14ac:dyDescent="0.45">
      <c r="A140" s="29" t="s">
        <v>141</v>
      </c>
      <c r="B140" s="44">
        <v>15201750</v>
      </c>
      <c r="C140" s="63">
        <v>15201750</v>
      </c>
      <c r="D140" s="63">
        <v>0</v>
      </c>
      <c r="E140" s="64">
        <v>0</v>
      </c>
      <c r="F140" s="63">
        <v>0</v>
      </c>
      <c r="G140" s="63">
        <v>0</v>
      </c>
      <c r="H140" s="65">
        <v>0</v>
      </c>
      <c r="I140" s="65">
        <v>0</v>
      </c>
      <c r="J140" s="65">
        <v>0</v>
      </c>
      <c r="K140" s="65">
        <v>0</v>
      </c>
      <c r="L140" s="65">
        <v>0</v>
      </c>
      <c r="M140" s="63">
        <v>0</v>
      </c>
      <c r="N140" s="1"/>
    </row>
    <row r="141" spans="1:14" s="1" customFormat="1" collapsed="1" x14ac:dyDescent="0.45">
      <c r="A141" s="28" t="s">
        <v>66</v>
      </c>
      <c r="B141" s="43">
        <v>43394409</v>
      </c>
      <c r="C141" s="66">
        <v>0</v>
      </c>
      <c r="D141" s="66">
        <v>0</v>
      </c>
      <c r="E141" s="61">
        <v>43394409</v>
      </c>
      <c r="F141" s="60">
        <v>11228374.358461702</v>
      </c>
      <c r="G141" s="60">
        <v>3166035.6415382968</v>
      </c>
      <c r="H141" s="62">
        <v>0</v>
      </c>
      <c r="I141" s="62">
        <v>0</v>
      </c>
      <c r="J141" s="62">
        <v>0</v>
      </c>
      <c r="K141" s="62">
        <v>0</v>
      </c>
      <c r="L141" s="62">
        <v>0</v>
      </c>
      <c r="M141" s="60">
        <v>28999999</v>
      </c>
    </row>
    <row r="142" spans="1:14" s="1" customFormat="1" x14ac:dyDescent="0.45">
      <c r="A142" s="28" t="s">
        <v>67</v>
      </c>
      <c r="B142" s="43">
        <v>995942850</v>
      </c>
      <c r="C142" s="66">
        <v>170473049.95672035</v>
      </c>
      <c r="D142" s="66">
        <v>32654365</v>
      </c>
      <c r="E142" s="61">
        <v>792815435.04327965</v>
      </c>
      <c r="F142" s="60">
        <v>370059261.73560852</v>
      </c>
      <c r="G142" s="60">
        <v>280896418.26439148</v>
      </c>
      <c r="H142" s="62">
        <v>61045470</v>
      </c>
      <c r="I142" s="62">
        <v>4754099.4203950847</v>
      </c>
      <c r="J142" s="62">
        <v>4792334.2753754081</v>
      </c>
      <c r="K142" s="62">
        <v>29459450.313540004</v>
      </c>
      <c r="L142" s="62">
        <v>24879911.033969149</v>
      </c>
      <c r="M142" s="60">
        <v>16928490</v>
      </c>
    </row>
    <row r="143" spans="1:14" ht="16" hidden="1" customHeight="1" outlineLevel="1" x14ac:dyDescent="0.45">
      <c r="A143" s="29" t="s">
        <v>68</v>
      </c>
      <c r="B143" s="44">
        <v>170724200</v>
      </c>
      <c r="C143" s="67">
        <v>9721688.9567203522</v>
      </c>
      <c r="D143" s="67">
        <v>1352000</v>
      </c>
      <c r="E143" s="64">
        <v>159650511.04327965</v>
      </c>
      <c r="F143" s="63">
        <v>24509334.481557298</v>
      </c>
      <c r="G143" s="63">
        <v>117484665.51844271</v>
      </c>
      <c r="H143" s="65">
        <v>0</v>
      </c>
      <c r="I143" s="65">
        <v>110073.42039508506</v>
      </c>
      <c r="J143" s="65">
        <v>148308.2753754085</v>
      </c>
      <c r="K143" s="65">
        <v>1664233.3135400023</v>
      </c>
      <c r="L143" s="65">
        <v>15733896.033969149</v>
      </c>
      <c r="M143" s="63">
        <v>0</v>
      </c>
      <c r="N143" s="1"/>
    </row>
    <row r="144" spans="1:14" ht="16" hidden="1" customHeight="1" outlineLevel="1" x14ac:dyDescent="0.45">
      <c r="A144" s="29" t="s">
        <v>196</v>
      </c>
      <c r="B144" s="44">
        <v>0</v>
      </c>
      <c r="C144" s="67">
        <v>0</v>
      </c>
      <c r="D144" s="67">
        <v>0</v>
      </c>
      <c r="E144" s="64">
        <v>0</v>
      </c>
      <c r="F144" s="63">
        <v>0</v>
      </c>
      <c r="G144" s="63">
        <v>0</v>
      </c>
      <c r="H144" s="65">
        <v>0</v>
      </c>
      <c r="I144" s="65">
        <v>0</v>
      </c>
      <c r="J144" s="65">
        <v>0</v>
      </c>
      <c r="K144" s="65">
        <v>0</v>
      </c>
      <c r="L144" s="65">
        <v>0</v>
      </c>
      <c r="M144" s="63">
        <v>0</v>
      </c>
      <c r="N144" s="1"/>
    </row>
    <row r="145" spans="1:14" ht="16" hidden="1" customHeight="1" outlineLevel="1" x14ac:dyDescent="0.45">
      <c r="A145" s="29" t="s">
        <v>69</v>
      </c>
      <c r="B145" s="44">
        <v>466669522</v>
      </c>
      <c r="C145" s="67">
        <v>51873064</v>
      </c>
      <c r="D145" s="67">
        <v>18200280</v>
      </c>
      <c r="E145" s="64">
        <v>396596178</v>
      </c>
      <c r="F145" s="63">
        <v>185581131.73072475</v>
      </c>
      <c r="G145" s="63">
        <v>115664206.26927525</v>
      </c>
      <c r="H145" s="65">
        <v>45625668</v>
      </c>
      <c r="I145" s="65">
        <v>2976135.5</v>
      </c>
      <c r="J145" s="65">
        <v>2976135.5</v>
      </c>
      <c r="K145" s="65">
        <v>22880731</v>
      </c>
      <c r="L145" s="65">
        <v>5431170</v>
      </c>
      <c r="M145" s="63">
        <v>15461000</v>
      </c>
      <c r="N145" s="1"/>
    </row>
    <row r="146" spans="1:14" ht="16" hidden="1" customHeight="1" outlineLevel="1" x14ac:dyDescent="0.45">
      <c r="A146" s="29" t="s">
        <v>70</v>
      </c>
      <c r="B146" s="44">
        <v>278901578</v>
      </c>
      <c r="C146" s="67">
        <v>29934747</v>
      </c>
      <c r="D146" s="67">
        <v>12398085</v>
      </c>
      <c r="E146" s="64">
        <v>236568746</v>
      </c>
      <c r="F146" s="63">
        <v>159968795.52332646</v>
      </c>
      <c r="G146" s="63">
        <v>47747546.476673558</v>
      </c>
      <c r="H146" s="65">
        <v>15419802</v>
      </c>
      <c r="I146" s="65">
        <v>1667890.5</v>
      </c>
      <c r="J146" s="65">
        <v>1667890.5</v>
      </c>
      <c r="K146" s="65">
        <v>4914486</v>
      </c>
      <c r="L146" s="65">
        <v>3714845</v>
      </c>
      <c r="M146" s="63">
        <v>1467490</v>
      </c>
      <c r="N146" s="1"/>
    </row>
    <row r="147" spans="1:14" ht="16" hidden="1" customHeight="1" outlineLevel="1" x14ac:dyDescent="0.45">
      <c r="A147" s="29" t="s">
        <v>142</v>
      </c>
      <c r="B147" s="44">
        <v>79647550</v>
      </c>
      <c r="C147" s="63">
        <v>78943550</v>
      </c>
      <c r="D147" s="63">
        <v>704000</v>
      </c>
      <c r="E147" s="64">
        <v>0</v>
      </c>
      <c r="F147" s="63">
        <v>0</v>
      </c>
      <c r="G147" s="63">
        <v>0</v>
      </c>
      <c r="H147" s="65">
        <v>0</v>
      </c>
      <c r="I147" s="65">
        <v>0</v>
      </c>
      <c r="J147" s="65">
        <v>0</v>
      </c>
      <c r="K147" s="65">
        <v>0</v>
      </c>
      <c r="L147" s="65">
        <v>0</v>
      </c>
      <c r="M147" s="63">
        <v>0</v>
      </c>
      <c r="N147" s="1"/>
    </row>
    <row r="148" spans="1:14" ht="16" hidden="1" customHeight="1" outlineLevel="1" x14ac:dyDescent="0.45">
      <c r="A148" s="29" t="s">
        <v>197</v>
      </c>
      <c r="B148" s="44">
        <v>0</v>
      </c>
      <c r="C148" s="63">
        <v>0</v>
      </c>
      <c r="D148" s="63">
        <v>0</v>
      </c>
      <c r="E148" s="64">
        <v>0</v>
      </c>
      <c r="F148" s="63">
        <v>0</v>
      </c>
      <c r="G148" s="63">
        <v>0</v>
      </c>
      <c r="H148" s="65">
        <v>0</v>
      </c>
      <c r="I148" s="65">
        <v>0</v>
      </c>
      <c r="J148" s="65">
        <v>0</v>
      </c>
      <c r="K148" s="65">
        <v>0</v>
      </c>
      <c r="L148" s="65">
        <v>0</v>
      </c>
      <c r="M148" s="63">
        <v>0</v>
      </c>
      <c r="N148" s="1"/>
    </row>
    <row r="149" spans="1:14" ht="16" hidden="1" customHeight="1" outlineLevel="1" x14ac:dyDescent="0.45">
      <c r="A149" s="29" t="s">
        <v>262</v>
      </c>
      <c r="B149" s="44">
        <v>0</v>
      </c>
      <c r="C149" s="63">
        <v>0</v>
      </c>
      <c r="D149" s="63">
        <v>0</v>
      </c>
      <c r="E149" s="64">
        <v>0</v>
      </c>
      <c r="F149" s="63">
        <v>0</v>
      </c>
      <c r="G149" s="63">
        <v>0</v>
      </c>
      <c r="H149" s="65">
        <v>0</v>
      </c>
      <c r="I149" s="65">
        <v>0</v>
      </c>
      <c r="J149" s="65">
        <v>0</v>
      </c>
      <c r="K149" s="65">
        <v>0</v>
      </c>
      <c r="L149" s="65">
        <v>0</v>
      </c>
      <c r="M149" s="63">
        <v>0</v>
      </c>
      <c r="N149" s="1"/>
    </row>
    <row r="150" spans="1:14" ht="16" hidden="1" customHeight="1" outlineLevel="1" x14ac:dyDescent="0.45">
      <c r="A150" s="29" t="s">
        <v>263</v>
      </c>
      <c r="B150" s="44">
        <v>0</v>
      </c>
      <c r="C150" s="63">
        <v>0</v>
      </c>
      <c r="D150" s="63">
        <v>0</v>
      </c>
      <c r="E150" s="64">
        <v>0</v>
      </c>
      <c r="F150" s="63">
        <v>0</v>
      </c>
      <c r="G150" s="63">
        <v>0</v>
      </c>
      <c r="H150" s="65">
        <v>0</v>
      </c>
      <c r="I150" s="65">
        <v>0</v>
      </c>
      <c r="J150" s="65">
        <v>0</v>
      </c>
      <c r="K150" s="65">
        <v>0</v>
      </c>
      <c r="L150" s="65">
        <v>0</v>
      </c>
      <c r="M150" s="63">
        <v>0</v>
      </c>
      <c r="N150" s="1"/>
    </row>
    <row r="151" spans="1:14" s="1" customFormat="1" collapsed="1" x14ac:dyDescent="0.45">
      <c r="A151" s="28" t="s">
        <v>71</v>
      </c>
      <c r="B151" s="43">
        <v>66152341</v>
      </c>
      <c r="C151" s="60">
        <v>66031131</v>
      </c>
      <c r="D151" s="60">
        <v>0</v>
      </c>
      <c r="E151" s="61">
        <v>121210</v>
      </c>
      <c r="F151" s="60">
        <v>0</v>
      </c>
      <c r="G151" s="60">
        <v>0</v>
      </c>
      <c r="H151" s="62">
        <v>0</v>
      </c>
      <c r="I151" s="62">
        <v>0</v>
      </c>
      <c r="J151" s="62">
        <v>0</v>
      </c>
      <c r="K151" s="62">
        <v>121210</v>
      </c>
      <c r="L151" s="62">
        <v>0</v>
      </c>
      <c r="M151" s="60">
        <v>0</v>
      </c>
    </row>
    <row r="152" spans="1:14" ht="16" hidden="1" customHeight="1" outlineLevel="1" x14ac:dyDescent="0.45">
      <c r="A152" s="29" t="s">
        <v>143</v>
      </c>
      <c r="B152" s="44">
        <v>147560</v>
      </c>
      <c r="C152" s="63">
        <v>26350</v>
      </c>
      <c r="D152" s="63">
        <v>0</v>
      </c>
      <c r="E152" s="64">
        <v>121210</v>
      </c>
      <c r="F152" s="63">
        <v>0</v>
      </c>
      <c r="G152" s="63">
        <v>0</v>
      </c>
      <c r="H152" s="65">
        <v>0</v>
      </c>
      <c r="I152" s="65">
        <v>0</v>
      </c>
      <c r="J152" s="65">
        <v>0</v>
      </c>
      <c r="K152" s="65">
        <v>121210</v>
      </c>
      <c r="L152" s="65">
        <v>0</v>
      </c>
      <c r="M152" s="63">
        <v>0</v>
      </c>
      <c r="N152" s="1"/>
    </row>
    <row r="153" spans="1:14" ht="16" hidden="1" customHeight="1" outlineLevel="1" x14ac:dyDescent="0.45">
      <c r="A153" s="29" t="s">
        <v>72</v>
      </c>
      <c r="B153" s="44">
        <v>11456806</v>
      </c>
      <c r="C153" s="63">
        <v>11456806</v>
      </c>
      <c r="D153" s="63">
        <v>0</v>
      </c>
      <c r="E153" s="64">
        <v>0</v>
      </c>
      <c r="F153" s="63">
        <v>0</v>
      </c>
      <c r="G153" s="63">
        <v>0</v>
      </c>
      <c r="H153" s="65">
        <v>0</v>
      </c>
      <c r="I153" s="65">
        <v>0</v>
      </c>
      <c r="J153" s="65">
        <v>0</v>
      </c>
      <c r="K153" s="65">
        <v>0</v>
      </c>
      <c r="L153" s="65">
        <v>0</v>
      </c>
      <c r="M153" s="63">
        <v>0</v>
      </c>
      <c r="N153" s="1"/>
    </row>
    <row r="154" spans="1:14" ht="16" hidden="1" customHeight="1" outlineLevel="1" x14ac:dyDescent="0.45">
      <c r="A154" s="29" t="s">
        <v>144</v>
      </c>
      <c r="B154" s="44">
        <v>54547975</v>
      </c>
      <c r="C154" s="63">
        <v>54547975</v>
      </c>
      <c r="D154" s="63">
        <v>0</v>
      </c>
      <c r="E154" s="64">
        <v>0</v>
      </c>
      <c r="F154" s="63">
        <v>0</v>
      </c>
      <c r="G154" s="63">
        <v>0</v>
      </c>
      <c r="H154" s="65">
        <v>0</v>
      </c>
      <c r="I154" s="65">
        <v>0</v>
      </c>
      <c r="J154" s="65">
        <v>0</v>
      </c>
      <c r="K154" s="65">
        <v>0</v>
      </c>
      <c r="L154" s="65">
        <v>0</v>
      </c>
      <c r="M154" s="63">
        <v>0</v>
      </c>
      <c r="N154" s="1"/>
    </row>
    <row r="155" spans="1:14" ht="16" hidden="1" customHeight="1" outlineLevel="1" x14ac:dyDescent="0.45">
      <c r="A155" s="29" t="s">
        <v>145</v>
      </c>
      <c r="B155" s="44">
        <v>0</v>
      </c>
      <c r="C155" s="63">
        <v>0</v>
      </c>
      <c r="D155" s="63">
        <v>0</v>
      </c>
      <c r="E155" s="64">
        <v>0</v>
      </c>
      <c r="F155" s="63">
        <v>0</v>
      </c>
      <c r="G155" s="63">
        <v>0</v>
      </c>
      <c r="H155" s="65">
        <v>0</v>
      </c>
      <c r="I155" s="65">
        <v>0</v>
      </c>
      <c r="J155" s="65">
        <v>0</v>
      </c>
      <c r="K155" s="65">
        <v>0</v>
      </c>
      <c r="L155" s="65">
        <v>0</v>
      </c>
      <c r="M155" s="63">
        <v>0</v>
      </c>
      <c r="N155" s="1"/>
    </row>
    <row r="156" spans="1:14" s="1" customFormat="1" collapsed="1" x14ac:dyDescent="0.45">
      <c r="A156" s="28" t="s">
        <v>73</v>
      </c>
      <c r="B156" s="43">
        <v>110941340</v>
      </c>
      <c r="C156" s="60">
        <v>15450845.795846239</v>
      </c>
      <c r="D156" s="60">
        <v>1799835</v>
      </c>
      <c r="E156" s="61">
        <v>93690659.204153761</v>
      </c>
      <c r="F156" s="60">
        <v>15979558.582845708</v>
      </c>
      <c r="G156" s="60">
        <v>53873127.912076995</v>
      </c>
      <c r="H156" s="62">
        <v>1321472.5050772987</v>
      </c>
      <c r="I156" s="62">
        <v>338338.86832469341</v>
      </c>
      <c r="J156" s="62">
        <v>801047.73720347288</v>
      </c>
      <c r="K156" s="62">
        <v>5676451.5082968976</v>
      </c>
      <c r="L156" s="62">
        <v>15610862.090328692</v>
      </c>
      <c r="M156" s="60">
        <v>89800</v>
      </c>
    </row>
    <row r="157" spans="1:14" ht="16" hidden="1" customHeight="1" outlineLevel="1" x14ac:dyDescent="0.45">
      <c r="A157" s="29" t="s">
        <v>74</v>
      </c>
      <c r="B157" s="44">
        <v>36222413</v>
      </c>
      <c r="C157" s="63">
        <v>10139373.044801027</v>
      </c>
      <c r="D157" s="63">
        <v>81980</v>
      </c>
      <c r="E157" s="64">
        <v>26001059.955198973</v>
      </c>
      <c r="F157" s="63">
        <v>7325640.6078477278</v>
      </c>
      <c r="G157" s="63">
        <v>14097182.392152272</v>
      </c>
      <c r="H157" s="65">
        <v>44500</v>
      </c>
      <c r="I157" s="65">
        <v>99939.506095987483</v>
      </c>
      <c r="J157" s="65">
        <v>290473.3718531552</v>
      </c>
      <c r="K157" s="65">
        <v>1292208.0226635949</v>
      </c>
      <c r="L157" s="65">
        <v>2761316.0545862373</v>
      </c>
      <c r="M157" s="63">
        <v>89800</v>
      </c>
      <c r="N157" s="1"/>
    </row>
    <row r="158" spans="1:14" ht="16" hidden="1" customHeight="1" outlineLevel="1" x14ac:dyDescent="0.45">
      <c r="A158" s="29" t="s">
        <v>75</v>
      </c>
      <c r="B158" s="44">
        <v>11328082</v>
      </c>
      <c r="C158" s="63">
        <v>2947101.7510452196</v>
      </c>
      <c r="D158" s="63">
        <v>1717855</v>
      </c>
      <c r="E158" s="64">
        <v>6663125.2489547804</v>
      </c>
      <c r="F158" s="63">
        <v>2953199.4252279811</v>
      </c>
      <c r="G158" s="63">
        <v>812796.06969472067</v>
      </c>
      <c r="H158" s="65">
        <v>1276972.5050772987</v>
      </c>
      <c r="I158" s="65">
        <v>238399.36222870593</v>
      </c>
      <c r="J158" s="65">
        <v>510574.36535031768</v>
      </c>
      <c r="K158" s="65">
        <v>821733.48563330225</v>
      </c>
      <c r="L158" s="65">
        <v>49450.035742454544</v>
      </c>
      <c r="M158" s="63">
        <v>0</v>
      </c>
      <c r="N158" s="1"/>
    </row>
    <row r="159" spans="1:14" ht="16" hidden="1" customHeight="1" outlineLevel="1" x14ac:dyDescent="0.45">
      <c r="A159" s="29" t="s">
        <v>76</v>
      </c>
      <c r="B159" s="44">
        <v>15818765</v>
      </c>
      <c r="C159" s="63">
        <v>573000</v>
      </c>
      <c r="D159" s="63">
        <v>0</v>
      </c>
      <c r="E159" s="64">
        <v>15245765</v>
      </c>
      <c r="F159" s="63">
        <v>1724727</v>
      </c>
      <c r="G159" s="63">
        <v>1369193</v>
      </c>
      <c r="H159" s="65">
        <v>0</v>
      </c>
      <c r="I159" s="65">
        <v>0</v>
      </c>
      <c r="J159" s="65">
        <v>0</v>
      </c>
      <c r="K159" s="65">
        <v>2370876</v>
      </c>
      <c r="L159" s="65">
        <v>9780969</v>
      </c>
      <c r="M159" s="63">
        <v>0</v>
      </c>
      <c r="N159" s="1"/>
    </row>
    <row r="160" spans="1:14" ht="16" hidden="1" customHeight="1" outlineLevel="1" x14ac:dyDescent="0.45">
      <c r="A160" s="29" t="s">
        <v>77</v>
      </c>
      <c r="B160" s="44">
        <v>47572080</v>
      </c>
      <c r="C160" s="63">
        <v>1791371</v>
      </c>
      <c r="D160" s="63">
        <v>0</v>
      </c>
      <c r="E160" s="64">
        <v>45780709</v>
      </c>
      <c r="F160" s="63">
        <v>3975991.5497699995</v>
      </c>
      <c r="G160" s="63">
        <v>37593956.450230002</v>
      </c>
      <c r="H160" s="65">
        <v>0</v>
      </c>
      <c r="I160" s="65">
        <v>0</v>
      </c>
      <c r="J160" s="65">
        <v>0</v>
      </c>
      <c r="K160" s="65">
        <v>1191634</v>
      </c>
      <c r="L160" s="65">
        <v>3019127</v>
      </c>
      <c r="M160" s="63">
        <v>0</v>
      </c>
      <c r="N160" s="1"/>
    </row>
    <row r="161" spans="1:14" ht="16" hidden="1" customHeight="1" outlineLevel="1" x14ac:dyDescent="0.45">
      <c r="A161" s="29" t="s">
        <v>198</v>
      </c>
      <c r="B161" s="44">
        <v>0</v>
      </c>
      <c r="C161" s="63">
        <v>0</v>
      </c>
      <c r="D161" s="63">
        <v>0</v>
      </c>
      <c r="E161" s="64">
        <v>0</v>
      </c>
      <c r="F161" s="63">
        <v>0</v>
      </c>
      <c r="G161" s="63">
        <v>0</v>
      </c>
      <c r="H161" s="65">
        <v>0</v>
      </c>
      <c r="I161" s="65">
        <v>0</v>
      </c>
      <c r="J161" s="65">
        <v>0</v>
      </c>
      <c r="K161" s="65">
        <v>0</v>
      </c>
      <c r="L161" s="65">
        <v>0</v>
      </c>
      <c r="M161" s="63">
        <v>0</v>
      </c>
      <c r="N161" s="1"/>
    </row>
    <row r="162" spans="1:14" ht="16" hidden="1" customHeight="1" outlineLevel="1" x14ac:dyDescent="0.45">
      <c r="A162" s="24" t="s">
        <v>199</v>
      </c>
      <c r="B162" s="45">
        <v>0</v>
      </c>
      <c r="C162" s="63">
        <v>0</v>
      </c>
      <c r="D162" s="63">
        <v>0</v>
      </c>
      <c r="E162" s="64">
        <v>0</v>
      </c>
      <c r="F162" s="63">
        <v>0</v>
      </c>
      <c r="G162" s="63">
        <v>0</v>
      </c>
      <c r="H162" s="65">
        <v>0</v>
      </c>
      <c r="I162" s="65">
        <v>0</v>
      </c>
      <c r="J162" s="65">
        <v>0</v>
      </c>
      <c r="K162" s="65">
        <v>0</v>
      </c>
      <c r="L162" s="65">
        <v>0</v>
      </c>
      <c r="M162" s="63">
        <v>0</v>
      </c>
      <c r="N162" s="1"/>
    </row>
    <row r="163" spans="1:14" ht="16" hidden="1" customHeight="1" outlineLevel="1" x14ac:dyDescent="0.45">
      <c r="A163" s="30" t="s">
        <v>200</v>
      </c>
      <c r="B163" s="46">
        <v>0</v>
      </c>
      <c r="C163" s="63">
        <v>0</v>
      </c>
      <c r="D163" s="63">
        <v>0</v>
      </c>
      <c r="E163" s="64">
        <v>0</v>
      </c>
      <c r="F163" s="63">
        <v>0</v>
      </c>
      <c r="G163" s="63">
        <v>0</v>
      </c>
      <c r="H163" s="65">
        <v>0</v>
      </c>
      <c r="I163" s="65">
        <v>0</v>
      </c>
      <c r="J163" s="65">
        <v>0</v>
      </c>
      <c r="K163" s="65">
        <v>0</v>
      </c>
      <c r="L163" s="65">
        <v>0</v>
      </c>
      <c r="M163" s="63">
        <v>0</v>
      </c>
      <c r="N163" s="1"/>
    </row>
    <row r="164" spans="1:14" s="1" customFormat="1" collapsed="1" x14ac:dyDescent="0.45">
      <c r="A164" s="28" t="s">
        <v>78</v>
      </c>
      <c r="B164" s="43">
        <v>363546036</v>
      </c>
      <c r="C164" s="60">
        <v>1962500</v>
      </c>
      <c r="D164" s="60">
        <v>114704761</v>
      </c>
      <c r="E164" s="61">
        <v>246878775</v>
      </c>
      <c r="F164" s="60">
        <v>72627320</v>
      </c>
      <c r="G164" s="60">
        <v>90320518</v>
      </c>
      <c r="H164" s="62">
        <v>76969316</v>
      </c>
      <c r="I164" s="62">
        <v>924332.5</v>
      </c>
      <c r="J164" s="62">
        <v>924332.5</v>
      </c>
      <c r="K164" s="62">
        <v>3456411</v>
      </c>
      <c r="L164" s="62">
        <v>0</v>
      </c>
      <c r="M164" s="60">
        <v>1656545</v>
      </c>
    </row>
    <row r="165" spans="1:14" ht="16" hidden="1" customHeight="1" outlineLevel="1" x14ac:dyDescent="0.45">
      <c r="A165" s="30" t="s">
        <v>201</v>
      </c>
      <c r="B165" s="46">
        <v>0</v>
      </c>
      <c r="C165" s="63">
        <v>0</v>
      </c>
      <c r="D165" s="63">
        <v>0</v>
      </c>
      <c r="E165" s="64">
        <v>0</v>
      </c>
      <c r="F165" s="63">
        <v>0</v>
      </c>
      <c r="G165" s="63">
        <v>0</v>
      </c>
      <c r="H165" s="65">
        <v>0</v>
      </c>
      <c r="I165" s="65">
        <v>0</v>
      </c>
      <c r="J165" s="65">
        <v>0</v>
      </c>
      <c r="K165" s="65">
        <v>0</v>
      </c>
      <c r="L165" s="65">
        <v>0</v>
      </c>
      <c r="M165" s="63">
        <v>0</v>
      </c>
      <c r="N165" s="1"/>
    </row>
    <row r="166" spans="1:14" ht="16" hidden="1" customHeight="1" outlineLevel="1" x14ac:dyDescent="0.45">
      <c r="A166" s="29" t="s">
        <v>79</v>
      </c>
      <c r="B166" s="44">
        <v>363546036</v>
      </c>
      <c r="C166" s="63">
        <v>1962500</v>
      </c>
      <c r="D166" s="63">
        <v>114704761</v>
      </c>
      <c r="E166" s="64">
        <v>246878775</v>
      </c>
      <c r="F166" s="63">
        <v>72627320</v>
      </c>
      <c r="G166" s="63">
        <v>90320518</v>
      </c>
      <c r="H166" s="65">
        <v>76969316</v>
      </c>
      <c r="I166" s="65">
        <v>924332.5</v>
      </c>
      <c r="J166" s="65">
        <v>924332.5</v>
      </c>
      <c r="K166" s="65">
        <v>3456411</v>
      </c>
      <c r="L166" s="65">
        <v>0</v>
      </c>
      <c r="M166" s="63">
        <v>1656545</v>
      </c>
      <c r="N166" s="1"/>
    </row>
    <row r="167" spans="1:14" ht="16" hidden="1" customHeight="1" outlineLevel="1" x14ac:dyDescent="0.45">
      <c r="A167" s="29" t="s">
        <v>202</v>
      </c>
      <c r="B167" s="44">
        <v>0</v>
      </c>
      <c r="C167" s="63">
        <v>0</v>
      </c>
      <c r="D167" s="63">
        <v>0</v>
      </c>
      <c r="E167" s="64">
        <v>0</v>
      </c>
      <c r="F167" s="63">
        <v>0</v>
      </c>
      <c r="G167" s="63">
        <v>0</v>
      </c>
      <c r="H167" s="65">
        <v>0</v>
      </c>
      <c r="I167" s="65">
        <v>0</v>
      </c>
      <c r="J167" s="65">
        <v>0</v>
      </c>
      <c r="K167" s="65">
        <v>0</v>
      </c>
      <c r="L167" s="65">
        <v>0</v>
      </c>
      <c r="M167" s="63">
        <v>0</v>
      </c>
      <c r="N167" s="1"/>
    </row>
    <row r="168" spans="1:14" ht="16" hidden="1" customHeight="1" outlineLevel="1" x14ac:dyDescent="0.45">
      <c r="A168" s="29" t="s">
        <v>203</v>
      </c>
      <c r="B168" s="44">
        <v>0</v>
      </c>
      <c r="C168" s="63">
        <v>0</v>
      </c>
      <c r="D168" s="63">
        <v>0</v>
      </c>
      <c r="E168" s="64">
        <v>0</v>
      </c>
      <c r="F168" s="63">
        <v>0</v>
      </c>
      <c r="G168" s="63">
        <v>0</v>
      </c>
      <c r="H168" s="65">
        <v>0</v>
      </c>
      <c r="I168" s="65">
        <v>0</v>
      </c>
      <c r="J168" s="65">
        <v>0</v>
      </c>
      <c r="K168" s="65">
        <v>0</v>
      </c>
      <c r="L168" s="65">
        <v>0</v>
      </c>
      <c r="M168" s="63">
        <v>0</v>
      </c>
      <c r="N168" s="1"/>
    </row>
    <row r="169" spans="1:14" ht="16" hidden="1" customHeight="1" outlineLevel="1" x14ac:dyDescent="0.45">
      <c r="A169" s="29" t="s">
        <v>204</v>
      </c>
      <c r="B169" s="44">
        <v>0</v>
      </c>
      <c r="C169" s="63">
        <v>0</v>
      </c>
      <c r="D169" s="63">
        <v>0</v>
      </c>
      <c r="E169" s="64">
        <v>0</v>
      </c>
      <c r="F169" s="63">
        <v>0</v>
      </c>
      <c r="G169" s="63">
        <v>0</v>
      </c>
      <c r="H169" s="65">
        <v>0</v>
      </c>
      <c r="I169" s="65">
        <v>0</v>
      </c>
      <c r="J169" s="65">
        <v>0</v>
      </c>
      <c r="K169" s="65">
        <v>0</v>
      </c>
      <c r="L169" s="65">
        <v>0</v>
      </c>
      <c r="M169" s="63">
        <v>0</v>
      </c>
      <c r="N169" s="1"/>
    </row>
    <row r="170" spans="1:14" ht="16" hidden="1" customHeight="1" outlineLevel="1" x14ac:dyDescent="0.45">
      <c r="A170" s="30" t="s">
        <v>205</v>
      </c>
      <c r="B170" s="46">
        <v>0</v>
      </c>
      <c r="C170" s="63">
        <v>0</v>
      </c>
      <c r="D170" s="63">
        <v>0</v>
      </c>
      <c r="E170" s="64">
        <v>0</v>
      </c>
      <c r="F170" s="63">
        <v>0</v>
      </c>
      <c r="G170" s="63">
        <v>0</v>
      </c>
      <c r="H170" s="65">
        <v>0</v>
      </c>
      <c r="I170" s="65">
        <v>0</v>
      </c>
      <c r="J170" s="65">
        <v>0</v>
      </c>
      <c r="K170" s="65">
        <v>0</v>
      </c>
      <c r="L170" s="65">
        <v>0</v>
      </c>
      <c r="M170" s="63">
        <v>0</v>
      </c>
      <c r="N170" s="1"/>
    </row>
    <row r="171" spans="1:14" s="1" customFormat="1" ht="16" hidden="1" customHeight="1" outlineLevel="1" collapsed="1" x14ac:dyDescent="0.45">
      <c r="A171" s="28" t="s">
        <v>80</v>
      </c>
      <c r="B171" s="43">
        <v>143358295</v>
      </c>
      <c r="C171" s="60">
        <v>42046132</v>
      </c>
      <c r="D171" s="60">
        <v>8655873</v>
      </c>
      <c r="E171" s="61">
        <v>92656290</v>
      </c>
      <c r="F171" s="60">
        <v>4177855</v>
      </c>
      <c r="G171" s="60">
        <v>88478435</v>
      </c>
      <c r="H171" s="62">
        <v>0</v>
      </c>
      <c r="I171" s="62">
        <v>0</v>
      </c>
      <c r="J171" s="62">
        <v>0</v>
      </c>
      <c r="K171" s="62">
        <v>0</v>
      </c>
      <c r="L171" s="62">
        <v>0</v>
      </c>
      <c r="M171" s="60">
        <v>0</v>
      </c>
    </row>
    <row r="172" spans="1:14" ht="16" hidden="1" customHeight="1" outlineLevel="1" x14ac:dyDescent="0.45">
      <c r="A172" s="29" t="s">
        <v>81</v>
      </c>
      <c r="B172" s="44">
        <v>43216091</v>
      </c>
      <c r="C172" s="63">
        <v>33534840</v>
      </c>
      <c r="D172" s="63">
        <v>8655873</v>
      </c>
      <c r="E172" s="64">
        <v>1025378</v>
      </c>
      <c r="F172" s="63">
        <v>316093</v>
      </c>
      <c r="G172" s="63">
        <v>709285</v>
      </c>
      <c r="H172" s="65">
        <v>0</v>
      </c>
      <c r="I172" s="65">
        <v>0</v>
      </c>
      <c r="J172" s="65">
        <v>0</v>
      </c>
      <c r="K172" s="65">
        <v>0</v>
      </c>
      <c r="L172" s="65">
        <v>0</v>
      </c>
      <c r="M172" s="63">
        <v>0</v>
      </c>
      <c r="N172" s="1"/>
    </row>
    <row r="173" spans="1:14" ht="16" hidden="1" customHeight="1" outlineLevel="1" x14ac:dyDescent="0.45">
      <c r="A173" s="29" t="s">
        <v>206</v>
      </c>
      <c r="B173" s="44">
        <v>5470000</v>
      </c>
      <c r="C173" s="63">
        <v>5470000</v>
      </c>
      <c r="D173" s="63">
        <v>0</v>
      </c>
      <c r="E173" s="64">
        <v>0</v>
      </c>
      <c r="F173" s="63">
        <v>0</v>
      </c>
      <c r="G173" s="63">
        <v>0</v>
      </c>
      <c r="H173" s="65">
        <v>0</v>
      </c>
      <c r="I173" s="65">
        <v>0</v>
      </c>
      <c r="J173" s="65">
        <v>0</v>
      </c>
      <c r="K173" s="65">
        <v>0</v>
      </c>
      <c r="L173" s="65">
        <v>0</v>
      </c>
      <c r="M173" s="63">
        <v>0</v>
      </c>
      <c r="N173" s="1"/>
    </row>
    <row r="174" spans="1:14" ht="16" hidden="1" customHeight="1" outlineLevel="1" x14ac:dyDescent="0.45">
      <c r="A174" s="29" t="s">
        <v>82</v>
      </c>
      <c r="B174" s="44">
        <v>7301780</v>
      </c>
      <c r="C174" s="63">
        <v>3041292</v>
      </c>
      <c r="D174" s="63">
        <v>0</v>
      </c>
      <c r="E174" s="64">
        <v>4260488</v>
      </c>
      <c r="F174" s="63">
        <v>3861762</v>
      </c>
      <c r="G174" s="63">
        <v>398726</v>
      </c>
      <c r="H174" s="65">
        <v>0</v>
      </c>
      <c r="I174" s="65">
        <v>0</v>
      </c>
      <c r="J174" s="65">
        <v>0</v>
      </c>
      <c r="K174" s="65">
        <v>0</v>
      </c>
      <c r="L174" s="65">
        <v>0</v>
      </c>
      <c r="M174" s="63">
        <v>0</v>
      </c>
      <c r="N174" s="1"/>
    </row>
    <row r="175" spans="1:14" ht="16" hidden="1" customHeight="1" outlineLevel="1" x14ac:dyDescent="0.45">
      <c r="A175" s="29" t="s">
        <v>207</v>
      </c>
      <c r="B175" s="44">
        <v>0</v>
      </c>
      <c r="C175" s="63">
        <v>0</v>
      </c>
      <c r="D175" s="63">
        <v>0</v>
      </c>
      <c r="E175" s="64">
        <v>0</v>
      </c>
      <c r="F175" s="63">
        <v>0</v>
      </c>
      <c r="G175" s="63">
        <v>0</v>
      </c>
      <c r="H175" s="65">
        <v>0</v>
      </c>
      <c r="I175" s="65">
        <v>0</v>
      </c>
      <c r="J175" s="65">
        <v>0</v>
      </c>
      <c r="K175" s="65">
        <v>0</v>
      </c>
      <c r="L175" s="65">
        <v>0</v>
      </c>
      <c r="M175" s="63">
        <v>0</v>
      </c>
      <c r="N175" s="1"/>
    </row>
    <row r="176" spans="1:14" ht="16" hidden="1" customHeight="1" outlineLevel="1" x14ac:dyDescent="0.45">
      <c r="A176" s="29" t="s">
        <v>256</v>
      </c>
      <c r="B176" s="44">
        <v>0</v>
      </c>
      <c r="C176" s="63">
        <v>0</v>
      </c>
      <c r="D176" s="63">
        <v>0</v>
      </c>
      <c r="E176" s="64">
        <v>0</v>
      </c>
      <c r="F176" s="63">
        <v>0</v>
      </c>
      <c r="G176" s="63">
        <v>0</v>
      </c>
      <c r="H176" s="65">
        <v>0</v>
      </c>
      <c r="I176" s="65">
        <v>0</v>
      </c>
      <c r="J176" s="65">
        <v>0</v>
      </c>
      <c r="K176" s="65">
        <v>0</v>
      </c>
      <c r="L176" s="65">
        <v>0</v>
      </c>
      <c r="M176" s="63">
        <v>0</v>
      </c>
      <c r="N176" s="1"/>
    </row>
    <row r="177" spans="1:14" ht="16" hidden="1" customHeight="1" outlineLevel="1" x14ac:dyDescent="0.45">
      <c r="A177" s="29" t="s">
        <v>208</v>
      </c>
      <c r="B177" s="44">
        <v>87370424</v>
      </c>
      <c r="C177" s="63">
        <v>0</v>
      </c>
      <c r="D177" s="63">
        <v>0</v>
      </c>
      <c r="E177" s="64">
        <v>87370424</v>
      </c>
      <c r="F177" s="63">
        <v>0</v>
      </c>
      <c r="G177" s="63">
        <v>87370424</v>
      </c>
      <c r="H177" s="65">
        <v>0</v>
      </c>
      <c r="I177" s="65">
        <v>0</v>
      </c>
      <c r="J177" s="65">
        <v>0</v>
      </c>
      <c r="K177" s="65">
        <v>0</v>
      </c>
      <c r="L177" s="65">
        <v>0</v>
      </c>
      <c r="M177" s="63">
        <v>0</v>
      </c>
      <c r="N177" s="1"/>
    </row>
    <row r="178" spans="1:14" s="1" customFormat="1" collapsed="1" x14ac:dyDescent="0.45">
      <c r="A178" s="28" t="s">
        <v>146</v>
      </c>
      <c r="B178" s="43">
        <v>0</v>
      </c>
      <c r="C178" s="60">
        <v>0</v>
      </c>
      <c r="D178" s="60">
        <v>0</v>
      </c>
      <c r="E178" s="61">
        <v>0</v>
      </c>
      <c r="F178" s="60">
        <v>0</v>
      </c>
      <c r="G178" s="60">
        <v>0</v>
      </c>
      <c r="H178" s="62">
        <v>0</v>
      </c>
      <c r="I178" s="62">
        <v>0</v>
      </c>
      <c r="J178" s="62">
        <v>0</v>
      </c>
      <c r="K178" s="62">
        <v>0</v>
      </c>
      <c r="L178" s="62">
        <v>0</v>
      </c>
      <c r="M178" s="60">
        <v>0</v>
      </c>
    </row>
    <row r="179" spans="1:14" ht="16" hidden="1" customHeight="1" outlineLevel="1" x14ac:dyDescent="0.45">
      <c r="A179" s="29" t="s">
        <v>147</v>
      </c>
      <c r="B179" s="44">
        <v>0</v>
      </c>
      <c r="C179" s="63">
        <v>0</v>
      </c>
      <c r="D179" s="63">
        <v>0</v>
      </c>
      <c r="E179" s="64">
        <v>0</v>
      </c>
      <c r="F179" s="63">
        <v>0</v>
      </c>
      <c r="G179" s="63">
        <v>0</v>
      </c>
      <c r="H179" s="65">
        <v>0</v>
      </c>
      <c r="I179" s="65">
        <v>0</v>
      </c>
      <c r="J179" s="65">
        <v>0</v>
      </c>
      <c r="K179" s="65">
        <v>0</v>
      </c>
      <c r="L179" s="65">
        <v>0</v>
      </c>
      <c r="M179" s="63">
        <v>0</v>
      </c>
      <c r="N179" s="1"/>
    </row>
    <row r="180" spans="1:14" ht="16" hidden="1" customHeight="1" outlineLevel="1" x14ac:dyDescent="0.45">
      <c r="A180" s="29" t="s">
        <v>148</v>
      </c>
      <c r="B180" s="43">
        <v>0</v>
      </c>
      <c r="C180" s="63">
        <v>0</v>
      </c>
      <c r="D180" s="63">
        <v>0</v>
      </c>
      <c r="E180" s="64">
        <v>0</v>
      </c>
      <c r="F180" s="63">
        <v>0</v>
      </c>
      <c r="G180" s="63">
        <v>0</v>
      </c>
      <c r="H180" s="65">
        <v>0</v>
      </c>
      <c r="I180" s="65">
        <v>0</v>
      </c>
      <c r="J180" s="65">
        <v>0</v>
      </c>
      <c r="K180" s="65">
        <v>0</v>
      </c>
      <c r="L180" s="65">
        <v>0</v>
      </c>
      <c r="M180" s="63">
        <v>0</v>
      </c>
      <c r="N180" s="1"/>
    </row>
    <row r="181" spans="1:14" s="1" customFormat="1" collapsed="1" x14ac:dyDescent="0.45">
      <c r="A181" s="28" t="s">
        <v>83</v>
      </c>
      <c r="B181" s="43">
        <v>480710798</v>
      </c>
      <c r="C181" s="60">
        <v>82806762.581919014</v>
      </c>
      <c r="D181" s="60">
        <v>23104969</v>
      </c>
      <c r="E181" s="61">
        <v>374799066.41808099</v>
      </c>
      <c r="F181" s="60">
        <v>209826578</v>
      </c>
      <c r="G181" s="60">
        <v>83538516.719072714</v>
      </c>
      <c r="H181" s="60">
        <v>18466798.303722046</v>
      </c>
      <c r="I181" s="60">
        <v>2526429.5984931374</v>
      </c>
      <c r="J181" s="60">
        <v>2241256.1820292887</v>
      </c>
      <c r="K181" s="60">
        <v>11973091.246469341</v>
      </c>
      <c r="L181" s="60">
        <v>34521631.368294492</v>
      </c>
      <c r="M181" s="60">
        <v>11704765</v>
      </c>
    </row>
    <row r="182" spans="1:14" s="1" customFormat="1" ht="16" hidden="1" customHeight="1" outlineLevel="1" x14ac:dyDescent="0.45">
      <c r="A182" s="29" t="s">
        <v>84</v>
      </c>
      <c r="B182" s="44">
        <v>88991811</v>
      </c>
      <c r="C182" s="63">
        <v>4967788</v>
      </c>
      <c r="D182" s="63">
        <v>607819</v>
      </c>
      <c r="E182" s="64">
        <v>83416204</v>
      </c>
      <c r="F182" s="63">
        <v>56563658</v>
      </c>
      <c r="G182" s="63">
        <v>12103412</v>
      </c>
      <c r="H182" s="63">
        <v>7052144</v>
      </c>
      <c r="I182" s="63">
        <v>409088</v>
      </c>
      <c r="J182" s="63">
        <v>292264</v>
      </c>
      <c r="K182" s="63">
        <v>3320202</v>
      </c>
      <c r="L182" s="63">
        <v>3449253</v>
      </c>
      <c r="M182" s="63">
        <v>226183</v>
      </c>
    </row>
    <row r="183" spans="1:14" ht="16" hidden="1" customHeight="1" outlineLevel="1" x14ac:dyDescent="0.45">
      <c r="A183" s="29" t="s">
        <v>149</v>
      </c>
      <c r="B183" s="44">
        <v>2069269</v>
      </c>
      <c r="C183" s="63">
        <v>2069269</v>
      </c>
      <c r="D183" s="63">
        <v>0</v>
      </c>
      <c r="E183" s="64">
        <v>0</v>
      </c>
      <c r="F183" s="63">
        <v>0</v>
      </c>
      <c r="G183" s="63">
        <v>0</v>
      </c>
      <c r="H183" s="63">
        <v>0</v>
      </c>
      <c r="I183" s="63">
        <v>0</v>
      </c>
      <c r="J183" s="63">
        <v>0</v>
      </c>
      <c r="K183" s="63">
        <v>0</v>
      </c>
      <c r="L183" s="63">
        <v>0</v>
      </c>
      <c r="M183" s="63">
        <v>0</v>
      </c>
      <c r="N183" s="1"/>
    </row>
    <row r="184" spans="1:14" ht="16" hidden="1" customHeight="1" outlineLevel="1" x14ac:dyDescent="0.45">
      <c r="A184" s="29" t="s">
        <v>85</v>
      </c>
      <c r="B184" s="44">
        <v>29758959</v>
      </c>
      <c r="C184" s="63">
        <v>9265388.5078329332</v>
      </c>
      <c r="D184" s="63">
        <v>3240244</v>
      </c>
      <c r="E184" s="64">
        <v>17253326.492167067</v>
      </c>
      <c r="F184" s="63">
        <v>9095250.9330401756</v>
      </c>
      <c r="G184" s="63">
        <v>3676929.7632377762</v>
      </c>
      <c r="H184" s="63">
        <v>662863.30372204783</v>
      </c>
      <c r="I184" s="63">
        <v>250763.85945133859</v>
      </c>
      <c r="J184" s="63">
        <v>303763.30784901528</v>
      </c>
      <c r="K184" s="63">
        <v>825883.43793553708</v>
      </c>
      <c r="L184" s="63">
        <v>1593309.8869311758</v>
      </c>
      <c r="M184" s="63">
        <v>844562</v>
      </c>
      <c r="N184" s="1"/>
    </row>
    <row r="185" spans="1:14" ht="16" hidden="1" customHeight="1" outlineLevel="1" x14ac:dyDescent="0.45">
      <c r="A185" s="29" t="s">
        <v>86</v>
      </c>
      <c r="B185" s="44">
        <v>5893930</v>
      </c>
      <c r="C185" s="63">
        <v>1178376</v>
      </c>
      <c r="D185" s="63">
        <v>0</v>
      </c>
      <c r="E185" s="64">
        <v>4715554</v>
      </c>
      <c r="F185" s="63">
        <v>3443109</v>
      </c>
      <c r="G185" s="63">
        <v>1272445</v>
      </c>
      <c r="H185" s="63">
        <v>0</v>
      </c>
      <c r="I185" s="63">
        <v>0</v>
      </c>
      <c r="J185" s="63">
        <v>0</v>
      </c>
      <c r="K185" s="63">
        <v>0</v>
      </c>
      <c r="L185" s="63">
        <v>0</v>
      </c>
      <c r="M185" s="63">
        <v>0</v>
      </c>
      <c r="N185" s="1"/>
    </row>
    <row r="186" spans="1:14" ht="16" hidden="1" customHeight="1" outlineLevel="1" x14ac:dyDescent="0.45">
      <c r="A186" s="29" t="s">
        <v>150</v>
      </c>
      <c r="B186" s="44">
        <v>36163534</v>
      </c>
      <c r="C186" s="63">
        <v>1616188</v>
      </c>
      <c r="D186" s="63">
        <v>1341741</v>
      </c>
      <c r="E186" s="64">
        <v>33205605</v>
      </c>
      <c r="F186" s="63">
        <v>23507222.912450843</v>
      </c>
      <c r="G186" s="63">
        <v>5558825.0875491593</v>
      </c>
      <c r="H186" s="63">
        <v>1093736</v>
      </c>
      <c r="I186" s="63">
        <v>0</v>
      </c>
      <c r="J186" s="63">
        <v>0</v>
      </c>
      <c r="K186" s="63">
        <v>667007</v>
      </c>
      <c r="L186" s="63">
        <v>1745809</v>
      </c>
      <c r="M186" s="63">
        <v>633005</v>
      </c>
      <c r="N186" s="1"/>
    </row>
    <row r="187" spans="1:14" s="1" customFormat="1" ht="16" hidden="1" customHeight="1" outlineLevel="1" x14ac:dyDescent="0.45">
      <c r="A187" s="29" t="s">
        <v>87</v>
      </c>
      <c r="B187" s="44">
        <v>9756446</v>
      </c>
      <c r="C187" s="63">
        <v>0</v>
      </c>
      <c r="D187" s="63">
        <v>0</v>
      </c>
      <c r="E187" s="64">
        <v>9756446</v>
      </c>
      <c r="F187" s="63">
        <v>6449771</v>
      </c>
      <c r="G187" s="63">
        <v>1944214</v>
      </c>
      <c r="H187" s="63">
        <v>500000</v>
      </c>
      <c r="I187" s="63">
        <v>0</v>
      </c>
      <c r="J187" s="63">
        <v>0</v>
      </c>
      <c r="K187" s="63">
        <v>370003</v>
      </c>
      <c r="L187" s="63">
        <v>492458</v>
      </c>
      <c r="M187" s="63">
        <v>0</v>
      </c>
    </row>
    <row r="188" spans="1:14" ht="16" hidden="1" customHeight="1" outlineLevel="1" x14ac:dyDescent="0.45">
      <c r="A188" s="29" t="s">
        <v>88</v>
      </c>
      <c r="B188" s="44">
        <v>165113501</v>
      </c>
      <c r="C188" s="63">
        <v>52501470.096880808</v>
      </c>
      <c r="D188" s="63">
        <v>17766253</v>
      </c>
      <c r="E188" s="64">
        <v>94845777.903119192</v>
      </c>
      <c r="F188" s="63">
        <v>19034516.535888515</v>
      </c>
      <c r="G188" s="63">
        <v>53336341.464111485</v>
      </c>
      <c r="H188" s="63">
        <v>8858597</v>
      </c>
      <c r="I188" s="63">
        <v>343977.23904179875</v>
      </c>
      <c r="J188" s="63">
        <v>359062.37418027344</v>
      </c>
      <c r="K188" s="63">
        <v>4123515.8085338045</v>
      </c>
      <c r="L188" s="63">
        <v>2673587.4813633133</v>
      </c>
      <c r="M188" s="63">
        <v>6116180</v>
      </c>
      <c r="N188" s="1"/>
    </row>
    <row r="189" spans="1:14" ht="16" hidden="1" customHeight="1" outlineLevel="1" x14ac:dyDescent="0.45">
      <c r="A189" s="24" t="s">
        <v>89</v>
      </c>
      <c r="B189" s="45">
        <v>140337765</v>
      </c>
      <c r="C189" s="63">
        <v>10725773.595825702</v>
      </c>
      <c r="D189" s="63">
        <v>0</v>
      </c>
      <c r="E189" s="64">
        <v>129611991.4041743</v>
      </c>
      <c r="F189" s="63">
        <v>90706626</v>
      </c>
      <c r="G189" s="63">
        <v>5077878.4041742906</v>
      </c>
      <c r="H189" s="63">
        <v>0</v>
      </c>
      <c r="I189" s="63">
        <v>1522600.5</v>
      </c>
      <c r="J189" s="63">
        <v>1286166.5</v>
      </c>
      <c r="K189" s="63">
        <v>2666480</v>
      </c>
      <c r="L189" s="63">
        <v>24467405</v>
      </c>
      <c r="M189" s="63">
        <v>3884835</v>
      </c>
      <c r="N189" s="1"/>
    </row>
    <row r="190" spans="1:14" ht="16" hidden="1" customHeight="1" outlineLevel="1" x14ac:dyDescent="0.45">
      <c r="A190" s="29" t="s">
        <v>209</v>
      </c>
      <c r="B190" s="44">
        <v>0</v>
      </c>
      <c r="C190" s="63">
        <v>0</v>
      </c>
      <c r="D190" s="63">
        <v>0</v>
      </c>
      <c r="E190" s="64">
        <v>0</v>
      </c>
      <c r="F190" s="63">
        <v>0</v>
      </c>
      <c r="G190" s="63">
        <v>0</v>
      </c>
      <c r="H190" s="63">
        <v>0</v>
      </c>
      <c r="I190" s="63">
        <v>0</v>
      </c>
      <c r="J190" s="63">
        <v>0</v>
      </c>
      <c r="K190" s="63">
        <v>0</v>
      </c>
      <c r="L190" s="63">
        <v>0</v>
      </c>
      <c r="M190" s="63">
        <v>0</v>
      </c>
      <c r="N190" s="1"/>
    </row>
    <row r="191" spans="1:14" ht="16" hidden="1" customHeight="1" outlineLevel="1" x14ac:dyDescent="0.45">
      <c r="A191" s="29" t="s">
        <v>90</v>
      </c>
      <c r="B191" s="44">
        <v>2625583</v>
      </c>
      <c r="C191" s="63">
        <v>482510</v>
      </c>
      <c r="D191" s="63">
        <v>148912</v>
      </c>
      <c r="E191" s="64">
        <v>1994161</v>
      </c>
      <c r="F191" s="63">
        <v>1026423</v>
      </c>
      <c r="G191" s="63">
        <v>568471</v>
      </c>
      <c r="H191" s="63">
        <v>299458</v>
      </c>
      <c r="I191" s="63">
        <v>0</v>
      </c>
      <c r="J191" s="63">
        <v>0</v>
      </c>
      <c r="K191" s="63">
        <v>0</v>
      </c>
      <c r="L191" s="63">
        <v>99809</v>
      </c>
      <c r="M191" s="63">
        <v>0</v>
      </c>
      <c r="N191" s="1"/>
    </row>
    <row r="192" spans="1:14" ht="16" hidden="1" customHeight="1" outlineLevel="1" x14ac:dyDescent="0.45">
      <c r="A192" s="30" t="s">
        <v>151</v>
      </c>
      <c r="B192" s="46">
        <v>0</v>
      </c>
      <c r="C192" s="63">
        <v>0</v>
      </c>
      <c r="D192" s="63">
        <v>0</v>
      </c>
      <c r="E192" s="64">
        <v>0</v>
      </c>
      <c r="F192" s="63">
        <v>0</v>
      </c>
      <c r="G192" s="63">
        <v>0</v>
      </c>
      <c r="H192" s="63">
        <v>0</v>
      </c>
      <c r="I192" s="63">
        <v>0</v>
      </c>
      <c r="J192" s="63">
        <v>0</v>
      </c>
      <c r="K192" s="63">
        <v>0</v>
      </c>
      <c r="L192" s="63">
        <v>0</v>
      </c>
      <c r="M192" s="63">
        <v>0</v>
      </c>
      <c r="N192" s="1"/>
    </row>
    <row r="193" spans="1:14" s="1" customFormat="1" collapsed="1" x14ac:dyDescent="0.45">
      <c r="A193" s="28" t="s">
        <v>91</v>
      </c>
      <c r="B193" s="43">
        <v>127385300</v>
      </c>
      <c r="C193" s="60">
        <v>10497943</v>
      </c>
      <c r="D193" s="60">
        <v>1402215</v>
      </c>
      <c r="E193" s="61">
        <v>115485142</v>
      </c>
      <c r="F193" s="60">
        <v>64815492.054160602</v>
      </c>
      <c r="G193" s="60">
        <v>12797621.945839399</v>
      </c>
      <c r="H193" s="60">
        <v>35666948</v>
      </c>
      <c r="I193" s="60">
        <v>60786.5</v>
      </c>
      <c r="J193" s="60">
        <v>56422.5</v>
      </c>
      <c r="K193" s="60">
        <v>371362</v>
      </c>
      <c r="L193" s="60">
        <v>898674</v>
      </c>
      <c r="M193" s="60">
        <v>817835</v>
      </c>
    </row>
    <row r="194" spans="1:14" ht="16" hidden="1" customHeight="1" outlineLevel="1" x14ac:dyDescent="0.45">
      <c r="A194" s="29" t="s">
        <v>92</v>
      </c>
      <c r="B194" s="44">
        <v>33654070</v>
      </c>
      <c r="C194" s="63">
        <v>5980675</v>
      </c>
      <c r="D194" s="63">
        <v>143630</v>
      </c>
      <c r="E194" s="64">
        <v>27529765</v>
      </c>
      <c r="F194" s="63">
        <v>20972240.70434818</v>
      </c>
      <c r="G194" s="63">
        <v>5329399.2956518196</v>
      </c>
      <c r="H194" s="63">
        <v>357180</v>
      </c>
      <c r="I194" s="63">
        <v>39560</v>
      </c>
      <c r="J194" s="63">
        <v>39560</v>
      </c>
      <c r="K194" s="63">
        <v>314405</v>
      </c>
      <c r="L194" s="63">
        <v>477420</v>
      </c>
      <c r="M194" s="63">
        <v>0</v>
      </c>
      <c r="N194" s="1"/>
    </row>
    <row r="195" spans="1:14" ht="16" hidden="1" customHeight="1" outlineLevel="1" x14ac:dyDescent="0.45">
      <c r="A195" s="29" t="s">
        <v>93</v>
      </c>
      <c r="B195" s="44">
        <v>73291506</v>
      </c>
      <c r="C195" s="63">
        <v>2793000</v>
      </c>
      <c r="D195" s="63">
        <v>8794</v>
      </c>
      <c r="E195" s="64">
        <v>70489712</v>
      </c>
      <c r="F195" s="63">
        <v>30105233</v>
      </c>
      <c r="G195" s="63">
        <v>5193273</v>
      </c>
      <c r="H195" s="63">
        <v>35104160</v>
      </c>
      <c r="I195" s="63">
        <v>16862.5</v>
      </c>
      <c r="J195" s="63">
        <v>16862.5</v>
      </c>
      <c r="K195" s="63">
        <v>53321</v>
      </c>
      <c r="L195" s="63">
        <v>0</v>
      </c>
      <c r="M195" s="63">
        <v>0</v>
      </c>
      <c r="N195" s="1"/>
    </row>
    <row r="196" spans="1:14" ht="16" hidden="1" customHeight="1" outlineLevel="1" x14ac:dyDescent="0.45">
      <c r="A196" s="29" t="s">
        <v>94</v>
      </c>
      <c r="B196" s="44">
        <v>19253319</v>
      </c>
      <c r="C196" s="63">
        <v>537863</v>
      </c>
      <c r="D196" s="63">
        <v>1249791</v>
      </c>
      <c r="E196" s="64">
        <v>17465665</v>
      </c>
      <c r="F196" s="63">
        <v>13738018.34981242</v>
      </c>
      <c r="G196" s="63">
        <v>2274949.6501875799</v>
      </c>
      <c r="H196" s="63">
        <v>205608</v>
      </c>
      <c r="I196" s="63">
        <v>4364</v>
      </c>
      <c r="J196" s="63">
        <v>0</v>
      </c>
      <c r="K196" s="63">
        <v>3636</v>
      </c>
      <c r="L196" s="63">
        <v>421254</v>
      </c>
      <c r="M196" s="63">
        <v>817835</v>
      </c>
      <c r="N196" s="1"/>
    </row>
    <row r="197" spans="1:14" ht="16" hidden="1" customHeight="1" outlineLevel="1" x14ac:dyDescent="0.45">
      <c r="A197" s="29" t="s">
        <v>210</v>
      </c>
      <c r="B197" s="44">
        <v>1186405</v>
      </c>
      <c r="C197" s="63">
        <v>1186405</v>
      </c>
      <c r="D197" s="63">
        <v>0</v>
      </c>
      <c r="E197" s="64">
        <v>0</v>
      </c>
      <c r="F197" s="63">
        <v>0</v>
      </c>
      <c r="G197" s="63">
        <v>0</v>
      </c>
      <c r="H197" s="63">
        <v>0</v>
      </c>
      <c r="I197" s="63">
        <v>0</v>
      </c>
      <c r="J197" s="63">
        <v>0</v>
      </c>
      <c r="K197" s="63">
        <v>0</v>
      </c>
      <c r="L197" s="63">
        <v>0</v>
      </c>
      <c r="M197" s="63">
        <v>0</v>
      </c>
      <c r="N197" s="1"/>
    </row>
    <row r="198" spans="1:14" s="1" customFormat="1" ht="16" hidden="1" customHeight="1" outlineLevel="1" x14ac:dyDescent="0.45">
      <c r="A198" s="24" t="s">
        <v>211</v>
      </c>
      <c r="B198" s="45">
        <v>0</v>
      </c>
      <c r="C198" s="63">
        <v>0</v>
      </c>
      <c r="D198" s="63">
        <v>0</v>
      </c>
      <c r="E198" s="64">
        <v>0</v>
      </c>
      <c r="F198" s="63">
        <v>0</v>
      </c>
      <c r="G198" s="63">
        <v>0</v>
      </c>
      <c r="H198" s="63">
        <v>0</v>
      </c>
      <c r="I198" s="63">
        <v>0</v>
      </c>
      <c r="J198" s="63">
        <v>0</v>
      </c>
      <c r="K198" s="63">
        <v>0</v>
      </c>
      <c r="L198" s="63">
        <v>0</v>
      </c>
      <c r="M198" s="63">
        <v>0</v>
      </c>
    </row>
    <row r="199" spans="1:14" s="1" customFormat="1" collapsed="1" x14ac:dyDescent="0.45">
      <c r="A199" s="28" t="s">
        <v>95</v>
      </c>
      <c r="B199" s="43">
        <v>1996204593</v>
      </c>
      <c r="C199" s="69">
        <v>813471822</v>
      </c>
      <c r="D199" s="69">
        <v>86527154</v>
      </c>
      <c r="E199" s="61">
        <v>1096205617</v>
      </c>
      <c r="F199" s="60">
        <v>140295785.24807602</v>
      </c>
      <c r="G199" s="60">
        <v>370341901.75192398</v>
      </c>
      <c r="H199" s="70">
        <v>345476072</v>
      </c>
      <c r="I199" s="70">
        <v>4033605</v>
      </c>
      <c r="J199" s="70">
        <v>0</v>
      </c>
      <c r="K199" s="70">
        <v>7821155</v>
      </c>
      <c r="L199" s="70">
        <v>5456529</v>
      </c>
      <c r="M199" s="60">
        <v>222780569</v>
      </c>
    </row>
    <row r="200" spans="1:14" ht="16" hidden="1" customHeight="1" outlineLevel="1" x14ac:dyDescent="0.45">
      <c r="A200" s="29" t="s">
        <v>152</v>
      </c>
      <c r="B200" s="44">
        <v>610406478</v>
      </c>
      <c r="C200" s="71">
        <v>605229297</v>
      </c>
      <c r="D200" s="71">
        <v>0</v>
      </c>
      <c r="E200" s="64">
        <v>5177181</v>
      </c>
      <c r="F200" s="63">
        <v>0</v>
      </c>
      <c r="G200" s="63">
        <v>0</v>
      </c>
      <c r="H200" s="32">
        <v>0</v>
      </c>
      <c r="I200" s="32">
        <v>0</v>
      </c>
      <c r="J200" s="32">
        <v>0</v>
      </c>
      <c r="K200" s="32">
        <v>0</v>
      </c>
      <c r="L200" s="32">
        <v>0</v>
      </c>
      <c r="M200" s="63">
        <v>5177181</v>
      </c>
      <c r="N200" s="1"/>
    </row>
    <row r="201" spans="1:14" ht="16" hidden="1" customHeight="1" outlineLevel="1" x14ac:dyDescent="0.45">
      <c r="A201" s="29" t="s">
        <v>153</v>
      </c>
      <c r="B201" s="44">
        <v>399240014</v>
      </c>
      <c r="C201" s="71">
        <v>17321878</v>
      </c>
      <c r="D201" s="71">
        <v>12879221</v>
      </c>
      <c r="E201" s="64">
        <v>369038915</v>
      </c>
      <c r="F201" s="63">
        <v>1301700</v>
      </c>
      <c r="G201" s="63">
        <v>4180895</v>
      </c>
      <c r="H201" s="32">
        <v>156779057</v>
      </c>
      <c r="I201" s="32">
        <v>157647</v>
      </c>
      <c r="J201" s="32">
        <v>0</v>
      </c>
      <c r="K201" s="32">
        <v>2758824</v>
      </c>
      <c r="L201" s="32">
        <v>5208529</v>
      </c>
      <c r="M201" s="63">
        <v>198652263</v>
      </c>
      <c r="N201" s="1"/>
    </row>
    <row r="202" spans="1:14" ht="16" hidden="1" customHeight="1" outlineLevel="1" x14ac:dyDescent="0.45">
      <c r="A202" s="29" t="s">
        <v>117</v>
      </c>
      <c r="B202" s="44">
        <v>55912226</v>
      </c>
      <c r="C202" s="71">
        <v>55912226</v>
      </c>
      <c r="D202" s="71">
        <v>0</v>
      </c>
      <c r="E202" s="64">
        <v>0</v>
      </c>
      <c r="F202" s="63">
        <v>0</v>
      </c>
      <c r="G202" s="63">
        <v>0</v>
      </c>
      <c r="H202" s="32">
        <v>0</v>
      </c>
      <c r="I202" s="32">
        <v>0</v>
      </c>
      <c r="J202" s="32">
        <v>0</v>
      </c>
      <c r="K202" s="32">
        <v>0</v>
      </c>
      <c r="L202" s="32">
        <v>0</v>
      </c>
      <c r="M202" s="63">
        <v>0</v>
      </c>
      <c r="N202" s="1"/>
    </row>
    <row r="203" spans="1:14" ht="16" hidden="1" customHeight="1" outlineLevel="1" x14ac:dyDescent="0.45">
      <c r="A203" s="29" t="s">
        <v>154</v>
      </c>
      <c r="B203" s="44">
        <v>7724</v>
      </c>
      <c r="C203" s="71">
        <v>2000</v>
      </c>
      <c r="D203" s="71">
        <v>5724</v>
      </c>
      <c r="E203" s="64">
        <v>0</v>
      </c>
      <c r="F203" s="63">
        <v>0</v>
      </c>
      <c r="G203" s="63">
        <v>0</v>
      </c>
      <c r="H203" s="32">
        <v>0</v>
      </c>
      <c r="I203" s="32">
        <v>0</v>
      </c>
      <c r="J203" s="32">
        <v>0</v>
      </c>
      <c r="K203" s="32">
        <v>0</v>
      </c>
      <c r="L203" s="32">
        <v>0</v>
      </c>
      <c r="M203" s="63">
        <v>0</v>
      </c>
      <c r="N203" s="1"/>
    </row>
    <row r="204" spans="1:14" ht="16" hidden="1" customHeight="1" outlineLevel="1" x14ac:dyDescent="0.45">
      <c r="A204" s="29" t="s">
        <v>96</v>
      </c>
      <c r="B204" s="44">
        <v>25054303</v>
      </c>
      <c r="C204" s="71">
        <v>792000</v>
      </c>
      <c r="D204" s="71">
        <v>589000</v>
      </c>
      <c r="E204" s="64">
        <v>23673303</v>
      </c>
      <c r="F204" s="63">
        <v>19221260.037351079</v>
      </c>
      <c r="G204" s="63">
        <v>3907209.9626489216</v>
      </c>
      <c r="H204" s="32">
        <v>0</v>
      </c>
      <c r="I204" s="32">
        <v>0</v>
      </c>
      <c r="J204" s="32">
        <v>0</v>
      </c>
      <c r="K204" s="32">
        <v>346833</v>
      </c>
      <c r="L204" s="32">
        <v>128000</v>
      </c>
      <c r="M204" s="63">
        <v>70000</v>
      </c>
      <c r="N204" s="1"/>
    </row>
    <row r="205" spans="1:14" ht="16" hidden="1" customHeight="1" outlineLevel="1" x14ac:dyDescent="0.45">
      <c r="A205" s="29" t="s">
        <v>97</v>
      </c>
      <c r="B205" s="44">
        <v>35700</v>
      </c>
      <c r="C205" s="71">
        <v>14000</v>
      </c>
      <c r="D205" s="71">
        <v>0</v>
      </c>
      <c r="E205" s="64">
        <v>21700</v>
      </c>
      <c r="F205" s="63">
        <v>21700</v>
      </c>
      <c r="G205" s="63">
        <v>0</v>
      </c>
      <c r="H205" s="32">
        <v>0</v>
      </c>
      <c r="I205" s="32">
        <v>0</v>
      </c>
      <c r="J205" s="32">
        <v>0</v>
      </c>
      <c r="K205" s="32">
        <v>0</v>
      </c>
      <c r="L205" s="32">
        <v>0</v>
      </c>
      <c r="M205" s="63">
        <v>0</v>
      </c>
      <c r="N205" s="1"/>
    </row>
    <row r="206" spans="1:14" ht="16" hidden="1" customHeight="1" outlineLevel="1" x14ac:dyDescent="0.45">
      <c r="A206" s="29" t="s">
        <v>98</v>
      </c>
      <c r="B206" s="44">
        <v>405569100</v>
      </c>
      <c r="C206" s="71">
        <v>29800000</v>
      </c>
      <c r="D206" s="71">
        <v>0</v>
      </c>
      <c r="E206" s="64">
        <v>375769100</v>
      </c>
      <c r="F206" s="63">
        <v>28109100</v>
      </c>
      <c r="G206" s="63">
        <v>347660000</v>
      </c>
      <c r="H206" s="32">
        <v>0</v>
      </c>
      <c r="I206" s="32">
        <v>0</v>
      </c>
      <c r="J206" s="32">
        <v>0</v>
      </c>
      <c r="K206" s="32">
        <v>0</v>
      </c>
      <c r="L206" s="32">
        <v>0</v>
      </c>
      <c r="M206" s="63">
        <v>0</v>
      </c>
      <c r="N206" s="1"/>
    </row>
    <row r="207" spans="1:14" ht="16" hidden="1" customHeight="1" outlineLevel="1" x14ac:dyDescent="0.45">
      <c r="A207" s="29" t="s">
        <v>99</v>
      </c>
      <c r="B207" s="44">
        <v>312108792</v>
      </c>
      <c r="C207" s="71">
        <v>83410737</v>
      </c>
      <c r="D207" s="71">
        <v>0</v>
      </c>
      <c r="E207" s="64">
        <v>228698055</v>
      </c>
      <c r="F207" s="63">
        <v>70047498.706252456</v>
      </c>
      <c r="G207" s="63">
        <v>10953223.293747535</v>
      </c>
      <c r="H207" s="32">
        <v>131971698</v>
      </c>
      <c r="I207" s="32">
        <v>0</v>
      </c>
      <c r="J207" s="32">
        <v>0</v>
      </c>
      <c r="K207" s="32">
        <v>167900</v>
      </c>
      <c r="L207" s="32">
        <v>120000</v>
      </c>
      <c r="M207" s="63">
        <v>15437735</v>
      </c>
      <c r="N207" s="1"/>
    </row>
    <row r="208" spans="1:14" ht="16" hidden="1" customHeight="1" outlineLevel="1" x14ac:dyDescent="0.45">
      <c r="A208" s="29" t="s">
        <v>155</v>
      </c>
      <c r="B208" s="44">
        <v>7409724</v>
      </c>
      <c r="C208" s="71">
        <v>7409724</v>
      </c>
      <c r="D208" s="71">
        <v>0</v>
      </c>
      <c r="E208" s="64">
        <v>0</v>
      </c>
      <c r="F208" s="63">
        <v>0</v>
      </c>
      <c r="G208" s="63">
        <v>0</v>
      </c>
      <c r="H208" s="32">
        <v>0</v>
      </c>
      <c r="I208" s="32">
        <v>0</v>
      </c>
      <c r="J208" s="32">
        <v>0</v>
      </c>
      <c r="K208" s="32">
        <v>0</v>
      </c>
      <c r="L208" s="32">
        <v>0</v>
      </c>
      <c r="M208" s="63">
        <v>0</v>
      </c>
      <c r="N208" s="1"/>
    </row>
    <row r="209" spans="1:14" ht="16" hidden="1" customHeight="1" outlineLevel="1" x14ac:dyDescent="0.45">
      <c r="A209" s="29" t="s">
        <v>100</v>
      </c>
      <c r="B209" s="44">
        <v>180082350</v>
      </c>
      <c r="C209" s="71">
        <v>13579960</v>
      </c>
      <c r="D209" s="71">
        <v>73053209</v>
      </c>
      <c r="E209" s="64">
        <v>93449181</v>
      </c>
      <c r="F209" s="63">
        <v>21594526.504472479</v>
      </c>
      <c r="G209" s="63">
        <v>3640573.495527518</v>
      </c>
      <c r="H209" s="32">
        <v>56725317</v>
      </c>
      <c r="I209" s="32">
        <v>3875958</v>
      </c>
      <c r="J209" s="32">
        <v>0</v>
      </c>
      <c r="K209" s="32">
        <v>4169416</v>
      </c>
      <c r="L209" s="32">
        <v>0</v>
      </c>
      <c r="M209" s="63">
        <v>3443390</v>
      </c>
      <c r="N209" s="1"/>
    </row>
    <row r="210" spans="1:14" ht="16" hidden="1" customHeight="1" outlineLevel="1" x14ac:dyDescent="0.45">
      <c r="A210" s="24" t="s">
        <v>212</v>
      </c>
      <c r="B210" s="45">
        <v>0</v>
      </c>
      <c r="C210" s="71">
        <v>0</v>
      </c>
      <c r="D210" s="71">
        <v>0</v>
      </c>
      <c r="E210" s="64">
        <v>0</v>
      </c>
      <c r="F210" s="63">
        <v>0</v>
      </c>
      <c r="G210" s="63">
        <v>0</v>
      </c>
      <c r="H210" s="32">
        <v>0</v>
      </c>
      <c r="I210" s="32">
        <v>0</v>
      </c>
      <c r="J210" s="32">
        <v>0</v>
      </c>
      <c r="K210" s="32">
        <v>0</v>
      </c>
      <c r="L210" s="32">
        <v>0</v>
      </c>
      <c r="M210" s="63">
        <v>0</v>
      </c>
      <c r="N210" s="1"/>
    </row>
    <row r="211" spans="1:14" ht="16" hidden="1" customHeight="1" outlineLevel="1" x14ac:dyDescent="0.45">
      <c r="A211" s="29" t="s">
        <v>213</v>
      </c>
      <c r="B211" s="44">
        <v>0</v>
      </c>
      <c r="C211" s="71">
        <v>0</v>
      </c>
      <c r="D211" s="71">
        <v>0</v>
      </c>
      <c r="E211" s="64">
        <v>0</v>
      </c>
      <c r="F211" s="63">
        <v>0</v>
      </c>
      <c r="G211" s="63">
        <v>0</v>
      </c>
      <c r="H211" s="32">
        <v>0</v>
      </c>
      <c r="I211" s="32">
        <v>0</v>
      </c>
      <c r="J211" s="32">
        <v>0</v>
      </c>
      <c r="K211" s="32">
        <v>0</v>
      </c>
      <c r="L211" s="32">
        <v>0</v>
      </c>
      <c r="M211" s="63">
        <v>0</v>
      </c>
      <c r="N211" s="1"/>
    </row>
    <row r="212" spans="1:14" ht="16" hidden="1" customHeight="1" outlineLevel="1" x14ac:dyDescent="0.45">
      <c r="A212" s="24" t="s">
        <v>214</v>
      </c>
      <c r="B212" s="45">
        <v>0</v>
      </c>
      <c r="C212" s="71">
        <v>0</v>
      </c>
      <c r="D212" s="71">
        <v>0</v>
      </c>
      <c r="E212" s="64">
        <v>0</v>
      </c>
      <c r="F212" s="63">
        <v>0</v>
      </c>
      <c r="G212" s="63">
        <v>0</v>
      </c>
      <c r="H212" s="32">
        <v>0</v>
      </c>
      <c r="I212" s="32">
        <v>0</v>
      </c>
      <c r="J212" s="32">
        <v>0</v>
      </c>
      <c r="K212" s="32">
        <v>0</v>
      </c>
      <c r="L212" s="32">
        <v>0</v>
      </c>
      <c r="M212" s="63">
        <v>0</v>
      </c>
      <c r="N212" s="1"/>
    </row>
    <row r="213" spans="1:14" ht="16" hidden="1" customHeight="1" outlineLevel="1" x14ac:dyDescent="0.45">
      <c r="A213" s="29" t="s">
        <v>215</v>
      </c>
      <c r="B213" s="44">
        <v>0</v>
      </c>
      <c r="C213" s="71">
        <v>0</v>
      </c>
      <c r="D213" s="71">
        <v>0</v>
      </c>
      <c r="E213" s="64">
        <v>0</v>
      </c>
      <c r="F213" s="63">
        <v>0</v>
      </c>
      <c r="G213" s="63">
        <v>0</v>
      </c>
      <c r="H213" s="32">
        <v>0</v>
      </c>
      <c r="I213" s="32">
        <v>0</v>
      </c>
      <c r="J213" s="32">
        <v>0</v>
      </c>
      <c r="K213" s="32">
        <v>0</v>
      </c>
      <c r="L213" s="32">
        <v>0</v>
      </c>
      <c r="M213" s="63">
        <v>0</v>
      </c>
      <c r="N213" s="1"/>
    </row>
    <row r="214" spans="1:14" ht="16" hidden="1" customHeight="1" outlineLevel="1" x14ac:dyDescent="0.45">
      <c r="A214" s="29" t="s">
        <v>257</v>
      </c>
      <c r="B214" s="44">
        <v>378182</v>
      </c>
      <c r="C214" s="71">
        <v>0</v>
      </c>
      <c r="D214" s="71">
        <v>0</v>
      </c>
      <c r="E214" s="64">
        <v>378182</v>
      </c>
      <c r="F214" s="63">
        <v>0</v>
      </c>
      <c r="G214" s="63">
        <v>0</v>
      </c>
      <c r="H214" s="32">
        <v>0</v>
      </c>
      <c r="I214" s="32">
        <v>0</v>
      </c>
      <c r="J214" s="32">
        <v>0</v>
      </c>
      <c r="K214" s="32">
        <v>378182</v>
      </c>
      <c r="L214" s="32">
        <v>0</v>
      </c>
      <c r="M214" s="63">
        <v>0</v>
      </c>
      <c r="N214" s="1"/>
    </row>
    <row r="215" spans="1:14" s="1" customFormat="1" collapsed="1" x14ac:dyDescent="0.45">
      <c r="A215" s="28" t="s">
        <v>156</v>
      </c>
      <c r="B215" s="43">
        <v>24561000</v>
      </c>
      <c r="C215" s="69">
        <v>0</v>
      </c>
      <c r="D215" s="69">
        <v>0</v>
      </c>
      <c r="E215" s="61">
        <v>24561000</v>
      </c>
      <c r="F215" s="60">
        <v>0</v>
      </c>
      <c r="G215" s="60">
        <v>0</v>
      </c>
      <c r="H215" s="70">
        <v>24561000</v>
      </c>
      <c r="I215" s="70">
        <v>0</v>
      </c>
      <c r="J215" s="70">
        <v>0</v>
      </c>
      <c r="K215" s="70">
        <v>0</v>
      </c>
      <c r="L215" s="70">
        <v>0</v>
      </c>
      <c r="M215" s="60">
        <v>0</v>
      </c>
    </row>
    <row r="216" spans="1:14" ht="16" hidden="1" customHeight="1" outlineLevel="1" x14ac:dyDescent="0.45">
      <c r="A216" s="29" t="s">
        <v>157</v>
      </c>
      <c r="B216" s="44">
        <v>24561000</v>
      </c>
      <c r="C216" s="71">
        <v>0</v>
      </c>
      <c r="D216" s="71">
        <v>0</v>
      </c>
      <c r="E216" s="64">
        <v>24561000</v>
      </c>
      <c r="F216" s="63">
        <v>0</v>
      </c>
      <c r="G216" s="63">
        <v>0</v>
      </c>
      <c r="H216" s="32">
        <v>24561000</v>
      </c>
      <c r="I216" s="32">
        <v>0</v>
      </c>
      <c r="J216" s="32">
        <v>0</v>
      </c>
      <c r="K216" s="32">
        <v>0</v>
      </c>
      <c r="L216" s="32">
        <v>0</v>
      </c>
      <c r="M216" s="63">
        <v>0</v>
      </c>
      <c r="N216" s="1"/>
    </row>
    <row r="217" spans="1:14" s="1" customFormat="1" collapsed="1" x14ac:dyDescent="0.45">
      <c r="A217" s="28" t="s">
        <v>101</v>
      </c>
      <c r="B217" s="43">
        <v>2782298037</v>
      </c>
      <c r="C217" s="69">
        <v>-1188492061</v>
      </c>
      <c r="D217" s="69">
        <v>0</v>
      </c>
      <c r="E217" s="61">
        <v>3970790098</v>
      </c>
      <c r="F217" s="60">
        <v>1345920459</v>
      </c>
      <c r="G217" s="60">
        <v>46315990</v>
      </c>
      <c r="H217" s="70">
        <v>1943452272</v>
      </c>
      <c r="I217" s="70">
        <v>14823081</v>
      </c>
      <c r="J217" s="70">
        <v>4125668</v>
      </c>
      <c r="K217" s="70">
        <v>68024609</v>
      </c>
      <c r="L217" s="70">
        <v>511756549</v>
      </c>
      <c r="M217" s="60">
        <v>36371470</v>
      </c>
    </row>
    <row r="218" spans="1:14" s="1" customFormat="1" ht="16" hidden="1" customHeight="1" outlineLevel="1" x14ac:dyDescent="0.45">
      <c r="A218" s="28" t="s">
        <v>166</v>
      </c>
      <c r="B218" s="43">
        <v>0</v>
      </c>
      <c r="C218" s="69">
        <v>-410282657</v>
      </c>
      <c r="D218" s="69">
        <v>0</v>
      </c>
      <c r="E218" s="61">
        <v>410282657</v>
      </c>
      <c r="F218" s="60">
        <v>313743057</v>
      </c>
      <c r="G218" s="60">
        <v>0</v>
      </c>
      <c r="H218" s="70">
        <v>1949200</v>
      </c>
      <c r="I218" s="70">
        <v>10422190</v>
      </c>
      <c r="J218" s="70">
        <v>3965640</v>
      </c>
      <c r="K218" s="70">
        <v>65066790</v>
      </c>
      <c r="L218" s="70">
        <v>15135780</v>
      </c>
      <c r="M218" s="60">
        <v>0</v>
      </c>
    </row>
    <row r="219" spans="1:14" ht="16" hidden="1" customHeight="1" outlineLevel="1" x14ac:dyDescent="0.45">
      <c r="A219" s="29" t="s">
        <v>216</v>
      </c>
      <c r="B219" s="44">
        <v>0</v>
      </c>
      <c r="C219" s="71">
        <v>0</v>
      </c>
      <c r="D219" s="71">
        <v>0</v>
      </c>
      <c r="E219" s="64">
        <v>0</v>
      </c>
      <c r="F219" s="63">
        <v>0</v>
      </c>
      <c r="G219" s="63">
        <v>0</v>
      </c>
      <c r="H219" s="32">
        <v>0</v>
      </c>
      <c r="I219" s="32">
        <v>0</v>
      </c>
      <c r="J219" s="32">
        <v>0</v>
      </c>
      <c r="K219" s="32">
        <v>0</v>
      </c>
      <c r="L219" s="32">
        <v>0</v>
      </c>
      <c r="M219" s="63">
        <v>0</v>
      </c>
      <c r="N219" s="1"/>
    </row>
    <row r="220" spans="1:14" ht="16" hidden="1" customHeight="1" outlineLevel="1" x14ac:dyDescent="0.45">
      <c r="A220" s="29" t="s">
        <v>102</v>
      </c>
      <c r="B220" s="44">
        <v>228421</v>
      </c>
      <c r="C220" s="71">
        <v>0</v>
      </c>
      <c r="D220" s="71">
        <v>0</v>
      </c>
      <c r="E220" s="64">
        <v>228421</v>
      </c>
      <c r="F220" s="63">
        <v>0</v>
      </c>
      <c r="G220" s="63">
        <v>228421</v>
      </c>
      <c r="H220" s="32">
        <v>0</v>
      </c>
      <c r="I220" s="32">
        <v>0</v>
      </c>
      <c r="J220" s="32">
        <v>0</v>
      </c>
      <c r="K220" s="32">
        <v>0</v>
      </c>
      <c r="L220" s="32">
        <v>0</v>
      </c>
      <c r="M220" s="63">
        <v>0</v>
      </c>
      <c r="N220" s="1"/>
    </row>
    <row r="221" spans="1:14" ht="16" hidden="1" customHeight="1" outlineLevel="1" x14ac:dyDescent="0.45">
      <c r="A221" s="29" t="s">
        <v>103</v>
      </c>
      <c r="B221" s="44">
        <v>47373726</v>
      </c>
      <c r="C221" s="71">
        <v>4480612</v>
      </c>
      <c r="D221" s="71">
        <v>0</v>
      </c>
      <c r="E221" s="64">
        <v>42893114</v>
      </c>
      <c r="F221" s="63">
        <v>41815536</v>
      </c>
      <c r="G221" s="63">
        <v>0</v>
      </c>
      <c r="H221" s="32">
        <v>150000</v>
      </c>
      <c r="I221" s="32">
        <v>0</v>
      </c>
      <c r="J221" s="32">
        <v>160028</v>
      </c>
      <c r="K221" s="32">
        <v>0</v>
      </c>
      <c r="L221" s="32">
        <v>767550</v>
      </c>
      <c r="M221" s="63">
        <v>0</v>
      </c>
      <c r="N221" s="1"/>
    </row>
    <row r="222" spans="1:14" s="1" customFormat="1" ht="16" hidden="1" customHeight="1" outlineLevel="1" collapsed="1" x14ac:dyDescent="0.45">
      <c r="A222" s="28" t="s">
        <v>104</v>
      </c>
      <c r="B222" s="43">
        <v>0</v>
      </c>
      <c r="C222" s="69">
        <v>-809267245</v>
      </c>
      <c r="D222" s="69">
        <v>0</v>
      </c>
      <c r="E222" s="61">
        <v>809267245</v>
      </c>
      <c r="F222" s="60">
        <v>407771700</v>
      </c>
      <c r="G222" s="60">
        <v>0</v>
      </c>
      <c r="H222" s="70">
        <v>0</v>
      </c>
      <c r="I222" s="70">
        <v>0</v>
      </c>
      <c r="J222" s="70">
        <v>0</v>
      </c>
      <c r="K222" s="70">
        <v>0</v>
      </c>
      <c r="L222" s="70">
        <v>401495545</v>
      </c>
      <c r="M222" s="60">
        <v>0</v>
      </c>
    </row>
    <row r="223" spans="1:14" ht="16" hidden="1" customHeight="1" outlineLevel="1" x14ac:dyDescent="0.45">
      <c r="A223" s="29" t="s">
        <v>116</v>
      </c>
      <c r="B223" s="44">
        <v>114898860</v>
      </c>
      <c r="C223" s="71">
        <v>19814699</v>
      </c>
      <c r="D223" s="71">
        <v>0</v>
      </c>
      <c r="E223" s="64">
        <v>95084161</v>
      </c>
      <c r="F223" s="63">
        <v>6661630</v>
      </c>
      <c r="G223" s="63">
        <v>46087569</v>
      </c>
      <c r="H223" s="32">
        <v>0</v>
      </c>
      <c r="I223" s="32">
        <v>0</v>
      </c>
      <c r="J223" s="32">
        <v>0</v>
      </c>
      <c r="K223" s="32">
        <v>0</v>
      </c>
      <c r="L223" s="32">
        <v>10376999</v>
      </c>
      <c r="M223" s="63">
        <v>31957963</v>
      </c>
      <c r="N223" s="1"/>
    </row>
    <row r="224" spans="1:14" ht="16" hidden="1" customHeight="1" outlineLevel="1" x14ac:dyDescent="0.45">
      <c r="A224" s="29" t="s">
        <v>105</v>
      </c>
      <c r="B224" s="44">
        <v>2619087030</v>
      </c>
      <c r="C224" s="71">
        <v>6762530</v>
      </c>
      <c r="D224" s="71">
        <v>0</v>
      </c>
      <c r="E224" s="64">
        <v>2612324500</v>
      </c>
      <c r="F224" s="63">
        <v>575928536</v>
      </c>
      <c r="G224" s="63">
        <v>0</v>
      </c>
      <c r="H224" s="32">
        <v>1941353072</v>
      </c>
      <c r="I224" s="72">
        <v>4400891</v>
      </c>
      <c r="J224" s="72">
        <v>0</v>
      </c>
      <c r="K224" s="72">
        <v>2957819</v>
      </c>
      <c r="L224" s="72">
        <v>83270675</v>
      </c>
      <c r="M224" s="63">
        <v>4413507</v>
      </c>
      <c r="N224" s="1"/>
    </row>
    <row r="225" spans="1:14" ht="16" hidden="1" customHeight="1" outlineLevel="1" x14ac:dyDescent="0.45">
      <c r="A225" s="29" t="s">
        <v>217</v>
      </c>
      <c r="B225" s="44">
        <v>0</v>
      </c>
      <c r="C225" s="71">
        <v>0</v>
      </c>
      <c r="D225" s="71">
        <v>0</v>
      </c>
      <c r="E225" s="64">
        <v>0</v>
      </c>
      <c r="F225" s="63">
        <v>0</v>
      </c>
      <c r="G225" s="63">
        <v>0</v>
      </c>
      <c r="H225" s="32">
        <v>0</v>
      </c>
      <c r="I225" s="32">
        <v>0</v>
      </c>
      <c r="J225" s="32">
        <v>0</v>
      </c>
      <c r="K225" s="32">
        <v>0</v>
      </c>
      <c r="L225" s="32">
        <v>0</v>
      </c>
      <c r="M225" s="63">
        <v>0</v>
      </c>
      <c r="N225" s="1"/>
    </row>
    <row r="226" spans="1:14" ht="16" hidden="1" customHeight="1" outlineLevel="1" x14ac:dyDescent="0.45">
      <c r="A226" s="29" t="s">
        <v>106</v>
      </c>
      <c r="B226" s="44">
        <v>710000</v>
      </c>
      <c r="C226" s="71">
        <v>0</v>
      </c>
      <c r="D226" s="71">
        <v>0</v>
      </c>
      <c r="E226" s="64">
        <v>710000</v>
      </c>
      <c r="F226" s="63">
        <v>0</v>
      </c>
      <c r="G226" s="63">
        <v>0</v>
      </c>
      <c r="H226" s="32">
        <v>0</v>
      </c>
      <c r="I226" s="32">
        <v>0</v>
      </c>
      <c r="J226" s="32">
        <v>0</v>
      </c>
      <c r="K226" s="32">
        <v>0</v>
      </c>
      <c r="L226" s="32">
        <v>710000</v>
      </c>
      <c r="M226" s="63">
        <v>0</v>
      </c>
      <c r="N226" s="1"/>
    </row>
    <row r="227" spans="1:14" s="1" customFormat="1" ht="16" hidden="1" customHeight="1" outlineLevel="1" collapsed="1" x14ac:dyDescent="0.45">
      <c r="A227" s="28" t="s">
        <v>260</v>
      </c>
      <c r="B227" s="43">
        <v>0</v>
      </c>
      <c r="C227" s="69">
        <v>0</v>
      </c>
      <c r="D227" s="69">
        <v>0</v>
      </c>
      <c r="E227" s="61">
        <v>0</v>
      </c>
      <c r="F227" s="60">
        <v>0</v>
      </c>
      <c r="G227" s="60">
        <v>0</v>
      </c>
      <c r="H227" s="70">
        <v>0</v>
      </c>
      <c r="I227" s="70">
        <v>0</v>
      </c>
      <c r="J227" s="70">
        <v>0</v>
      </c>
      <c r="K227" s="70">
        <v>0</v>
      </c>
      <c r="L227" s="70">
        <v>0</v>
      </c>
      <c r="M227" s="60">
        <v>0</v>
      </c>
    </row>
    <row r="228" spans="1:14" s="1" customFormat="1" collapsed="1" x14ac:dyDescent="0.45">
      <c r="A228" s="28" t="s">
        <v>218</v>
      </c>
      <c r="B228" s="43">
        <v>0</v>
      </c>
      <c r="C228" s="69">
        <v>0</v>
      </c>
      <c r="D228" s="69">
        <v>0</v>
      </c>
      <c r="E228" s="61">
        <v>0</v>
      </c>
      <c r="F228" s="60">
        <v>0</v>
      </c>
      <c r="G228" s="60">
        <v>0</v>
      </c>
      <c r="H228" s="70">
        <v>0</v>
      </c>
      <c r="I228" s="70">
        <v>0</v>
      </c>
      <c r="J228" s="70">
        <v>0</v>
      </c>
      <c r="K228" s="70">
        <v>0</v>
      </c>
      <c r="L228" s="70">
        <v>0</v>
      </c>
      <c r="M228" s="60">
        <v>0</v>
      </c>
    </row>
    <row r="229" spans="1:14" s="1" customFormat="1" x14ac:dyDescent="0.45">
      <c r="A229" s="28" t="s">
        <v>107</v>
      </c>
      <c r="B229" s="43">
        <v>3778416794</v>
      </c>
      <c r="C229" s="69">
        <v>-66274673</v>
      </c>
      <c r="D229" s="69">
        <v>0</v>
      </c>
      <c r="E229" s="61">
        <v>3844691467</v>
      </c>
      <c r="F229" s="60">
        <v>0</v>
      </c>
      <c r="G229" s="60">
        <v>-2236854</v>
      </c>
      <c r="H229" s="70">
        <v>13304648</v>
      </c>
      <c r="I229" s="70">
        <v>3046305871</v>
      </c>
      <c r="J229" s="70">
        <v>704680355</v>
      </c>
      <c r="K229" s="70">
        <v>14125920</v>
      </c>
      <c r="L229" s="70">
        <v>68511527</v>
      </c>
      <c r="M229" s="60">
        <v>0</v>
      </c>
    </row>
    <row r="230" spans="1:14" ht="16" hidden="1" customHeight="1" outlineLevel="1" x14ac:dyDescent="0.45">
      <c r="A230" s="29" t="s">
        <v>158</v>
      </c>
      <c r="B230" s="44">
        <v>0</v>
      </c>
      <c r="C230" s="71">
        <v>0</v>
      </c>
      <c r="D230" s="71">
        <v>0</v>
      </c>
      <c r="E230" s="64">
        <v>0</v>
      </c>
      <c r="F230" s="63">
        <v>0</v>
      </c>
      <c r="G230" s="63">
        <v>0</v>
      </c>
      <c r="H230" s="32">
        <v>0</v>
      </c>
      <c r="I230" s="32">
        <v>0</v>
      </c>
      <c r="J230" s="32">
        <v>0</v>
      </c>
      <c r="K230" s="32">
        <v>0</v>
      </c>
      <c r="L230" s="32">
        <v>0</v>
      </c>
      <c r="M230" s="63">
        <v>0</v>
      </c>
      <c r="N230" s="1"/>
    </row>
    <row r="231" spans="1:14" ht="16" hidden="1" customHeight="1" outlineLevel="1" x14ac:dyDescent="0.45">
      <c r="A231" s="29" t="s">
        <v>219</v>
      </c>
      <c r="B231" s="44">
        <v>0</v>
      </c>
      <c r="C231" s="71">
        <v>0</v>
      </c>
      <c r="D231" s="71">
        <v>0</v>
      </c>
      <c r="E231" s="64">
        <v>0</v>
      </c>
      <c r="F231" s="63">
        <v>0</v>
      </c>
      <c r="G231" s="63">
        <v>0</v>
      </c>
      <c r="H231" s="32">
        <v>0</v>
      </c>
      <c r="I231" s="32">
        <v>0</v>
      </c>
      <c r="J231" s="32">
        <v>0</v>
      </c>
      <c r="K231" s="32">
        <v>0</v>
      </c>
      <c r="L231" s="32">
        <v>0</v>
      </c>
      <c r="M231" s="63">
        <v>0</v>
      </c>
      <c r="N231" s="1"/>
    </row>
    <row r="232" spans="1:14" ht="16" hidden="1" customHeight="1" outlineLevel="1" x14ac:dyDescent="0.45">
      <c r="A232" s="29" t="s">
        <v>230</v>
      </c>
      <c r="B232" s="44">
        <v>3778416794</v>
      </c>
      <c r="C232" s="71">
        <v>0</v>
      </c>
      <c r="D232" s="71">
        <v>0</v>
      </c>
      <c r="E232" s="64">
        <v>3778416794</v>
      </c>
      <c r="F232" s="63">
        <v>0</v>
      </c>
      <c r="G232" s="63">
        <v>0</v>
      </c>
      <c r="H232" s="32">
        <v>13304648</v>
      </c>
      <c r="I232" s="32">
        <v>3046305871</v>
      </c>
      <c r="J232" s="32">
        <v>704680355</v>
      </c>
      <c r="K232" s="32">
        <v>14125920</v>
      </c>
      <c r="L232" s="32">
        <v>0</v>
      </c>
      <c r="M232" s="63">
        <v>0</v>
      </c>
      <c r="N232" s="1"/>
    </row>
    <row r="233" spans="1:14" ht="16" hidden="1" customHeight="1" outlineLevel="1" x14ac:dyDescent="0.45">
      <c r="A233" s="29" t="s">
        <v>220</v>
      </c>
      <c r="B233" s="44">
        <v>0</v>
      </c>
      <c r="C233" s="71">
        <v>0</v>
      </c>
      <c r="D233" s="71">
        <v>0</v>
      </c>
      <c r="E233" s="64">
        <v>0</v>
      </c>
      <c r="F233" s="63">
        <v>0</v>
      </c>
      <c r="G233" s="63">
        <v>0</v>
      </c>
      <c r="H233" s="32">
        <v>0</v>
      </c>
      <c r="I233" s="32">
        <v>0</v>
      </c>
      <c r="J233" s="32">
        <v>0</v>
      </c>
      <c r="K233" s="32">
        <v>0</v>
      </c>
      <c r="L233" s="32">
        <v>0</v>
      </c>
      <c r="M233" s="63">
        <v>0</v>
      </c>
      <c r="N233" s="1"/>
    </row>
    <row r="234" spans="1:14" s="1" customFormat="1" ht="16" hidden="1" customHeight="1" outlineLevel="1" collapsed="1" x14ac:dyDescent="0.45">
      <c r="A234" s="28" t="s">
        <v>108</v>
      </c>
      <c r="B234" s="44">
        <v>0</v>
      </c>
      <c r="C234" s="69">
        <v>2236854</v>
      </c>
      <c r="D234" s="69">
        <v>0</v>
      </c>
      <c r="E234" s="61">
        <v>-2236854</v>
      </c>
      <c r="F234" s="60">
        <v>0</v>
      </c>
      <c r="G234" s="60">
        <v>-2236854</v>
      </c>
      <c r="H234" s="70">
        <v>0</v>
      </c>
      <c r="I234" s="70">
        <v>0</v>
      </c>
      <c r="J234" s="70">
        <v>0</v>
      </c>
      <c r="K234" s="70">
        <v>0</v>
      </c>
      <c r="L234" s="70">
        <v>0</v>
      </c>
      <c r="M234" s="60">
        <v>0</v>
      </c>
    </row>
    <row r="235" spans="1:14" ht="16" hidden="1" customHeight="1" outlineLevel="1" x14ac:dyDescent="0.45">
      <c r="A235" s="29" t="s">
        <v>221</v>
      </c>
      <c r="B235" s="44">
        <v>0</v>
      </c>
      <c r="C235" s="71">
        <v>0</v>
      </c>
      <c r="D235" s="71">
        <v>0</v>
      </c>
      <c r="E235" s="64">
        <v>0</v>
      </c>
      <c r="F235" s="63">
        <v>0</v>
      </c>
      <c r="G235" s="63">
        <v>0</v>
      </c>
      <c r="H235" s="32">
        <v>0</v>
      </c>
      <c r="I235" s="32">
        <v>0</v>
      </c>
      <c r="J235" s="32">
        <v>0</v>
      </c>
      <c r="K235" s="32">
        <v>0</v>
      </c>
      <c r="L235" s="32">
        <v>0</v>
      </c>
      <c r="M235" s="63">
        <v>0</v>
      </c>
      <c r="N235" s="1"/>
    </row>
    <row r="236" spans="1:14" ht="16" hidden="1" customHeight="1" outlineLevel="1" x14ac:dyDescent="0.45">
      <c r="A236" s="29" t="s">
        <v>222</v>
      </c>
      <c r="B236" s="44">
        <v>0</v>
      </c>
      <c r="C236" s="71">
        <v>0</v>
      </c>
      <c r="D236" s="71">
        <v>0</v>
      </c>
      <c r="E236" s="64">
        <v>0</v>
      </c>
      <c r="F236" s="63">
        <v>0</v>
      </c>
      <c r="G236" s="63">
        <v>0</v>
      </c>
      <c r="H236" s="32">
        <v>0</v>
      </c>
      <c r="I236" s="32">
        <v>0</v>
      </c>
      <c r="J236" s="32">
        <v>0</v>
      </c>
      <c r="K236" s="32">
        <v>0</v>
      </c>
      <c r="L236" s="32">
        <v>0</v>
      </c>
      <c r="M236" s="63">
        <v>0</v>
      </c>
      <c r="N236" s="1"/>
    </row>
    <row r="237" spans="1:14" s="1" customFormat="1" ht="16" hidden="1" customHeight="1" outlineLevel="1" collapsed="1" x14ac:dyDescent="0.45">
      <c r="A237" s="28" t="s">
        <v>109</v>
      </c>
      <c r="B237" s="44">
        <v>0</v>
      </c>
      <c r="C237" s="69">
        <v>-68511527</v>
      </c>
      <c r="D237" s="69">
        <v>0</v>
      </c>
      <c r="E237" s="61">
        <v>68511527</v>
      </c>
      <c r="F237" s="60">
        <v>0</v>
      </c>
      <c r="G237" s="60">
        <v>0</v>
      </c>
      <c r="H237" s="70">
        <v>0</v>
      </c>
      <c r="I237" s="70">
        <v>0</v>
      </c>
      <c r="J237" s="70">
        <v>0</v>
      </c>
      <c r="K237" s="70">
        <v>0</v>
      </c>
      <c r="L237" s="70">
        <v>68511527</v>
      </c>
      <c r="M237" s="60">
        <v>0</v>
      </c>
    </row>
    <row r="238" spans="1:14" s="1" customFormat="1" ht="16" customHeight="1" collapsed="1" x14ac:dyDescent="0.45">
      <c r="A238" s="28" t="s">
        <v>110</v>
      </c>
      <c r="B238" s="44">
        <v>20228370</v>
      </c>
      <c r="C238" s="69">
        <v>17728370</v>
      </c>
      <c r="D238" s="69">
        <v>0</v>
      </c>
      <c r="E238" s="61">
        <v>2500000</v>
      </c>
      <c r="F238" s="60">
        <v>0</v>
      </c>
      <c r="G238" s="60">
        <v>0</v>
      </c>
      <c r="H238" s="70">
        <v>0</v>
      </c>
      <c r="I238" s="70">
        <v>0</v>
      </c>
      <c r="J238" s="70">
        <v>0</v>
      </c>
      <c r="K238" s="70">
        <v>0</v>
      </c>
      <c r="L238" s="70">
        <v>0</v>
      </c>
      <c r="M238" s="60">
        <v>2500000</v>
      </c>
    </row>
    <row r="239" spans="1:14" s="1" customFormat="1" collapsed="1" x14ac:dyDescent="0.45">
      <c r="A239" s="27" t="s">
        <v>231</v>
      </c>
      <c r="B239" s="42">
        <v>-824836356</v>
      </c>
      <c r="C239" s="73">
        <v>-3266097402.8658752</v>
      </c>
      <c r="D239" s="73">
        <v>-127458118</v>
      </c>
      <c r="E239" s="58">
        <v>2568719164.8658752</v>
      </c>
      <c r="F239" s="57">
        <v>47431363</v>
      </c>
      <c r="G239" s="57">
        <v>784553683.26935625</v>
      </c>
      <c r="H239" s="57">
        <v>724641001.59591484</v>
      </c>
      <c r="I239" s="57">
        <v>62386533.522737503</v>
      </c>
      <c r="J239" s="57">
        <v>64815344.263429523</v>
      </c>
      <c r="K239" s="57">
        <v>56233658.850596726</v>
      </c>
      <c r="L239" s="57">
        <v>-343620937.6361596</v>
      </c>
      <c r="M239" s="57">
        <v>1172278518</v>
      </c>
    </row>
    <row r="240" spans="1:14" s="1" customFormat="1" x14ac:dyDescent="0.45">
      <c r="A240" s="28" t="s">
        <v>268</v>
      </c>
      <c r="B240" s="43">
        <v>82540315</v>
      </c>
      <c r="C240" s="69">
        <v>79540315</v>
      </c>
      <c r="D240" s="69">
        <v>0</v>
      </c>
      <c r="E240" s="61">
        <v>3000000</v>
      </c>
      <c r="F240" s="60">
        <v>0</v>
      </c>
      <c r="G240" s="60">
        <v>3000000</v>
      </c>
      <c r="H240" s="70">
        <v>0</v>
      </c>
      <c r="I240" s="70">
        <v>0</v>
      </c>
      <c r="J240" s="70">
        <v>0</v>
      </c>
      <c r="K240" s="70">
        <v>0</v>
      </c>
      <c r="L240" s="70">
        <v>0</v>
      </c>
      <c r="M240" s="70">
        <v>0</v>
      </c>
    </row>
    <row r="241" spans="1:14" ht="16" hidden="1" customHeight="1" outlineLevel="1" x14ac:dyDescent="0.45">
      <c r="A241" s="29" t="s">
        <v>159</v>
      </c>
      <c r="B241" s="44">
        <v>79540315</v>
      </c>
      <c r="C241" s="71">
        <v>79540315</v>
      </c>
      <c r="D241" s="71">
        <v>0</v>
      </c>
      <c r="E241" s="64">
        <v>0</v>
      </c>
      <c r="F241" s="63">
        <v>0</v>
      </c>
      <c r="G241" s="63">
        <v>0</v>
      </c>
      <c r="H241" s="32">
        <v>0</v>
      </c>
      <c r="I241" s="32">
        <v>0</v>
      </c>
      <c r="J241" s="32">
        <v>0</v>
      </c>
      <c r="K241" s="32">
        <v>0</v>
      </c>
      <c r="L241" s="32">
        <v>0</v>
      </c>
      <c r="M241" s="32">
        <v>0</v>
      </c>
      <c r="N241" s="1"/>
    </row>
    <row r="242" spans="1:14" ht="16" hidden="1" customHeight="1" outlineLevel="1" x14ac:dyDescent="0.45">
      <c r="A242" s="29" t="s">
        <v>160</v>
      </c>
      <c r="B242" s="44">
        <v>0</v>
      </c>
      <c r="C242" s="71">
        <v>0</v>
      </c>
      <c r="D242" s="71">
        <v>0</v>
      </c>
      <c r="E242" s="64">
        <v>0</v>
      </c>
      <c r="F242" s="63">
        <v>0</v>
      </c>
      <c r="G242" s="63">
        <v>0</v>
      </c>
      <c r="H242" s="32">
        <v>0</v>
      </c>
      <c r="I242" s="32">
        <v>0</v>
      </c>
      <c r="J242" s="32">
        <v>0</v>
      </c>
      <c r="K242" s="32">
        <v>0</v>
      </c>
      <c r="L242" s="32">
        <v>0</v>
      </c>
      <c r="M242" s="32">
        <v>0</v>
      </c>
      <c r="N242" s="1"/>
    </row>
    <row r="243" spans="1:14" ht="16" hidden="1" customHeight="1" outlineLevel="1" x14ac:dyDescent="0.45">
      <c r="A243" s="29" t="s">
        <v>258</v>
      </c>
      <c r="B243" s="44">
        <v>0</v>
      </c>
      <c r="C243" s="71">
        <v>0</v>
      </c>
      <c r="D243" s="71">
        <v>0</v>
      </c>
      <c r="E243" s="64">
        <v>0</v>
      </c>
      <c r="F243" s="63">
        <v>0</v>
      </c>
      <c r="G243" s="63">
        <v>0</v>
      </c>
      <c r="H243" s="32">
        <v>0</v>
      </c>
      <c r="I243" s="32">
        <v>0</v>
      </c>
      <c r="J243" s="32">
        <v>0</v>
      </c>
      <c r="K243" s="32">
        <v>0</v>
      </c>
      <c r="L243" s="32">
        <v>0</v>
      </c>
      <c r="M243" s="32">
        <v>0</v>
      </c>
      <c r="N243" s="1"/>
    </row>
    <row r="244" spans="1:14" ht="16" hidden="1" customHeight="1" outlineLevel="1" x14ac:dyDescent="0.45">
      <c r="A244" s="29" t="s">
        <v>223</v>
      </c>
      <c r="B244" s="44">
        <v>0</v>
      </c>
      <c r="C244" s="71">
        <v>0</v>
      </c>
      <c r="D244" s="71">
        <v>0</v>
      </c>
      <c r="E244" s="64">
        <v>0</v>
      </c>
      <c r="F244" s="63">
        <v>0</v>
      </c>
      <c r="G244" s="63">
        <v>0</v>
      </c>
      <c r="H244" s="32">
        <v>0</v>
      </c>
      <c r="I244" s="32">
        <v>0</v>
      </c>
      <c r="J244" s="32">
        <v>0</v>
      </c>
      <c r="K244" s="32">
        <v>0</v>
      </c>
      <c r="L244" s="32">
        <v>0</v>
      </c>
      <c r="M244" s="32">
        <v>0</v>
      </c>
      <c r="N244" s="1"/>
    </row>
    <row r="245" spans="1:14" s="3" customFormat="1" ht="16" hidden="1" customHeight="1" outlineLevel="1" x14ac:dyDescent="0.45">
      <c r="A245" s="33" t="s">
        <v>243</v>
      </c>
      <c r="B245" s="33">
        <v>0</v>
      </c>
      <c r="C245" s="71">
        <v>0</v>
      </c>
      <c r="D245" s="71">
        <v>0</v>
      </c>
      <c r="E245" s="64">
        <v>0</v>
      </c>
      <c r="F245" s="63">
        <v>0</v>
      </c>
      <c r="G245" s="63">
        <v>0</v>
      </c>
      <c r="H245" s="32">
        <v>0</v>
      </c>
      <c r="I245" s="32">
        <v>0</v>
      </c>
      <c r="J245" s="32">
        <v>0</v>
      </c>
      <c r="K245" s="32">
        <v>0</v>
      </c>
      <c r="L245" s="32">
        <v>0</v>
      </c>
      <c r="M245" s="32">
        <v>0</v>
      </c>
      <c r="N245" s="1"/>
    </row>
    <row r="246" spans="1:14" s="3" customFormat="1" ht="16" hidden="1" customHeight="1" outlineLevel="1" x14ac:dyDescent="0.45">
      <c r="A246" s="34" t="s">
        <v>264</v>
      </c>
      <c r="B246" s="33">
        <v>0</v>
      </c>
      <c r="C246" s="71">
        <v>0</v>
      </c>
      <c r="D246" s="71">
        <v>0</v>
      </c>
      <c r="E246" s="64">
        <v>0</v>
      </c>
      <c r="F246" s="63">
        <v>0</v>
      </c>
      <c r="G246" s="63">
        <v>0</v>
      </c>
      <c r="H246" s="32">
        <v>0</v>
      </c>
      <c r="I246" s="32">
        <v>0</v>
      </c>
      <c r="J246" s="32">
        <v>0</v>
      </c>
      <c r="K246" s="32">
        <v>0</v>
      </c>
      <c r="L246" s="32">
        <v>0</v>
      </c>
      <c r="M246" s="32">
        <v>0</v>
      </c>
      <c r="N246" s="1"/>
    </row>
    <row r="247" spans="1:14" s="3" customFormat="1" ht="16" hidden="1" customHeight="1" outlineLevel="1" x14ac:dyDescent="0.45">
      <c r="A247" s="34" t="s">
        <v>247</v>
      </c>
      <c r="B247" s="33">
        <v>0</v>
      </c>
      <c r="C247" s="71">
        <v>0</v>
      </c>
      <c r="D247" s="71">
        <v>0</v>
      </c>
      <c r="E247" s="64">
        <v>0</v>
      </c>
      <c r="F247" s="63">
        <v>0</v>
      </c>
      <c r="G247" s="63">
        <v>0</v>
      </c>
      <c r="H247" s="32">
        <v>0</v>
      </c>
      <c r="I247" s="32">
        <v>0</v>
      </c>
      <c r="J247" s="32">
        <v>0</v>
      </c>
      <c r="K247" s="32">
        <v>0</v>
      </c>
      <c r="L247" s="32">
        <v>0</v>
      </c>
      <c r="M247" s="32">
        <v>0</v>
      </c>
      <c r="N247" s="1"/>
    </row>
    <row r="248" spans="1:14" ht="16" hidden="1" customHeight="1" outlineLevel="1" collapsed="1" x14ac:dyDescent="0.45">
      <c r="A248" s="29" t="s">
        <v>161</v>
      </c>
      <c r="B248" s="44">
        <v>3000000</v>
      </c>
      <c r="C248" s="71">
        <v>0</v>
      </c>
      <c r="D248" s="71">
        <v>0</v>
      </c>
      <c r="E248" s="64">
        <v>3000000</v>
      </c>
      <c r="F248" s="63">
        <v>0</v>
      </c>
      <c r="G248" s="63">
        <v>3000000</v>
      </c>
      <c r="H248" s="32">
        <v>0</v>
      </c>
      <c r="I248" s="32">
        <v>0</v>
      </c>
      <c r="J248" s="32">
        <v>0</v>
      </c>
      <c r="K248" s="32">
        <v>0</v>
      </c>
      <c r="L248" s="32">
        <v>0</v>
      </c>
      <c r="M248" s="32">
        <v>0</v>
      </c>
      <c r="N248" s="1"/>
    </row>
    <row r="249" spans="1:14" ht="16" hidden="1" customHeight="1" outlineLevel="1" x14ac:dyDescent="0.45">
      <c r="A249" s="29" t="s">
        <v>224</v>
      </c>
      <c r="B249" s="44">
        <v>0</v>
      </c>
      <c r="C249" s="71">
        <v>0</v>
      </c>
      <c r="D249" s="71">
        <v>0</v>
      </c>
      <c r="E249" s="64">
        <v>0</v>
      </c>
      <c r="F249" s="63">
        <v>0</v>
      </c>
      <c r="G249" s="63">
        <v>0</v>
      </c>
      <c r="H249" s="32">
        <v>0</v>
      </c>
      <c r="I249" s="32">
        <v>0</v>
      </c>
      <c r="J249" s="32">
        <v>0</v>
      </c>
      <c r="K249" s="32">
        <v>0</v>
      </c>
      <c r="L249" s="32">
        <v>0</v>
      </c>
      <c r="M249" s="32">
        <v>0</v>
      </c>
      <c r="N249" s="1"/>
    </row>
    <row r="250" spans="1:14" s="1" customFormat="1" collapsed="1" x14ac:dyDescent="0.45">
      <c r="A250" s="28" t="s">
        <v>111</v>
      </c>
      <c r="B250" s="43">
        <v>199401466</v>
      </c>
      <c r="C250" s="69">
        <v>199401466</v>
      </c>
      <c r="D250" s="69">
        <v>0</v>
      </c>
      <c r="E250" s="61">
        <v>0</v>
      </c>
      <c r="F250" s="60">
        <v>0</v>
      </c>
      <c r="G250" s="60">
        <v>0</v>
      </c>
      <c r="H250" s="70">
        <v>0</v>
      </c>
      <c r="I250" s="70">
        <v>0</v>
      </c>
      <c r="J250" s="70">
        <v>0</v>
      </c>
      <c r="K250" s="70">
        <v>0</v>
      </c>
      <c r="L250" s="70">
        <v>0</v>
      </c>
      <c r="M250" s="70">
        <v>0</v>
      </c>
    </row>
    <row r="251" spans="1:14" ht="16" hidden="1" customHeight="1" outlineLevel="1" x14ac:dyDescent="0.45">
      <c r="A251" s="29" t="s">
        <v>162</v>
      </c>
      <c r="B251" s="44">
        <v>179470171</v>
      </c>
      <c r="C251" s="71">
        <v>179470171</v>
      </c>
      <c r="D251" s="71">
        <v>0</v>
      </c>
      <c r="E251" s="64">
        <v>0</v>
      </c>
      <c r="F251" s="63">
        <v>0</v>
      </c>
      <c r="G251" s="63">
        <v>0</v>
      </c>
      <c r="H251" s="32">
        <v>0</v>
      </c>
      <c r="I251" s="32">
        <v>0</v>
      </c>
      <c r="J251" s="32">
        <v>0</v>
      </c>
      <c r="K251" s="32">
        <v>0</v>
      </c>
      <c r="L251" s="32">
        <v>0</v>
      </c>
      <c r="M251" s="32">
        <v>0</v>
      </c>
      <c r="N251" s="1"/>
    </row>
    <row r="252" spans="1:14" ht="16" hidden="1" customHeight="1" outlineLevel="1" x14ac:dyDescent="0.45">
      <c r="A252" s="29" t="s">
        <v>251</v>
      </c>
      <c r="B252" s="44">
        <v>0</v>
      </c>
      <c r="C252" s="71">
        <v>0</v>
      </c>
      <c r="D252" s="71">
        <v>0</v>
      </c>
      <c r="E252" s="64">
        <v>0</v>
      </c>
      <c r="F252" s="63">
        <v>0</v>
      </c>
      <c r="G252" s="63">
        <v>0</v>
      </c>
      <c r="H252" s="32">
        <v>0</v>
      </c>
      <c r="I252" s="32">
        <v>0</v>
      </c>
      <c r="J252" s="32">
        <v>0</v>
      </c>
      <c r="K252" s="32">
        <v>0</v>
      </c>
      <c r="L252" s="32">
        <v>0</v>
      </c>
      <c r="M252" s="32">
        <v>0</v>
      </c>
      <c r="N252" s="1"/>
    </row>
    <row r="253" spans="1:14" ht="16" hidden="1" customHeight="1" outlineLevel="1" x14ac:dyDescent="0.45">
      <c r="A253" s="29" t="s">
        <v>314</v>
      </c>
      <c r="B253" s="44">
        <v>0</v>
      </c>
      <c r="C253" s="71">
        <v>0</v>
      </c>
      <c r="D253" s="71">
        <v>0</v>
      </c>
      <c r="E253" s="64">
        <v>0</v>
      </c>
      <c r="F253" s="63">
        <v>0</v>
      </c>
      <c r="G253" s="63">
        <v>0</v>
      </c>
      <c r="H253" s="32">
        <v>0</v>
      </c>
      <c r="I253" s="32">
        <v>0</v>
      </c>
      <c r="J253" s="32">
        <v>0</v>
      </c>
      <c r="K253" s="32">
        <v>0</v>
      </c>
      <c r="L253" s="32">
        <v>0</v>
      </c>
      <c r="M253" s="32">
        <v>0</v>
      </c>
      <c r="N253" s="1"/>
    </row>
    <row r="254" spans="1:14" ht="16" hidden="1" customHeight="1" outlineLevel="1" x14ac:dyDescent="0.45">
      <c r="A254" s="29" t="s">
        <v>225</v>
      </c>
      <c r="B254" s="44">
        <v>18072000</v>
      </c>
      <c r="C254" s="71">
        <v>18072000</v>
      </c>
      <c r="D254" s="71">
        <v>0</v>
      </c>
      <c r="E254" s="64">
        <v>0</v>
      </c>
      <c r="F254" s="63">
        <v>0</v>
      </c>
      <c r="G254" s="63">
        <v>0</v>
      </c>
      <c r="H254" s="32">
        <v>0</v>
      </c>
      <c r="I254" s="32">
        <v>0</v>
      </c>
      <c r="J254" s="32">
        <v>0</v>
      </c>
      <c r="K254" s="32">
        <v>0</v>
      </c>
      <c r="L254" s="32">
        <v>0</v>
      </c>
      <c r="M254" s="32">
        <v>0</v>
      </c>
      <c r="N254" s="1"/>
    </row>
    <row r="255" spans="1:14" ht="16" hidden="1" customHeight="1" outlineLevel="1" x14ac:dyDescent="0.45">
      <c r="A255" s="29" t="s">
        <v>226</v>
      </c>
      <c r="B255" s="44">
        <v>0</v>
      </c>
      <c r="C255" s="71">
        <v>0</v>
      </c>
      <c r="D255" s="71">
        <v>0</v>
      </c>
      <c r="E255" s="64">
        <v>0</v>
      </c>
      <c r="F255" s="63">
        <v>0</v>
      </c>
      <c r="G255" s="63">
        <v>0</v>
      </c>
      <c r="H255" s="32">
        <v>0</v>
      </c>
      <c r="I255" s="32">
        <v>0</v>
      </c>
      <c r="J255" s="32">
        <v>0</v>
      </c>
      <c r="K255" s="32">
        <v>0</v>
      </c>
      <c r="L255" s="32">
        <v>0</v>
      </c>
      <c r="M255" s="32">
        <v>0</v>
      </c>
      <c r="N255" s="1"/>
    </row>
    <row r="256" spans="1:14" ht="16" hidden="1" customHeight="1" outlineLevel="1" x14ac:dyDescent="0.45">
      <c r="A256" s="29" t="s">
        <v>163</v>
      </c>
      <c r="B256" s="44">
        <v>1000</v>
      </c>
      <c r="C256" s="71">
        <v>1000</v>
      </c>
      <c r="D256" s="71">
        <v>0</v>
      </c>
      <c r="E256" s="64">
        <v>0</v>
      </c>
      <c r="F256" s="63">
        <v>0</v>
      </c>
      <c r="G256" s="63">
        <v>0</v>
      </c>
      <c r="H256" s="32">
        <v>0</v>
      </c>
      <c r="I256" s="32">
        <v>0</v>
      </c>
      <c r="J256" s="32">
        <v>0</v>
      </c>
      <c r="K256" s="32">
        <v>0</v>
      </c>
      <c r="L256" s="32">
        <v>0</v>
      </c>
      <c r="M256" s="32">
        <v>0</v>
      </c>
      <c r="N256" s="1"/>
    </row>
    <row r="257" spans="1:14" ht="16" hidden="1" customHeight="1" outlineLevel="1" x14ac:dyDescent="0.45">
      <c r="A257" s="29" t="s">
        <v>164</v>
      </c>
      <c r="B257" s="44">
        <v>1858295</v>
      </c>
      <c r="C257" s="71">
        <v>1858295</v>
      </c>
      <c r="D257" s="71">
        <v>0</v>
      </c>
      <c r="E257" s="64">
        <v>0</v>
      </c>
      <c r="F257" s="63">
        <v>0</v>
      </c>
      <c r="G257" s="63">
        <v>0</v>
      </c>
      <c r="H257" s="32">
        <v>0</v>
      </c>
      <c r="I257" s="32">
        <v>0</v>
      </c>
      <c r="J257" s="32">
        <v>0</v>
      </c>
      <c r="K257" s="32">
        <v>0</v>
      </c>
      <c r="L257" s="32">
        <v>0</v>
      </c>
      <c r="M257" s="32">
        <v>0</v>
      </c>
      <c r="N257" s="1"/>
    </row>
    <row r="258" spans="1:14" ht="16" hidden="1" customHeight="1" outlineLevel="1" x14ac:dyDescent="0.45">
      <c r="A258" s="29" t="s">
        <v>265</v>
      </c>
      <c r="B258" s="44">
        <v>0</v>
      </c>
      <c r="C258" s="71">
        <v>0</v>
      </c>
      <c r="D258" s="71">
        <v>0</v>
      </c>
      <c r="E258" s="64">
        <v>0</v>
      </c>
      <c r="F258" s="63">
        <v>0</v>
      </c>
      <c r="G258" s="63">
        <v>0</v>
      </c>
      <c r="H258" s="32">
        <v>0</v>
      </c>
      <c r="I258" s="32">
        <v>0</v>
      </c>
      <c r="J258" s="32">
        <v>0</v>
      </c>
      <c r="K258" s="32">
        <v>0</v>
      </c>
      <c r="L258" s="32">
        <v>0</v>
      </c>
      <c r="M258" s="32">
        <v>0</v>
      </c>
      <c r="N258" s="1"/>
    </row>
    <row r="259" spans="1:14" ht="16" hidden="1" customHeight="1" outlineLevel="1" x14ac:dyDescent="0.45">
      <c r="A259" s="29" t="s">
        <v>165</v>
      </c>
      <c r="B259" s="44">
        <v>0</v>
      </c>
      <c r="C259" s="71">
        <v>0</v>
      </c>
      <c r="D259" s="71">
        <v>0</v>
      </c>
      <c r="E259" s="64">
        <v>0</v>
      </c>
      <c r="F259" s="63">
        <v>0</v>
      </c>
      <c r="G259" s="63">
        <v>0</v>
      </c>
      <c r="H259" s="32">
        <v>0</v>
      </c>
      <c r="I259" s="32">
        <v>0</v>
      </c>
      <c r="J259" s="32">
        <v>0</v>
      </c>
      <c r="K259" s="32">
        <v>0</v>
      </c>
      <c r="L259" s="32">
        <v>0</v>
      </c>
      <c r="M259" s="32">
        <v>0</v>
      </c>
      <c r="N259" s="1"/>
    </row>
    <row r="260" spans="1:14" s="1" customFormat="1" collapsed="1" x14ac:dyDescent="0.45">
      <c r="A260" s="74" t="s">
        <v>112</v>
      </c>
      <c r="B260" s="76">
        <v>30962</v>
      </c>
      <c r="C260" s="76">
        <v>30962</v>
      </c>
      <c r="D260" s="76">
        <v>0</v>
      </c>
      <c r="E260" s="77">
        <v>0</v>
      </c>
      <c r="F260" s="78">
        <v>0</v>
      </c>
      <c r="G260" s="78">
        <v>0</v>
      </c>
      <c r="H260" s="79">
        <v>0</v>
      </c>
      <c r="I260" s="79">
        <v>0</v>
      </c>
      <c r="J260" s="79">
        <v>0</v>
      </c>
      <c r="K260" s="79">
        <v>0</v>
      </c>
      <c r="L260" s="79">
        <v>0</v>
      </c>
      <c r="M260" s="79">
        <v>0</v>
      </c>
    </row>
    <row r="261" spans="1:14" s="1" customFormat="1" x14ac:dyDescent="0.45">
      <c r="A261" s="27" t="s">
        <v>232</v>
      </c>
      <c r="B261" s="42">
        <v>-941728469</v>
      </c>
      <c r="C261" s="73">
        <v>-3385989515.8658752</v>
      </c>
      <c r="D261" s="73">
        <v>-127458118</v>
      </c>
      <c r="E261" s="58">
        <v>2571719164.8658752</v>
      </c>
      <c r="F261" s="57">
        <v>47431363</v>
      </c>
      <c r="G261" s="57">
        <v>787553683.26935625</v>
      </c>
      <c r="H261" s="80">
        <v>724641001.59591484</v>
      </c>
      <c r="I261" s="80">
        <v>62386533.522737503</v>
      </c>
      <c r="J261" s="80">
        <v>64815344.263429523</v>
      </c>
      <c r="K261" s="80">
        <v>56233658.850596726</v>
      </c>
      <c r="L261" s="80">
        <v>-343620937.6361596</v>
      </c>
      <c r="M261" s="57">
        <v>1172278518</v>
      </c>
    </row>
    <row r="262" spans="1:14" ht="16" hidden="1" customHeight="1" x14ac:dyDescent="0.45">
      <c r="A262" s="83"/>
      <c r="B262" s="35"/>
      <c r="C262" s="84"/>
      <c r="D262" s="36"/>
      <c r="E262" s="36"/>
      <c r="F262" s="85"/>
      <c r="G262" s="36"/>
      <c r="H262" s="36"/>
      <c r="I262" s="36"/>
      <c r="J262" s="36"/>
      <c r="K262" s="36"/>
      <c r="L262" s="85"/>
      <c r="M262" s="36"/>
    </row>
    <row r="263" spans="1:14" s="4" customFormat="1" ht="15" hidden="1" customHeight="1" x14ac:dyDescent="0.45">
      <c r="A263" s="86" t="s">
        <v>298</v>
      </c>
      <c r="B263" s="87"/>
      <c r="C263" s="87"/>
      <c r="D263" s="87"/>
      <c r="E263" s="88">
        <v>1</v>
      </c>
      <c r="F263" s="89">
        <v>0.47</v>
      </c>
      <c r="G263" s="89">
        <v>0.4</v>
      </c>
      <c r="H263" s="89">
        <v>0.05</v>
      </c>
      <c r="I263" s="89">
        <v>1.06E-2</v>
      </c>
      <c r="J263" s="89">
        <v>8.9999999999999993E-3</v>
      </c>
      <c r="K263" s="90">
        <v>2.0400000000000001E-2</v>
      </c>
      <c r="L263" s="90">
        <v>0.02</v>
      </c>
      <c r="M263" s="90">
        <v>0.02</v>
      </c>
    </row>
    <row r="264" spans="1:14" s="4" customFormat="1" ht="15" customHeight="1" x14ac:dyDescent="0.45">
      <c r="A264" s="91"/>
      <c r="B264" s="5"/>
      <c r="C264" s="5"/>
      <c r="D264" s="5"/>
      <c r="E264" s="92"/>
      <c r="F264" s="93"/>
      <c r="G264" s="92"/>
      <c r="H264" s="92"/>
      <c r="I264" s="92"/>
      <c r="J264" s="92"/>
      <c r="K264" s="94"/>
      <c r="L264" s="94"/>
      <c r="M264" s="92"/>
    </row>
    <row r="265" spans="1:14" s="4" customFormat="1" ht="15" customHeight="1" x14ac:dyDescent="0.45">
      <c r="A265" s="95" t="s">
        <v>315</v>
      </c>
      <c r="B265" s="96">
        <v>-127458118</v>
      </c>
      <c r="C265" s="96"/>
      <c r="D265" s="117"/>
      <c r="E265" s="96">
        <v>-127458118</v>
      </c>
      <c r="F265" s="96">
        <v>-59905315.459999993</v>
      </c>
      <c r="G265" s="96">
        <v>-50983247.200000003</v>
      </c>
      <c r="H265" s="96">
        <v>-6372905.9000000004</v>
      </c>
      <c r="I265" s="96">
        <v>-1351056.0508000001</v>
      </c>
      <c r="J265" s="96">
        <v>-1147123.0619999999</v>
      </c>
      <c r="K265" s="96">
        <v>-2600145.6072</v>
      </c>
      <c r="L265" s="96">
        <v>-2549162.36</v>
      </c>
      <c r="M265" s="96">
        <v>-2549162.36</v>
      </c>
    </row>
    <row r="266" spans="1:14" s="4" customFormat="1" ht="15" customHeight="1" x14ac:dyDescent="0.45">
      <c r="A266" s="97" t="s">
        <v>316</v>
      </c>
      <c r="B266" s="98">
        <v>2441261046.8658752</v>
      </c>
      <c r="C266" s="98"/>
      <c r="D266" s="118"/>
      <c r="E266" s="98">
        <v>2441261046.8658752</v>
      </c>
      <c r="F266" s="98">
        <v>-12473952.459999993</v>
      </c>
      <c r="G266" s="98">
        <v>733570436.0693562</v>
      </c>
      <c r="H266" s="98">
        <v>718268095.69591486</v>
      </c>
      <c r="I266" s="98">
        <v>61035477.4719375</v>
      </c>
      <c r="J266" s="98">
        <v>63668221.201429524</v>
      </c>
      <c r="K266" s="98">
        <v>53633513.243396729</v>
      </c>
      <c r="L266" s="98">
        <v>-346170099.99615961</v>
      </c>
      <c r="M266" s="98">
        <v>1169729355.6400001</v>
      </c>
    </row>
    <row r="267" spans="1:14" s="14" customFormat="1" ht="15" customHeight="1" x14ac:dyDescent="0.45">
      <c r="A267" s="35"/>
      <c r="B267" s="35"/>
      <c r="C267" s="36"/>
      <c r="D267" s="36"/>
      <c r="E267" s="36"/>
      <c r="F267" s="36"/>
      <c r="G267" s="36"/>
      <c r="H267" s="35"/>
      <c r="I267" s="35"/>
      <c r="J267" s="35"/>
      <c r="K267" s="35"/>
      <c r="L267" s="35"/>
      <c r="M267" s="36"/>
    </row>
    <row r="268" spans="1:14" ht="14" customHeight="1" x14ac:dyDescent="0.45">
      <c r="A268" s="95" t="s">
        <v>317</v>
      </c>
      <c r="B268" s="96">
        <v>-3266097402.8658752</v>
      </c>
      <c r="C268" s="96"/>
      <c r="D268" s="117"/>
      <c r="E268" s="96">
        <v>-3266097402.8658762</v>
      </c>
      <c r="F268" s="96">
        <v>-1535065779.3469613</v>
      </c>
      <c r="G268" s="96">
        <v>-1306438961.1463501</v>
      </c>
      <c r="H268" s="96">
        <v>-163304870.14329377</v>
      </c>
      <c r="I268" s="96">
        <v>-34620632.47037828</v>
      </c>
      <c r="J268" s="96">
        <v>-29394876.625792876</v>
      </c>
      <c r="K268" s="96">
        <v>-66628387.018463857</v>
      </c>
      <c r="L268" s="96">
        <v>-65321948.057317503</v>
      </c>
      <c r="M268" s="96">
        <v>-65321948.057317503</v>
      </c>
    </row>
    <row r="269" spans="1:14" s="4" customFormat="1" ht="15" customHeight="1" x14ac:dyDescent="0.45">
      <c r="A269" s="99" t="s">
        <v>318</v>
      </c>
      <c r="B269" s="100">
        <v>-824836356</v>
      </c>
      <c r="C269" s="100"/>
      <c r="D269" s="119"/>
      <c r="E269" s="100">
        <v>-824836355.99999976</v>
      </c>
      <c r="F269" s="100">
        <v>-1547539731.8069613</v>
      </c>
      <c r="G269" s="100">
        <v>-572868525.07699394</v>
      </c>
      <c r="H269" s="100">
        <v>554963225.55262113</v>
      </c>
      <c r="I269" s="100">
        <v>26414845.00155922</v>
      </c>
      <c r="J269" s="100">
        <v>34273344.575636648</v>
      </c>
      <c r="K269" s="100">
        <v>-12994873.775067128</v>
      </c>
      <c r="L269" s="100">
        <v>-411492048.05347711</v>
      </c>
      <c r="M269" s="100">
        <v>1104407407.5826826</v>
      </c>
    </row>
    <row r="270" spans="1:14" s="14" customFormat="1" ht="15" customHeight="1" x14ac:dyDescent="0.45">
      <c r="A270" s="35"/>
      <c r="B270" s="35"/>
      <c r="C270" s="36"/>
      <c r="D270" s="36"/>
      <c r="E270" s="101"/>
      <c r="F270" s="101"/>
      <c r="G270" s="101"/>
      <c r="H270" s="101"/>
      <c r="I270" s="101"/>
      <c r="J270" s="101"/>
      <c r="K270" s="101"/>
      <c r="L270" s="101"/>
      <c r="M270" s="101"/>
    </row>
    <row r="271" spans="1:14" x14ac:dyDescent="0.45">
      <c r="A271" s="102" t="s">
        <v>319</v>
      </c>
      <c r="B271" s="103">
        <v>-824836355.99999976</v>
      </c>
      <c r="C271" s="103"/>
      <c r="D271" s="120"/>
      <c r="E271" s="103">
        <v>-824836355.99999976</v>
      </c>
      <c r="F271" s="103">
        <v>-1584674383.8069613</v>
      </c>
      <c r="G271" s="103">
        <v>-535733873.07699394</v>
      </c>
      <c r="H271" s="103">
        <v>554963225.55262113</v>
      </c>
      <c r="I271" s="103">
        <v>26414845.00155922</v>
      </c>
      <c r="J271" s="103">
        <v>34273344.575636648</v>
      </c>
      <c r="K271" s="103">
        <v>-12994873.775067128</v>
      </c>
      <c r="L271" s="103">
        <v>-411492048.05347711</v>
      </c>
      <c r="M271" s="103">
        <v>1104407407.5826826</v>
      </c>
    </row>
    <row r="272" spans="1:14" s="1" customFormat="1" x14ac:dyDescent="0.45">
      <c r="A272" s="104" t="s">
        <v>320</v>
      </c>
      <c r="B272" s="104">
        <v>37134652</v>
      </c>
      <c r="C272" s="36"/>
      <c r="D272" s="36"/>
      <c r="E272" s="101"/>
      <c r="F272" s="101"/>
      <c r="G272" s="101"/>
      <c r="H272" s="101"/>
      <c r="I272" s="101"/>
      <c r="J272" s="101"/>
      <c r="K272" s="101"/>
      <c r="L272" s="101"/>
      <c r="M272" s="101"/>
    </row>
    <row r="273" spans="1:13" ht="15.65" customHeight="1" x14ac:dyDescent="0.45">
      <c r="A273" s="105" t="s">
        <v>321</v>
      </c>
      <c r="B273" s="106">
        <v>351917139</v>
      </c>
      <c r="C273" s="36"/>
      <c r="D273" s="36"/>
      <c r="E273" s="36"/>
      <c r="F273" s="36"/>
      <c r="G273" s="36"/>
      <c r="H273" s="35"/>
      <c r="I273" s="35"/>
      <c r="J273" s="35"/>
      <c r="K273" s="35"/>
      <c r="L273" s="35"/>
      <c r="M273" s="35"/>
    </row>
    <row r="274" spans="1:13" ht="15.65" hidden="1" customHeight="1" x14ac:dyDescent="0.45">
      <c r="A274" s="37" t="s">
        <v>235</v>
      </c>
      <c r="B274" s="38">
        <f t="shared" ref="B274:M274" si="0">B28-B29-B30-B63-B70-B71-B73-B74-B115-B122-B126-B133-B136-B141-B142-B151-B156-B164-B171-B178-B181-B193-B199-B215-B217-B228-B229-B238</f>
        <v>0</v>
      </c>
      <c r="C274" s="38">
        <f t="shared" si="0"/>
        <v>0.4400792121887207</v>
      </c>
      <c r="D274" s="38">
        <f t="shared" si="0"/>
        <v>0</v>
      </c>
      <c r="E274" s="38">
        <f t="shared" si="0"/>
        <v>-0.44007682800292969</v>
      </c>
      <c r="F274" s="38">
        <f t="shared" si="0"/>
        <v>-0.4400782585144043</v>
      </c>
      <c r="G274" s="38">
        <f t="shared" si="0"/>
        <v>1.7881393432617188E-7</v>
      </c>
      <c r="H274" s="38">
        <f t="shared" si="0"/>
        <v>4.76837158203125E-7</v>
      </c>
      <c r="I274" s="38">
        <f t="shared" si="0"/>
        <v>4.76837158203125E-7</v>
      </c>
      <c r="J274" s="38">
        <f t="shared" si="0"/>
        <v>1.1920928955078125E-7</v>
      </c>
      <c r="K274" s="38">
        <f t="shared" si="0"/>
        <v>0</v>
      </c>
      <c r="L274" s="38">
        <f t="shared" si="0"/>
        <v>1.1920928955078125E-7</v>
      </c>
      <c r="M274" s="38">
        <f t="shared" si="0"/>
        <v>0</v>
      </c>
    </row>
    <row r="275" spans="1:13" s="4" customFormat="1" ht="15" hidden="1" customHeight="1" x14ac:dyDescent="0.45">
      <c r="A275" s="37" t="s">
        <v>236</v>
      </c>
      <c r="B275" s="38">
        <f t="shared" ref="B275:M275" si="1">B28-B29-SUM(B31:B62)-SUM(B64:B69)-B70-B72-B73-SUM(B75:B114)-SUM(B116:B121)-SUM(B123:B125)-SUM(B127:B132)-B134-SUM(B137:B140)-B141-SUM(B143:B150)-SUM(B152:B155)-SUM(B157:B163)-SUM(B165:B170)-SUM(B172:B177)-SUM(B179:B180)-SUM(B182:B192)-SUM(B194:B198)-SUM(B200:B214)-B216-SUM(B218:B227)-B228-SUM(B230:B237)-B238-B135</f>
        <v>0</v>
      </c>
      <c r="C275" s="38">
        <f t="shared" si="1"/>
        <v>-0.17854142189025879</v>
      </c>
      <c r="D275" s="38">
        <f t="shared" si="1"/>
        <v>0</v>
      </c>
      <c r="E275" s="38">
        <f t="shared" si="1"/>
        <v>0.1785430908203125</v>
      </c>
      <c r="F275" s="38">
        <f t="shared" si="1"/>
        <v>0.17854213714599609</v>
      </c>
      <c r="G275" s="38">
        <f t="shared" si="1"/>
        <v>1.7881393432617188E-7</v>
      </c>
      <c r="H275" s="38">
        <f t="shared" si="1"/>
        <v>4.76837158203125E-7</v>
      </c>
      <c r="I275" s="38">
        <f t="shared" si="1"/>
        <v>4.76837158203125E-7</v>
      </c>
      <c r="J275" s="38">
        <f t="shared" si="1"/>
        <v>1.1920928955078125E-7</v>
      </c>
      <c r="K275" s="38">
        <f t="shared" si="1"/>
        <v>-2.9802322387695313E-8</v>
      </c>
      <c r="L275" s="38">
        <f t="shared" si="1"/>
        <v>1.1920928955078125E-7</v>
      </c>
      <c r="M275" s="38">
        <f t="shared" si="1"/>
        <v>0</v>
      </c>
    </row>
    <row r="276" spans="1:13" s="4" customFormat="1" ht="15" hidden="1" customHeight="1" x14ac:dyDescent="0.45">
      <c r="A276" s="37" t="s">
        <v>237</v>
      </c>
      <c r="B276" s="38">
        <f t="shared" ref="B276:M276" si="2">B3-B25-B28-B239</f>
        <v>0</v>
      </c>
      <c r="C276" s="38">
        <f t="shared" si="2"/>
        <v>0.44798660278320313</v>
      </c>
      <c r="D276" s="38">
        <f t="shared" si="2"/>
        <v>0</v>
      </c>
      <c r="E276" s="38">
        <f t="shared" si="2"/>
        <v>-0.44798660278320313</v>
      </c>
      <c r="F276" s="38">
        <f t="shared" si="2"/>
        <v>-0.44798660278320313</v>
      </c>
      <c r="G276" s="38">
        <f t="shared" si="2"/>
        <v>0</v>
      </c>
      <c r="H276" s="38">
        <f t="shared" si="2"/>
        <v>0</v>
      </c>
      <c r="I276" s="38">
        <f t="shared" si="2"/>
        <v>0</v>
      </c>
      <c r="J276" s="38">
        <f t="shared" si="2"/>
        <v>0</v>
      </c>
      <c r="K276" s="38">
        <f t="shared" si="2"/>
        <v>0</v>
      </c>
      <c r="L276" s="38">
        <f t="shared" si="2"/>
        <v>0</v>
      </c>
      <c r="M276" s="38">
        <f t="shared" si="2"/>
        <v>0</v>
      </c>
    </row>
    <row r="277" spans="1:13" s="4" customFormat="1" ht="15" hidden="1" customHeight="1" x14ac:dyDescent="0.45">
      <c r="A277" s="37" t="s">
        <v>238</v>
      </c>
      <c r="B277" s="38">
        <f t="shared" ref="B277:M277" si="3">B239+B240-B250-B261-B260</f>
        <v>0</v>
      </c>
      <c r="C277" s="38">
        <f t="shared" si="3"/>
        <v>0</v>
      </c>
      <c r="D277" s="38">
        <f t="shared" si="3"/>
        <v>0</v>
      </c>
      <c r="E277" s="38">
        <f t="shared" si="3"/>
        <v>0</v>
      </c>
      <c r="F277" s="38">
        <f t="shared" si="3"/>
        <v>0</v>
      </c>
      <c r="G277" s="38">
        <f t="shared" si="3"/>
        <v>0</v>
      </c>
      <c r="H277" s="38">
        <f t="shared" si="3"/>
        <v>0</v>
      </c>
      <c r="I277" s="38">
        <f t="shared" si="3"/>
        <v>0</v>
      </c>
      <c r="J277" s="38">
        <f t="shared" si="3"/>
        <v>0</v>
      </c>
      <c r="K277" s="38">
        <f t="shared" si="3"/>
        <v>0</v>
      </c>
      <c r="L277" s="38">
        <f t="shared" si="3"/>
        <v>0</v>
      </c>
      <c r="M277" s="38">
        <f t="shared" si="3"/>
        <v>0</v>
      </c>
    </row>
    <row r="278" spans="1:13" s="4" customFormat="1" ht="15" hidden="1" customHeight="1" x14ac:dyDescent="0.45">
      <c r="A278" s="32" t="s">
        <v>244</v>
      </c>
      <c r="B278" s="32">
        <f t="shared" ref="B278:M278" si="4">B240-B241-B242-B244-B248-B249-B245-B247-B243-B246</f>
        <v>0</v>
      </c>
      <c r="C278" s="32">
        <f t="shared" si="4"/>
        <v>0</v>
      </c>
      <c r="D278" s="32">
        <f t="shared" si="4"/>
        <v>0</v>
      </c>
      <c r="E278" s="32">
        <f t="shared" si="4"/>
        <v>0</v>
      </c>
      <c r="F278" s="32">
        <f t="shared" si="4"/>
        <v>0</v>
      </c>
      <c r="G278" s="32">
        <f t="shared" si="4"/>
        <v>0</v>
      </c>
      <c r="H278" s="32">
        <f t="shared" si="4"/>
        <v>0</v>
      </c>
      <c r="I278" s="32">
        <f t="shared" si="4"/>
        <v>0</v>
      </c>
      <c r="J278" s="32">
        <f t="shared" si="4"/>
        <v>0</v>
      </c>
      <c r="K278" s="32">
        <f t="shared" si="4"/>
        <v>0</v>
      </c>
      <c r="L278" s="32">
        <f t="shared" si="4"/>
        <v>0</v>
      </c>
      <c r="M278" s="32">
        <f t="shared" si="4"/>
        <v>0</v>
      </c>
    </row>
    <row r="279" spans="1:13" ht="15.65" hidden="1" customHeight="1" x14ac:dyDescent="0.45">
      <c r="A279" s="32" t="s">
        <v>245</v>
      </c>
      <c r="B279" s="32">
        <f t="shared" ref="B279:M279" si="5">B250-B251-B254-B255-B256-B257-B259-B252-B253-B258</f>
        <v>0</v>
      </c>
      <c r="C279" s="32">
        <f t="shared" si="5"/>
        <v>0</v>
      </c>
      <c r="D279" s="32">
        <f t="shared" si="5"/>
        <v>0</v>
      </c>
      <c r="E279" s="32">
        <f t="shared" si="5"/>
        <v>0</v>
      </c>
      <c r="F279" s="32">
        <f t="shared" si="5"/>
        <v>0</v>
      </c>
      <c r="G279" s="32">
        <f t="shared" si="5"/>
        <v>0</v>
      </c>
      <c r="H279" s="32">
        <f t="shared" si="5"/>
        <v>0</v>
      </c>
      <c r="I279" s="32">
        <f t="shared" si="5"/>
        <v>0</v>
      </c>
      <c r="J279" s="32">
        <f t="shared" si="5"/>
        <v>0</v>
      </c>
      <c r="K279" s="32">
        <f t="shared" si="5"/>
        <v>0</v>
      </c>
      <c r="L279" s="32">
        <f t="shared" si="5"/>
        <v>0</v>
      </c>
      <c r="M279" s="32">
        <f t="shared" si="5"/>
        <v>0</v>
      </c>
    </row>
    <row r="280" spans="1:13" ht="15.65" hidden="1" customHeight="1" x14ac:dyDescent="0.45">
      <c r="A280" s="35"/>
      <c r="B280" s="35"/>
      <c r="C280" s="36"/>
      <c r="D280" s="36"/>
      <c r="E280" s="36"/>
      <c r="F280" s="36"/>
      <c r="G280" s="36"/>
      <c r="H280" s="35"/>
      <c r="I280" s="35"/>
      <c r="J280" s="35"/>
      <c r="K280" s="35"/>
      <c r="L280" s="35"/>
      <c r="M280" s="36"/>
    </row>
    <row r="281" spans="1:13" ht="15.65" hidden="1" customHeight="1" x14ac:dyDescent="0.45">
      <c r="A281" s="39" t="s">
        <v>239</v>
      </c>
      <c r="B281" s="38">
        <f>B4+B14+B21-B26-B53-B81-B131-B162-B168-B175-B189-B198-B210-B212-B218-B219-B221-B224-B230-B231-B232-B234-B235-B236-B227</f>
        <v>4102680517</v>
      </c>
      <c r="C281" s="38">
        <f>C4+C14+C21-C26-C53-C81-C131-C162-C168-C175-C189-C198-C210-C212-C219-C221-C224-C230-C231-C232-C235-C236</f>
        <v>-348457545.91411304</v>
      </c>
      <c r="D281" s="38"/>
      <c r="E281" s="38">
        <f>E4+E14+E21-E26-E53-E81-E131-E162-E168-E175-E189-E198-E210-E212-E218-E219-E221-E224-E230-E231-E232-E234-E235-E236-E227</f>
        <v>3760356674.9141121</v>
      </c>
      <c r="F281" s="38">
        <f>F4+F14+F21-F26-F53-F81-F131-F162-F168-F175-F189-F198-F210-F212-F218-F219-F221-F224-F230-F231-F232-F234-F235-F236-F227</f>
        <v>1831806442.5464869</v>
      </c>
      <c r="G281" s="38">
        <f>G4+G14+G21-G26-G53-G81-G131-G162-G168-G175-G189-G198-G210-G212-G218-G219-G221-G224-G230-G231-G232-G234-G235-G236-G227</f>
        <v>-29262334.950661413</v>
      </c>
      <c r="H281" s="38">
        <f t="shared" ref="H281:L281" si="6">H4+H14+H21-H26-H53-H81-H131-H162-H168-H175-H189-H198-H210-H212-H218-H219-H221-H224-H230-H231-H232-H234-H235-H236-H227-H164-H215</f>
        <v>339291847</v>
      </c>
      <c r="I281" s="38">
        <f t="shared" si="6"/>
        <v>50297831.630077839</v>
      </c>
      <c r="J281" s="38">
        <f t="shared" si="6"/>
        <v>-10933613.430843472</v>
      </c>
      <c r="K281" s="38">
        <f t="shared" si="6"/>
        <v>99132763.072158247</v>
      </c>
      <c r="L281" s="38">
        <f t="shared" si="6"/>
        <v>-132173457.9531053</v>
      </c>
      <c r="M281" s="38">
        <f>M4+M14+M21-M26-M53-M81-M131-M162-M168-M175-M189-M198-M210-M212-M218-M219-M221-M224-M230-M231-M232-M234-M235-M236-M227</f>
        <v>1505361805</v>
      </c>
    </row>
    <row r="282" spans="1:13" s="4" customFormat="1" ht="15" hidden="1" customHeight="1" x14ac:dyDescent="0.45">
      <c r="A282" s="40" t="s">
        <v>240</v>
      </c>
      <c r="B282" s="38">
        <f>B18-B109-B163-B165-B170-B192-B222-B226-B237</f>
        <v>1582100320</v>
      </c>
      <c r="C282" s="38">
        <f>C18-C109-C163-C165-C170-C192-C226-C113</f>
        <v>-27191324</v>
      </c>
      <c r="D282" s="38"/>
      <c r="E282" s="38">
        <f t="shared" ref="E282:M282" si="7">E18-E109-E163-E165-E170-E192-E222-E226-E237-E113</f>
        <v>731512872</v>
      </c>
      <c r="F282" s="38">
        <f t="shared" si="7"/>
        <v>509096727.329813</v>
      </c>
      <c r="G282" s="38">
        <f t="shared" si="7"/>
        <v>-292231.32981292636</v>
      </c>
      <c r="H282" s="38">
        <f t="shared" si="7"/>
        <v>43294542</v>
      </c>
      <c r="I282" s="38">
        <f t="shared" si="7"/>
        <v>0</v>
      </c>
      <c r="J282" s="38">
        <f t="shared" si="7"/>
        <v>0</v>
      </c>
      <c r="K282" s="38">
        <f t="shared" si="7"/>
        <v>2908154</v>
      </c>
      <c r="L282" s="38">
        <f t="shared" si="7"/>
        <v>176505680</v>
      </c>
      <c r="M282" s="38">
        <f t="shared" si="7"/>
        <v>0</v>
      </c>
    </row>
    <row r="283" spans="1:13" s="4" customFormat="1" ht="15" hidden="1" customHeight="1" x14ac:dyDescent="0.45">
      <c r="A283" s="37" t="s">
        <v>241</v>
      </c>
      <c r="B283" s="41">
        <f>SUBTOTAL(9,B281:B282)</f>
        <v>5684780837</v>
      </c>
      <c r="C283" s="41">
        <f t="shared" ref="C283" si="8">SUBTOTAL(9,C281:C282)</f>
        <v>-375648869.91411304</v>
      </c>
      <c r="D283" s="41"/>
      <c r="E283" s="41">
        <f t="shared" ref="E283:L283" si="9">SUBTOTAL(9,E281:E282)</f>
        <v>4491869546.9141121</v>
      </c>
      <c r="F283" s="41">
        <f t="shared" si="9"/>
        <v>2340903169.8762999</v>
      </c>
      <c r="G283" s="41">
        <f>SUBTOTAL(9,G281:G282)</f>
        <v>-29554566.280474339</v>
      </c>
      <c r="H283" s="41">
        <f>SUBTOTAL(9,H281:H282)</f>
        <v>382586389</v>
      </c>
      <c r="I283" s="41">
        <f t="shared" si="9"/>
        <v>50297831.630077839</v>
      </c>
      <c r="J283" s="41">
        <f t="shared" si="9"/>
        <v>-10933613.430843472</v>
      </c>
      <c r="K283" s="41">
        <f t="shared" si="9"/>
        <v>102040917.07215825</v>
      </c>
      <c r="L283" s="41">
        <f t="shared" si="9"/>
        <v>44332222.046894699</v>
      </c>
      <c r="M283" s="41">
        <f>SUBTOTAL(9,M281:M282)</f>
        <v>1505361805</v>
      </c>
    </row>
    <row r="284" spans="1:13" s="4" customFormat="1" ht="15" hidden="1" customHeight="1" x14ac:dyDescent="0.45">
      <c r="A284" s="9" t="s">
        <v>241</v>
      </c>
      <c r="B284" s="10">
        <f>SUBTOTAL(9,B282:B283)</f>
        <v>1582100320</v>
      </c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</row>
    <row r="285" spans="1:13" collapsed="1" x14ac:dyDescent="0.45">
      <c r="H285" s="3"/>
      <c r="I285" s="3"/>
      <c r="J285" s="3"/>
      <c r="K285" s="3"/>
      <c r="L285" s="3"/>
      <c r="M285" s="2"/>
    </row>
    <row r="286" spans="1:13" x14ac:dyDescent="0.45">
      <c r="E286" s="20"/>
      <c r="F286" s="20"/>
      <c r="G286" s="20"/>
      <c r="H286" s="20"/>
      <c r="M286" s="2"/>
    </row>
    <row r="287" spans="1:13" x14ac:dyDescent="0.45">
      <c r="H287" s="3"/>
      <c r="I287" s="3"/>
      <c r="J287" s="3"/>
      <c r="K287" s="3"/>
      <c r="L287" s="3"/>
    </row>
    <row r="288" spans="1:13" x14ac:dyDescent="0.45">
      <c r="B288" s="3"/>
      <c r="H288" s="3"/>
      <c r="I288" s="3"/>
      <c r="J288" s="3"/>
      <c r="K288" s="3"/>
      <c r="L288" s="3"/>
    </row>
    <row r="289" spans="8:12" x14ac:dyDescent="0.45">
      <c r="H289" s="3"/>
      <c r="I289" s="3"/>
      <c r="J289" s="3"/>
      <c r="K289" s="3"/>
      <c r="L289" s="3"/>
    </row>
    <row r="290" spans="8:12" x14ac:dyDescent="0.45">
      <c r="H290" s="3"/>
      <c r="I290" s="3"/>
      <c r="J290" s="3"/>
      <c r="K290" s="3"/>
      <c r="L290" s="3"/>
    </row>
    <row r="293" spans="8:12" x14ac:dyDescent="0.45">
      <c r="H293" s="3"/>
      <c r="I293" s="3"/>
      <c r="J293" s="3"/>
      <c r="K293" s="3"/>
      <c r="L293" s="3"/>
    </row>
    <row r="295" spans="8:12" x14ac:dyDescent="0.45">
      <c r="H295" s="3"/>
      <c r="I295" s="3"/>
      <c r="J295" s="3"/>
      <c r="K295" s="3"/>
      <c r="L295" s="3"/>
    </row>
  </sheetData>
  <mergeCells count="8">
    <mergeCell ref="I1:L1"/>
    <mergeCell ref="M1:M2"/>
    <mergeCell ref="A1:A2"/>
    <mergeCell ref="B1:B2"/>
    <mergeCell ref="C1:C2"/>
    <mergeCell ref="D1:D2"/>
    <mergeCell ref="E1:E2"/>
    <mergeCell ref="F1:H1"/>
  </mergeCells>
  <phoneticPr fontId="2" type="noConversion"/>
  <pageMargins left="0.75" right="0.75" top="1" bottom="1" header="0.5" footer="0.5"/>
  <pageSetup paperSize="8" scale="60" fitToHeight="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668E0-9ED7-406D-9D60-57F5FA1C3B89}">
  <sheetPr>
    <tabColor rgb="FFFFC000"/>
    <pageSetUpPr fitToPage="1"/>
  </sheetPr>
  <dimension ref="A1:N295"/>
  <sheetViews>
    <sheetView showGridLines="0" zoomScale="85" zoomScaleNormal="85" zoomScaleSheetLayoutView="85" workbookViewId="0">
      <pane xSplit="2" ySplit="3" topLeftCell="C70" activePane="bottomRight" state="frozen"/>
      <selection activeCell="J2" sqref="J2:J253"/>
      <selection pane="topRight" activeCell="J2" sqref="J2:J253"/>
      <selection pane="bottomLeft" activeCell="J2" sqref="J2:J253"/>
      <selection pane="bottomRight" activeCell="D238" sqref="D238"/>
    </sheetView>
  </sheetViews>
  <sheetFormatPr defaultColWidth="9.08984375" defaultRowHeight="16" outlineLevelRow="1" x14ac:dyDescent="0.45"/>
  <cols>
    <col min="1" max="1" width="36.36328125" style="2" customWidth="1"/>
    <col min="2" max="2" width="19.08984375" style="2" customWidth="1"/>
    <col min="3" max="7" width="19.08984375" style="3" customWidth="1"/>
    <col min="8" max="12" width="19.08984375" style="2" customWidth="1"/>
    <col min="13" max="13" width="19.08984375" style="3" customWidth="1"/>
    <col min="14" max="16384" width="9.08984375" style="2"/>
  </cols>
  <sheetData>
    <row r="1" spans="1:14" s="1" customFormat="1" ht="15.65" customHeight="1" x14ac:dyDescent="0.45">
      <c r="A1" s="213" t="s">
        <v>313</v>
      </c>
      <c r="B1" s="210" t="s">
        <v>233</v>
      </c>
      <c r="C1" s="210" t="s">
        <v>250</v>
      </c>
      <c r="D1" s="210" t="s">
        <v>288</v>
      </c>
      <c r="E1" s="210" t="s">
        <v>167</v>
      </c>
      <c r="F1" s="204" t="s">
        <v>289</v>
      </c>
      <c r="G1" s="205"/>
      <c r="H1" s="212"/>
      <c r="I1" s="204" t="s">
        <v>290</v>
      </c>
      <c r="J1" s="205"/>
      <c r="K1" s="205"/>
      <c r="L1" s="212"/>
      <c r="M1" s="202" t="s">
        <v>291</v>
      </c>
    </row>
    <row r="2" spans="1:14" s="1" customFormat="1" ht="15.65" customHeight="1" x14ac:dyDescent="0.45">
      <c r="A2" s="214"/>
      <c r="B2" s="211"/>
      <c r="C2" s="211"/>
      <c r="D2" s="211"/>
      <c r="E2" s="211"/>
      <c r="F2" s="173" t="s">
        <v>248</v>
      </c>
      <c r="G2" s="173" t="s">
        <v>242</v>
      </c>
      <c r="H2" s="26" t="s">
        <v>365</v>
      </c>
      <c r="I2" s="26" t="s">
        <v>168</v>
      </c>
      <c r="J2" s="26" t="s">
        <v>169</v>
      </c>
      <c r="K2" s="26" t="s">
        <v>294</v>
      </c>
      <c r="L2" s="26" t="s">
        <v>295</v>
      </c>
      <c r="M2" s="203"/>
    </row>
    <row r="3" spans="1:14" s="1" customFormat="1" ht="15.65" customHeight="1" x14ac:dyDescent="0.45">
      <c r="A3" s="27" t="s">
        <v>0</v>
      </c>
      <c r="B3" s="42">
        <v>50716995210</v>
      </c>
      <c r="C3" s="57">
        <v>4432700777</v>
      </c>
      <c r="D3" s="57">
        <v>125673203</v>
      </c>
      <c r="E3" s="58">
        <v>46158621230</v>
      </c>
      <c r="F3" s="57">
        <v>18186655980.283241</v>
      </c>
      <c r="G3" s="57">
        <v>4514743672.7167587</v>
      </c>
      <c r="H3" s="59">
        <v>15827465648</v>
      </c>
      <c r="I3" s="59">
        <v>827413532</v>
      </c>
      <c r="J3" s="59">
        <v>598772088</v>
      </c>
      <c r="K3" s="59">
        <v>3816430037</v>
      </c>
      <c r="L3" s="57">
        <v>751824876</v>
      </c>
      <c r="M3" s="57">
        <v>1635315396</v>
      </c>
    </row>
    <row r="4" spans="1:14" s="1" customFormat="1" x14ac:dyDescent="0.45">
      <c r="A4" s="28" t="s">
        <v>1</v>
      </c>
      <c r="B4" s="43">
        <v>22284258447</v>
      </c>
      <c r="C4" s="60">
        <v>144426637</v>
      </c>
      <c r="D4" s="60">
        <v>36754748</v>
      </c>
      <c r="E4" s="61">
        <v>22103077062</v>
      </c>
      <c r="F4" s="60">
        <v>8661269067</v>
      </c>
      <c r="G4" s="60">
        <v>60363323</v>
      </c>
      <c r="H4" s="62">
        <v>10249592247</v>
      </c>
      <c r="I4" s="62">
        <v>584643655</v>
      </c>
      <c r="J4" s="62">
        <v>11136378</v>
      </c>
      <c r="K4" s="62">
        <v>1120086508</v>
      </c>
      <c r="L4" s="62">
        <v>41408726</v>
      </c>
      <c r="M4" s="60">
        <v>1374577158</v>
      </c>
    </row>
    <row r="5" spans="1:14" s="1" customFormat="1" ht="16" hidden="1" customHeight="1" outlineLevel="1" x14ac:dyDescent="0.45">
      <c r="A5" s="29" t="s">
        <v>2</v>
      </c>
      <c r="B5" s="44">
        <v>3368762575</v>
      </c>
      <c r="C5" s="63">
        <v>113385729</v>
      </c>
      <c r="D5" s="63">
        <v>36648384</v>
      </c>
      <c r="E5" s="64">
        <v>3218728462</v>
      </c>
      <c r="F5" s="63">
        <v>36892202</v>
      </c>
      <c r="G5" s="63">
        <v>59775000</v>
      </c>
      <c r="H5" s="65">
        <v>1232011085</v>
      </c>
      <c r="I5" s="65">
        <v>5625091</v>
      </c>
      <c r="J5" s="65">
        <v>9343200</v>
      </c>
      <c r="K5" s="65">
        <v>534824181</v>
      </c>
      <c r="L5" s="65">
        <v>0</v>
      </c>
      <c r="M5" s="63">
        <v>1340257703</v>
      </c>
    </row>
    <row r="6" spans="1:14" ht="16" hidden="1" customHeight="1" outlineLevel="1" x14ac:dyDescent="0.45">
      <c r="A6" s="29" t="s">
        <v>3</v>
      </c>
      <c r="B6" s="44">
        <v>0</v>
      </c>
      <c r="C6" s="63">
        <v>0</v>
      </c>
      <c r="D6" s="63">
        <v>0</v>
      </c>
      <c r="E6" s="64">
        <v>0</v>
      </c>
      <c r="F6" s="63">
        <v>0</v>
      </c>
      <c r="G6" s="63">
        <v>0</v>
      </c>
      <c r="H6" s="65">
        <v>0</v>
      </c>
      <c r="I6" s="65">
        <v>0</v>
      </c>
      <c r="J6" s="65">
        <v>0</v>
      </c>
      <c r="K6" s="65">
        <v>0</v>
      </c>
      <c r="L6" s="65">
        <v>0</v>
      </c>
      <c r="M6" s="63">
        <v>0</v>
      </c>
      <c r="N6" s="1"/>
    </row>
    <row r="7" spans="1:14" ht="16" hidden="1" customHeight="1" outlineLevel="1" x14ac:dyDescent="0.45">
      <c r="A7" s="29" t="s">
        <v>170</v>
      </c>
      <c r="B7" s="44">
        <v>0</v>
      </c>
      <c r="C7" s="63">
        <v>0</v>
      </c>
      <c r="D7" s="63">
        <v>0</v>
      </c>
      <c r="E7" s="64">
        <v>0</v>
      </c>
      <c r="F7" s="63">
        <v>0</v>
      </c>
      <c r="G7" s="63">
        <v>0</v>
      </c>
      <c r="H7" s="65">
        <v>0</v>
      </c>
      <c r="I7" s="65">
        <v>0</v>
      </c>
      <c r="J7" s="65">
        <v>0</v>
      </c>
      <c r="K7" s="65">
        <v>0</v>
      </c>
      <c r="L7" s="65">
        <v>0</v>
      </c>
      <c r="M7" s="63">
        <v>0</v>
      </c>
      <c r="N7" s="1"/>
    </row>
    <row r="8" spans="1:14" ht="16" hidden="1" customHeight="1" outlineLevel="1" x14ac:dyDescent="0.45">
      <c r="A8" s="29" t="s">
        <v>4</v>
      </c>
      <c r="B8" s="44">
        <v>18247991405</v>
      </c>
      <c r="C8" s="63">
        <v>26552907</v>
      </c>
      <c r="D8" s="63">
        <v>0</v>
      </c>
      <c r="E8" s="64">
        <v>18221438498</v>
      </c>
      <c r="F8" s="63">
        <v>8078315233</v>
      </c>
      <c r="G8" s="63">
        <v>588323</v>
      </c>
      <c r="H8" s="65">
        <v>8940759979</v>
      </c>
      <c r="I8" s="65">
        <v>579018364</v>
      </c>
      <c r="J8" s="65">
        <v>760000</v>
      </c>
      <c r="K8" s="65">
        <v>580587873</v>
      </c>
      <c r="L8" s="65">
        <v>41408726</v>
      </c>
      <c r="M8" s="63">
        <v>0</v>
      </c>
      <c r="N8" s="1"/>
    </row>
    <row r="9" spans="1:14" ht="16" hidden="1" customHeight="1" outlineLevel="1" x14ac:dyDescent="0.45">
      <c r="A9" s="29" t="s">
        <v>5</v>
      </c>
      <c r="B9" s="44">
        <v>266678949</v>
      </c>
      <c r="C9" s="63">
        <v>1637273</v>
      </c>
      <c r="D9" s="63">
        <v>106364</v>
      </c>
      <c r="E9" s="64">
        <v>264935312</v>
      </c>
      <c r="F9" s="63">
        <v>230788071</v>
      </c>
      <c r="G9" s="63">
        <v>0</v>
      </c>
      <c r="H9" s="65">
        <v>6409605</v>
      </c>
      <c r="I9" s="65">
        <v>0</v>
      </c>
      <c r="J9" s="65">
        <v>0</v>
      </c>
      <c r="K9" s="65">
        <v>2444909</v>
      </c>
      <c r="L9" s="65">
        <v>0</v>
      </c>
      <c r="M9" s="63">
        <v>25292727</v>
      </c>
      <c r="N9" s="1"/>
    </row>
    <row r="10" spans="1:14" ht="16" hidden="1" customHeight="1" outlineLevel="1" x14ac:dyDescent="0.45">
      <c r="A10" s="29" t="s">
        <v>118</v>
      </c>
      <c r="B10" s="44">
        <v>19990196</v>
      </c>
      <c r="C10" s="63">
        <v>0</v>
      </c>
      <c r="D10" s="63">
        <v>0</v>
      </c>
      <c r="E10" s="64">
        <v>19990196</v>
      </c>
      <c r="F10" s="63">
        <v>0</v>
      </c>
      <c r="G10" s="63">
        <v>0</v>
      </c>
      <c r="H10" s="65">
        <v>16727273</v>
      </c>
      <c r="I10" s="65">
        <v>200</v>
      </c>
      <c r="J10" s="65">
        <v>1033178</v>
      </c>
      <c r="K10" s="65">
        <v>2229545</v>
      </c>
      <c r="L10" s="65">
        <v>0</v>
      </c>
      <c r="M10" s="63">
        <v>0</v>
      </c>
      <c r="N10" s="1"/>
    </row>
    <row r="11" spans="1:14" ht="16" hidden="1" customHeight="1" outlineLevel="1" x14ac:dyDescent="0.45">
      <c r="A11" s="29" t="s">
        <v>6</v>
      </c>
      <c r="B11" s="44">
        <v>372238594</v>
      </c>
      <c r="C11" s="63">
        <v>2850728</v>
      </c>
      <c r="D11" s="63">
        <v>0</v>
      </c>
      <c r="E11" s="64">
        <v>369387866</v>
      </c>
      <c r="F11" s="63">
        <v>315273561</v>
      </c>
      <c r="G11" s="63">
        <v>0</v>
      </c>
      <c r="H11" s="65">
        <v>54114305</v>
      </c>
      <c r="I11" s="65">
        <v>0</v>
      </c>
      <c r="J11" s="65">
        <v>0</v>
      </c>
      <c r="K11" s="65">
        <v>0</v>
      </c>
      <c r="L11" s="65">
        <v>0</v>
      </c>
      <c r="M11" s="63">
        <v>0</v>
      </c>
      <c r="N11" s="1"/>
    </row>
    <row r="12" spans="1:14" ht="16" hidden="1" customHeight="1" outlineLevel="1" x14ac:dyDescent="0.45">
      <c r="A12" s="29" t="s">
        <v>299</v>
      </c>
      <c r="B12" s="44">
        <v>8596728</v>
      </c>
      <c r="C12" s="63">
        <v>-430000</v>
      </c>
      <c r="D12" s="63">
        <v>0</v>
      </c>
      <c r="E12" s="64">
        <v>9026728</v>
      </c>
      <c r="F12" s="63">
        <v>0</v>
      </c>
      <c r="G12" s="63">
        <v>0</v>
      </c>
      <c r="H12" s="65">
        <v>0</v>
      </c>
      <c r="I12" s="65">
        <v>0</v>
      </c>
      <c r="J12" s="65">
        <v>0</v>
      </c>
      <c r="K12" s="65">
        <v>0</v>
      </c>
      <c r="L12" s="65">
        <v>0</v>
      </c>
      <c r="M12" s="63">
        <v>9026728</v>
      </c>
      <c r="N12" s="1"/>
    </row>
    <row r="13" spans="1:14" ht="16" customHeight="1" collapsed="1" x14ac:dyDescent="0.45">
      <c r="A13" s="28" t="s">
        <v>7</v>
      </c>
      <c r="B13" s="43">
        <v>28432736763</v>
      </c>
      <c r="C13" s="60">
        <v>4288274140</v>
      </c>
      <c r="D13" s="60">
        <v>88918455</v>
      </c>
      <c r="E13" s="61">
        <v>24055544168</v>
      </c>
      <c r="F13" s="60">
        <v>9525386913.2832413</v>
      </c>
      <c r="G13" s="60">
        <v>4454380349.7167587</v>
      </c>
      <c r="H13" s="62">
        <v>5577873401</v>
      </c>
      <c r="I13" s="62">
        <v>242769877</v>
      </c>
      <c r="J13" s="62">
        <v>587635710</v>
      </c>
      <c r="K13" s="62">
        <v>2696343529</v>
      </c>
      <c r="L13" s="62">
        <v>710416150</v>
      </c>
      <c r="M13" s="60">
        <v>260738238</v>
      </c>
      <c r="N13" s="1"/>
    </row>
    <row r="14" spans="1:14" s="1" customFormat="1" ht="16" hidden="1" customHeight="1" outlineLevel="1" collapsed="1" x14ac:dyDescent="0.45">
      <c r="A14" s="24" t="s">
        <v>8</v>
      </c>
      <c r="B14" s="45">
        <v>12656965789</v>
      </c>
      <c r="C14" s="63">
        <v>-99833613</v>
      </c>
      <c r="D14" s="63">
        <v>1818182</v>
      </c>
      <c r="E14" s="64">
        <v>12754981220</v>
      </c>
      <c r="F14" s="63">
        <v>5360002058</v>
      </c>
      <c r="G14" s="63">
        <v>80305384</v>
      </c>
      <c r="H14" s="65">
        <v>4184592522</v>
      </c>
      <c r="I14" s="65">
        <v>158803022</v>
      </c>
      <c r="J14" s="65">
        <v>397890962</v>
      </c>
      <c r="K14" s="65">
        <v>2383887057</v>
      </c>
      <c r="L14" s="65">
        <v>16569947</v>
      </c>
      <c r="M14" s="63">
        <v>172930268</v>
      </c>
    </row>
    <row r="15" spans="1:14" ht="16" hidden="1" customHeight="1" outlineLevel="1" x14ac:dyDescent="0.45">
      <c r="A15" s="29" t="s">
        <v>9</v>
      </c>
      <c r="B15" s="44">
        <v>110344020</v>
      </c>
      <c r="C15" s="63">
        <v>0</v>
      </c>
      <c r="D15" s="63">
        <v>-2972727</v>
      </c>
      <c r="E15" s="64">
        <v>113316747</v>
      </c>
      <c r="F15" s="63">
        <v>25416788</v>
      </c>
      <c r="G15" s="63">
        <v>0</v>
      </c>
      <c r="H15" s="65">
        <v>5754544</v>
      </c>
      <c r="I15" s="65">
        <v>0</v>
      </c>
      <c r="J15" s="65">
        <v>144685</v>
      </c>
      <c r="K15" s="65">
        <v>0</v>
      </c>
      <c r="L15" s="65">
        <v>68092760</v>
      </c>
      <c r="M15" s="63">
        <v>13907970</v>
      </c>
      <c r="N15" s="1"/>
    </row>
    <row r="16" spans="1:14" ht="16" hidden="1" customHeight="1" outlineLevel="1" x14ac:dyDescent="0.45">
      <c r="A16" s="29" t="s">
        <v>10</v>
      </c>
      <c r="B16" s="44">
        <v>4325829207</v>
      </c>
      <c r="C16" s="63">
        <v>47842386</v>
      </c>
      <c r="D16" s="63">
        <v>0</v>
      </c>
      <c r="E16" s="64">
        <v>4277986821</v>
      </c>
      <c r="F16" s="63">
        <v>2401912421.1558867</v>
      </c>
      <c r="G16" s="63">
        <v>842404319.84411311</v>
      </c>
      <c r="H16" s="65">
        <v>462053637</v>
      </c>
      <c r="I16" s="65">
        <v>83801901</v>
      </c>
      <c r="J16" s="65">
        <v>138641063</v>
      </c>
      <c r="K16" s="65">
        <v>232274491</v>
      </c>
      <c r="L16" s="65">
        <v>116898988</v>
      </c>
      <c r="M16" s="63">
        <v>0</v>
      </c>
      <c r="N16" s="1"/>
    </row>
    <row r="17" spans="1:14" ht="16" hidden="1" customHeight="1" outlineLevel="1" x14ac:dyDescent="0.45">
      <c r="A17" s="29" t="s">
        <v>11</v>
      </c>
      <c r="B17" s="44">
        <v>90341731</v>
      </c>
      <c r="C17" s="63">
        <v>1021411</v>
      </c>
      <c r="D17" s="63">
        <v>0</v>
      </c>
      <c r="E17" s="64">
        <v>89320320</v>
      </c>
      <c r="F17" s="63">
        <v>81033729</v>
      </c>
      <c r="G17" s="63">
        <v>5721682</v>
      </c>
      <c r="H17" s="65">
        <v>1808409</v>
      </c>
      <c r="I17" s="65">
        <v>13500</v>
      </c>
      <c r="J17" s="65">
        <v>459000</v>
      </c>
      <c r="K17" s="65">
        <v>284000</v>
      </c>
      <c r="L17" s="65">
        <v>0</v>
      </c>
      <c r="M17" s="63">
        <v>0</v>
      </c>
      <c r="N17" s="1"/>
    </row>
    <row r="18" spans="1:14" ht="16" hidden="1" customHeight="1" outlineLevel="1" x14ac:dyDescent="0.45">
      <c r="A18" s="30" t="s">
        <v>12</v>
      </c>
      <c r="B18" s="46">
        <v>1520802053</v>
      </c>
      <c r="C18" s="63">
        <v>-5795154</v>
      </c>
      <c r="D18" s="63">
        <v>0</v>
      </c>
      <c r="E18" s="64">
        <v>1526597207</v>
      </c>
      <c r="F18" s="63">
        <v>972647304.12735391</v>
      </c>
      <c r="G18" s="63">
        <v>116963.87264604957</v>
      </c>
      <c r="H18" s="65">
        <v>34166359</v>
      </c>
      <c r="I18" s="65">
        <v>1045454</v>
      </c>
      <c r="J18" s="65">
        <v>0</v>
      </c>
      <c r="K18" s="65">
        <v>9766671</v>
      </c>
      <c r="L18" s="65">
        <v>508854455</v>
      </c>
      <c r="M18" s="63">
        <v>0</v>
      </c>
      <c r="N18" s="1"/>
    </row>
    <row r="19" spans="1:14" ht="16" hidden="1" customHeight="1" outlineLevel="1" x14ac:dyDescent="0.45">
      <c r="A19" s="29" t="s">
        <v>119</v>
      </c>
      <c r="B19" s="44">
        <v>4318911837</v>
      </c>
      <c r="C19" s="63">
        <v>4318911837</v>
      </c>
      <c r="D19" s="63">
        <v>0</v>
      </c>
      <c r="E19" s="64">
        <v>0</v>
      </c>
      <c r="F19" s="63">
        <v>0</v>
      </c>
      <c r="G19" s="63">
        <v>0</v>
      </c>
      <c r="H19" s="65">
        <v>0</v>
      </c>
      <c r="I19" s="65">
        <v>0</v>
      </c>
      <c r="J19" s="65">
        <v>0</v>
      </c>
      <c r="K19" s="65">
        <v>0</v>
      </c>
      <c r="L19" s="65">
        <v>0</v>
      </c>
      <c r="M19" s="63">
        <v>0</v>
      </c>
      <c r="N19" s="1"/>
    </row>
    <row r="20" spans="1:14" ht="16" hidden="1" customHeight="1" outlineLevel="1" x14ac:dyDescent="0.45">
      <c r="A20" s="29" t="s">
        <v>120</v>
      </c>
      <c r="B20" s="44">
        <v>0</v>
      </c>
      <c r="C20" s="63">
        <v>0</v>
      </c>
      <c r="D20" s="63">
        <v>0</v>
      </c>
      <c r="E20" s="64">
        <v>0</v>
      </c>
      <c r="F20" s="63">
        <v>0</v>
      </c>
      <c r="G20" s="63">
        <v>0</v>
      </c>
      <c r="H20" s="65">
        <v>0</v>
      </c>
      <c r="I20" s="65">
        <v>0</v>
      </c>
      <c r="J20" s="65">
        <v>0</v>
      </c>
      <c r="K20" s="65">
        <v>0</v>
      </c>
      <c r="L20" s="65">
        <v>0</v>
      </c>
      <c r="M20" s="63">
        <v>0</v>
      </c>
      <c r="N20" s="1"/>
    </row>
    <row r="21" spans="1:14" ht="16" hidden="1" customHeight="1" outlineLevel="1" x14ac:dyDescent="0.45">
      <c r="A21" s="24" t="s">
        <v>13</v>
      </c>
      <c r="B21" s="45">
        <v>49410340</v>
      </c>
      <c r="C21" s="63">
        <v>23400000</v>
      </c>
      <c r="D21" s="63">
        <v>0</v>
      </c>
      <c r="E21" s="64">
        <v>26010340</v>
      </c>
      <c r="F21" s="63">
        <v>2556363</v>
      </c>
      <c r="G21" s="63">
        <v>0</v>
      </c>
      <c r="H21" s="65">
        <v>0</v>
      </c>
      <c r="I21" s="65">
        <v>-894000</v>
      </c>
      <c r="J21" s="65">
        <v>1000000</v>
      </c>
      <c r="K21" s="65">
        <v>23347977</v>
      </c>
      <c r="L21" s="65">
        <v>0</v>
      </c>
      <c r="M21" s="63">
        <v>0</v>
      </c>
      <c r="N21" s="1"/>
    </row>
    <row r="22" spans="1:14" s="1" customFormat="1" ht="16" hidden="1" customHeight="1" outlineLevel="1" x14ac:dyDescent="0.45">
      <c r="A22" s="29" t="s">
        <v>121</v>
      </c>
      <c r="B22" s="44">
        <v>4675586263</v>
      </c>
      <c r="C22" s="63">
        <v>0</v>
      </c>
      <c r="D22" s="63">
        <v>90073000</v>
      </c>
      <c r="E22" s="64">
        <v>4585513263</v>
      </c>
      <c r="F22" s="63">
        <v>0</v>
      </c>
      <c r="G22" s="63">
        <v>3525832000</v>
      </c>
      <c r="H22" s="65">
        <v>889497930</v>
      </c>
      <c r="I22" s="65">
        <v>0</v>
      </c>
      <c r="J22" s="65">
        <v>49500000</v>
      </c>
      <c r="K22" s="65">
        <v>46783333</v>
      </c>
      <c r="L22" s="65">
        <v>0</v>
      </c>
      <c r="M22" s="63">
        <v>73900000</v>
      </c>
    </row>
    <row r="23" spans="1:14" ht="16" hidden="1" customHeight="1" outlineLevel="1" x14ac:dyDescent="0.45">
      <c r="A23" s="29" t="s">
        <v>249</v>
      </c>
      <c r="B23" s="44">
        <v>684545523</v>
      </c>
      <c r="C23" s="63">
        <v>2727273</v>
      </c>
      <c r="D23" s="63">
        <v>0</v>
      </c>
      <c r="E23" s="64">
        <v>681818250</v>
      </c>
      <c r="F23" s="63">
        <v>681818250</v>
      </c>
      <c r="G23" s="63">
        <v>0</v>
      </c>
      <c r="H23" s="65">
        <v>0</v>
      </c>
      <c r="I23" s="65">
        <v>0</v>
      </c>
      <c r="J23" s="65">
        <v>0</v>
      </c>
      <c r="K23" s="65">
        <v>0</v>
      </c>
      <c r="L23" s="65">
        <v>0</v>
      </c>
      <c r="M23" s="63">
        <v>0</v>
      </c>
      <c r="N23" s="1"/>
    </row>
    <row r="24" spans="1:14" ht="16" hidden="1" customHeight="1" outlineLevel="1" x14ac:dyDescent="0.45">
      <c r="A24" s="24" t="s">
        <v>287</v>
      </c>
      <c r="B24" s="45">
        <v>0</v>
      </c>
      <c r="C24" s="63">
        <v>0</v>
      </c>
      <c r="D24" s="63">
        <v>0</v>
      </c>
      <c r="E24" s="64">
        <v>0</v>
      </c>
      <c r="F24" s="63">
        <v>0</v>
      </c>
      <c r="G24" s="63">
        <v>0</v>
      </c>
      <c r="H24" s="65">
        <v>0</v>
      </c>
      <c r="I24" s="65">
        <v>0</v>
      </c>
      <c r="J24" s="65">
        <v>0</v>
      </c>
      <c r="K24" s="65">
        <v>0</v>
      </c>
      <c r="L24" s="65">
        <v>0</v>
      </c>
      <c r="M24" s="63">
        <v>0</v>
      </c>
      <c r="N24" s="1"/>
    </row>
    <row r="25" spans="1:14" ht="16" customHeight="1" collapsed="1" x14ac:dyDescent="0.45">
      <c r="A25" s="27" t="s">
        <v>14</v>
      </c>
      <c r="B25" s="42">
        <v>25439444006</v>
      </c>
      <c r="C25" s="57">
        <v>-542261748</v>
      </c>
      <c r="D25" s="57">
        <v>0</v>
      </c>
      <c r="E25" s="58">
        <v>25981705754</v>
      </c>
      <c r="F25" s="58">
        <v>9997194178</v>
      </c>
      <c r="G25" s="58">
        <v>59775000</v>
      </c>
      <c r="H25" s="58">
        <v>11395089716</v>
      </c>
      <c r="I25" s="58">
        <v>625386718</v>
      </c>
      <c r="J25" s="58">
        <v>-166362485</v>
      </c>
      <c r="K25" s="58">
        <v>2349796155</v>
      </c>
      <c r="L25" s="58">
        <v>54819454</v>
      </c>
      <c r="M25" s="58">
        <v>1666007018</v>
      </c>
      <c r="N25" s="1"/>
    </row>
    <row r="26" spans="1:14" s="1" customFormat="1" ht="16" hidden="1" customHeight="1" outlineLevel="1" collapsed="1" x14ac:dyDescent="0.45">
      <c r="A26" s="28" t="s">
        <v>15</v>
      </c>
      <c r="B26" s="43">
        <v>25439444006</v>
      </c>
      <c r="C26" s="60">
        <v>-542261748</v>
      </c>
      <c r="D26" s="60">
        <v>0</v>
      </c>
      <c r="E26" s="61">
        <v>25981705754</v>
      </c>
      <c r="F26" s="60">
        <v>9997194178</v>
      </c>
      <c r="G26" s="60">
        <v>59775000</v>
      </c>
      <c r="H26" s="62">
        <v>11395089716</v>
      </c>
      <c r="I26" s="62">
        <v>625386718</v>
      </c>
      <c r="J26" s="62">
        <v>-166362485</v>
      </c>
      <c r="K26" s="62">
        <v>2349796155</v>
      </c>
      <c r="L26" s="62">
        <v>54819454</v>
      </c>
      <c r="M26" s="60">
        <v>1666007018</v>
      </c>
    </row>
    <row r="27" spans="1:14" s="1" customFormat="1" ht="16" customHeight="1" collapsed="1" x14ac:dyDescent="0.45">
      <c r="A27" s="27" t="s">
        <v>16</v>
      </c>
      <c r="B27" s="42">
        <v>25277551204</v>
      </c>
      <c r="C27" s="57">
        <v>4974962525</v>
      </c>
      <c r="D27" s="57">
        <v>125673203</v>
      </c>
      <c r="E27" s="58">
        <v>20176915476</v>
      </c>
      <c r="F27" s="57">
        <v>8189461802.2832413</v>
      </c>
      <c r="G27" s="57">
        <v>4454968672.7167587</v>
      </c>
      <c r="H27" s="59">
        <v>4432375932</v>
      </c>
      <c r="I27" s="59">
        <v>202026814</v>
      </c>
      <c r="J27" s="59">
        <v>765134573</v>
      </c>
      <c r="K27" s="59">
        <v>1466633882</v>
      </c>
      <c r="L27" s="59">
        <v>697005422</v>
      </c>
      <c r="M27" s="57">
        <v>-30691622</v>
      </c>
    </row>
    <row r="28" spans="1:14" s="1" customFormat="1" collapsed="1" x14ac:dyDescent="0.45">
      <c r="A28" s="27" t="s">
        <v>17</v>
      </c>
      <c r="B28" s="42">
        <v>27463898396</v>
      </c>
      <c r="C28" s="57">
        <v>6971547082.4359131</v>
      </c>
      <c r="D28" s="57">
        <v>498110583</v>
      </c>
      <c r="E28" s="58">
        <v>19994240730.564087</v>
      </c>
      <c r="F28" s="57">
        <v>8806378413.3505287</v>
      </c>
      <c r="G28" s="57">
        <v>3170318570.3476601</v>
      </c>
      <c r="H28" s="59">
        <v>2859343233.3018103</v>
      </c>
      <c r="I28" s="59">
        <v>408138641.24681026</v>
      </c>
      <c r="J28" s="59">
        <v>710518832.53643394</v>
      </c>
      <c r="K28" s="59">
        <v>2129166880.1290014</v>
      </c>
      <c r="L28" s="59">
        <v>1328633726.6518416</v>
      </c>
      <c r="M28" s="57">
        <v>581742433</v>
      </c>
    </row>
    <row r="29" spans="1:14" s="1" customFormat="1" x14ac:dyDescent="0.45">
      <c r="A29" s="28" t="s">
        <v>18</v>
      </c>
      <c r="B29" s="43">
        <v>107876570</v>
      </c>
      <c r="C29" s="60">
        <v>34768760.283718519</v>
      </c>
      <c r="D29" s="60">
        <v>16220000</v>
      </c>
      <c r="E29" s="61">
        <v>56887809.716281481</v>
      </c>
      <c r="F29" s="60">
        <v>38882936.652792141</v>
      </c>
      <c r="G29" s="60">
        <v>7293713.3472078573</v>
      </c>
      <c r="H29" s="62">
        <v>0</v>
      </c>
      <c r="I29" s="62">
        <v>1305241.2934366078</v>
      </c>
      <c r="J29" s="62">
        <v>1309946.5950153624</v>
      </c>
      <c r="K29" s="62">
        <v>7085258.8123240825</v>
      </c>
      <c r="L29" s="62">
        <v>1010713.0155054275</v>
      </c>
      <c r="M29" s="60">
        <v>0</v>
      </c>
    </row>
    <row r="30" spans="1:14" s="1" customFormat="1" x14ac:dyDescent="0.45">
      <c r="A30" s="28" t="s">
        <v>19</v>
      </c>
      <c r="B30" s="43">
        <v>6774988800</v>
      </c>
      <c r="C30" s="66">
        <v>760687223.536973</v>
      </c>
      <c r="D30" s="60">
        <v>170039530</v>
      </c>
      <c r="E30" s="61">
        <v>5844262046.463027</v>
      </c>
      <c r="F30" s="60">
        <v>3548312374.2937794</v>
      </c>
      <c r="G30" s="60">
        <v>1166343822.730711</v>
      </c>
      <c r="H30" s="62">
        <v>417154372.9755097</v>
      </c>
      <c r="I30" s="62">
        <v>45496203.807140842</v>
      </c>
      <c r="J30" s="62">
        <v>45660214.370304562</v>
      </c>
      <c r="K30" s="62">
        <v>246967653.08666122</v>
      </c>
      <c r="L30" s="62">
        <v>290925585.19891989</v>
      </c>
      <c r="M30" s="60">
        <v>83401820</v>
      </c>
    </row>
    <row r="31" spans="1:14" s="1" customFormat="1" ht="16" hidden="1" customHeight="1" outlineLevel="1" x14ac:dyDescent="0.45">
      <c r="A31" s="29" t="s">
        <v>20</v>
      </c>
      <c r="B31" s="44">
        <v>743380660</v>
      </c>
      <c r="C31" s="63">
        <v>201707444.49388111</v>
      </c>
      <c r="D31" s="63">
        <v>62146030</v>
      </c>
      <c r="E31" s="64">
        <v>479527185.50611889</v>
      </c>
      <c r="F31" s="63">
        <v>218608019.15906161</v>
      </c>
      <c r="G31" s="63">
        <v>105869973.53450955</v>
      </c>
      <c r="H31" s="65">
        <v>27504677.30642885</v>
      </c>
      <c r="I31" s="65">
        <v>5598127.1314252634</v>
      </c>
      <c r="J31" s="65">
        <v>5599981.4061974706</v>
      </c>
      <c r="K31" s="65">
        <v>12811173.137121003</v>
      </c>
      <c r="L31" s="65">
        <v>57383733.831375092</v>
      </c>
      <c r="M31" s="63">
        <v>46151500</v>
      </c>
    </row>
    <row r="32" spans="1:14" ht="16" hidden="1" customHeight="1" outlineLevel="1" x14ac:dyDescent="0.45">
      <c r="A32" s="29" t="s">
        <v>21</v>
      </c>
      <c r="B32" s="44">
        <v>136630060</v>
      </c>
      <c r="C32" s="63">
        <v>37154595.35510768</v>
      </c>
      <c r="D32" s="63">
        <v>11463980</v>
      </c>
      <c r="E32" s="64">
        <v>88011484.64489232</v>
      </c>
      <c r="F32" s="63">
        <v>40207636.487940401</v>
      </c>
      <c r="G32" s="63">
        <v>19072326.573097043</v>
      </c>
      <c r="H32" s="65">
        <v>5053946.9389625564</v>
      </c>
      <c r="I32" s="65">
        <v>1040088.022378596</v>
      </c>
      <c r="J32" s="65">
        <v>1040415.1985629</v>
      </c>
      <c r="K32" s="65">
        <v>2365912.9896560842</v>
      </c>
      <c r="L32" s="65">
        <v>10799158.434294751</v>
      </c>
      <c r="M32" s="63">
        <v>8432000</v>
      </c>
      <c r="N32" s="1"/>
    </row>
    <row r="33" spans="1:14" ht="16" hidden="1" customHeight="1" outlineLevel="1" x14ac:dyDescent="0.45">
      <c r="A33" s="29" t="s">
        <v>22</v>
      </c>
      <c r="B33" s="44">
        <v>33700000</v>
      </c>
      <c r="C33" s="63">
        <v>8600000</v>
      </c>
      <c r="D33" s="63">
        <v>2800000</v>
      </c>
      <c r="E33" s="64">
        <v>22300000</v>
      </c>
      <c r="F33" s="63">
        <v>9965389.7896274514</v>
      </c>
      <c r="G33" s="63">
        <v>3920807.077111979</v>
      </c>
      <c r="H33" s="65">
        <v>1113803.1332605702</v>
      </c>
      <c r="I33" s="65">
        <v>350000</v>
      </c>
      <c r="J33" s="65">
        <v>350000</v>
      </c>
      <c r="K33" s="65">
        <v>700000</v>
      </c>
      <c r="L33" s="65">
        <v>4200000</v>
      </c>
      <c r="M33" s="63">
        <v>1700000</v>
      </c>
      <c r="N33" s="1"/>
    </row>
    <row r="34" spans="1:14" ht="16" hidden="1" customHeight="1" outlineLevel="1" x14ac:dyDescent="0.45">
      <c r="A34" s="29" t="s">
        <v>171</v>
      </c>
      <c r="B34" s="44">
        <v>261782840</v>
      </c>
      <c r="C34" s="63">
        <v>261782840</v>
      </c>
      <c r="D34" s="63">
        <v>0</v>
      </c>
      <c r="E34" s="64">
        <v>0</v>
      </c>
      <c r="F34" s="63">
        <v>0</v>
      </c>
      <c r="G34" s="63">
        <v>0</v>
      </c>
      <c r="H34" s="65">
        <v>0</v>
      </c>
      <c r="I34" s="65">
        <v>0</v>
      </c>
      <c r="J34" s="65">
        <v>0</v>
      </c>
      <c r="K34" s="65">
        <v>0</v>
      </c>
      <c r="L34" s="65">
        <v>0</v>
      </c>
      <c r="M34" s="63">
        <v>0</v>
      </c>
      <c r="N34" s="1"/>
    </row>
    <row r="35" spans="1:14" ht="16" hidden="1" customHeight="1" outlineLevel="1" x14ac:dyDescent="0.45">
      <c r="A35" s="29" t="s">
        <v>23</v>
      </c>
      <c r="B35" s="44">
        <v>12980540</v>
      </c>
      <c r="C35" s="63">
        <v>1533990</v>
      </c>
      <c r="D35" s="63">
        <v>529420</v>
      </c>
      <c r="E35" s="64">
        <v>10917130</v>
      </c>
      <c r="F35" s="63">
        <v>6171279.1408296637</v>
      </c>
      <c r="G35" s="63">
        <v>3690240.8591703367</v>
      </c>
      <c r="H35" s="65">
        <v>78220</v>
      </c>
      <c r="I35" s="65">
        <v>0</v>
      </c>
      <c r="J35" s="65">
        <v>0</v>
      </c>
      <c r="K35" s="65">
        <v>0</v>
      </c>
      <c r="L35" s="65">
        <v>545450</v>
      </c>
      <c r="M35" s="63">
        <v>431940</v>
      </c>
      <c r="N35" s="1"/>
    </row>
    <row r="36" spans="1:14" ht="16" hidden="1" customHeight="1" outlineLevel="1" x14ac:dyDescent="0.45">
      <c r="A36" s="29" t="s">
        <v>24</v>
      </c>
      <c r="B36" s="44">
        <v>21678130</v>
      </c>
      <c r="C36" s="63">
        <v>7981331.0317925066</v>
      </c>
      <c r="D36" s="63">
        <v>1622560</v>
      </c>
      <c r="E36" s="64">
        <v>12074238.968207493</v>
      </c>
      <c r="F36" s="63">
        <v>4759602.3224752201</v>
      </c>
      <c r="G36" s="63">
        <v>3384781.7132780454</v>
      </c>
      <c r="H36" s="65">
        <v>560965.96424673416</v>
      </c>
      <c r="I36" s="65">
        <v>115763.3871821435</v>
      </c>
      <c r="J36" s="65">
        <v>116175.87531522808</v>
      </c>
      <c r="K36" s="65">
        <v>1121126.0066969581</v>
      </c>
      <c r="L36" s="65">
        <v>365963.69901316345</v>
      </c>
      <c r="M36" s="63">
        <v>1649860</v>
      </c>
      <c r="N36" s="1"/>
    </row>
    <row r="37" spans="1:14" ht="16" hidden="1" customHeight="1" outlineLevel="1" x14ac:dyDescent="0.45">
      <c r="A37" s="29" t="s">
        <v>122</v>
      </c>
      <c r="B37" s="44">
        <v>337208420</v>
      </c>
      <c r="C37" s="63">
        <v>25093060</v>
      </c>
      <c r="D37" s="63">
        <v>0</v>
      </c>
      <c r="E37" s="64">
        <v>312115360</v>
      </c>
      <c r="F37" s="63">
        <v>21551900</v>
      </c>
      <c r="G37" s="63">
        <v>0</v>
      </c>
      <c r="H37" s="65">
        <v>281733630</v>
      </c>
      <c r="I37" s="65">
        <v>0</v>
      </c>
      <c r="J37" s="65">
        <v>0</v>
      </c>
      <c r="K37" s="65">
        <v>8829830</v>
      </c>
      <c r="L37" s="65">
        <v>0</v>
      </c>
      <c r="M37" s="63">
        <v>0</v>
      </c>
      <c r="N37" s="1"/>
    </row>
    <row r="38" spans="1:14" ht="16" hidden="1" customHeight="1" outlineLevel="1" x14ac:dyDescent="0.45">
      <c r="A38" s="29" t="s">
        <v>123</v>
      </c>
      <c r="B38" s="44">
        <v>55819770</v>
      </c>
      <c r="C38" s="63">
        <v>3840760</v>
      </c>
      <c r="D38" s="63">
        <v>0</v>
      </c>
      <c r="E38" s="64">
        <v>51979010</v>
      </c>
      <c r="F38" s="63">
        <v>3647700</v>
      </c>
      <c r="G38" s="63">
        <v>0</v>
      </c>
      <c r="H38" s="65">
        <v>46839210</v>
      </c>
      <c r="I38" s="65">
        <v>0</v>
      </c>
      <c r="J38" s="65">
        <v>0</v>
      </c>
      <c r="K38" s="65">
        <v>1492100</v>
      </c>
      <c r="L38" s="65">
        <v>0</v>
      </c>
      <c r="M38" s="63">
        <v>0</v>
      </c>
      <c r="N38" s="1"/>
    </row>
    <row r="39" spans="1:14" ht="16" hidden="1" customHeight="1" outlineLevel="1" x14ac:dyDescent="0.45">
      <c r="A39" s="29" t="s">
        <v>124</v>
      </c>
      <c r="B39" s="44">
        <v>1500000</v>
      </c>
      <c r="C39" s="63">
        <v>150000</v>
      </c>
      <c r="D39" s="63">
        <v>0</v>
      </c>
      <c r="E39" s="64">
        <v>1350000</v>
      </c>
      <c r="F39" s="63">
        <v>0</v>
      </c>
      <c r="G39" s="63">
        <v>0</v>
      </c>
      <c r="H39" s="65">
        <v>1350000</v>
      </c>
      <c r="I39" s="65">
        <v>0</v>
      </c>
      <c r="J39" s="65">
        <v>0</v>
      </c>
      <c r="K39" s="65">
        <v>0</v>
      </c>
      <c r="L39" s="65">
        <v>0</v>
      </c>
      <c r="M39" s="63">
        <v>0</v>
      </c>
      <c r="N39" s="1"/>
    </row>
    <row r="40" spans="1:14" ht="16" hidden="1" customHeight="1" outlineLevel="1" x14ac:dyDescent="0.45">
      <c r="A40" s="29" t="s">
        <v>125</v>
      </c>
      <c r="B40" s="44">
        <v>0</v>
      </c>
      <c r="C40" s="63">
        <v>0</v>
      </c>
      <c r="D40" s="63">
        <v>0</v>
      </c>
      <c r="E40" s="64">
        <v>0</v>
      </c>
      <c r="F40" s="63">
        <v>0</v>
      </c>
      <c r="G40" s="63">
        <v>0</v>
      </c>
      <c r="H40" s="65">
        <v>0</v>
      </c>
      <c r="I40" s="65">
        <v>0</v>
      </c>
      <c r="J40" s="65">
        <v>0</v>
      </c>
      <c r="K40" s="65">
        <v>0</v>
      </c>
      <c r="L40" s="65">
        <v>0</v>
      </c>
      <c r="M40" s="63">
        <v>0</v>
      </c>
      <c r="N40" s="1"/>
    </row>
    <row r="41" spans="1:14" ht="16" hidden="1" customHeight="1" outlineLevel="1" x14ac:dyDescent="0.45">
      <c r="A41" s="29" t="s">
        <v>172</v>
      </c>
      <c r="B41" s="44">
        <v>355440</v>
      </c>
      <c r="C41" s="63">
        <v>355440</v>
      </c>
      <c r="D41" s="63">
        <v>0</v>
      </c>
      <c r="E41" s="64">
        <v>0</v>
      </c>
      <c r="F41" s="63">
        <v>0</v>
      </c>
      <c r="G41" s="63">
        <v>0</v>
      </c>
      <c r="H41" s="65">
        <v>0</v>
      </c>
      <c r="I41" s="65">
        <v>0</v>
      </c>
      <c r="J41" s="65">
        <v>0</v>
      </c>
      <c r="K41" s="65">
        <v>0</v>
      </c>
      <c r="L41" s="65">
        <v>0</v>
      </c>
      <c r="M41" s="63">
        <v>0</v>
      </c>
      <c r="N41" s="1"/>
    </row>
    <row r="42" spans="1:14" ht="16" hidden="1" customHeight="1" outlineLevel="1" x14ac:dyDescent="0.45">
      <c r="A42" s="29" t="s">
        <v>173</v>
      </c>
      <c r="B42" s="44">
        <v>0</v>
      </c>
      <c r="C42" s="63">
        <v>0</v>
      </c>
      <c r="D42" s="63">
        <v>0</v>
      </c>
      <c r="E42" s="64">
        <v>0</v>
      </c>
      <c r="F42" s="63">
        <v>0</v>
      </c>
      <c r="G42" s="63">
        <v>0</v>
      </c>
      <c r="H42" s="65">
        <v>0</v>
      </c>
      <c r="I42" s="65">
        <v>0</v>
      </c>
      <c r="J42" s="65">
        <v>0</v>
      </c>
      <c r="K42" s="65">
        <v>0</v>
      </c>
      <c r="L42" s="65">
        <v>0</v>
      </c>
      <c r="M42" s="63">
        <v>0</v>
      </c>
      <c r="N42" s="1"/>
    </row>
    <row r="43" spans="1:14" ht="16" hidden="1" customHeight="1" outlineLevel="1" x14ac:dyDescent="0.45">
      <c r="A43" s="29" t="s">
        <v>25</v>
      </c>
      <c r="B43" s="44">
        <v>29264000</v>
      </c>
      <c r="C43" s="63">
        <v>8360752.6561921835</v>
      </c>
      <c r="D43" s="63">
        <v>2480000</v>
      </c>
      <c r="E43" s="64">
        <v>18423247.343807817</v>
      </c>
      <c r="F43" s="63">
        <v>8378337.9011483565</v>
      </c>
      <c r="G43" s="63">
        <v>4319062.4662406519</v>
      </c>
      <c r="H43" s="65">
        <v>1097599.6326109916</v>
      </c>
      <c r="I43" s="65">
        <v>190125.26615483931</v>
      </c>
      <c r="J43" s="65">
        <v>190251.89022896541</v>
      </c>
      <c r="K43" s="65">
        <v>500670.95318716345</v>
      </c>
      <c r="L43" s="65">
        <v>2042199.2342368476</v>
      </c>
      <c r="M43" s="63">
        <v>1705000</v>
      </c>
      <c r="N43" s="1"/>
    </row>
    <row r="44" spans="1:14" ht="16" hidden="1" customHeight="1" outlineLevel="1" x14ac:dyDescent="0.45">
      <c r="A44" s="29" t="s">
        <v>174</v>
      </c>
      <c r="B44" s="44">
        <v>0</v>
      </c>
      <c r="C44" s="63">
        <v>0</v>
      </c>
      <c r="D44" s="63">
        <v>0</v>
      </c>
      <c r="E44" s="64">
        <v>0</v>
      </c>
      <c r="F44" s="63">
        <v>0</v>
      </c>
      <c r="G44" s="63">
        <v>0</v>
      </c>
      <c r="H44" s="65">
        <v>0</v>
      </c>
      <c r="I44" s="65">
        <v>0</v>
      </c>
      <c r="J44" s="65">
        <v>0</v>
      </c>
      <c r="K44" s="65">
        <v>0</v>
      </c>
      <c r="L44" s="65">
        <v>0</v>
      </c>
      <c r="M44" s="63">
        <v>0</v>
      </c>
      <c r="N44" s="1"/>
    </row>
    <row r="45" spans="1:14" ht="16" hidden="1" customHeight="1" outlineLevel="1" x14ac:dyDescent="0.45">
      <c r="A45" s="29" t="s">
        <v>126</v>
      </c>
      <c r="B45" s="44">
        <v>23823530</v>
      </c>
      <c r="C45" s="63">
        <v>1849680</v>
      </c>
      <c r="D45" s="63">
        <v>0</v>
      </c>
      <c r="E45" s="64">
        <v>21973850</v>
      </c>
      <c r="F45" s="63">
        <v>1550000</v>
      </c>
      <c r="G45" s="63">
        <v>0</v>
      </c>
      <c r="H45" s="65">
        <v>19803850</v>
      </c>
      <c r="I45" s="65">
        <v>0</v>
      </c>
      <c r="J45" s="65">
        <v>0</v>
      </c>
      <c r="K45" s="65">
        <v>620000</v>
      </c>
      <c r="L45" s="65">
        <v>0</v>
      </c>
      <c r="M45" s="63">
        <v>0</v>
      </c>
      <c r="N45" s="1"/>
    </row>
    <row r="46" spans="1:14" ht="16" hidden="1" customHeight="1" outlineLevel="1" x14ac:dyDescent="0.45">
      <c r="A46" s="29" t="s">
        <v>175</v>
      </c>
      <c r="B46" s="44">
        <v>0</v>
      </c>
      <c r="C46" s="63">
        <v>0</v>
      </c>
      <c r="D46" s="63">
        <v>0</v>
      </c>
      <c r="E46" s="64">
        <v>0</v>
      </c>
      <c r="F46" s="63">
        <v>0</v>
      </c>
      <c r="G46" s="63">
        <v>0</v>
      </c>
      <c r="H46" s="65">
        <v>0</v>
      </c>
      <c r="I46" s="65">
        <v>0</v>
      </c>
      <c r="J46" s="65">
        <v>0</v>
      </c>
      <c r="K46" s="65">
        <v>0</v>
      </c>
      <c r="L46" s="65">
        <v>0</v>
      </c>
      <c r="M46" s="63">
        <v>0</v>
      </c>
      <c r="N46" s="1"/>
    </row>
    <row r="47" spans="1:14" ht="16" hidden="1" customHeight="1" outlineLevel="1" x14ac:dyDescent="0.45">
      <c r="A47" s="29" t="s">
        <v>176</v>
      </c>
      <c r="B47" s="44">
        <v>0</v>
      </c>
      <c r="C47" s="63">
        <v>0</v>
      </c>
      <c r="D47" s="63">
        <v>0</v>
      </c>
      <c r="E47" s="64">
        <v>0</v>
      </c>
      <c r="F47" s="63">
        <v>0</v>
      </c>
      <c r="G47" s="63">
        <v>0</v>
      </c>
      <c r="H47" s="65">
        <v>0</v>
      </c>
      <c r="I47" s="65">
        <v>0</v>
      </c>
      <c r="J47" s="65">
        <v>0</v>
      </c>
      <c r="K47" s="65">
        <v>0</v>
      </c>
      <c r="L47" s="65">
        <v>0</v>
      </c>
      <c r="M47" s="63">
        <v>0</v>
      </c>
      <c r="N47" s="1"/>
    </row>
    <row r="48" spans="1:14" ht="16" hidden="1" customHeight="1" outlineLevel="1" x14ac:dyDescent="0.45">
      <c r="A48" s="29" t="s">
        <v>26</v>
      </c>
      <c r="B48" s="44">
        <v>3976950920</v>
      </c>
      <c r="C48" s="63">
        <v>165544960</v>
      </c>
      <c r="D48" s="63">
        <v>70747220</v>
      </c>
      <c r="E48" s="64">
        <v>3740658740</v>
      </c>
      <c r="F48" s="63">
        <v>2528022383.856586</v>
      </c>
      <c r="G48" s="63">
        <v>796457756.1434139</v>
      </c>
      <c r="H48" s="65">
        <v>24159820</v>
      </c>
      <c r="I48" s="65">
        <v>30688975</v>
      </c>
      <c r="J48" s="65">
        <v>31111925</v>
      </c>
      <c r="K48" s="65">
        <v>173799220</v>
      </c>
      <c r="L48" s="65">
        <v>138174240</v>
      </c>
      <c r="M48" s="63">
        <v>18244420</v>
      </c>
      <c r="N48" s="1"/>
    </row>
    <row r="49" spans="1:14" ht="16" hidden="1" customHeight="1" outlineLevel="1" x14ac:dyDescent="0.45">
      <c r="A49" s="29" t="s">
        <v>27</v>
      </c>
      <c r="B49" s="44">
        <v>658439850</v>
      </c>
      <c r="C49" s="63">
        <v>17312000</v>
      </c>
      <c r="D49" s="63">
        <v>11599650</v>
      </c>
      <c r="E49" s="64">
        <v>629528200</v>
      </c>
      <c r="F49" s="63">
        <v>426987713.03362066</v>
      </c>
      <c r="G49" s="63">
        <v>133089336.96637934</v>
      </c>
      <c r="H49" s="65">
        <v>4249790</v>
      </c>
      <c r="I49" s="65">
        <v>4978205</v>
      </c>
      <c r="J49" s="65">
        <v>4716545</v>
      </c>
      <c r="K49" s="65">
        <v>29583450</v>
      </c>
      <c r="L49" s="65">
        <v>23226060</v>
      </c>
      <c r="M49" s="63">
        <v>2697100</v>
      </c>
      <c r="N49" s="1"/>
    </row>
    <row r="50" spans="1:14" ht="16" hidden="1" customHeight="1" outlineLevel="1" x14ac:dyDescent="0.45">
      <c r="A50" s="29" t="s">
        <v>28</v>
      </c>
      <c r="B50" s="44">
        <v>123936690</v>
      </c>
      <c r="C50" s="63">
        <v>6163350</v>
      </c>
      <c r="D50" s="63">
        <v>600000</v>
      </c>
      <c r="E50" s="64">
        <v>117173340</v>
      </c>
      <c r="F50" s="63">
        <v>85233340</v>
      </c>
      <c r="G50" s="63">
        <v>26000000</v>
      </c>
      <c r="H50" s="65">
        <v>1200000</v>
      </c>
      <c r="I50" s="65">
        <v>445000</v>
      </c>
      <c r="J50" s="65">
        <v>445000</v>
      </c>
      <c r="K50" s="65">
        <v>3700000</v>
      </c>
      <c r="L50" s="65">
        <v>0</v>
      </c>
      <c r="M50" s="63">
        <v>150000</v>
      </c>
      <c r="N50" s="1"/>
    </row>
    <row r="51" spans="1:14" ht="16" hidden="1" customHeight="1" outlineLevel="1" x14ac:dyDescent="0.45">
      <c r="A51" s="29" t="s">
        <v>29</v>
      </c>
      <c r="B51" s="44">
        <v>264332290</v>
      </c>
      <c r="C51" s="63">
        <v>6572060</v>
      </c>
      <c r="D51" s="63">
        <v>4557010</v>
      </c>
      <c r="E51" s="64">
        <v>253203220</v>
      </c>
      <c r="F51" s="63">
        <v>172510143.9769454</v>
      </c>
      <c r="G51" s="63">
        <v>53351056.023054615</v>
      </c>
      <c r="H51" s="65">
        <v>1555170</v>
      </c>
      <c r="I51" s="65">
        <v>2089920</v>
      </c>
      <c r="J51" s="65">
        <v>2089920</v>
      </c>
      <c r="K51" s="65">
        <v>11444170</v>
      </c>
      <c r="L51" s="65">
        <v>8922840</v>
      </c>
      <c r="M51" s="63">
        <v>1240000</v>
      </c>
      <c r="N51" s="1"/>
    </row>
    <row r="52" spans="1:14" ht="16" hidden="1" customHeight="1" outlineLevel="1" x14ac:dyDescent="0.45">
      <c r="A52" s="29" t="s">
        <v>127</v>
      </c>
      <c r="B52" s="44">
        <v>140000</v>
      </c>
      <c r="C52" s="63">
        <v>40000</v>
      </c>
      <c r="D52" s="63">
        <v>100000</v>
      </c>
      <c r="E52" s="64">
        <v>0</v>
      </c>
      <c r="F52" s="63">
        <v>0</v>
      </c>
      <c r="G52" s="63">
        <v>0</v>
      </c>
      <c r="H52" s="65">
        <v>0</v>
      </c>
      <c r="I52" s="65">
        <v>0</v>
      </c>
      <c r="J52" s="65">
        <v>0</v>
      </c>
      <c r="K52" s="65">
        <v>0</v>
      </c>
      <c r="L52" s="65">
        <v>0</v>
      </c>
      <c r="M52" s="63">
        <v>0</v>
      </c>
      <c r="N52" s="1"/>
    </row>
    <row r="53" spans="1:14" ht="16" hidden="1" customHeight="1" outlineLevel="1" x14ac:dyDescent="0.45">
      <c r="A53" s="29" t="s">
        <v>177</v>
      </c>
      <c r="B53" s="44">
        <v>0</v>
      </c>
      <c r="C53" s="63">
        <v>0</v>
      </c>
      <c r="D53" s="63">
        <v>0</v>
      </c>
      <c r="E53" s="64">
        <v>0</v>
      </c>
      <c r="F53" s="63">
        <v>0</v>
      </c>
      <c r="G53" s="63">
        <v>0</v>
      </c>
      <c r="H53" s="65">
        <v>0</v>
      </c>
      <c r="I53" s="65">
        <v>0</v>
      </c>
      <c r="J53" s="65">
        <v>0</v>
      </c>
      <c r="K53" s="65">
        <v>0</v>
      </c>
      <c r="L53" s="65">
        <v>0</v>
      </c>
      <c r="M53" s="63">
        <v>0</v>
      </c>
      <c r="N53" s="1"/>
    </row>
    <row r="54" spans="1:14" ht="16" hidden="1" customHeight="1" outlineLevel="1" x14ac:dyDescent="0.45">
      <c r="A54" s="29" t="s">
        <v>30</v>
      </c>
      <c r="B54" s="44">
        <v>23062570</v>
      </c>
      <c r="C54" s="63">
        <v>3050990</v>
      </c>
      <c r="D54" s="63">
        <v>0</v>
      </c>
      <c r="E54" s="64">
        <v>20011580</v>
      </c>
      <c r="F54" s="63">
        <v>10259560</v>
      </c>
      <c r="G54" s="63">
        <v>7928940</v>
      </c>
      <c r="H54" s="65">
        <v>0</v>
      </c>
      <c r="I54" s="65">
        <v>0</v>
      </c>
      <c r="J54" s="65">
        <v>0</v>
      </c>
      <c r="K54" s="65">
        <v>0</v>
      </c>
      <c r="L54" s="65">
        <v>1823080</v>
      </c>
      <c r="M54" s="63">
        <v>0</v>
      </c>
      <c r="N54" s="1"/>
    </row>
    <row r="55" spans="1:14" ht="16" hidden="1" customHeight="1" outlineLevel="1" x14ac:dyDescent="0.45">
      <c r="A55" s="29" t="s">
        <v>128</v>
      </c>
      <c r="B55" s="44">
        <v>41818600</v>
      </c>
      <c r="C55" s="63">
        <v>0</v>
      </c>
      <c r="D55" s="63">
        <v>0</v>
      </c>
      <c r="E55" s="64">
        <v>41818600</v>
      </c>
      <c r="F55" s="63">
        <v>0</v>
      </c>
      <c r="G55" s="63">
        <v>0</v>
      </c>
      <c r="H55" s="65">
        <v>0</v>
      </c>
      <c r="I55" s="65">
        <v>0</v>
      </c>
      <c r="J55" s="65">
        <v>0</v>
      </c>
      <c r="K55" s="65">
        <v>0</v>
      </c>
      <c r="L55" s="65">
        <v>41818600</v>
      </c>
      <c r="M55" s="63">
        <v>0</v>
      </c>
      <c r="N55" s="1"/>
    </row>
    <row r="56" spans="1:14" ht="16" hidden="1" customHeight="1" outlineLevel="1" x14ac:dyDescent="0.45">
      <c r="A56" s="29" t="s">
        <v>129</v>
      </c>
      <c r="B56" s="44">
        <v>884290</v>
      </c>
      <c r="C56" s="63">
        <v>0</v>
      </c>
      <c r="D56" s="63">
        <v>0</v>
      </c>
      <c r="E56" s="64">
        <v>884290</v>
      </c>
      <c r="F56" s="63">
        <v>0</v>
      </c>
      <c r="G56" s="63">
        <v>0</v>
      </c>
      <c r="H56" s="65">
        <v>0</v>
      </c>
      <c r="I56" s="65">
        <v>0</v>
      </c>
      <c r="J56" s="65">
        <v>0</v>
      </c>
      <c r="K56" s="65">
        <v>0</v>
      </c>
      <c r="L56" s="65">
        <v>884290</v>
      </c>
      <c r="M56" s="63">
        <v>0</v>
      </c>
      <c r="N56" s="1"/>
    </row>
    <row r="57" spans="1:14" ht="16" hidden="1" customHeight="1" outlineLevel="1" x14ac:dyDescent="0.45">
      <c r="A57" s="29" t="s">
        <v>178</v>
      </c>
      <c r="B57" s="44">
        <v>0</v>
      </c>
      <c r="C57" s="63">
        <v>0</v>
      </c>
      <c r="D57" s="63">
        <v>0</v>
      </c>
      <c r="E57" s="64">
        <v>0</v>
      </c>
      <c r="F57" s="63">
        <v>0</v>
      </c>
      <c r="G57" s="63">
        <v>0</v>
      </c>
      <c r="H57" s="65">
        <v>0</v>
      </c>
      <c r="I57" s="65">
        <v>0</v>
      </c>
      <c r="J57" s="65">
        <v>0</v>
      </c>
      <c r="K57" s="65">
        <v>0</v>
      </c>
      <c r="L57" s="65">
        <v>0</v>
      </c>
      <c r="M57" s="63">
        <v>0</v>
      </c>
      <c r="N57" s="1"/>
    </row>
    <row r="58" spans="1:14" ht="16" hidden="1" customHeight="1" outlineLevel="1" x14ac:dyDescent="0.45">
      <c r="A58" s="29" t="s">
        <v>31</v>
      </c>
      <c r="B58" s="44">
        <v>13565460</v>
      </c>
      <c r="C58" s="63">
        <v>2168970</v>
      </c>
      <c r="D58" s="63">
        <v>258660</v>
      </c>
      <c r="E58" s="64">
        <v>11137830</v>
      </c>
      <c r="F58" s="63">
        <v>7089368.6255445238</v>
      </c>
      <c r="G58" s="63">
        <v>3543191.3744554762</v>
      </c>
      <c r="H58" s="65">
        <v>353690</v>
      </c>
      <c r="I58" s="65">
        <v>0</v>
      </c>
      <c r="J58" s="65">
        <v>0</v>
      </c>
      <c r="K58" s="65">
        <v>0</v>
      </c>
      <c r="L58" s="65">
        <v>151580</v>
      </c>
      <c r="M58" s="63">
        <v>0</v>
      </c>
      <c r="N58" s="1"/>
    </row>
    <row r="59" spans="1:14" ht="16" hidden="1" customHeight="1" outlineLevel="1" x14ac:dyDescent="0.45">
      <c r="A59" s="29" t="s">
        <v>113</v>
      </c>
      <c r="B59" s="44">
        <v>0</v>
      </c>
      <c r="C59" s="63">
        <v>0</v>
      </c>
      <c r="D59" s="63">
        <v>0</v>
      </c>
      <c r="E59" s="64">
        <v>0</v>
      </c>
      <c r="F59" s="63">
        <v>0</v>
      </c>
      <c r="G59" s="63">
        <v>0</v>
      </c>
      <c r="H59" s="65">
        <v>0</v>
      </c>
      <c r="I59" s="65">
        <v>0</v>
      </c>
      <c r="J59" s="65">
        <v>0</v>
      </c>
      <c r="K59" s="65">
        <v>0</v>
      </c>
      <c r="L59" s="65">
        <v>0</v>
      </c>
      <c r="M59" s="63">
        <v>0</v>
      </c>
      <c r="N59" s="1"/>
    </row>
    <row r="60" spans="1:14" ht="16" hidden="1" customHeight="1" outlineLevel="1" x14ac:dyDescent="0.45">
      <c r="A60" s="29" t="s">
        <v>32</v>
      </c>
      <c r="B60" s="44">
        <v>13734740</v>
      </c>
      <c r="C60" s="63">
        <v>1425000</v>
      </c>
      <c r="D60" s="63">
        <v>1135000</v>
      </c>
      <c r="E60" s="64">
        <v>11174740</v>
      </c>
      <c r="F60" s="63">
        <v>3370000</v>
      </c>
      <c r="G60" s="63">
        <v>5716350</v>
      </c>
      <c r="H60" s="65">
        <v>500000</v>
      </c>
      <c r="I60" s="65">
        <v>0</v>
      </c>
      <c r="J60" s="65">
        <v>0</v>
      </c>
      <c r="K60" s="65">
        <v>0</v>
      </c>
      <c r="L60" s="65">
        <v>588390</v>
      </c>
      <c r="M60" s="63">
        <v>1000000</v>
      </c>
      <c r="N60" s="1"/>
    </row>
    <row r="61" spans="1:14" ht="16" hidden="1" customHeight="1" outlineLevel="1" x14ac:dyDescent="0.45">
      <c r="A61" s="24" t="s">
        <v>130</v>
      </c>
      <c r="B61" s="44">
        <v>0</v>
      </c>
      <c r="C61" s="63">
        <v>0</v>
      </c>
      <c r="D61" s="63">
        <v>0</v>
      </c>
      <c r="E61" s="64">
        <v>0</v>
      </c>
      <c r="F61" s="63">
        <v>0</v>
      </c>
      <c r="G61" s="63">
        <v>0</v>
      </c>
      <c r="H61" s="65">
        <v>0</v>
      </c>
      <c r="I61" s="65">
        <v>0</v>
      </c>
      <c r="J61" s="65">
        <v>0</v>
      </c>
      <c r="K61" s="65">
        <v>0</v>
      </c>
      <c r="L61" s="65">
        <v>0</v>
      </c>
      <c r="M61" s="63">
        <v>0</v>
      </c>
      <c r="N61" s="1"/>
    </row>
    <row r="62" spans="1:14" ht="16" hidden="1" customHeight="1" outlineLevel="1" x14ac:dyDescent="0.45">
      <c r="A62" s="29" t="s">
        <v>267</v>
      </c>
      <c r="B62" s="44">
        <v>0</v>
      </c>
      <c r="C62" s="63">
        <v>0</v>
      </c>
      <c r="D62" s="63">
        <v>0</v>
      </c>
      <c r="E62" s="64">
        <v>0</v>
      </c>
      <c r="F62" s="63">
        <v>0</v>
      </c>
      <c r="G62" s="63">
        <v>0</v>
      </c>
      <c r="H62" s="65">
        <v>0</v>
      </c>
      <c r="I62" s="65">
        <v>0</v>
      </c>
      <c r="J62" s="65">
        <v>0</v>
      </c>
      <c r="K62" s="65">
        <v>0</v>
      </c>
      <c r="L62" s="65">
        <v>0</v>
      </c>
      <c r="M62" s="63">
        <v>0</v>
      </c>
      <c r="N62" s="1"/>
    </row>
    <row r="63" spans="1:14" ht="16" customHeight="1" collapsed="1" x14ac:dyDescent="0.45">
      <c r="A63" s="28" t="s">
        <v>33</v>
      </c>
      <c r="B63" s="43">
        <v>1518523056</v>
      </c>
      <c r="C63" s="60">
        <v>1482583046</v>
      </c>
      <c r="D63" s="60">
        <v>0</v>
      </c>
      <c r="E63" s="61">
        <v>35940010</v>
      </c>
      <c r="F63" s="60">
        <v>1200000</v>
      </c>
      <c r="G63" s="60">
        <v>0</v>
      </c>
      <c r="H63" s="62">
        <v>28870010</v>
      </c>
      <c r="I63" s="62">
        <v>0</v>
      </c>
      <c r="J63" s="62">
        <v>0</v>
      </c>
      <c r="K63" s="62">
        <v>870000</v>
      </c>
      <c r="L63" s="62">
        <v>5000000</v>
      </c>
      <c r="M63" s="60">
        <v>0</v>
      </c>
      <c r="N63" s="1"/>
    </row>
    <row r="64" spans="1:14" s="1" customFormat="1" ht="16" hidden="1" customHeight="1" outlineLevel="1" collapsed="1" x14ac:dyDescent="0.45">
      <c r="A64" s="29" t="s">
        <v>34</v>
      </c>
      <c r="B64" s="44">
        <v>276396450</v>
      </c>
      <c r="C64" s="63">
        <v>276396450</v>
      </c>
      <c r="D64" s="63">
        <v>0</v>
      </c>
      <c r="E64" s="64">
        <v>0</v>
      </c>
      <c r="F64" s="63">
        <v>0</v>
      </c>
      <c r="G64" s="63">
        <v>0</v>
      </c>
      <c r="H64" s="65">
        <v>0</v>
      </c>
      <c r="I64" s="65">
        <v>0</v>
      </c>
      <c r="J64" s="65">
        <v>0</v>
      </c>
      <c r="K64" s="65">
        <v>0</v>
      </c>
      <c r="L64" s="65">
        <v>0</v>
      </c>
      <c r="M64" s="63">
        <v>0</v>
      </c>
    </row>
    <row r="65" spans="1:14" ht="16" hidden="1" customHeight="1" outlineLevel="1" x14ac:dyDescent="0.45">
      <c r="A65" s="29" t="s">
        <v>179</v>
      </c>
      <c r="B65" s="44">
        <v>602432596</v>
      </c>
      <c r="C65" s="63">
        <v>602432596</v>
      </c>
      <c r="D65" s="63">
        <v>0</v>
      </c>
      <c r="E65" s="64">
        <v>0</v>
      </c>
      <c r="F65" s="63">
        <v>0</v>
      </c>
      <c r="G65" s="63">
        <v>0</v>
      </c>
      <c r="H65" s="65">
        <v>0</v>
      </c>
      <c r="I65" s="65">
        <v>0</v>
      </c>
      <c r="J65" s="65">
        <v>0</v>
      </c>
      <c r="K65" s="65">
        <v>0</v>
      </c>
      <c r="L65" s="65">
        <v>0</v>
      </c>
      <c r="M65" s="63">
        <v>0</v>
      </c>
      <c r="N65" s="1"/>
    </row>
    <row r="66" spans="1:14" ht="16" hidden="1" customHeight="1" outlineLevel="1" x14ac:dyDescent="0.45">
      <c r="A66" s="29" t="s">
        <v>180</v>
      </c>
      <c r="B66" s="44">
        <v>0</v>
      </c>
      <c r="C66" s="63">
        <v>0</v>
      </c>
      <c r="D66" s="63">
        <v>0</v>
      </c>
      <c r="E66" s="64">
        <v>0</v>
      </c>
      <c r="F66" s="63">
        <v>0</v>
      </c>
      <c r="G66" s="63">
        <v>0</v>
      </c>
      <c r="H66" s="65">
        <v>0</v>
      </c>
      <c r="I66" s="65">
        <v>0</v>
      </c>
      <c r="J66" s="65">
        <v>0</v>
      </c>
      <c r="K66" s="65">
        <v>0</v>
      </c>
      <c r="L66" s="65">
        <v>0</v>
      </c>
      <c r="M66" s="63">
        <v>0</v>
      </c>
      <c r="N66" s="1"/>
    </row>
    <row r="67" spans="1:14" ht="16" hidden="1" customHeight="1" outlineLevel="1" x14ac:dyDescent="0.45">
      <c r="A67" s="29" t="s">
        <v>131</v>
      </c>
      <c r="B67" s="44">
        <v>32870010</v>
      </c>
      <c r="C67" s="63">
        <v>1930000</v>
      </c>
      <c r="D67" s="63">
        <v>0</v>
      </c>
      <c r="E67" s="64">
        <v>30940010</v>
      </c>
      <c r="F67" s="63">
        <v>1200000</v>
      </c>
      <c r="G67" s="63">
        <v>0</v>
      </c>
      <c r="H67" s="65">
        <v>28870010</v>
      </c>
      <c r="I67" s="65">
        <v>0</v>
      </c>
      <c r="J67" s="65">
        <v>0</v>
      </c>
      <c r="K67" s="65">
        <v>870000</v>
      </c>
      <c r="L67" s="65">
        <v>0</v>
      </c>
      <c r="M67" s="63">
        <v>0</v>
      </c>
      <c r="N67" s="1"/>
    </row>
    <row r="68" spans="1:14" ht="16" hidden="1" customHeight="1" outlineLevel="1" x14ac:dyDescent="0.45">
      <c r="A68" s="29" t="s">
        <v>35</v>
      </c>
      <c r="B68" s="44">
        <v>601824000</v>
      </c>
      <c r="C68" s="63">
        <v>601824000</v>
      </c>
      <c r="D68" s="63">
        <v>0</v>
      </c>
      <c r="E68" s="64">
        <v>0</v>
      </c>
      <c r="F68" s="63">
        <v>0</v>
      </c>
      <c r="G68" s="63">
        <v>0</v>
      </c>
      <c r="H68" s="65">
        <v>0</v>
      </c>
      <c r="I68" s="65">
        <v>0</v>
      </c>
      <c r="J68" s="65">
        <v>0</v>
      </c>
      <c r="K68" s="65">
        <v>0</v>
      </c>
      <c r="L68" s="65">
        <v>0</v>
      </c>
      <c r="M68" s="63">
        <v>0</v>
      </c>
      <c r="N68" s="1"/>
    </row>
    <row r="69" spans="1:14" ht="16" hidden="1" customHeight="1" outlineLevel="1" x14ac:dyDescent="0.45">
      <c r="A69" s="29" t="s">
        <v>132</v>
      </c>
      <c r="B69" s="44">
        <v>5000000</v>
      </c>
      <c r="C69" s="63">
        <v>0</v>
      </c>
      <c r="D69" s="63">
        <v>0</v>
      </c>
      <c r="E69" s="64">
        <v>5000000</v>
      </c>
      <c r="F69" s="63">
        <v>0</v>
      </c>
      <c r="G69" s="63">
        <v>0</v>
      </c>
      <c r="H69" s="65">
        <v>0</v>
      </c>
      <c r="I69" s="65">
        <v>0</v>
      </c>
      <c r="J69" s="65">
        <v>0</v>
      </c>
      <c r="K69" s="65">
        <v>0</v>
      </c>
      <c r="L69" s="65">
        <v>5000000</v>
      </c>
      <c r="M69" s="63">
        <v>0</v>
      </c>
      <c r="N69" s="1"/>
    </row>
    <row r="70" spans="1:14" ht="16" customHeight="1" collapsed="1" x14ac:dyDescent="0.45">
      <c r="A70" s="28" t="s">
        <v>133</v>
      </c>
      <c r="B70" s="43">
        <v>4542960</v>
      </c>
      <c r="C70" s="60">
        <v>0</v>
      </c>
      <c r="D70" s="60">
        <v>0</v>
      </c>
      <c r="E70" s="61">
        <v>4542960</v>
      </c>
      <c r="F70" s="60">
        <v>0</v>
      </c>
      <c r="G70" s="60">
        <v>0</v>
      </c>
      <c r="H70" s="62">
        <v>0</v>
      </c>
      <c r="I70" s="62">
        <v>1175860</v>
      </c>
      <c r="J70" s="62">
        <v>1175860</v>
      </c>
      <c r="K70" s="62">
        <v>2191240</v>
      </c>
      <c r="L70" s="62">
        <v>0</v>
      </c>
      <c r="M70" s="60">
        <v>0</v>
      </c>
      <c r="N70" s="1"/>
    </row>
    <row r="71" spans="1:14" s="1" customFormat="1" collapsed="1" x14ac:dyDescent="0.45">
      <c r="A71" s="28" t="s">
        <v>36</v>
      </c>
      <c r="B71" s="43">
        <v>2084093601</v>
      </c>
      <c r="C71" s="60">
        <v>538836580.95952606</v>
      </c>
      <c r="D71" s="60">
        <v>19201540</v>
      </c>
      <c r="E71" s="61">
        <v>1526055480.0404739</v>
      </c>
      <c r="F71" s="60">
        <v>1049521791.7872623</v>
      </c>
      <c r="G71" s="60">
        <v>238258592.05933636</v>
      </c>
      <c r="H71" s="62">
        <v>40079718.153401263</v>
      </c>
      <c r="I71" s="62">
        <v>18746304.779200602</v>
      </c>
      <c r="J71" s="62">
        <v>18592455.423975497</v>
      </c>
      <c r="K71" s="62">
        <v>101381093.09447208</v>
      </c>
      <c r="L71" s="62">
        <v>51278872.742825635</v>
      </c>
      <c r="M71" s="60">
        <v>8196652</v>
      </c>
    </row>
    <row r="72" spans="1:14" s="1" customFormat="1" ht="16" hidden="1" customHeight="1" outlineLevel="1" x14ac:dyDescent="0.45">
      <c r="A72" s="29" t="s">
        <v>37</v>
      </c>
      <c r="B72" s="44">
        <v>2084093601</v>
      </c>
      <c r="C72" s="63">
        <v>538836580.95952606</v>
      </c>
      <c r="D72" s="63">
        <v>19201540</v>
      </c>
      <c r="E72" s="64">
        <v>1526055480.0404739</v>
      </c>
      <c r="F72" s="63">
        <v>1049521791.7872623</v>
      </c>
      <c r="G72" s="63">
        <v>238258592.05933636</v>
      </c>
      <c r="H72" s="65">
        <v>40079718.153401263</v>
      </c>
      <c r="I72" s="65">
        <v>18746304.779200602</v>
      </c>
      <c r="J72" s="65">
        <v>18592455.423975497</v>
      </c>
      <c r="K72" s="65">
        <v>101381093.09447208</v>
      </c>
      <c r="L72" s="65">
        <v>51278872.742825635</v>
      </c>
      <c r="M72" s="63">
        <v>8196652</v>
      </c>
    </row>
    <row r="73" spans="1:14" ht="16" customHeight="1" collapsed="1" x14ac:dyDescent="0.45">
      <c r="A73" s="28" t="s">
        <v>181</v>
      </c>
      <c r="B73" s="43">
        <v>396057628</v>
      </c>
      <c r="C73" s="60">
        <v>301707628</v>
      </c>
      <c r="D73" s="60">
        <v>2000000</v>
      </c>
      <c r="E73" s="61">
        <v>92350000</v>
      </c>
      <c r="F73" s="60">
        <v>56895658.569046155</v>
      </c>
      <c r="G73" s="60">
        <v>21004341.430953849</v>
      </c>
      <c r="H73" s="62">
        <v>2000000</v>
      </c>
      <c r="I73" s="62">
        <v>2000000</v>
      </c>
      <c r="J73" s="62">
        <v>2000000</v>
      </c>
      <c r="K73" s="62">
        <v>2000000</v>
      </c>
      <c r="L73" s="62">
        <v>5450000</v>
      </c>
      <c r="M73" s="60">
        <v>1000000</v>
      </c>
      <c r="N73" s="1"/>
    </row>
    <row r="74" spans="1:14" s="1" customFormat="1" collapsed="1" x14ac:dyDescent="0.45">
      <c r="A74" s="28" t="s">
        <v>38</v>
      </c>
      <c r="B74" s="43">
        <v>3470597272</v>
      </c>
      <c r="C74" s="60">
        <v>716631301.34880733</v>
      </c>
      <c r="D74" s="60">
        <v>55031051</v>
      </c>
      <c r="E74" s="61">
        <v>2698934919.6511927</v>
      </c>
      <c r="F74" s="60">
        <v>1527504384.2235837</v>
      </c>
      <c r="G74" s="60">
        <v>522908985.15338135</v>
      </c>
      <c r="H74" s="62">
        <v>169432414.62303489</v>
      </c>
      <c r="I74" s="62">
        <v>20605343.657025523</v>
      </c>
      <c r="J74" s="62">
        <v>21751513.032935746</v>
      </c>
      <c r="K74" s="62">
        <v>101923733.95157371</v>
      </c>
      <c r="L74" s="62">
        <v>313250677.0096578</v>
      </c>
      <c r="M74" s="60">
        <v>21557868</v>
      </c>
    </row>
    <row r="75" spans="1:14" s="1" customFormat="1" ht="16" hidden="1" customHeight="1" outlineLevel="1" x14ac:dyDescent="0.45">
      <c r="A75" s="29" t="s">
        <v>39</v>
      </c>
      <c r="B75" s="44">
        <v>0</v>
      </c>
      <c r="C75" s="63">
        <v>0</v>
      </c>
      <c r="D75" s="63">
        <v>0</v>
      </c>
      <c r="E75" s="64">
        <v>0</v>
      </c>
      <c r="F75" s="63">
        <v>0</v>
      </c>
      <c r="G75" s="63">
        <v>0</v>
      </c>
      <c r="H75" s="65">
        <v>0</v>
      </c>
      <c r="I75" s="65">
        <v>0</v>
      </c>
      <c r="J75" s="65">
        <v>0</v>
      </c>
      <c r="K75" s="65">
        <v>0</v>
      </c>
      <c r="L75" s="65">
        <v>0</v>
      </c>
      <c r="M75" s="63">
        <v>0</v>
      </c>
    </row>
    <row r="76" spans="1:14" ht="16" hidden="1" customHeight="1" outlineLevel="1" x14ac:dyDescent="0.45">
      <c r="A76" s="29" t="s">
        <v>40</v>
      </c>
      <c r="B76" s="44">
        <v>66047450</v>
      </c>
      <c r="C76" s="63">
        <v>4372975.4851122797</v>
      </c>
      <c r="D76" s="63">
        <v>1681785</v>
      </c>
      <c r="E76" s="64">
        <v>59992689.51488772</v>
      </c>
      <c r="F76" s="63">
        <v>35394948.249450155</v>
      </c>
      <c r="G76" s="63">
        <v>11662102.816724077</v>
      </c>
      <c r="H76" s="65">
        <v>4342313.9338257685</v>
      </c>
      <c r="I76" s="65">
        <v>488444.72654840851</v>
      </c>
      <c r="J76" s="65">
        <v>489760.52418885531</v>
      </c>
      <c r="K76" s="65">
        <v>2440320.51980231</v>
      </c>
      <c r="L76" s="65">
        <v>4434762.7443481423</v>
      </c>
      <c r="M76" s="63">
        <v>740036</v>
      </c>
      <c r="N76" s="1"/>
    </row>
    <row r="77" spans="1:14" ht="16" hidden="1" customHeight="1" outlineLevel="1" x14ac:dyDescent="0.45">
      <c r="A77" s="29" t="s">
        <v>41</v>
      </c>
      <c r="B77" s="44">
        <v>360743230</v>
      </c>
      <c r="C77" s="63">
        <v>26489122.17060256</v>
      </c>
      <c r="D77" s="63">
        <v>9314910</v>
      </c>
      <c r="E77" s="64">
        <v>324939197.82939744</v>
      </c>
      <c r="F77" s="63">
        <v>200614067.92353335</v>
      </c>
      <c r="G77" s="63">
        <v>64502002.60149245</v>
      </c>
      <c r="H77" s="65">
        <v>19443179.474974204</v>
      </c>
      <c r="I77" s="65">
        <v>2298393.4496408594</v>
      </c>
      <c r="J77" s="65">
        <v>2199260.9996057423</v>
      </c>
      <c r="K77" s="65">
        <v>12292190.263327951</v>
      </c>
      <c r="L77" s="65">
        <v>19613803.116822869</v>
      </c>
      <c r="M77" s="63">
        <v>3976300</v>
      </c>
      <c r="N77" s="1"/>
    </row>
    <row r="78" spans="1:14" ht="16" hidden="1" customHeight="1" outlineLevel="1" x14ac:dyDescent="0.45">
      <c r="A78" s="29" t="s">
        <v>42</v>
      </c>
      <c r="B78" s="44">
        <v>361003690</v>
      </c>
      <c r="C78" s="63">
        <v>28184108.379983842</v>
      </c>
      <c r="D78" s="63">
        <v>8133690</v>
      </c>
      <c r="E78" s="64">
        <v>324685891.62001616</v>
      </c>
      <c r="F78" s="63">
        <v>202521140.87813354</v>
      </c>
      <c r="G78" s="63">
        <v>65573537.930331372</v>
      </c>
      <c r="H78" s="65">
        <v>20362671.1915351</v>
      </c>
      <c r="I78" s="65">
        <v>2295794.0809244174</v>
      </c>
      <c r="J78" s="65">
        <v>2318698.2537685996</v>
      </c>
      <c r="K78" s="65">
        <v>12387948.249878068</v>
      </c>
      <c r="L78" s="65">
        <v>15625491.035445113</v>
      </c>
      <c r="M78" s="63">
        <v>3600610</v>
      </c>
      <c r="N78" s="1"/>
    </row>
    <row r="79" spans="1:14" ht="16" hidden="1" customHeight="1" outlineLevel="1" x14ac:dyDescent="0.45">
      <c r="A79" s="29" t="s">
        <v>43</v>
      </c>
      <c r="B79" s="44">
        <v>155887440</v>
      </c>
      <c r="C79" s="63">
        <v>9777404.0920228064</v>
      </c>
      <c r="D79" s="63">
        <v>3984236</v>
      </c>
      <c r="E79" s="64">
        <v>142125799.90797719</v>
      </c>
      <c r="F79" s="63">
        <v>83852469.954011768</v>
      </c>
      <c r="G79" s="63">
        <v>27628129.217675991</v>
      </c>
      <c r="H79" s="65">
        <v>10287166.828312237</v>
      </c>
      <c r="I79" s="65">
        <v>1157151.4519985029</v>
      </c>
      <c r="J79" s="65">
        <v>1160268.8062922566</v>
      </c>
      <c r="K79" s="65">
        <v>5781247.0470912075</v>
      </c>
      <c r="L79" s="65">
        <v>10506180.602595247</v>
      </c>
      <c r="M79" s="63">
        <v>1753186</v>
      </c>
      <c r="N79" s="1"/>
    </row>
    <row r="80" spans="1:14" ht="16" hidden="1" customHeight="1" outlineLevel="1" x14ac:dyDescent="0.45">
      <c r="A80" s="29" t="s">
        <v>134</v>
      </c>
      <c r="B80" s="44">
        <v>0</v>
      </c>
      <c r="C80" s="63">
        <v>0</v>
      </c>
      <c r="D80" s="63">
        <v>0</v>
      </c>
      <c r="E80" s="64">
        <v>0</v>
      </c>
      <c r="F80" s="63">
        <v>0</v>
      </c>
      <c r="G80" s="63">
        <v>0</v>
      </c>
      <c r="H80" s="65">
        <v>0</v>
      </c>
      <c r="I80" s="65">
        <v>0</v>
      </c>
      <c r="J80" s="65">
        <v>0</v>
      </c>
      <c r="K80" s="65">
        <v>0</v>
      </c>
      <c r="L80" s="65">
        <v>0</v>
      </c>
      <c r="M80" s="63">
        <v>0</v>
      </c>
      <c r="N80" s="1"/>
    </row>
    <row r="81" spans="1:14" ht="16" hidden="1" customHeight="1" outlineLevel="1" x14ac:dyDescent="0.45">
      <c r="A81" s="24" t="s">
        <v>44</v>
      </c>
      <c r="B81" s="45">
        <v>613874551</v>
      </c>
      <c r="C81" s="63">
        <v>12738689.067497373</v>
      </c>
      <c r="D81" s="63">
        <v>0</v>
      </c>
      <c r="E81" s="64">
        <v>601135861.93250263</v>
      </c>
      <c r="F81" s="63">
        <v>363772383</v>
      </c>
      <c r="G81" s="63">
        <v>152030218</v>
      </c>
      <c r="H81" s="65">
        <v>58025400</v>
      </c>
      <c r="I81" s="65">
        <v>6279060.681340687</v>
      </c>
      <c r="J81" s="65">
        <v>5524154.6282343939</v>
      </c>
      <c r="K81" s="65">
        <v>6542465.5459130565</v>
      </c>
      <c r="L81" s="65">
        <v>7523180.0770144351</v>
      </c>
      <c r="M81" s="63">
        <v>1439000</v>
      </c>
      <c r="N81" s="1"/>
    </row>
    <row r="82" spans="1:14" ht="16" hidden="1" customHeight="1" outlineLevel="1" x14ac:dyDescent="0.45">
      <c r="A82" s="29" t="s">
        <v>45</v>
      </c>
      <c r="B82" s="44">
        <v>46195000</v>
      </c>
      <c r="C82" s="63">
        <v>3870000</v>
      </c>
      <c r="D82" s="63">
        <v>4900000</v>
      </c>
      <c r="E82" s="64">
        <v>37425000</v>
      </c>
      <c r="F82" s="63">
        <v>18955291.444463886</v>
      </c>
      <c r="G82" s="63">
        <v>9829708.5555361155</v>
      </c>
      <c r="H82" s="65">
        <v>2000000</v>
      </c>
      <c r="I82" s="65">
        <v>100000</v>
      </c>
      <c r="J82" s="65">
        <v>570000</v>
      </c>
      <c r="K82" s="65">
        <v>600000</v>
      </c>
      <c r="L82" s="65">
        <v>4570000</v>
      </c>
      <c r="M82" s="63">
        <v>800000</v>
      </c>
      <c r="N82" s="1"/>
    </row>
    <row r="83" spans="1:14" ht="16" hidden="1" customHeight="1" outlineLevel="1" x14ac:dyDescent="0.45">
      <c r="A83" s="29" t="s">
        <v>46</v>
      </c>
      <c r="B83" s="44">
        <v>539370983</v>
      </c>
      <c r="C83" s="63">
        <v>538531701.68445528</v>
      </c>
      <c r="D83" s="63">
        <v>220000</v>
      </c>
      <c r="E83" s="64">
        <v>619281.31554470863</v>
      </c>
      <c r="F83" s="63">
        <v>433942.24089151749</v>
      </c>
      <c r="G83" s="63">
        <v>73221.916876676041</v>
      </c>
      <c r="H83" s="65">
        <v>9835.8422318064404</v>
      </c>
      <c r="I83" s="65">
        <v>12463.804119459113</v>
      </c>
      <c r="J83" s="65">
        <v>12508.73524253611</v>
      </c>
      <c r="K83" s="65">
        <v>67657.435001896709</v>
      </c>
      <c r="L83" s="65">
        <v>9651.3411808169312</v>
      </c>
      <c r="M83" s="63">
        <v>0</v>
      </c>
      <c r="N83" s="1"/>
    </row>
    <row r="84" spans="1:14" ht="16" hidden="1" customHeight="1" outlineLevel="1" x14ac:dyDescent="0.45">
      <c r="A84" s="29" t="s">
        <v>47</v>
      </c>
      <c r="B84" s="44">
        <v>9854739</v>
      </c>
      <c r="C84" s="63">
        <v>629007</v>
      </c>
      <c r="D84" s="63">
        <v>36000</v>
      </c>
      <c r="E84" s="64">
        <v>9189732</v>
      </c>
      <c r="F84" s="63">
        <v>7242547.9665278075</v>
      </c>
      <c r="G84" s="63">
        <v>1469817.0334721925</v>
      </c>
      <c r="H84" s="65">
        <v>231277</v>
      </c>
      <c r="I84" s="65">
        <v>0</v>
      </c>
      <c r="J84" s="65">
        <v>0</v>
      </c>
      <c r="K84" s="65">
        <v>124363</v>
      </c>
      <c r="L84" s="65">
        <v>18091</v>
      </c>
      <c r="M84" s="63">
        <v>103636</v>
      </c>
      <c r="N84" s="1"/>
    </row>
    <row r="85" spans="1:14" ht="16" hidden="1" customHeight="1" outlineLevel="1" x14ac:dyDescent="0.45">
      <c r="A85" s="29" t="s">
        <v>246</v>
      </c>
      <c r="B85" s="44">
        <v>2500000</v>
      </c>
      <c r="C85" s="63">
        <v>0</v>
      </c>
      <c r="D85" s="63">
        <v>0</v>
      </c>
      <c r="E85" s="64">
        <v>2500000</v>
      </c>
      <c r="F85" s="63">
        <v>2500000</v>
      </c>
      <c r="G85" s="63">
        <v>0</v>
      </c>
      <c r="H85" s="65">
        <v>0</v>
      </c>
      <c r="I85" s="65">
        <v>0</v>
      </c>
      <c r="J85" s="65">
        <v>0</v>
      </c>
      <c r="K85" s="65">
        <v>0</v>
      </c>
      <c r="L85" s="65">
        <v>0</v>
      </c>
      <c r="M85" s="63">
        <v>0</v>
      </c>
      <c r="N85" s="1"/>
    </row>
    <row r="86" spans="1:14" ht="16" hidden="1" customHeight="1" outlineLevel="1" x14ac:dyDescent="0.45">
      <c r="A86" s="29" t="s">
        <v>48</v>
      </c>
      <c r="B86" s="44">
        <v>270351650</v>
      </c>
      <c r="C86" s="63">
        <v>22292960.762735307</v>
      </c>
      <c r="D86" s="63">
        <v>8470790</v>
      </c>
      <c r="E86" s="64">
        <v>239587899.23726469</v>
      </c>
      <c r="F86" s="63">
        <v>129583248.62144646</v>
      </c>
      <c r="G86" s="63">
        <v>55736296.207329378</v>
      </c>
      <c r="H86" s="65">
        <v>12649505.171224166</v>
      </c>
      <c r="I86" s="65">
        <v>1922354.4475108355</v>
      </c>
      <c r="J86" s="65">
        <v>2475429.4739463227</v>
      </c>
      <c r="K86" s="65">
        <v>14391972.29099015</v>
      </c>
      <c r="L86" s="65">
        <v>21170893.024817381</v>
      </c>
      <c r="M86" s="63">
        <v>1658200</v>
      </c>
      <c r="N86" s="1"/>
    </row>
    <row r="87" spans="1:14" ht="16" hidden="1" customHeight="1" outlineLevel="1" x14ac:dyDescent="0.45">
      <c r="A87" s="29" t="s">
        <v>49</v>
      </c>
      <c r="B87" s="44">
        <v>24054950</v>
      </c>
      <c r="C87" s="63">
        <v>2033484.9293422326</v>
      </c>
      <c r="D87" s="63">
        <v>323400</v>
      </c>
      <c r="E87" s="64">
        <v>21698065.070657767</v>
      </c>
      <c r="F87" s="63">
        <v>14083482.55510306</v>
      </c>
      <c r="G87" s="63">
        <v>5031267.4448969401</v>
      </c>
      <c r="H87" s="65">
        <v>316100</v>
      </c>
      <c r="I87" s="65">
        <v>56653.655088450512</v>
      </c>
      <c r="J87" s="65">
        <v>56857.887466073225</v>
      </c>
      <c r="K87" s="65">
        <v>945533.7954631669</v>
      </c>
      <c r="L87" s="65">
        <v>1043869.732640077</v>
      </c>
      <c r="M87" s="63">
        <v>164300</v>
      </c>
      <c r="N87" s="1"/>
    </row>
    <row r="88" spans="1:14" ht="16" hidden="1" customHeight="1" outlineLevel="1" x14ac:dyDescent="0.45">
      <c r="A88" s="29" t="s">
        <v>182</v>
      </c>
      <c r="B88" s="44">
        <v>0</v>
      </c>
      <c r="C88" s="63">
        <v>0</v>
      </c>
      <c r="D88" s="63">
        <v>0</v>
      </c>
      <c r="E88" s="64">
        <v>0</v>
      </c>
      <c r="F88" s="63">
        <v>0</v>
      </c>
      <c r="G88" s="63">
        <v>0</v>
      </c>
      <c r="H88" s="65">
        <v>0</v>
      </c>
      <c r="I88" s="65">
        <v>0</v>
      </c>
      <c r="J88" s="65">
        <v>0</v>
      </c>
      <c r="K88" s="65">
        <v>0</v>
      </c>
      <c r="L88" s="65">
        <v>0</v>
      </c>
      <c r="M88" s="63">
        <v>0</v>
      </c>
      <c r="N88" s="1"/>
    </row>
    <row r="89" spans="1:14" ht="16" hidden="1" customHeight="1" outlineLevel="1" x14ac:dyDescent="0.45">
      <c r="A89" s="29" t="s">
        <v>50</v>
      </c>
      <c r="B89" s="44">
        <v>6200000</v>
      </c>
      <c r="C89" s="63">
        <v>2000000</v>
      </c>
      <c r="D89" s="63">
        <v>100000</v>
      </c>
      <c r="E89" s="64">
        <v>4100000</v>
      </c>
      <c r="F89" s="63">
        <v>2195658.5690461509</v>
      </c>
      <c r="G89" s="63">
        <v>704341.43095384911</v>
      </c>
      <c r="H89" s="65">
        <v>0</v>
      </c>
      <c r="I89" s="65">
        <v>0</v>
      </c>
      <c r="J89" s="65">
        <v>0</v>
      </c>
      <c r="K89" s="65">
        <v>0</v>
      </c>
      <c r="L89" s="65">
        <v>300000</v>
      </c>
      <c r="M89" s="63">
        <v>900000</v>
      </c>
      <c r="N89" s="1"/>
    </row>
    <row r="90" spans="1:14" ht="16" hidden="1" customHeight="1" outlineLevel="1" x14ac:dyDescent="0.45">
      <c r="A90" s="29" t="s">
        <v>183</v>
      </c>
      <c r="B90" s="44">
        <v>2500000</v>
      </c>
      <c r="C90" s="63">
        <v>0</v>
      </c>
      <c r="D90" s="63">
        <v>0</v>
      </c>
      <c r="E90" s="64">
        <v>2500000</v>
      </c>
      <c r="F90" s="63">
        <v>0</v>
      </c>
      <c r="G90" s="63">
        <v>0</v>
      </c>
      <c r="H90" s="65">
        <v>2500000</v>
      </c>
      <c r="I90" s="65">
        <v>0</v>
      </c>
      <c r="J90" s="65">
        <v>0</v>
      </c>
      <c r="K90" s="65">
        <v>0</v>
      </c>
      <c r="L90" s="65">
        <v>0</v>
      </c>
      <c r="M90" s="63">
        <v>0</v>
      </c>
      <c r="N90" s="1"/>
    </row>
    <row r="91" spans="1:14" ht="16" hidden="1" customHeight="1" outlineLevel="1" x14ac:dyDescent="0.45">
      <c r="A91" s="29" t="s">
        <v>51</v>
      </c>
      <c r="B91" s="44">
        <v>44700000</v>
      </c>
      <c r="C91" s="63">
        <v>1800000</v>
      </c>
      <c r="D91" s="63">
        <v>0</v>
      </c>
      <c r="E91" s="64">
        <v>42900000</v>
      </c>
      <c r="F91" s="63">
        <v>29100000</v>
      </c>
      <c r="G91" s="63">
        <v>10200000</v>
      </c>
      <c r="H91" s="65">
        <v>100000</v>
      </c>
      <c r="I91" s="65">
        <v>150000</v>
      </c>
      <c r="J91" s="65">
        <v>150000</v>
      </c>
      <c r="K91" s="65">
        <v>900000</v>
      </c>
      <c r="L91" s="65">
        <v>1300000</v>
      </c>
      <c r="M91" s="63">
        <v>1000000</v>
      </c>
      <c r="N91" s="1"/>
    </row>
    <row r="92" spans="1:14" ht="16" hidden="1" customHeight="1" outlineLevel="1" x14ac:dyDescent="0.45">
      <c r="A92" s="31" t="s">
        <v>227</v>
      </c>
      <c r="B92" s="47">
        <v>0</v>
      </c>
      <c r="C92" s="63">
        <v>0</v>
      </c>
      <c r="D92" s="63">
        <v>0</v>
      </c>
      <c r="E92" s="64">
        <v>0</v>
      </c>
      <c r="F92" s="63">
        <v>0</v>
      </c>
      <c r="G92" s="63">
        <v>0</v>
      </c>
      <c r="H92" s="65">
        <v>0</v>
      </c>
      <c r="I92" s="65">
        <v>0</v>
      </c>
      <c r="J92" s="65">
        <v>0</v>
      </c>
      <c r="K92" s="65">
        <v>0</v>
      </c>
      <c r="L92" s="65">
        <v>0</v>
      </c>
      <c r="M92" s="63">
        <v>0</v>
      </c>
      <c r="N92" s="1"/>
    </row>
    <row r="93" spans="1:14" ht="16" hidden="1" customHeight="1" outlineLevel="1" x14ac:dyDescent="0.45">
      <c r="A93" s="29" t="s">
        <v>184</v>
      </c>
      <c r="B93" s="44">
        <v>15750000</v>
      </c>
      <c r="C93" s="63">
        <v>4950000</v>
      </c>
      <c r="D93" s="63">
        <v>1650000</v>
      </c>
      <c r="E93" s="64">
        <v>9150000</v>
      </c>
      <c r="F93" s="63">
        <v>3883132.8031869512</v>
      </c>
      <c r="G93" s="63">
        <v>1666867.1968130488</v>
      </c>
      <c r="H93" s="65">
        <v>900000</v>
      </c>
      <c r="I93" s="65">
        <v>225000</v>
      </c>
      <c r="J93" s="65">
        <v>225000</v>
      </c>
      <c r="K93" s="65">
        <v>0</v>
      </c>
      <c r="L93" s="65">
        <v>1950000</v>
      </c>
      <c r="M93" s="63">
        <v>300000</v>
      </c>
      <c r="N93" s="1"/>
    </row>
    <row r="94" spans="1:14" ht="16" hidden="1" customHeight="1" outlineLevel="1" x14ac:dyDescent="0.45">
      <c r="A94" s="31" t="s">
        <v>185</v>
      </c>
      <c r="B94" s="47">
        <v>2400000</v>
      </c>
      <c r="C94" s="63">
        <v>300000</v>
      </c>
      <c r="D94" s="63">
        <v>0</v>
      </c>
      <c r="E94" s="64">
        <v>2100000</v>
      </c>
      <c r="F94" s="63">
        <v>0</v>
      </c>
      <c r="G94" s="63">
        <v>0</v>
      </c>
      <c r="H94" s="65">
        <v>1950000</v>
      </c>
      <c r="I94" s="65">
        <v>0</v>
      </c>
      <c r="J94" s="65">
        <v>0</v>
      </c>
      <c r="K94" s="65">
        <v>150000</v>
      </c>
      <c r="L94" s="65">
        <v>0</v>
      </c>
      <c r="M94" s="63">
        <v>0</v>
      </c>
      <c r="N94" s="1"/>
    </row>
    <row r="95" spans="1:14" ht="16" hidden="1" customHeight="1" outlineLevel="1" x14ac:dyDescent="0.45">
      <c r="A95" s="29" t="s">
        <v>186</v>
      </c>
      <c r="B95" s="44">
        <v>50500000</v>
      </c>
      <c r="C95" s="63">
        <v>2100000</v>
      </c>
      <c r="D95" s="63">
        <v>2200000</v>
      </c>
      <c r="E95" s="64">
        <v>46200000</v>
      </c>
      <c r="F95" s="63">
        <v>26038746.638600308</v>
      </c>
      <c r="G95" s="63">
        <v>12861253.361399692</v>
      </c>
      <c r="H95" s="65">
        <v>450000</v>
      </c>
      <c r="I95" s="65">
        <v>375000</v>
      </c>
      <c r="J95" s="65">
        <v>825000</v>
      </c>
      <c r="K95" s="65">
        <v>2500000</v>
      </c>
      <c r="L95" s="65">
        <v>3150000</v>
      </c>
      <c r="M95" s="63">
        <v>0</v>
      </c>
      <c r="N95" s="1"/>
    </row>
    <row r="96" spans="1:14" ht="16" hidden="1" customHeight="1" outlineLevel="1" x14ac:dyDescent="0.45">
      <c r="A96" s="31" t="s">
        <v>228</v>
      </c>
      <c r="B96" s="47">
        <v>0</v>
      </c>
      <c r="C96" s="63">
        <v>0</v>
      </c>
      <c r="D96" s="63">
        <v>0</v>
      </c>
      <c r="E96" s="64">
        <v>0</v>
      </c>
      <c r="F96" s="63">
        <v>0</v>
      </c>
      <c r="G96" s="63">
        <v>0</v>
      </c>
      <c r="H96" s="65">
        <v>0</v>
      </c>
      <c r="I96" s="65">
        <v>0</v>
      </c>
      <c r="J96" s="65">
        <v>0</v>
      </c>
      <c r="K96" s="65">
        <v>0</v>
      </c>
      <c r="L96" s="65">
        <v>0</v>
      </c>
      <c r="M96" s="63">
        <v>0</v>
      </c>
      <c r="N96" s="1"/>
    </row>
    <row r="97" spans="1:14" ht="16" hidden="1" customHeight="1" outlineLevel="1" x14ac:dyDescent="0.45">
      <c r="A97" s="29" t="s">
        <v>135</v>
      </c>
      <c r="B97" s="44">
        <v>0</v>
      </c>
      <c r="C97" s="63">
        <v>0</v>
      </c>
      <c r="D97" s="63">
        <v>0</v>
      </c>
      <c r="E97" s="64">
        <v>0</v>
      </c>
      <c r="F97" s="63">
        <v>0</v>
      </c>
      <c r="G97" s="63">
        <v>0</v>
      </c>
      <c r="H97" s="65">
        <v>0</v>
      </c>
      <c r="I97" s="65">
        <v>0</v>
      </c>
      <c r="J97" s="65">
        <v>0</v>
      </c>
      <c r="K97" s="65">
        <v>0</v>
      </c>
      <c r="L97" s="65">
        <v>0</v>
      </c>
      <c r="M97" s="63">
        <v>0</v>
      </c>
      <c r="N97" s="1"/>
    </row>
    <row r="98" spans="1:14" ht="16" hidden="1" customHeight="1" outlineLevel="1" x14ac:dyDescent="0.45">
      <c r="A98" s="29" t="s">
        <v>52</v>
      </c>
      <c r="B98" s="44">
        <v>1347500</v>
      </c>
      <c r="C98" s="63">
        <v>0</v>
      </c>
      <c r="D98" s="63">
        <v>0</v>
      </c>
      <c r="E98" s="64">
        <v>1347500</v>
      </c>
      <c r="F98" s="63">
        <v>0</v>
      </c>
      <c r="G98" s="63">
        <v>547500</v>
      </c>
      <c r="H98" s="65">
        <v>0</v>
      </c>
      <c r="I98" s="65">
        <v>0</v>
      </c>
      <c r="J98" s="65">
        <v>0</v>
      </c>
      <c r="K98" s="65">
        <v>0</v>
      </c>
      <c r="L98" s="65">
        <v>800000</v>
      </c>
      <c r="M98" s="63">
        <v>0</v>
      </c>
      <c r="N98" s="1"/>
    </row>
    <row r="99" spans="1:14" ht="16" hidden="1" customHeight="1" outlineLevel="1" x14ac:dyDescent="0.45">
      <c r="A99" s="31" t="s">
        <v>187</v>
      </c>
      <c r="B99" s="47">
        <v>0</v>
      </c>
      <c r="C99" s="63">
        <v>0</v>
      </c>
      <c r="D99" s="63">
        <v>0</v>
      </c>
      <c r="E99" s="64">
        <v>0</v>
      </c>
      <c r="F99" s="63">
        <v>0</v>
      </c>
      <c r="G99" s="63">
        <v>0</v>
      </c>
      <c r="H99" s="65">
        <v>0</v>
      </c>
      <c r="I99" s="65">
        <v>0</v>
      </c>
      <c r="J99" s="65">
        <v>0</v>
      </c>
      <c r="K99" s="65">
        <v>0</v>
      </c>
      <c r="L99" s="65">
        <v>0</v>
      </c>
      <c r="M99" s="63">
        <v>0</v>
      </c>
      <c r="N99" s="1"/>
    </row>
    <row r="100" spans="1:14" ht="16" hidden="1" customHeight="1" outlineLevel="1" x14ac:dyDescent="0.45">
      <c r="A100" s="24" t="s">
        <v>114</v>
      </c>
      <c r="B100" s="44">
        <v>800000</v>
      </c>
      <c r="C100" s="63">
        <v>0</v>
      </c>
      <c r="D100" s="63">
        <v>0</v>
      </c>
      <c r="E100" s="64">
        <v>800000</v>
      </c>
      <c r="F100" s="63">
        <v>800000</v>
      </c>
      <c r="G100" s="63">
        <v>0</v>
      </c>
      <c r="H100" s="65">
        <v>0</v>
      </c>
      <c r="I100" s="65">
        <v>0</v>
      </c>
      <c r="J100" s="65">
        <v>0</v>
      </c>
      <c r="K100" s="65">
        <v>0</v>
      </c>
      <c r="L100" s="65">
        <v>0</v>
      </c>
      <c r="M100" s="63">
        <v>0</v>
      </c>
      <c r="N100" s="1"/>
    </row>
    <row r="101" spans="1:14" ht="16" hidden="1" customHeight="1" outlineLevel="1" x14ac:dyDescent="0.45">
      <c r="A101" s="29" t="s">
        <v>188</v>
      </c>
      <c r="B101" s="44">
        <v>0</v>
      </c>
      <c r="C101" s="63">
        <v>0</v>
      </c>
      <c r="D101" s="63">
        <v>0</v>
      </c>
      <c r="E101" s="64">
        <v>0</v>
      </c>
      <c r="F101" s="63">
        <v>0</v>
      </c>
      <c r="G101" s="63">
        <v>0</v>
      </c>
      <c r="H101" s="65">
        <v>0</v>
      </c>
      <c r="I101" s="65">
        <v>0</v>
      </c>
      <c r="J101" s="65">
        <v>0</v>
      </c>
      <c r="K101" s="65">
        <v>0</v>
      </c>
      <c r="L101" s="65">
        <v>0</v>
      </c>
      <c r="M101" s="63">
        <v>0</v>
      </c>
      <c r="N101" s="1"/>
    </row>
    <row r="102" spans="1:14" ht="16" hidden="1" customHeight="1" outlineLevel="1" x14ac:dyDescent="0.45">
      <c r="A102" s="29" t="s">
        <v>259</v>
      </c>
      <c r="B102" s="44">
        <v>0</v>
      </c>
      <c r="C102" s="63">
        <v>0</v>
      </c>
      <c r="D102" s="63">
        <v>0</v>
      </c>
      <c r="E102" s="64">
        <v>0</v>
      </c>
      <c r="F102" s="63">
        <v>0</v>
      </c>
      <c r="G102" s="63">
        <v>0</v>
      </c>
      <c r="H102" s="65">
        <v>0</v>
      </c>
      <c r="I102" s="65">
        <v>0</v>
      </c>
      <c r="J102" s="65">
        <v>0</v>
      </c>
      <c r="K102" s="65">
        <v>0</v>
      </c>
      <c r="L102" s="65">
        <v>0</v>
      </c>
      <c r="M102" s="63">
        <v>0</v>
      </c>
      <c r="N102" s="1"/>
    </row>
    <row r="103" spans="1:14" ht="16" hidden="1" customHeight="1" outlineLevel="1" x14ac:dyDescent="0.45">
      <c r="A103" s="29" t="s">
        <v>189</v>
      </c>
      <c r="B103" s="44">
        <v>2661000</v>
      </c>
      <c r="C103" s="63">
        <v>0</v>
      </c>
      <c r="D103" s="63">
        <v>0</v>
      </c>
      <c r="E103" s="64">
        <v>2661000</v>
      </c>
      <c r="F103" s="63">
        <v>0</v>
      </c>
      <c r="G103" s="63">
        <v>0</v>
      </c>
      <c r="H103" s="65">
        <v>0</v>
      </c>
      <c r="I103" s="65">
        <v>1330500</v>
      </c>
      <c r="J103" s="65">
        <v>1330500</v>
      </c>
      <c r="K103" s="65">
        <v>0</v>
      </c>
      <c r="L103" s="65">
        <v>0</v>
      </c>
      <c r="M103" s="63">
        <v>0</v>
      </c>
      <c r="N103" s="1"/>
    </row>
    <row r="104" spans="1:14" ht="16" hidden="1" customHeight="1" outlineLevel="1" x14ac:dyDescent="0.45">
      <c r="A104" s="29" t="s">
        <v>115</v>
      </c>
      <c r="B104" s="44">
        <v>1453000</v>
      </c>
      <c r="C104" s="63">
        <v>0</v>
      </c>
      <c r="D104" s="63">
        <v>0</v>
      </c>
      <c r="E104" s="64">
        <v>1453000</v>
      </c>
      <c r="F104" s="63">
        <v>0</v>
      </c>
      <c r="G104" s="63">
        <v>0</v>
      </c>
      <c r="H104" s="65">
        <v>0</v>
      </c>
      <c r="I104" s="65">
        <v>0</v>
      </c>
      <c r="J104" s="65">
        <v>0</v>
      </c>
      <c r="K104" s="65">
        <v>1453000</v>
      </c>
      <c r="L104" s="65">
        <v>0</v>
      </c>
      <c r="M104" s="63">
        <v>0</v>
      </c>
      <c r="N104" s="1"/>
    </row>
    <row r="105" spans="1:14" ht="16" hidden="1" customHeight="1" outlineLevel="1" x14ac:dyDescent="0.45">
      <c r="A105" s="29" t="s">
        <v>53</v>
      </c>
      <c r="B105" s="44">
        <v>511000000</v>
      </c>
      <c r="C105" s="63">
        <v>28956135.886947572</v>
      </c>
      <c r="D105" s="63">
        <v>13300000</v>
      </c>
      <c r="E105" s="64">
        <v>468743864.11305243</v>
      </c>
      <c r="F105" s="63">
        <v>285983161.26845074</v>
      </c>
      <c r="G105" s="63">
        <v>93184323.550617695</v>
      </c>
      <c r="H105" s="65">
        <v>34632515.18093159</v>
      </c>
      <c r="I105" s="65">
        <v>3740645.8481415207</v>
      </c>
      <c r="J105" s="65">
        <v>3940972.619945717</v>
      </c>
      <c r="K105" s="65">
        <v>21092054.072741065</v>
      </c>
      <c r="L105" s="65">
        <v>21470191.572224125</v>
      </c>
      <c r="M105" s="63">
        <v>4700000</v>
      </c>
      <c r="N105" s="1"/>
    </row>
    <row r="106" spans="1:14" ht="16" hidden="1" customHeight="1" outlineLevel="1" x14ac:dyDescent="0.45">
      <c r="A106" s="29" t="s">
        <v>54</v>
      </c>
      <c r="B106" s="44">
        <v>17552800</v>
      </c>
      <c r="C106" s="63">
        <v>898700</v>
      </c>
      <c r="D106" s="63">
        <v>436240</v>
      </c>
      <c r="E106" s="64">
        <v>16217860</v>
      </c>
      <c r="F106" s="63">
        <v>8786748.0040169358</v>
      </c>
      <c r="G106" s="63">
        <v>4307411.9959830642</v>
      </c>
      <c r="H106" s="65">
        <v>882450</v>
      </c>
      <c r="I106" s="65">
        <v>28800</v>
      </c>
      <c r="J106" s="65">
        <v>159000</v>
      </c>
      <c r="K106" s="65">
        <v>1030800</v>
      </c>
      <c r="L106" s="65">
        <v>740050</v>
      </c>
      <c r="M106" s="63">
        <v>282600</v>
      </c>
      <c r="N106" s="1"/>
    </row>
    <row r="107" spans="1:14" ht="16" hidden="1" customHeight="1" outlineLevel="1" x14ac:dyDescent="0.45">
      <c r="A107" s="29" t="s">
        <v>55</v>
      </c>
      <c r="B107" s="44">
        <v>8974440</v>
      </c>
      <c r="C107" s="63">
        <v>494911.89010791201</v>
      </c>
      <c r="D107" s="63">
        <v>280000</v>
      </c>
      <c r="E107" s="64">
        <v>8199528.109892088</v>
      </c>
      <c r="F107" s="63">
        <v>4617954.1067211665</v>
      </c>
      <c r="G107" s="63">
        <v>1566285.893278833</v>
      </c>
      <c r="H107" s="65">
        <v>350000</v>
      </c>
      <c r="I107" s="65">
        <v>145081.51171238307</v>
      </c>
      <c r="J107" s="65">
        <v>281010.10424525023</v>
      </c>
      <c r="K107" s="65">
        <v>673054.73136484332</v>
      </c>
      <c r="L107" s="65">
        <v>426141.76256961079</v>
      </c>
      <c r="M107" s="63">
        <v>140000</v>
      </c>
      <c r="N107" s="1"/>
    </row>
    <row r="108" spans="1:14" ht="16" hidden="1" customHeight="1" outlineLevel="1" x14ac:dyDescent="0.45">
      <c r="A108" s="29" t="s">
        <v>190</v>
      </c>
      <c r="B108" s="44">
        <v>0</v>
      </c>
      <c r="C108" s="63">
        <v>0</v>
      </c>
      <c r="D108" s="63">
        <v>0</v>
      </c>
      <c r="E108" s="64">
        <v>0</v>
      </c>
      <c r="F108" s="63">
        <v>0</v>
      </c>
      <c r="G108" s="63">
        <v>0</v>
      </c>
      <c r="H108" s="65">
        <v>0</v>
      </c>
      <c r="I108" s="65">
        <v>0</v>
      </c>
      <c r="J108" s="65">
        <v>0</v>
      </c>
      <c r="K108" s="65">
        <v>0</v>
      </c>
      <c r="L108" s="65">
        <v>0</v>
      </c>
      <c r="M108" s="63">
        <v>0</v>
      </c>
      <c r="N108" s="1"/>
    </row>
    <row r="109" spans="1:14" ht="16" hidden="1" customHeight="1" outlineLevel="1" x14ac:dyDescent="0.45">
      <c r="A109" s="30" t="s">
        <v>56</v>
      </c>
      <c r="B109" s="46">
        <v>328762749</v>
      </c>
      <c r="C109" s="63">
        <v>100000</v>
      </c>
      <c r="D109" s="63">
        <v>0</v>
      </c>
      <c r="E109" s="64">
        <v>328662749</v>
      </c>
      <c r="F109" s="63">
        <v>107145460</v>
      </c>
      <c r="G109" s="63">
        <v>4334700</v>
      </c>
      <c r="H109" s="65">
        <v>0</v>
      </c>
      <c r="I109" s="65">
        <v>0</v>
      </c>
      <c r="J109" s="65">
        <v>33091</v>
      </c>
      <c r="K109" s="65">
        <v>18551127</v>
      </c>
      <c r="L109" s="65">
        <v>198598371</v>
      </c>
      <c r="M109" s="63">
        <v>0</v>
      </c>
      <c r="N109" s="1"/>
    </row>
    <row r="110" spans="1:14" ht="16" hidden="1" customHeight="1" outlineLevel="1" x14ac:dyDescent="0.45">
      <c r="A110" s="29" t="s">
        <v>229</v>
      </c>
      <c r="B110" s="44">
        <v>0</v>
      </c>
      <c r="C110" s="63">
        <v>0</v>
      </c>
      <c r="D110" s="63">
        <v>0</v>
      </c>
      <c r="E110" s="64">
        <v>0</v>
      </c>
      <c r="F110" s="63">
        <v>0</v>
      </c>
      <c r="G110" s="63">
        <v>0</v>
      </c>
      <c r="H110" s="65">
        <v>0</v>
      </c>
      <c r="I110" s="65">
        <v>0</v>
      </c>
      <c r="J110" s="65">
        <v>0</v>
      </c>
      <c r="K110" s="65">
        <v>0</v>
      </c>
      <c r="L110" s="65">
        <v>0</v>
      </c>
      <c r="M110" s="63">
        <v>0</v>
      </c>
      <c r="N110" s="1"/>
    </row>
    <row r="111" spans="1:14" ht="16" hidden="1" customHeight="1" outlineLevel="1" x14ac:dyDescent="0.45">
      <c r="A111" s="29" t="s">
        <v>253</v>
      </c>
      <c r="B111" s="44">
        <v>0</v>
      </c>
      <c r="C111" s="63">
        <v>0</v>
      </c>
      <c r="D111" s="63">
        <v>0</v>
      </c>
      <c r="E111" s="64">
        <v>0</v>
      </c>
      <c r="F111" s="63">
        <v>0</v>
      </c>
      <c r="G111" s="63">
        <v>0</v>
      </c>
      <c r="H111" s="65">
        <v>0</v>
      </c>
      <c r="I111" s="65">
        <v>0</v>
      </c>
      <c r="J111" s="65">
        <v>0</v>
      </c>
      <c r="K111" s="65">
        <v>0</v>
      </c>
      <c r="L111" s="65">
        <v>0</v>
      </c>
      <c r="M111" s="63">
        <v>0</v>
      </c>
      <c r="N111" s="1"/>
    </row>
    <row r="112" spans="1:14" ht="16" hidden="1" customHeight="1" outlineLevel="1" x14ac:dyDescent="0.45">
      <c r="A112" s="29" t="s">
        <v>255</v>
      </c>
      <c r="B112" s="44">
        <v>0</v>
      </c>
      <c r="C112" s="63">
        <v>0</v>
      </c>
      <c r="D112" s="63">
        <v>0</v>
      </c>
      <c r="E112" s="64">
        <v>0</v>
      </c>
      <c r="F112" s="63">
        <v>0</v>
      </c>
      <c r="G112" s="63">
        <v>0</v>
      </c>
      <c r="H112" s="65">
        <v>0</v>
      </c>
      <c r="I112" s="65">
        <v>0</v>
      </c>
      <c r="J112" s="65">
        <v>0</v>
      </c>
      <c r="K112" s="65">
        <v>0</v>
      </c>
      <c r="L112" s="65">
        <v>0</v>
      </c>
      <c r="M112" s="63">
        <v>0</v>
      </c>
      <c r="N112" s="1"/>
    </row>
    <row r="113" spans="1:14" ht="16" hidden="1" customHeight="1" outlineLevel="1" x14ac:dyDescent="0.45">
      <c r="A113" s="29" t="s">
        <v>254</v>
      </c>
      <c r="B113" s="44">
        <v>0</v>
      </c>
      <c r="C113" s="63">
        <v>0</v>
      </c>
      <c r="D113" s="63">
        <v>0</v>
      </c>
      <c r="E113" s="64">
        <v>0</v>
      </c>
      <c r="F113" s="63">
        <v>0</v>
      </c>
      <c r="G113" s="63">
        <v>0</v>
      </c>
      <c r="H113" s="65">
        <v>0</v>
      </c>
      <c r="I113" s="65">
        <v>0</v>
      </c>
      <c r="J113" s="65">
        <v>0</v>
      </c>
      <c r="K113" s="65">
        <v>0</v>
      </c>
      <c r="L113" s="65">
        <v>0</v>
      </c>
      <c r="M113" s="63">
        <v>0</v>
      </c>
      <c r="N113" s="1"/>
    </row>
    <row r="114" spans="1:14" ht="16" hidden="1" customHeight="1" outlineLevel="1" x14ac:dyDescent="0.45">
      <c r="A114" s="29" t="s">
        <v>269</v>
      </c>
      <c r="B114" s="44">
        <v>26112100</v>
      </c>
      <c r="C114" s="63">
        <v>26112100</v>
      </c>
      <c r="D114" s="63">
        <v>0</v>
      </c>
      <c r="E114" s="64">
        <v>0</v>
      </c>
      <c r="F114" s="63">
        <v>0</v>
      </c>
      <c r="G114" s="63">
        <v>0</v>
      </c>
      <c r="H114" s="65">
        <v>0</v>
      </c>
      <c r="I114" s="65">
        <v>0</v>
      </c>
      <c r="J114" s="65">
        <v>0</v>
      </c>
      <c r="K114" s="65">
        <v>0</v>
      </c>
      <c r="L114" s="65">
        <v>0</v>
      </c>
      <c r="M114" s="63">
        <v>0</v>
      </c>
      <c r="N114" s="1"/>
    </row>
    <row r="115" spans="1:14" ht="16" customHeight="1" collapsed="1" x14ac:dyDescent="0.45">
      <c r="A115" s="28" t="s">
        <v>57</v>
      </c>
      <c r="B115" s="43">
        <v>50283020</v>
      </c>
      <c r="C115" s="60">
        <v>11550341.969570652</v>
      </c>
      <c r="D115" s="60">
        <v>4242220</v>
      </c>
      <c r="E115" s="61">
        <v>34490458.030429348</v>
      </c>
      <c r="F115" s="60">
        <v>17157536.373506565</v>
      </c>
      <c r="G115" s="60">
        <v>8093305.6264934354</v>
      </c>
      <c r="H115" s="62">
        <v>642000</v>
      </c>
      <c r="I115" s="62">
        <v>1208792.9489053364</v>
      </c>
      <c r="J115" s="62">
        <v>408872.23191432963</v>
      </c>
      <c r="K115" s="62">
        <v>1244484.6193988014</v>
      </c>
      <c r="L115" s="62">
        <v>4439130.230210878</v>
      </c>
      <c r="M115" s="60">
        <v>1296336</v>
      </c>
      <c r="N115" s="1"/>
    </row>
    <row r="116" spans="1:14" s="1" customFormat="1" ht="16" hidden="1" customHeight="1" outlineLevel="1" collapsed="1" x14ac:dyDescent="0.45">
      <c r="A116" s="29" t="s">
        <v>58</v>
      </c>
      <c r="B116" s="44">
        <v>25312994</v>
      </c>
      <c r="C116" s="63">
        <v>3488845.5149406455</v>
      </c>
      <c r="D116" s="63">
        <v>1253720</v>
      </c>
      <c r="E116" s="64">
        <v>20570428.485059354</v>
      </c>
      <c r="F116" s="63">
        <v>10733211.748978874</v>
      </c>
      <c r="G116" s="63">
        <v>4954270.2510211263</v>
      </c>
      <c r="H116" s="65">
        <v>0</v>
      </c>
      <c r="I116" s="65">
        <v>864487.27111861424</v>
      </c>
      <c r="J116" s="65">
        <v>64551.032466908058</v>
      </c>
      <c r="K116" s="65">
        <v>617112.05094360071</v>
      </c>
      <c r="L116" s="65">
        <v>3336796.1305302321</v>
      </c>
      <c r="M116" s="63">
        <v>0</v>
      </c>
    </row>
    <row r="117" spans="1:14" ht="16" hidden="1" customHeight="1" outlineLevel="1" x14ac:dyDescent="0.45">
      <c r="A117" s="29" t="s">
        <v>266</v>
      </c>
      <c r="B117" s="44">
        <v>354500</v>
      </c>
      <c r="C117" s="63">
        <v>0</v>
      </c>
      <c r="D117" s="63">
        <v>164500</v>
      </c>
      <c r="E117" s="64">
        <v>190000</v>
      </c>
      <c r="F117" s="63">
        <v>151206.20444686222</v>
      </c>
      <c r="G117" s="63">
        <v>38793.795553137781</v>
      </c>
      <c r="H117" s="65">
        <v>0</v>
      </c>
      <c r="I117" s="65">
        <v>0</v>
      </c>
      <c r="J117" s="65">
        <v>0</v>
      </c>
      <c r="K117" s="65">
        <v>0</v>
      </c>
      <c r="L117" s="65">
        <v>0</v>
      </c>
      <c r="M117" s="63">
        <v>0</v>
      </c>
      <c r="N117" s="1"/>
    </row>
    <row r="118" spans="1:14" ht="16" hidden="1" customHeight="1" outlineLevel="1" x14ac:dyDescent="0.45">
      <c r="A118" s="29" t="s">
        <v>296</v>
      </c>
      <c r="B118" s="44">
        <v>0</v>
      </c>
      <c r="C118" s="63">
        <v>0</v>
      </c>
      <c r="D118" s="63">
        <v>0</v>
      </c>
      <c r="E118" s="64">
        <v>0</v>
      </c>
      <c r="F118" s="63">
        <v>0</v>
      </c>
      <c r="G118" s="63">
        <v>0</v>
      </c>
      <c r="H118" s="65">
        <v>0</v>
      </c>
      <c r="I118" s="65">
        <v>0</v>
      </c>
      <c r="J118" s="65">
        <v>0</v>
      </c>
      <c r="K118" s="65">
        <v>0</v>
      </c>
      <c r="L118" s="65">
        <v>0</v>
      </c>
      <c r="M118" s="63">
        <v>0</v>
      </c>
      <c r="N118" s="1"/>
    </row>
    <row r="119" spans="1:14" ht="16" hidden="1" customHeight="1" outlineLevel="1" x14ac:dyDescent="0.45">
      <c r="A119" s="29" t="s">
        <v>270</v>
      </c>
      <c r="B119" s="44">
        <v>11747112</v>
      </c>
      <c r="C119" s="63">
        <v>1642766.4546300098</v>
      </c>
      <c r="D119" s="63">
        <v>424000</v>
      </c>
      <c r="E119" s="64">
        <v>9680345.5453699902</v>
      </c>
      <c r="F119" s="63">
        <v>5473118.4200808294</v>
      </c>
      <c r="G119" s="63">
        <v>2700557.5799191701</v>
      </c>
      <c r="H119" s="65">
        <v>192000</v>
      </c>
      <c r="I119" s="65">
        <v>194305.67778672223</v>
      </c>
      <c r="J119" s="65">
        <v>194321.19944742156</v>
      </c>
      <c r="K119" s="65">
        <v>327372.5684552007</v>
      </c>
      <c r="L119" s="65">
        <v>402334.09968064586</v>
      </c>
      <c r="M119" s="63">
        <v>196336</v>
      </c>
      <c r="N119" s="1"/>
    </row>
    <row r="120" spans="1:14" ht="16" hidden="1" customHeight="1" outlineLevel="1" x14ac:dyDescent="0.45">
      <c r="A120" s="29" t="s">
        <v>271</v>
      </c>
      <c r="B120" s="44">
        <v>3043280</v>
      </c>
      <c r="C120" s="63">
        <v>3043280</v>
      </c>
      <c r="D120" s="63">
        <v>0</v>
      </c>
      <c r="E120" s="64">
        <v>0</v>
      </c>
      <c r="F120" s="63">
        <v>0</v>
      </c>
      <c r="G120" s="63">
        <v>0</v>
      </c>
      <c r="H120" s="65">
        <v>0</v>
      </c>
      <c r="I120" s="65">
        <v>0</v>
      </c>
      <c r="J120" s="65">
        <v>0</v>
      </c>
      <c r="K120" s="65">
        <v>0</v>
      </c>
      <c r="L120" s="65">
        <v>0</v>
      </c>
      <c r="M120" s="63">
        <v>0</v>
      </c>
      <c r="N120" s="1"/>
    </row>
    <row r="121" spans="1:14" ht="16" hidden="1" customHeight="1" outlineLevel="1" x14ac:dyDescent="0.45">
      <c r="A121" s="29" t="s">
        <v>297</v>
      </c>
      <c r="B121" s="44">
        <v>9825134</v>
      </c>
      <c r="C121" s="63">
        <v>3375450</v>
      </c>
      <c r="D121" s="63">
        <v>2400000</v>
      </c>
      <c r="E121" s="64">
        <v>4049684</v>
      </c>
      <c r="F121" s="63">
        <v>800000</v>
      </c>
      <c r="G121" s="63">
        <v>399684</v>
      </c>
      <c r="H121" s="65">
        <v>450000</v>
      </c>
      <c r="I121" s="65">
        <v>150000</v>
      </c>
      <c r="J121" s="65">
        <v>150000</v>
      </c>
      <c r="K121" s="65">
        <v>300000</v>
      </c>
      <c r="L121" s="65">
        <v>700000</v>
      </c>
      <c r="M121" s="63">
        <v>1100000</v>
      </c>
      <c r="N121" s="1"/>
    </row>
    <row r="122" spans="1:14" s="1" customFormat="1" collapsed="1" x14ac:dyDescent="0.45">
      <c r="A122" s="28" t="s">
        <v>136</v>
      </c>
      <c r="B122" s="43">
        <v>11511000</v>
      </c>
      <c r="C122" s="60">
        <v>10411000</v>
      </c>
      <c r="D122" s="60">
        <v>200000</v>
      </c>
      <c r="E122" s="61">
        <v>900000</v>
      </c>
      <c r="F122" s="60">
        <v>348730.28263815423</v>
      </c>
      <c r="G122" s="60">
        <v>51269.717361845745</v>
      </c>
      <c r="H122" s="62">
        <v>0</v>
      </c>
      <c r="I122" s="62">
        <v>0</v>
      </c>
      <c r="J122" s="62">
        <v>0</v>
      </c>
      <c r="K122" s="62">
        <v>500000</v>
      </c>
      <c r="L122" s="62">
        <v>0</v>
      </c>
      <c r="M122" s="60">
        <v>0</v>
      </c>
    </row>
    <row r="123" spans="1:14" ht="16" hidden="1" customHeight="1" outlineLevel="1" x14ac:dyDescent="0.45">
      <c r="A123" s="29" t="s">
        <v>137</v>
      </c>
      <c r="B123" s="44">
        <v>0</v>
      </c>
      <c r="C123" s="63">
        <v>0</v>
      </c>
      <c r="D123" s="63">
        <v>0</v>
      </c>
      <c r="E123" s="64">
        <v>0</v>
      </c>
      <c r="F123" s="63">
        <v>0</v>
      </c>
      <c r="G123" s="63">
        <v>0</v>
      </c>
      <c r="H123" s="65">
        <v>0</v>
      </c>
      <c r="I123" s="65">
        <v>0</v>
      </c>
      <c r="J123" s="65">
        <v>0</v>
      </c>
      <c r="K123" s="65">
        <v>0</v>
      </c>
      <c r="L123" s="65">
        <v>0</v>
      </c>
      <c r="M123" s="63">
        <v>0</v>
      </c>
      <c r="N123" s="1"/>
    </row>
    <row r="124" spans="1:14" ht="16" hidden="1" customHeight="1" outlineLevel="1" x14ac:dyDescent="0.45">
      <c r="A124" s="29" t="s">
        <v>191</v>
      </c>
      <c r="B124" s="44">
        <v>0</v>
      </c>
      <c r="C124" s="63">
        <v>0</v>
      </c>
      <c r="D124" s="63">
        <v>0</v>
      </c>
      <c r="E124" s="64">
        <v>0</v>
      </c>
      <c r="F124" s="63">
        <v>0</v>
      </c>
      <c r="G124" s="63">
        <v>0</v>
      </c>
      <c r="H124" s="65">
        <v>0</v>
      </c>
      <c r="I124" s="65">
        <v>0</v>
      </c>
      <c r="J124" s="65">
        <v>0</v>
      </c>
      <c r="K124" s="65">
        <v>0</v>
      </c>
      <c r="L124" s="65">
        <v>0</v>
      </c>
      <c r="M124" s="63">
        <v>0</v>
      </c>
      <c r="N124" s="1"/>
    </row>
    <row r="125" spans="1:14" ht="16" hidden="1" customHeight="1" outlineLevel="1" x14ac:dyDescent="0.45">
      <c r="A125" s="29" t="s">
        <v>138</v>
      </c>
      <c r="B125" s="44">
        <v>11511000</v>
      </c>
      <c r="C125" s="63">
        <v>10411000</v>
      </c>
      <c r="D125" s="63">
        <v>200000</v>
      </c>
      <c r="E125" s="64">
        <v>900000</v>
      </c>
      <c r="F125" s="63">
        <v>348730.28263815423</v>
      </c>
      <c r="G125" s="63">
        <v>51269.717361845745</v>
      </c>
      <c r="H125" s="65">
        <v>0</v>
      </c>
      <c r="I125" s="65">
        <v>0</v>
      </c>
      <c r="J125" s="65">
        <v>0</v>
      </c>
      <c r="K125" s="65">
        <v>500000</v>
      </c>
      <c r="L125" s="65">
        <v>0</v>
      </c>
      <c r="M125" s="63">
        <v>0</v>
      </c>
      <c r="N125" s="1"/>
    </row>
    <row r="126" spans="1:14" s="1" customFormat="1" collapsed="1" x14ac:dyDescent="0.45">
      <c r="A126" s="28" t="s">
        <v>59</v>
      </c>
      <c r="B126" s="43">
        <v>86447075</v>
      </c>
      <c r="C126" s="60">
        <v>32589489</v>
      </c>
      <c r="D126" s="60">
        <v>1305439</v>
      </c>
      <c r="E126" s="61">
        <v>52552147</v>
      </c>
      <c r="F126" s="60">
        <v>12500157.111854494</v>
      </c>
      <c r="G126" s="60">
        <v>12561533.888145506</v>
      </c>
      <c r="H126" s="62">
        <v>11165910</v>
      </c>
      <c r="I126" s="62">
        <v>583208</v>
      </c>
      <c r="J126" s="62">
        <v>12230634</v>
      </c>
      <c r="K126" s="62">
        <v>1932722</v>
      </c>
      <c r="L126" s="62">
        <v>522008</v>
      </c>
      <c r="M126" s="60">
        <v>1055974</v>
      </c>
    </row>
    <row r="127" spans="1:14" ht="16" hidden="1" customHeight="1" outlineLevel="1" x14ac:dyDescent="0.45">
      <c r="A127" s="29" t="s">
        <v>60</v>
      </c>
      <c r="B127" s="44">
        <v>36313301</v>
      </c>
      <c r="C127" s="63">
        <v>14636454</v>
      </c>
      <c r="D127" s="63">
        <v>459325</v>
      </c>
      <c r="E127" s="64">
        <v>21217522</v>
      </c>
      <c r="F127" s="63">
        <v>8576765.0151906908</v>
      </c>
      <c r="G127" s="63">
        <v>11325005.984809309</v>
      </c>
      <c r="H127" s="65">
        <v>737148</v>
      </c>
      <c r="I127" s="65">
        <v>0</v>
      </c>
      <c r="J127" s="65">
        <v>0</v>
      </c>
      <c r="K127" s="65">
        <v>436715</v>
      </c>
      <c r="L127" s="65">
        <v>69908</v>
      </c>
      <c r="M127" s="63">
        <v>71980</v>
      </c>
      <c r="N127" s="1"/>
    </row>
    <row r="128" spans="1:14" ht="16" hidden="1" customHeight="1" outlineLevel="1" x14ac:dyDescent="0.45">
      <c r="A128" s="29" t="s">
        <v>61</v>
      </c>
      <c r="B128" s="44">
        <v>26099240</v>
      </c>
      <c r="C128" s="63">
        <v>11201090</v>
      </c>
      <c r="D128" s="63">
        <v>0</v>
      </c>
      <c r="E128" s="64">
        <v>14898150</v>
      </c>
      <c r="F128" s="63">
        <v>0</v>
      </c>
      <c r="G128" s="63">
        <v>0</v>
      </c>
      <c r="H128" s="65">
        <v>2627318</v>
      </c>
      <c r="I128" s="65">
        <v>0</v>
      </c>
      <c r="J128" s="65">
        <v>11531926</v>
      </c>
      <c r="K128" s="65">
        <v>173297</v>
      </c>
      <c r="L128" s="65">
        <v>0</v>
      </c>
      <c r="M128" s="63">
        <v>565609</v>
      </c>
      <c r="N128" s="1"/>
    </row>
    <row r="129" spans="1:14" ht="16" hidden="1" customHeight="1" outlineLevel="1" x14ac:dyDescent="0.45">
      <c r="A129" s="29" t="s">
        <v>62</v>
      </c>
      <c r="B129" s="44">
        <v>18009464</v>
      </c>
      <c r="C129" s="63">
        <v>6678565</v>
      </c>
      <c r="D129" s="63">
        <v>833154</v>
      </c>
      <c r="E129" s="64">
        <v>10497745</v>
      </c>
      <c r="F129" s="63">
        <v>0</v>
      </c>
      <c r="G129" s="63">
        <v>0</v>
      </c>
      <c r="H129" s="65">
        <v>7720564</v>
      </c>
      <c r="I129" s="65">
        <v>583208</v>
      </c>
      <c r="J129" s="65">
        <v>583208</v>
      </c>
      <c r="K129" s="65">
        <v>1221960</v>
      </c>
      <c r="L129" s="65">
        <v>0</v>
      </c>
      <c r="M129" s="63">
        <v>388805</v>
      </c>
      <c r="N129" s="1"/>
    </row>
    <row r="130" spans="1:14" ht="16" hidden="1" customHeight="1" outlineLevel="1" x14ac:dyDescent="0.45">
      <c r="A130" s="29" t="s">
        <v>63</v>
      </c>
      <c r="B130" s="44">
        <v>6025070</v>
      </c>
      <c r="C130" s="63">
        <v>73380</v>
      </c>
      <c r="D130" s="63">
        <v>12960</v>
      </c>
      <c r="E130" s="64">
        <v>5938730</v>
      </c>
      <c r="F130" s="63">
        <v>3923392.0966638019</v>
      </c>
      <c r="G130" s="63">
        <v>1236527.9033361981</v>
      </c>
      <c r="H130" s="65">
        <v>80880</v>
      </c>
      <c r="I130" s="65">
        <v>0</v>
      </c>
      <c r="J130" s="65">
        <v>115500</v>
      </c>
      <c r="K130" s="65">
        <v>100750</v>
      </c>
      <c r="L130" s="65">
        <v>452100</v>
      </c>
      <c r="M130" s="63">
        <v>29580</v>
      </c>
      <c r="N130" s="1"/>
    </row>
    <row r="131" spans="1:14" ht="16" hidden="1" customHeight="1" outlineLevel="1" x14ac:dyDescent="0.45">
      <c r="A131" s="24" t="s">
        <v>192</v>
      </c>
      <c r="B131" s="45">
        <v>0</v>
      </c>
      <c r="C131" s="63">
        <v>0</v>
      </c>
      <c r="D131" s="63">
        <v>0</v>
      </c>
      <c r="E131" s="64">
        <v>0</v>
      </c>
      <c r="F131" s="63">
        <v>0</v>
      </c>
      <c r="G131" s="63">
        <v>0</v>
      </c>
      <c r="H131" s="65">
        <v>0</v>
      </c>
      <c r="I131" s="65">
        <v>0</v>
      </c>
      <c r="J131" s="65">
        <v>0</v>
      </c>
      <c r="K131" s="65">
        <v>0</v>
      </c>
      <c r="L131" s="65">
        <v>0</v>
      </c>
      <c r="M131" s="63">
        <v>0</v>
      </c>
      <c r="N131" s="1"/>
    </row>
    <row r="132" spans="1:14" ht="16" hidden="1" customHeight="1" outlineLevel="1" x14ac:dyDescent="0.45">
      <c r="A132" s="29" t="s">
        <v>193</v>
      </c>
      <c r="B132" s="44">
        <v>0</v>
      </c>
      <c r="C132" s="63">
        <v>0</v>
      </c>
      <c r="D132" s="63">
        <v>0</v>
      </c>
      <c r="E132" s="64">
        <v>0</v>
      </c>
      <c r="F132" s="63">
        <v>0</v>
      </c>
      <c r="G132" s="63">
        <v>0</v>
      </c>
      <c r="H132" s="65">
        <v>0</v>
      </c>
      <c r="I132" s="65">
        <v>0</v>
      </c>
      <c r="J132" s="65">
        <v>0</v>
      </c>
      <c r="K132" s="65">
        <v>0</v>
      </c>
      <c r="L132" s="65">
        <v>0</v>
      </c>
      <c r="M132" s="63">
        <v>0</v>
      </c>
      <c r="N132" s="1"/>
    </row>
    <row r="133" spans="1:14" s="1" customFormat="1" collapsed="1" x14ac:dyDescent="0.45">
      <c r="A133" s="28" t="s">
        <v>64</v>
      </c>
      <c r="B133" s="43">
        <v>57497470</v>
      </c>
      <c r="C133" s="60">
        <v>876645</v>
      </c>
      <c r="D133" s="60">
        <v>0</v>
      </c>
      <c r="E133" s="61">
        <v>56620825</v>
      </c>
      <c r="F133" s="60">
        <v>50567382.119684272</v>
      </c>
      <c r="G133" s="60">
        <v>5682152.8803157303</v>
      </c>
      <c r="H133" s="62">
        <v>0</v>
      </c>
      <c r="I133" s="62">
        <v>0</v>
      </c>
      <c r="J133" s="62">
        <v>0</v>
      </c>
      <c r="K133" s="62">
        <v>0</v>
      </c>
      <c r="L133" s="62">
        <v>0</v>
      </c>
      <c r="M133" s="60">
        <v>371290</v>
      </c>
    </row>
    <row r="134" spans="1:14" ht="16" hidden="1" customHeight="1" outlineLevel="1" x14ac:dyDescent="0.45">
      <c r="A134" s="29" t="s">
        <v>65</v>
      </c>
      <c r="B134" s="44">
        <v>57497470</v>
      </c>
      <c r="C134" s="63">
        <v>876645</v>
      </c>
      <c r="D134" s="63">
        <v>0</v>
      </c>
      <c r="E134" s="64">
        <v>56620825</v>
      </c>
      <c r="F134" s="63">
        <v>50567382.119684272</v>
      </c>
      <c r="G134" s="63">
        <v>5682152.8803157303</v>
      </c>
      <c r="H134" s="65">
        <v>0</v>
      </c>
      <c r="I134" s="65">
        <v>0</v>
      </c>
      <c r="J134" s="65">
        <v>0</v>
      </c>
      <c r="K134" s="65">
        <v>0</v>
      </c>
      <c r="L134" s="65">
        <v>0</v>
      </c>
      <c r="M134" s="63">
        <v>371290</v>
      </c>
      <c r="N134" s="1"/>
    </row>
    <row r="135" spans="1:14" ht="16" hidden="1" customHeight="1" outlineLevel="1" x14ac:dyDescent="0.45">
      <c r="A135" s="29" t="s">
        <v>261</v>
      </c>
      <c r="B135" s="44">
        <v>0</v>
      </c>
      <c r="C135" s="63">
        <v>0</v>
      </c>
      <c r="D135" s="63">
        <v>0</v>
      </c>
      <c r="E135" s="64">
        <v>0</v>
      </c>
      <c r="F135" s="63">
        <v>0</v>
      </c>
      <c r="G135" s="63">
        <v>0</v>
      </c>
      <c r="H135" s="65">
        <v>0</v>
      </c>
      <c r="I135" s="65">
        <v>0</v>
      </c>
      <c r="J135" s="65">
        <v>0</v>
      </c>
      <c r="K135" s="65">
        <v>0</v>
      </c>
      <c r="L135" s="65">
        <v>0</v>
      </c>
      <c r="M135" s="63">
        <v>0</v>
      </c>
      <c r="N135" s="1"/>
    </row>
    <row r="136" spans="1:14" s="1" customFormat="1" collapsed="1" x14ac:dyDescent="0.45">
      <c r="A136" s="28" t="s">
        <v>139</v>
      </c>
      <c r="B136" s="43">
        <v>10947835</v>
      </c>
      <c r="C136" s="60">
        <v>10717980</v>
      </c>
      <c r="D136" s="60">
        <v>0</v>
      </c>
      <c r="E136" s="61">
        <v>229855</v>
      </c>
      <c r="F136" s="60">
        <v>229855</v>
      </c>
      <c r="G136" s="60">
        <v>0</v>
      </c>
      <c r="H136" s="62">
        <v>0</v>
      </c>
      <c r="I136" s="62">
        <v>0</v>
      </c>
      <c r="J136" s="62">
        <v>0</v>
      </c>
      <c r="K136" s="62">
        <v>0</v>
      </c>
      <c r="L136" s="62">
        <v>0</v>
      </c>
      <c r="M136" s="60">
        <v>0</v>
      </c>
    </row>
    <row r="137" spans="1:14" ht="16" hidden="1" customHeight="1" outlineLevel="1" x14ac:dyDescent="0.45">
      <c r="A137" s="29" t="s">
        <v>140</v>
      </c>
      <c r="B137" s="43">
        <v>0</v>
      </c>
      <c r="C137" s="60">
        <v>0</v>
      </c>
      <c r="D137" s="60">
        <v>0</v>
      </c>
      <c r="E137" s="64">
        <v>0</v>
      </c>
      <c r="F137" s="63">
        <v>0</v>
      </c>
      <c r="G137" s="63">
        <v>0</v>
      </c>
      <c r="H137" s="65">
        <v>0</v>
      </c>
      <c r="I137" s="65">
        <v>0</v>
      </c>
      <c r="J137" s="65">
        <v>0</v>
      </c>
      <c r="K137" s="65">
        <v>0</v>
      </c>
      <c r="L137" s="65">
        <v>0</v>
      </c>
      <c r="M137" s="63">
        <v>0</v>
      </c>
      <c r="N137" s="1"/>
    </row>
    <row r="138" spans="1:14" ht="16" hidden="1" customHeight="1" outlineLevel="1" x14ac:dyDescent="0.45">
      <c r="A138" s="29" t="s">
        <v>194</v>
      </c>
      <c r="B138" s="43">
        <v>56000</v>
      </c>
      <c r="C138" s="60">
        <v>56000</v>
      </c>
      <c r="D138" s="60">
        <v>0</v>
      </c>
      <c r="E138" s="64">
        <v>0</v>
      </c>
      <c r="F138" s="63">
        <v>0</v>
      </c>
      <c r="G138" s="63">
        <v>0</v>
      </c>
      <c r="H138" s="65">
        <v>0</v>
      </c>
      <c r="I138" s="65">
        <v>0</v>
      </c>
      <c r="J138" s="65">
        <v>0</v>
      </c>
      <c r="K138" s="65">
        <v>0</v>
      </c>
      <c r="L138" s="65">
        <v>0</v>
      </c>
      <c r="M138" s="63">
        <v>0</v>
      </c>
      <c r="N138" s="1"/>
    </row>
    <row r="139" spans="1:14" ht="16" hidden="1" customHeight="1" outlineLevel="1" x14ac:dyDescent="0.45">
      <c r="A139" s="29" t="s">
        <v>195</v>
      </c>
      <c r="B139" s="44">
        <v>229855</v>
      </c>
      <c r="C139" s="63">
        <v>0</v>
      </c>
      <c r="D139" s="63">
        <v>0</v>
      </c>
      <c r="E139" s="64">
        <v>229855</v>
      </c>
      <c r="F139" s="63">
        <v>229855</v>
      </c>
      <c r="G139" s="63">
        <v>0</v>
      </c>
      <c r="H139" s="65">
        <v>0</v>
      </c>
      <c r="I139" s="65">
        <v>0</v>
      </c>
      <c r="J139" s="65">
        <v>0</v>
      </c>
      <c r="K139" s="65">
        <v>0</v>
      </c>
      <c r="L139" s="65">
        <v>0</v>
      </c>
      <c r="M139" s="63">
        <v>0</v>
      </c>
      <c r="N139" s="1"/>
    </row>
    <row r="140" spans="1:14" ht="16" hidden="1" customHeight="1" outlineLevel="1" x14ac:dyDescent="0.45">
      <c r="A140" s="29" t="s">
        <v>141</v>
      </c>
      <c r="B140" s="44">
        <v>10661980</v>
      </c>
      <c r="C140" s="63">
        <v>10661980</v>
      </c>
      <c r="D140" s="63">
        <v>0</v>
      </c>
      <c r="E140" s="64">
        <v>0</v>
      </c>
      <c r="F140" s="63">
        <v>0</v>
      </c>
      <c r="G140" s="63">
        <v>0</v>
      </c>
      <c r="H140" s="65">
        <v>0</v>
      </c>
      <c r="I140" s="65">
        <v>0</v>
      </c>
      <c r="J140" s="65">
        <v>0</v>
      </c>
      <c r="K140" s="65">
        <v>0</v>
      </c>
      <c r="L140" s="65">
        <v>0</v>
      </c>
      <c r="M140" s="63">
        <v>0</v>
      </c>
      <c r="N140" s="1"/>
    </row>
    <row r="141" spans="1:14" s="1" customFormat="1" collapsed="1" x14ac:dyDescent="0.45">
      <c r="A141" s="28" t="s">
        <v>66</v>
      </c>
      <c r="B141" s="43">
        <v>1464311815</v>
      </c>
      <c r="C141" s="66">
        <v>1449117285</v>
      </c>
      <c r="D141" s="66">
        <v>0</v>
      </c>
      <c r="E141" s="61">
        <v>15194530</v>
      </c>
      <c r="F141" s="60">
        <v>11117436.241599061</v>
      </c>
      <c r="G141" s="60">
        <v>3277093.7584009394</v>
      </c>
      <c r="H141" s="62">
        <v>0</v>
      </c>
      <c r="I141" s="62">
        <v>0</v>
      </c>
      <c r="J141" s="62">
        <v>0</v>
      </c>
      <c r="K141" s="62">
        <v>0</v>
      </c>
      <c r="L141" s="62">
        <v>0</v>
      </c>
      <c r="M141" s="60">
        <v>800000</v>
      </c>
    </row>
    <row r="142" spans="1:14" s="1" customFormat="1" x14ac:dyDescent="0.45">
      <c r="A142" s="28" t="s">
        <v>67</v>
      </c>
      <c r="B142" s="43">
        <v>-650825478</v>
      </c>
      <c r="C142" s="66">
        <v>-1412985920.0455551</v>
      </c>
      <c r="D142" s="66">
        <v>17155785</v>
      </c>
      <c r="E142" s="61">
        <v>745004657.04555511</v>
      </c>
      <c r="F142" s="60">
        <v>355083530.75524783</v>
      </c>
      <c r="G142" s="60">
        <v>272592714.24475217</v>
      </c>
      <c r="H142" s="62">
        <v>48561494</v>
      </c>
      <c r="I142" s="62">
        <v>2883002.0294822082</v>
      </c>
      <c r="J142" s="62">
        <v>2883422.7481801109</v>
      </c>
      <c r="K142" s="62">
        <v>24867716.618654124</v>
      </c>
      <c r="L142" s="62">
        <v>21061056.649238557</v>
      </c>
      <c r="M142" s="60">
        <v>17071720</v>
      </c>
    </row>
    <row r="143" spans="1:14" ht="16" hidden="1" customHeight="1" outlineLevel="1" x14ac:dyDescent="0.45">
      <c r="A143" s="29" t="s">
        <v>68</v>
      </c>
      <c r="B143" s="44">
        <v>170756200</v>
      </c>
      <c r="C143" s="67">
        <v>9711474.9544449747</v>
      </c>
      <c r="D143" s="67">
        <v>1352000</v>
      </c>
      <c r="E143" s="64">
        <v>159692725.04555503</v>
      </c>
      <c r="F143" s="63">
        <v>24414510.110899575</v>
      </c>
      <c r="G143" s="63">
        <v>117611489.88910043</v>
      </c>
      <c r="H143" s="65">
        <v>0</v>
      </c>
      <c r="I143" s="65">
        <v>116706.52948220806</v>
      </c>
      <c r="J143" s="65">
        <v>117127.24818011084</v>
      </c>
      <c r="K143" s="65">
        <v>1711519.6186541237</v>
      </c>
      <c r="L143" s="65">
        <v>15721371.649238558</v>
      </c>
      <c r="M143" s="63">
        <v>0</v>
      </c>
      <c r="N143" s="1"/>
    </row>
    <row r="144" spans="1:14" ht="16" hidden="1" customHeight="1" outlineLevel="1" x14ac:dyDescent="0.45">
      <c r="A144" s="29" t="s">
        <v>196</v>
      </c>
      <c r="B144" s="44">
        <v>-1557485712</v>
      </c>
      <c r="C144" s="67">
        <v>-1557485712</v>
      </c>
      <c r="D144" s="67">
        <v>0</v>
      </c>
      <c r="E144" s="64">
        <v>0</v>
      </c>
      <c r="F144" s="63">
        <v>0</v>
      </c>
      <c r="G144" s="63">
        <v>0</v>
      </c>
      <c r="H144" s="65">
        <v>0</v>
      </c>
      <c r="I144" s="65">
        <v>0</v>
      </c>
      <c r="J144" s="65">
        <v>0</v>
      </c>
      <c r="K144" s="65">
        <v>0</v>
      </c>
      <c r="L144" s="65">
        <v>0</v>
      </c>
      <c r="M144" s="63">
        <v>0</v>
      </c>
      <c r="N144" s="1"/>
    </row>
    <row r="145" spans="1:14" ht="16" hidden="1" customHeight="1" outlineLevel="1" x14ac:dyDescent="0.45">
      <c r="A145" s="29" t="s">
        <v>69</v>
      </c>
      <c r="B145" s="44">
        <v>371837517</v>
      </c>
      <c r="C145" s="67">
        <v>24422364</v>
      </c>
      <c r="D145" s="67">
        <v>3000000</v>
      </c>
      <c r="E145" s="64">
        <v>344415153</v>
      </c>
      <c r="F145" s="63">
        <v>166651296.09012854</v>
      </c>
      <c r="G145" s="63">
        <v>107557816.90987146</v>
      </c>
      <c r="H145" s="65">
        <v>32825598</v>
      </c>
      <c r="I145" s="65">
        <v>1076100.5</v>
      </c>
      <c r="J145" s="65">
        <v>1076100.5</v>
      </c>
      <c r="K145" s="65">
        <v>18142401</v>
      </c>
      <c r="L145" s="65">
        <v>1624840</v>
      </c>
      <c r="M145" s="63">
        <v>15461000</v>
      </c>
      <c r="N145" s="1"/>
    </row>
    <row r="146" spans="1:14" ht="16" hidden="1" customHeight="1" outlineLevel="1" x14ac:dyDescent="0.45">
      <c r="A146" s="29" t="s">
        <v>70</v>
      </c>
      <c r="B146" s="44">
        <v>283480417</v>
      </c>
      <c r="C146" s="67">
        <v>30130853</v>
      </c>
      <c r="D146" s="67">
        <v>12452785</v>
      </c>
      <c r="E146" s="64">
        <v>240896779</v>
      </c>
      <c r="F146" s="63">
        <v>164017724.55421975</v>
      </c>
      <c r="G146" s="63">
        <v>47423407.445780255</v>
      </c>
      <c r="H146" s="65">
        <v>15735896</v>
      </c>
      <c r="I146" s="65">
        <v>1690195</v>
      </c>
      <c r="J146" s="65">
        <v>1690195</v>
      </c>
      <c r="K146" s="65">
        <v>5013796</v>
      </c>
      <c r="L146" s="65">
        <v>3714845</v>
      </c>
      <c r="M146" s="63">
        <v>1610720</v>
      </c>
      <c r="N146" s="1"/>
    </row>
    <row r="147" spans="1:14" ht="16" hidden="1" customHeight="1" outlineLevel="1" x14ac:dyDescent="0.45">
      <c r="A147" s="29" t="s">
        <v>142</v>
      </c>
      <c r="B147" s="44">
        <v>80586100</v>
      </c>
      <c r="C147" s="63">
        <v>80235100</v>
      </c>
      <c r="D147" s="63">
        <v>351000</v>
      </c>
      <c r="E147" s="64">
        <v>0</v>
      </c>
      <c r="F147" s="63">
        <v>0</v>
      </c>
      <c r="G147" s="63">
        <v>0</v>
      </c>
      <c r="H147" s="65">
        <v>0</v>
      </c>
      <c r="I147" s="65">
        <v>0</v>
      </c>
      <c r="J147" s="65">
        <v>0</v>
      </c>
      <c r="K147" s="65">
        <v>0</v>
      </c>
      <c r="L147" s="65">
        <v>0</v>
      </c>
      <c r="M147" s="63">
        <v>0</v>
      </c>
      <c r="N147" s="1"/>
    </row>
    <row r="148" spans="1:14" ht="16" hidden="1" customHeight="1" outlineLevel="1" x14ac:dyDescent="0.45">
      <c r="A148" s="29" t="s">
        <v>197</v>
      </c>
      <c r="B148" s="44">
        <v>0</v>
      </c>
      <c r="C148" s="63">
        <v>0</v>
      </c>
      <c r="D148" s="63">
        <v>0</v>
      </c>
      <c r="E148" s="64">
        <v>0</v>
      </c>
      <c r="F148" s="63">
        <v>0</v>
      </c>
      <c r="G148" s="63">
        <v>0</v>
      </c>
      <c r="H148" s="65">
        <v>0</v>
      </c>
      <c r="I148" s="65">
        <v>0</v>
      </c>
      <c r="J148" s="65">
        <v>0</v>
      </c>
      <c r="K148" s="65">
        <v>0</v>
      </c>
      <c r="L148" s="65">
        <v>0</v>
      </c>
      <c r="M148" s="63">
        <v>0</v>
      </c>
      <c r="N148" s="1"/>
    </row>
    <row r="149" spans="1:14" ht="16" hidden="1" customHeight="1" outlineLevel="1" x14ac:dyDescent="0.45">
      <c r="A149" s="29" t="s">
        <v>262</v>
      </c>
      <c r="B149" s="44">
        <v>0</v>
      </c>
      <c r="C149" s="63">
        <v>0</v>
      </c>
      <c r="D149" s="63">
        <v>0</v>
      </c>
      <c r="E149" s="64">
        <v>0</v>
      </c>
      <c r="F149" s="63">
        <v>0</v>
      </c>
      <c r="G149" s="63">
        <v>0</v>
      </c>
      <c r="H149" s="65">
        <v>0</v>
      </c>
      <c r="I149" s="65">
        <v>0</v>
      </c>
      <c r="J149" s="65">
        <v>0</v>
      </c>
      <c r="K149" s="65">
        <v>0</v>
      </c>
      <c r="L149" s="65">
        <v>0</v>
      </c>
      <c r="M149" s="63">
        <v>0</v>
      </c>
      <c r="N149" s="1"/>
    </row>
    <row r="150" spans="1:14" ht="16" hidden="1" customHeight="1" outlineLevel="1" x14ac:dyDescent="0.45">
      <c r="A150" s="29" t="s">
        <v>263</v>
      </c>
      <c r="B150" s="44">
        <v>0</v>
      </c>
      <c r="C150" s="63">
        <v>0</v>
      </c>
      <c r="D150" s="63">
        <v>0</v>
      </c>
      <c r="E150" s="64">
        <v>0</v>
      </c>
      <c r="F150" s="63">
        <v>0</v>
      </c>
      <c r="G150" s="63">
        <v>0</v>
      </c>
      <c r="H150" s="65">
        <v>0</v>
      </c>
      <c r="I150" s="65">
        <v>0</v>
      </c>
      <c r="J150" s="65">
        <v>0</v>
      </c>
      <c r="K150" s="65">
        <v>0</v>
      </c>
      <c r="L150" s="65">
        <v>0</v>
      </c>
      <c r="M150" s="63">
        <v>0</v>
      </c>
      <c r="N150" s="1"/>
    </row>
    <row r="151" spans="1:14" s="1" customFormat="1" collapsed="1" x14ac:dyDescent="0.45">
      <c r="A151" s="28" t="s">
        <v>71</v>
      </c>
      <c r="B151" s="43">
        <v>87774033</v>
      </c>
      <c r="C151" s="60">
        <v>87795307</v>
      </c>
      <c r="D151" s="60">
        <v>0</v>
      </c>
      <c r="E151" s="61">
        <v>-21274</v>
      </c>
      <c r="F151" s="60">
        <v>-111144</v>
      </c>
      <c r="G151" s="60">
        <v>0</v>
      </c>
      <c r="H151" s="62">
        <v>0</v>
      </c>
      <c r="I151" s="62">
        <v>0</v>
      </c>
      <c r="J151" s="62">
        <v>0</v>
      </c>
      <c r="K151" s="62">
        <v>89870</v>
      </c>
      <c r="L151" s="62">
        <v>0</v>
      </c>
      <c r="M151" s="60">
        <v>0</v>
      </c>
    </row>
    <row r="152" spans="1:14" ht="16" hidden="1" customHeight="1" outlineLevel="1" x14ac:dyDescent="0.45">
      <c r="A152" s="29" t="s">
        <v>143</v>
      </c>
      <c r="B152" s="44">
        <v>13333700</v>
      </c>
      <c r="C152" s="63">
        <v>13243830</v>
      </c>
      <c r="D152" s="63">
        <v>0</v>
      </c>
      <c r="E152" s="64">
        <v>89870</v>
      </c>
      <c r="F152" s="63">
        <v>0</v>
      </c>
      <c r="G152" s="63">
        <v>0</v>
      </c>
      <c r="H152" s="65">
        <v>0</v>
      </c>
      <c r="I152" s="65">
        <v>0</v>
      </c>
      <c r="J152" s="65">
        <v>0</v>
      </c>
      <c r="K152" s="65">
        <v>89870</v>
      </c>
      <c r="L152" s="65">
        <v>0</v>
      </c>
      <c r="M152" s="63">
        <v>0</v>
      </c>
      <c r="N152" s="1"/>
    </row>
    <row r="153" spans="1:14" ht="16" hidden="1" customHeight="1" outlineLevel="1" x14ac:dyDescent="0.45">
      <c r="A153" s="29" t="s">
        <v>72</v>
      </c>
      <c r="B153" s="44">
        <v>18074092</v>
      </c>
      <c r="C153" s="63">
        <v>18185236</v>
      </c>
      <c r="D153" s="63">
        <v>0</v>
      </c>
      <c r="E153" s="64">
        <v>-111144</v>
      </c>
      <c r="F153" s="63">
        <v>-111144</v>
      </c>
      <c r="G153" s="63">
        <v>0</v>
      </c>
      <c r="H153" s="65">
        <v>0</v>
      </c>
      <c r="I153" s="65">
        <v>0</v>
      </c>
      <c r="J153" s="65">
        <v>0</v>
      </c>
      <c r="K153" s="65">
        <v>0</v>
      </c>
      <c r="L153" s="65">
        <v>0</v>
      </c>
      <c r="M153" s="63">
        <v>0</v>
      </c>
      <c r="N153" s="1"/>
    </row>
    <row r="154" spans="1:14" ht="16" hidden="1" customHeight="1" outlineLevel="1" x14ac:dyDescent="0.45">
      <c r="A154" s="29" t="s">
        <v>144</v>
      </c>
      <c r="B154" s="44">
        <v>56366241</v>
      </c>
      <c r="C154" s="63">
        <v>56366241</v>
      </c>
      <c r="D154" s="63">
        <v>0</v>
      </c>
      <c r="E154" s="64">
        <v>0</v>
      </c>
      <c r="F154" s="63">
        <v>0</v>
      </c>
      <c r="G154" s="63">
        <v>0</v>
      </c>
      <c r="H154" s="65">
        <v>0</v>
      </c>
      <c r="I154" s="65">
        <v>0</v>
      </c>
      <c r="J154" s="65">
        <v>0</v>
      </c>
      <c r="K154" s="65">
        <v>0</v>
      </c>
      <c r="L154" s="65">
        <v>0</v>
      </c>
      <c r="M154" s="63">
        <v>0</v>
      </c>
      <c r="N154" s="1"/>
    </row>
    <row r="155" spans="1:14" ht="16" hidden="1" customHeight="1" outlineLevel="1" x14ac:dyDescent="0.45">
      <c r="A155" s="29" t="s">
        <v>145</v>
      </c>
      <c r="B155" s="44">
        <v>0</v>
      </c>
      <c r="C155" s="63">
        <v>0</v>
      </c>
      <c r="D155" s="63">
        <v>0</v>
      </c>
      <c r="E155" s="64">
        <v>0</v>
      </c>
      <c r="F155" s="63">
        <v>0</v>
      </c>
      <c r="G155" s="63">
        <v>0</v>
      </c>
      <c r="H155" s="65">
        <v>0</v>
      </c>
      <c r="I155" s="65">
        <v>0</v>
      </c>
      <c r="J155" s="65">
        <v>0</v>
      </c>
      <c r="K155" s="65">
        <v>0</v>
      </c>
      <c r="L155" s="65">
        <v>0</v>
      </c>
      <c r="M155" s="63">
        <v>0</v>
      </c>
      <c r="N155" s="1"/>
    </row>
    <row r="156" spans="1:14" s="1" customFormat="1" collapsed="1" x14ac:dyDescent="0.45">
      <c r="A156" s="28" t="s">
        <v>73</v>
      </c>
      <c r="B156" s="43">
        <v>119166073</v>
      </c>
      <c r="C156" s="60">
        <v>12933267.324247673</v>
      </c>
      <c r="D156" s="60">
        <v>2376450</v>
      </c>
      <c r="E156" s="61">
        <v>103856355.67575233</v>
      </c>
      <c r="F156" s="60">
        <v>18178332.901582152</v>
      </c>
      <c r="G156" s="60">
        <v>63606551.768663824</v>
      </c>
      <c r="H156" s="62">
        <v>961527.32975402242</v>
      </c>
      <c r="I156" s="62">
        <v>660160.4208878933</v>
      </c>
      <c r="J156" s="62">
        <v>838626.43481634138</v>
      </c>
      <c r="K156" s="62">
        <v>5919241.4509045444</v>
      </c>
      <c r="L156" s="62">
        <v>13628315.369143546</v>
      </c>
      <c r="M156" s="60">
        <v>63600</v>
      </c>
    </row>
    <row r="157" spans="1:14" ht="16" hidden="1" customHeight="1" outlineLevel="1" x14ac:dyDescent="0.45">
      <c r="A157" s="29" t="s">
        <v>74</v>
      </c>
      <c r="B157" s="44">
        <v>33045911</v>
      </c>
      <c r="C157" s="63">
        <v>5914129.4715138711</v>
      </c>
      <c r="D157" s="63">
        <v>233840</v>
      </c>
      <c r="E157" s="64">
        <v>26897941.528486129</v>
      </c>
      <c r="F157" s="63">
        <v>8574124.2749406733</v>
      </c>
      <c r="G157" s="63">
        <v>14655061.725059327</v>
      </c>
      <c r="H157" s="65">
        <v>128100</v>
      </c>
      <c r="I157" s="65">
        <v>106619.14124368844</v>
      </c>
      <c r="J157" s="65">
        <v>238047.72594863971</v>
      </c>
      <c r="K157" s="65">
        <v>1137178.2776236099</v>
      </c>
      <c r="L157" s="65">
        <v>1995210.3836701924</v>
      </c>
      <c r="M157" s="63">
        <v>63600</v>
      </c>
      <c r="N157" s="1"/>
    </row>
    <row r="158" spans="1:14" ht="16" hidden="1" customHeight="1" outlineLevel="1" x14ac:dyDescent="0.45">
      <c r="A158" s="29" t="s">
        <v>75</v>
      </c>
      <c r="B158" s="44">
        <v>14027129</v>
      </c>
      <c r="C158" s="63">
        <v>4916310.8527338048</v>
      </c>
      <c r="D158" s="63">
        <v>2102610</v>
      </c>
      <c r="E158" s="64">
        <v>7008208.1472661952</v>
      </c>
      <c r="F158" s="63">
        <v>3219178.0167111554</v>
      </c>
      <c r="G158" s="63">
        <v>1011678.6535348224</v>
      </c>
      <c r="H158" s="65">
        <v>833427.32975402242</v>
      </c>
      <c r="I158" s="65">
        <v>401509.27964420489</v>
      </c>
      <c r="J158" s="65">
        <v>550578.7088677017</v>
      </c>
      <c r="K158" s="65">
        <v>950072.1732809348</v>
      </c>
      <c r="L158" s="65">
        <v>41763.985473353263</v>
      </c>
      <c r="M158" s="63">
        <v>0</v>
      </c>
      <c r="N158" s="1"/>
    </row>
    <row r="159" spans="1:14" ht="16" hidden="1" customHeight="1" outlineLevel="1" x14ac:dyDescent="0.45">
      <c r="A159" s="29" t="s">
        <v>76</v>
      </c>
      <c r="B159" s="44">
        <v>15479720</v>
      </c>
      <c r="C159" s="63">
        <v>567000</v>
      </c>
      <c r="D159" s="63">
        <v>40000</v>
      </c>
      <c r="E159" s="64">
        <v>14872720</v>
      </c>
      <c r="F159" s="63">
        <v>1720283</v>
      </c>
      <c r="G159" s="63">
        <v>1750993</v>
      </c>
      <c r="H159" s="65">
        <v>0</v>
      </c>
      <c r="I159" s="65">
        <v>152032</v>
      </c>
      <c r="J159" s="65">
        <v>50000</v>
      </c>
      <c r="K159" s="65">
        <v>3304751</v>
      </c>
      <c r="L159" s="65">
        <v>7894661</v>
      </c>
      <c r="M159" s="63">
        <v>0</v>
      </c>
      <c r="N159" s="1"/>
    </row>
    <row r="160" spans="1:14" ht="16" hidden="1" customHeight="1" outlineLevel="1" x14ac:dyDescent="0.45">
      <c r="A160" s="29" t="s">
        <v>77</v>
      </c>
      <c r="B160" s="44">
        <v>56613313</v>
      </c>
      <c r="C160" s="63">
        <v>1535827</v>
      </c>
      <c r="D160" s="63">
        <v>0</v>
      </c>
      <c r="E160" s="64">
        <v>55077486</v>
      </c>
      <c r="F160" s="63">
        <v>4664747.6099303234</v>
      </c>
      <c r="G160" s="63">
        <v>46188818.390069678</v>
      </c>
      <c r="H160" s="65">
        <v>0</v>
      </c>
      <c r="I160" s="65">
        <v>0</v>
      </c>
      <c r="J160" s="65">
        <v>0</v>
      </c>
      <c r="K160" s="65">
        <v>527240</v>
      </c>
      <c r="L160" s="65">
        <v>3696680</v>
      </c>
      <c r="M160" s="63">
        <v>0</v>
      </c>
      <c r="N160" s="1"/>
    </row>
    <row r="161" spans="1:14" ht="16" hidden="1" customHeight="1" outlineLevel="1" x14ac:dyDescent="0.45">
      <c r="A161" s="29" t="s">
        <v>198</v>
      </c>
      <c r="B161" s="44">
        <v>0</v>
      </c>
      <c r="C161" s="63">
        <v>0</v>
      </c>
      <c r="D161" s="63">
        <v>0</v>
      </c>
      <c r="E161" s="64">
        <v>0</v>
      </c>
      <c r="F161" s="63">
        <v>0</v>
      </c>
      <c r="G161" s="63">
        <v>0</v>
      </c>
      <c r="H161" s="65">
        <v>0</v>
      </c>
      <c r="I161" s="65">
        <v>0</v>
      </c>
      <c r="J161" s="65">
        <v>0</v>
      </c>
      <c r="K161" s="65">
        <v>0</v>
      </c>
      <c r="L161" s="65">
        <v>0</v>
      </c>
      <c r="M161" s="63">
        <v>0</v>
      </c>
      <c r="N161" s="1"/>
    </row>
    <row r="162" spans="1:14" ht="16" hidden="1" customHeight="1" outlineLevel="1" x14ac:dyDescent="0.45">
      <c r="A162" s="24" t="s">
        <v>199</v>
      </c>
      <c r="B162" s="45">
        <v>0</v>
      </c>
      <c r="C162" s="63">
        <v>0</v>
      </c>
      <c r="D162" s="63">
        <v>0</v>
      </c>
      <c r="E162" s="64">
        <v>0</v>
      </c>
      <c r="F162" s="63">
        <v>0</v>
      </c>
      <c r="G162" s="63">
        <v>0</v>
      </c>
      <c r="H162" s="65">
        <v>0</v>
      </c>
      <c r="I162" s="65">
        <v>0</v>
      </c>
      <c r="J162" s="65">
        <v>0</v>
      </c>
      <c r="K162" s="65">
        <v>0</v>
      </c>
      <c r="L162" s="65">
        <v>0</v>
      </c>
      <c r="M162" s="63">
        <v>0</v>
      </c>
      <c r="N162" s="1"/>
    </row>
    <row r="163" spans="1:14" ht="16" hidden="1" customHeight="1" outlineLevel="1" x14ac:dyDescent="0.45">
      <c r="A163" s="30" t="s">
        <v>200</v>
      </c>
      <c r="B163" s="46">
        <v>0</v>
      </c>
      <c r="C163" s="63">
        <v>0</v>
      </c>
      <c r="D163" s="63">
        <v>0</v>
      </c>
      <c r="E163" s="64">
        <v>0</v>
      </c>
      <c r="F163" s="63">
        <v>0</v>
      </c>
      <c r="G163" s="63">
        <v>0</v>
      </c>
      <c r="H163" s="65">
        <v>0</v>
      </c>
      <c r="I163" s="65">
        <v>0</v>
      </c>
      <c r="J163" s="65">
        <v>0</v>
      </c>
      <c r="K163" s="65">
        <v>0</v>
      </c>
      <c r="L163" s="65">
        <v>0</v>
      </c>
      <c r="M163" s="63">
        <v>0</v>
      </c>
      <c r="N163" s="1"/>
    </row>
    <row r="164" spans="1:14" s="1" customFormat="1" collapsed="1" x14ac:dyDescent="0.45">
      <c r="A164" s="28" t="s">
        <v>78</v>
      </c>
      <c r="B164" s="43">
        <v>405095940</v>
      </c>
      <c r="C164" s="60">
        <v>3361500</v>
      </c>
      <c r="D164" s="60">
        <v>104311641</v>
      </c>
      <c r="E164" s="61">
        <v>297422799</v>
      </c>
      <c r="F164" s="60">
        <v>82083400</v>
      </c>
      <c r="G164" s="60">
        <v>96528120</v>
      </c>
      <c r="H164" s="62">
        <v>111638330</v>
      </c>
      <c r="I164" s="62">
        <v>1017237</v>
      </c>
      <c r="J164" s="62">
        <v>1017237</v>
      </c>
      <c r="K164" s="62">
        <v>3203140</v>
      </c>
      <c r="L164" s="62">
        <v>0</v>
      </c>
      <c r="M164" s="60">
        <v>1935335</v>
      </c>
    </row>
    <row r="165" spans="1:14" ht="16" hidden="1" customHeight="1" outlineLevel="1" x14ac:dyDescent="0.45">
      <c r="A165" s="30" t="s">
        <v>201</v>
      </c>
      <c r="B165" s="46">
        <v>0</v>
      </c>
      <c r="C165" s="63">
        <v>0</v>
      </c>
      <c r="D165" s="63">
        <v>0</v>
      </c>
      <c r="E165" s="64">
        <v>0</v>
      </c>
      <c r="F165" s="63">
        <v>0</v>
      </c>
      <c r="G165" s="63">
        <v>0</v>
      </c>
      <c r="H165" s="65">
        <v>0</v>
      </c>
      <c r="I165" s="65">
        <v>0</v>
      </c>
      <c r="J165" s="65">
        <v>0</v>
      </c>
      <c r="K165" s="65">
        <v>0</v>
      </c>
      <c r="L165" s="65">
        <v>0</v>
      </c>
      <c r="M165" s="63">
        <v>0</v>
      </c>
      <c r="N165" s="1"/>
    </row>
    <row r="166" spans="1:14" ht="16" hidden="1" customHeight="1" outlineLevel="1" x14ac:dyDescent="0.45">
      <c r="A166" s="29" t="s">
        <v>79</v>
      </c>
      <c r="B166" s="44">
        <v>405095940</v>
      </c>
      <c r="C166" s="63">
        <v>3361500</v>
      </c>
      <c r="D166" s="63">
        <v>104311641</v>
      </c>
      <c r="E166" s="64">
        <v>297422799</v>
      </c>
      <c r="F166" s="63">
        <v>82083400</v>
      </c>
      <c r="G166" s="63">
        <v>96528120</v>
      </c>
      <c r="H166" s="65">
        <v>111638330</v>
      </c>
      <c r="I166" s="65">
        <v>1017237</v>
      </c>
      <c r="J166" s="65">
        <v>1017237</v>
      </c>
      <c r="K166" s="65">
        <v>3203140</v>
      </c>
      <c r="L166" s="65">
        <v>0</v>
      </c>
      <c r="M166" s="63">
        <v>1935335</v>
      </c>
      <c r="N166" s="1"/>
    </row>
    <row r="167" spans="1:14" ht="16" hidden="1" customHeight="1" outlineLevel="1" x14ac:dyDescent="0.45">
      <c r="A167" s="29" t="s">
        <v>202</v>
      </c>
      <c r="B167" s="44">
        <v>0</v>
      </c>
      <c r="C167" s="63">
        <v>0</v>
      </c>
      <c r="D167" s="63">
        <v>0</v>
      </c>
      <c r="E167" s="64">
        <v>0</v>
      </c>
      <c r="F167" s="63">
        <v>0</v>
      </c>
      <c r="G167" s="63">
        <v>0</v>
      </c>
      <c r="H167" s="65">
        <v>0</v>
      </c>
      <c r="I167" s="65">
        <v>0</v>
      </c>
      <c r="J167" s="65">
        <v>0</v>
      </c>
      <c r="K167" s="65">
        <v>0</v>
      </c>
      <c r="L167" s="65">
        <v>0</v>
      </c>
      <c r="M167" s="63">
        <v>0</v>
      </c>
      <c r="N167" s="1"/>
    </row>
    <row r="168" spans="1:14" ht="16" hidden="1" customHeight="1" outlineLevel="1" x14ac:dyDescent="0.45">
      <c r="A168" s="29" t="s">
        <v>203</v>
      </c>
      <c r="B168" s="44">
        <v>0</v>
      </c>
      <c r="C168" s="63">
        <v>0</v>
      </c>
      <c r="D168" s="63">
        <v>0</v>
      </c>
      <c r="E168" s="64">
        <v>0</v>
      </c>
      <c r="F168" s="63">
        <v>0</v>
      </c>
      <c r="G168" s="63">
        <v>0</v>
      </c>
      <c r="H168" s="65">
        <v>0</v>
      </c>
      <c r="I168" s="65">
        <v>0</v>
      </c>
      <c r="J168" s="65">
        <v>0</v>
      </c>
      <c r="K168" s="65">
        <v>0</v>
      </c>
      <c r="L168" s="65">
        <v>0</v>
      </c>
      <c r="M168" s="63">
        <v>0</v>
      </c>
      <c r="N168" s="1"/>
    </row>
    <row r="169" spans="1:14" ht="16" hidden="1" customHeight="1" outlineLevel="1" x14ac:dyDescent="0.45">
      <c r="A169" s="29" t="s">
        <v>204</v>
      </c>
      <c r="B169" s="44">
        <v>0</v>
      </c>
      <c r="C169" s="63">
        <v>0</v>
      </c>
      <c r="D169" s="63">
        <v>0</v>
      </c>
      <c r="E169" s="64">
        <v>0</v>
      </c>
      <c r="F169" s="63">
        <v>0</v>
      </c>
      <c r="G169" s="63">
        <v>0</v>
      </c>
      <c r="H169" s="65">
        <v>0</v>
      </c>
      <c r="I169" s="65">
        <v>0</v>
      </c>
      <c r="J169" s="65">
        <v>0</v>
      </c>
      <c r="K169" s="65">
        <v>0</v>
      </c>
      <c r="L169" s="65">
        <v>0</v>
      </c>
      <c r="M169" s="63">
        <v>0</v>
      </c>
      <c r="N169" s="1"/>
    </row>
    <row r="170" spans="1:14" ht="16" hidden="1" customHeight="1" outlineLevel="1" x14ac:dyDescent="0.45">
      <c r="A170" s="30" t="s">
        <v>205</v>
      </c>
      <c r="B170" s="46">
        <v>0</v>
      </c>
      <c r="C170" s="63">
        <v>0</v>
      </c>
      <c r="D170" s="63">
        <v>0</v>
      </c>
      <c r="E170" s="64">
        <v>0</v>
      </c>
      <c r="F170" s="63">
        <v>0</v>
      </c>
      <c r="G170" s="63">
        <v>0</v>
      </c>
      <c r="H170" s="65">
        <v>0</v>
      </c>
      <c r="I170" s="65">
        <v>0</v>
      </c>
      <c r="J170" s="65">
        <v>0</v>
      </c>
      <c r="K170" s="65">
        <v>0</v>
      </c>
      <c r="L170" s="65">
        <v>0</v>
      </c>
      <c r="M170" s="63">
        <v>0</v>
      </c>
      <c r="N170" s="1"/>
    </row>
    <row r="171" spans="1:14" s="1" customFormat="1" ht="16" hidden="1" customHeight="1" outlineLevel="1" collapsed="1" x14ac:dyDescent="0.45">
      <c r="A171" s="28" t="s">
        <v>80</v>
      </c>
      <c r="B171" s="43">
        <v>172332516</v>
      </c>
      <c r="C171" s="60">
        <v>13324995</v>
      </c>
      <c r="D171" s="60">
        <v>780556</v>
      </c>
      <c r="E171" s="61">
        <v>158226965</v>
      </c>
      <c r="F171" s="60">
        <v>154823523</v>
      </c>
      <c r="G171" s="60">
        <v>2444351</v>
      </c>
      <c r="H171" s="62">
        <v>450000</v>
      </c>
      <c r="I171" s="62">
        <v>0</v>
      </c>
      <c r="J171" s="62">
        <v>0</v>
      </c>
      <c r="K171" s="62">
        <v>0</v>
      </c>
      <c r="L171" s="62">
        <v>509091</v>
      </c>
      <c r="M171" s="60">
        <v>0</v>
      </c>
    </row>
    <row r="172" spans="1:14" ht="16" hidden="1" customHeight="1" outlineLevel="1" x14ac:dyDescent="0.45">
      <c r="A172" s="29" t="s">
        <v>81</v>
      </c>
      <c r="B172" s="44">
        <v>5281069</v>
      </c>
      <c r="C172" s="63">
        <v>1700909</v>
      </c>
      <c r="D172" s="63">
        <v>780556</v>
      </c>
      <c r="E172" s="64">
        <v>2799604</v>
      </c>
      <c r="F172" s="63">
        <v>744888</v>
      </c>
      <c r="G172" s="63">
        <v>1545625</v>
      </c>
      <c r="H172" s="65">
        <v>0</v>
      </c>
      <c r="I172" s="65">
        <v>0</v>
      </c>
      <c r="J172" s="65">
        <v>0</v>
      </c>
      <c r="K172" s="65">
        <v>0</v>
      </c>
      <c r="L172" s="65">
        <v>509091</v>
      </c>
      <c r="M172" s="63">
        <v>0</v>
      </c>
      <c r="N172" s="1"/>
    </row>
    <row r="173" spans="1:14" ht="16" hidden="1" customHeight="1" outlineLevel="1" x14ac:dyDescent="0.45">
      <c r="A173" s="29" t="s">
        <v>206</v>
      </c>
      <c r="B173" s="44">
        <v>7350000</v>
      </c>
      <c r="C173" s="63">
        <v>7350000</v>
      </c>
      <c r="D173" s="63">
        <v>0</v>
      </c>
      <c r="E173" s="64">
        <v>0</v>
      </c>
      <c r="F173" s="63">
        <v>0</v>
      </c>
      <c r="G173" s="63">
        <v>0</v>
      </c>
      <c r="H173" s="65">
        <v>0</v>
      </c>
      <c r="I173" s="65">
        <v>0</v>
      </c>
      <c r="J173" s="65">
        <v>0</v>
      </c>
      <c r="K173" s="65">
        <v>0</v>
      </c>
      <c r="L173" s="65">
        <v>0</v>
      </c>
      <c r="M173" s="63">
        <v>0</v>
      </c>
      <c r="N173" s="1"/>
    </row>
    <row r="174" spans="1:14" ht="16" hidden="1" customHeight="1" outlineLevel="1" x14ac:dyDescent="0.45">
      <c r="A174" s="29" t="s">
        <v>82</v>
      </c>
      <c r="B174" s="44">
        <v>9701447</v>
      </c>
      <c r="C174" s="63">
        <v>4274086</v>
      </c>
      <c r="D174" s="63">
        <v>0</v>
      </c>
      <c r="E174" s="64">
        <v>5427361</v>
      </c>
      <c r="F174" s="63">
        <v>4078635</v>
      </c>
      <c r="G174" s="63">
        <v>898726</v>
      </c>
      <c r="H174" s="65">
        <v>450000</v>
      </c>
      <c r="I174" s="65">
        <v>0</v>
      </c>
      <c r="J174" s="65">
        <v>0</v>
      </c>
      <c r="K174" s="65">
        <v>0</v>
      </c>
      <c r="L174" s="65">
        <v>0</v>
      </c>
      <c r="M174" s="63">
        <v>0</v>
      </c>
      <c r="N174" s="1"/>
    </row>
    <row r="175" spans="1:14" ht="16" hidden="1" customHeight="1" outlineLevel="1" x14ac:dyDescent="0.45">
      <c r="A175" s="29" t="s">
        <v>207</v>
      </c>
      <c r="B175" s="44">
        <v>0</v>
      </c>
      <c r="C175" s="63">
        <v>0</v>
      </c>
      <c r="D175" s="63">
        <v>0</v>
      </c>
      <c r="E175" s="64">
        <v>0</v>
      </c>
      <c r="F175" s="63">
        <v>0</v>
      </c>
      <c r="G175" s="63">
        <v>0</v>
      </c>
      <c r="H175" s="65">
        <v>0</v>
      </c>
      <c r="I175" s="65">
        <v>0</v>
      </c>
      <c r="J175" s="65">
        <v>0</v>
      </c>
      <c r="K175" s="65">
        <v>0</v>
      </c>
      <c r="L175" s="65">
        <v>0</v>
      </c>
      <c r="M175" s="63">
        <v>0</v>
      </c>
      <c r="N175" s="1"/>
    </row>
    <row r="176" spans="1:14" ht="16" hidden="1" customHeight="1" outlineLevel="1" x14ac:dyDescent="0.45">
      <c r="A176" s="29" t="s">
        <v>256</v>
      </c>
      <c r="B176" s="44">
        <v>0</v>
      </c>
      <c r="C176" s="63">
        <v>0</v>
      </c>
      <c r="D176" s="63">
        <v>0</v>
      </c>
      <c r="E176" s="64">
        <v>0</v>
      </c>
      <c r="F176" s="63">
        <v>0</v>
      </c>
      <c r="G176" s="63">
        <v>0</v>
      </c>
      <c r="H176" s="65">
        <v>0</v>
      </c>
      <c r="I176" s="65">
        <v>0</v>
      </c>
      <c r="J176" s="65">
        <v>0</v>
      </c>
      <c r="K176" s="65">
        <v>0</v>
      </c>
      <c r="L176" s="65">
        <v>0</v>
      </c>
      <c r="M176" s="63">
        <v>0</v>
      </c>
      <c r="N176" s="1"/>
    </row>
    <row r="177" spans="1:14" ht="16" hidden="1" customHeight="1" outlineLevel="1" x14ac:dyDescent="0.45">
      <c r="A177" s="29" t="s">
        <v>208</v>
      </c>
      <c r="B177" s="44">
        <v>150000000</v>
      </c>
      <c r="C177" s="63">
        <v>0</v>
      </c>
      <c r="D177" s="63">
        <v>0</v>
      </c>
      <c r="E177" s="64">
        <v>150000000</v>
      </c>
      <c r="F177" s="63">
        <v>150000000</v>
      </c>
      <c r="G177" s="63">
        <v>0</v>
      </c>
      <c r="H177" s="65">
        <v>0</v>
      </c>
      <c r="I177" s="65">
        <v>0</v>
      </c>
      <c r="J177" s="65">
        <v>0</v>
      </c>
      <c r="K177" s="65">
        <v>0</v>
      </c>
      <c r="L177" s="65">
        <v>0</v>
      </c>
      <c r="M177" s="63">
        <v>0</v>
      </c>
      <c r="N177" s="1"/>
    </row>
    <row r="178" spans="1:14" s="1" customFormat="1" collapsed="1" x14ac:dyDescent="0.45">
      <c r="A178" s="28" t="s">
        <v>146</v>
      </c>
      <c r="B178" s="43">
        <v>1284182</v>
      </c>
      <c r="C178" s="60">
        <v>1284182</v>
      </c>
      <c r="D178" s="60">
        <v>0</v>
      </c>
      <c r="E178" s="61">
        <v>0</v>
      </c>
      <c r="F178" s="60">
        <v>0</v>
      </c>
      <c r="G178" s="60">
        <v>0</v>
      </c>
      <c r="H178" s="62">
        <v>0</v>
      </c>
      <c r="I178" s="62">
        <v>0</v>
      </c>
      <c r="J178" s="62">
        <v>0</v>
      </c>
      <c r="K178" s="62">
        <v>0</v>
      </c>
      <c r="L178" s="62">
        <v>0</v>
      </c>
      <c r="M178" s="60">
        <v>0</v>
      </c>
    </row>
    <row r="179" spans="1:14" ht="16" hidden="1" customHeight="1" outlineLevel="1" x14ac:dyDescent="0.45">
      <c r="A179" s="29" t="s">
        <v>147</v>
      </c>
      <c r="B179" s="44">
        <v>1284182</v>
      </c>
      <c r="C179" s="63">
        <v>1284182</v>
      </c>
      <c r="D179" s="63">
        <v>0</v>
      </c>
      <c r="E179" s="64">
        <v>0</v>
      </c>
      <c r="F179" s="63">
        <v>0</v>
      </c>
      <c r="G179" s="63">
        <v>0</v>
      </c>
      <c r="H179" s="65">
        <v>0</v>
      </c>
      <c r="I179" s="65">
        <v>0</v>
      </c>
      <c r="J179" s="65">
        <v>0</v>
      </c>
      <c r="K179" s="65">
        <v>0</v>
      </c>
      <c r="L179" s="65">
        <v>0</v>
      </c>
      <c r="M179" s="63">
        <v>0</v>
      </c>
      <c r="N179" s="1"/>
    </row>
    <row r="180" spans="1:14" ht="16" hidden="1" customHeight="1" outlineLevel="1" x14ac:dyDescent="0.45">
      <c r="A180" s="29" t="s">
        <v>148</v>
      </c>
      <c r="B180" s="43">
        <v>0</v>
      </c>
      <c r="C180" s="63">
        <v>0</v>
      </c>
      <c r="D180" s="63">
        <v>0</v>
      </c>
      <c r="E180" s="64">
        <v>0</v>
      </c>
      <c r="F180" s="63">
        <v>0</v>
      </c>
      <c r="G180" s="63">
        <v>0</v>
      </c>
      <c r="H180" s="65">
        <v>0</v>
      </c>
      <c r="I180" s="65">
        <v>0</v>
      </c>
      <c r="J180" s="65">
        <v>0</v>
      </c>
      <c r="K180" s="65">
        <v>0</v>
      </c>
      <c r="L180" s="65">
        <v>0</v>
      </c>
      <c r="M180" s="63">
        <v>0</v>
      </c>
      <c r="N180" s="1"/>
    </row>
    <row r="181" spans="1:14" s="1" customFormat="1" collapsed="1" x14ac:dyDescent="0.45">
      <c r="A181" s="28" t="s">
        <v>83</v>
      </c>
      <c r="B181" s="43">
        <v>1047752578</v>
      </c>
      <c r="C181" s="60">
        <v>603621853.05862427</v>
      </c>
      <c r="D181" s="60">
        <v>23257618</v>
      </c>
      <c r="E181" s="61">
        <v>420873106.94137579</v>
      </c>
      <c r="F181" s="60">
        <v>240542349.1753546</v>
      </c>
      <c r="G181" s="60">
        <v>85859264.604534656</v>
      </c>
      <c r="H181" s="60">
        <v>21835385.220110733</v>
      </c>
      <c r="I181" s="60">
        <v>4261004.2107312316</v>
      </c>
      <c r="J181" s="60">
        <v>3123599.7992919446</v>
      </c>
      <c r="K181" s="60">
        <v>12034299.495012838</v>
      </c>
      <c r="L181" s="60">
        <v>40046811.436339863</v>
      </c>
      <c r="M181" s="60">
        <v>13170393</v>
      </c>
    </row>
    <row r="182" spans="1:14" s="1" customFormat="1" ht="16" hidden="1" customHeight="1" outlineLevel="1" x14ac:dyDescent="0.45">
      <c r="A182" s="29" t="s">
        <v>84</v>
      </c>
      <c r="B182" s="44">
        <v>94916011</v>
      </c>
      <c r="C182" s="63">
        <v>1488482</v>
      </c>
      <c r="D182" s="63">
        <v>634000</v>
      </c>
      <c r="E182" s="64">
        <v>92793529</v>
      </c>
      <c r="F182" s="63">
        <v>64380136</v>
      </c>
      <c r="G182" s="63">
        <v>15720900</v>
      </c>
      <c r="H182" s="63">
        <v>4429697</v>
      </c>
      <c r="I182" s="63">
        <v>199239.5</v>
      </c>
      <c r="J182" s="63">
        <v>201875.5</v>
      </c>
      <c r="K182" s="63">
        <v>2682080</v>
      </c>
      <c r="L182" s="63">
        <v>4951582</v>
      </c>
      <c r="M182" s="63">
        <v>228019</v>
      </c>
    </row>
    <row r="183" spans="1:14" ht="16" hidden="1" customHeight="1" outlineLevel="1" x14ac:dyDescent="0.45">
      <c r="A183" s="29" t="s">
        <v>149</v>
      </c>
      <c r="B183" s="44">
        <v>2469738</v>
      </c>
      <c r="C183" s="63">
        <v>2469738</v>
      </c>
      <c r="D183" s="63">
        <v>0</v>
      </c>
      <c r="E183" s="64">
        <v>0</v>
      </c>
      <c r="F183" s="63">
        <v>0</v>
      </c>
      <c r="G183" s="63">
        <v>0</v>
      </c>
      <c r="H183" s="63">
        <v>0</v>
      </c>
      <c r="I183" s="63">
        <v>0</v>
      </c>
      <c r="J183" s="63">
        <v>0</v>
      </c>
      <c r="K183" s="63">
        <v>0</v>
      </c>
      <c r="L183" s="63">
        <v>0</v>
      </c>
      <c r="M183" s="63">
        <v>0</v>
      </c>
      <c r="N183" s="1"/>
    </row>
    <row r="184" spans="1:14" ht="16" hidden="1" customHeight="1" outlineLevel="1" x14ac:dyDescent="0.45">
      <c r="A184" s="29" t="s">
        <v>85</v>
      </c>
      <c r="B184" s="44">
        <v>37112410</v>
      </c>
      <c r="C184" s="63">
        <v>12649915.602263339</v>
      </c>
      <c r="D184" s="63">
        <v>4192215</v>
      </c>
      <c r="E184" s="64">
        <v>20270279.397736661</v>
      </c>
      <c r="F184" s="63">
        <v>10364187.23046995</v>
      </c>
      <c r="G184" s="63">
        <v>4219347.5494193183</v>
      </c>
      <c r="H184" s="63">
        <v>713864.22011073236</v>
      </c>
      <c r="I184" s="63">
        <v>188992.01975918183</v>
      </c>
      <c r="J184" s="63">
        <v>189415.40246421832</v>
      </c>
      <c r="K184" s="63">
        <v>963772.08948214527</v>
      </c>
      <c r="L184" s="63">
        <v>2831779.8860311159</v>
      </c>
      <c r="M184" s="63">
        <v>798921</v>
      </c>
      <c r="N184" s="1"/>
    </row>
    <row r="185" spans="1:14" ht="16" hidden="1" customHeight="1" outlineLevel="1" x14ac:dyDescent="0.45">
      <c r="A185" s="29" t="s">
        <v>86</v>
      </c>
      <c r="B185" s="44">
        <v>6937583</v>
      </c>
      <c r="C185" s="63">
        <v>1212459</v>
      </c>
      <c r="D185" s="63">
        <v>0</v>
      </c>
      <c r="E185" s="64">
        <v>5725124</v>
      </c>
      <c r="F185" s="63">
        <v>4294406</v>
      </c>
      <c r="G185" s="63">
        <v>1430718</v>
      </c>
      <c r="H185" s="63">
        <v>0</v>
      </c>
      <c r="I185" s="63">
        <v>0</v>
      </c>
      <c r="J185" s="63">
        <v>0</v>
      </c>
      <c r="K185" s="63">
        <v>0</v>
      </c>
      <c r="L185" s="63">
        <v>0</v>
      </c>
      <c r="M185" s="63">
        <v>0</v>
      </c>
      <c r="N185" s="1"/>
    </row>
    <row r="186" spans="1:14" ht="16" hidden="1" customHeight="1" outlineLevel="1" x14ac:dyDescent="0.45">
      <c r="A186" s="29" t="s">
        <v>150</v>
      </c>
      <c r="B186" s="44">
        <v>8898198</v>
      </c>
      <c r="C186" s="63">
        <v>3595016</v>
      </c>
      <c r="D186" s="63">
        <v>0</v>
      </c>
      <c r="E186" s="64">
        <v>5303182</v>
      </c>
      <c r="F186" s="63">
        <v>3634905</v>
      </c>
      <c r="G186" s="63">
        <v>31002</v>
      </c>
      <c r="H186" s="63">
        <v>0</v>
      </c>
      <c r="I186" s="63">
        <v>0</v>
      </c>
      <c r="J186" s="63">
        <v>0</v>
      </c>
      <c r="K186" s="63">
        <v>0</v>
      </c>
      <c r="L186" s="63">
        <v>1637275</v>
      </c>
      <c r="M186" s="63">
        <v>0</v>
      </c>
      <c r="N186" s="1"/>
    </row>
    <row r="187" spans="1:14" s="1" customFormat="1" ht="16" hidden="1" customHeight="1" outlineLevel="1" x14ac:dyDescent="0.45">
      <c r="A187" s="29" t="s">
        <v>87</v>
      </c>
      <c r="B187" s="44">
        <v>8064391</v>
      </c>
      <c r="C187" s="63">
        <v>423275</v>
      </c>
      <c r="D187" s="63">
        <v>481818</v>
      </c>
      <c r="E187" s="64">
        <v>7159298</v>
      </c>
      <c r="F187" s="63">
        <v>6122717</v>
      </c>
      <c r="G187" s="63">
        <v>1036581</v>
      </c>
      <c r="H187" s="63">
        <v>0</v>
      </c>
      <c r="I187" s="63">
        <v>0</v>
      </c>
      <c r="J187" s="63">
        <v>0</v>
      </c>
      <c r="K187" s="63">
        <v>0</v>
      </c>
      <c r="L187" s="63">
        <v>0</v>
      </c>
      <c r="M187" s="63">
        <v>0</v>
      </c>
    </row>
    <row r="188" spans="1:14" ht="16" hidden="1" customHeight="1" outlineLevel="1" x14ac:dyDescent="0.45">
      <c r="A188" s="29" t="s">
        <v>88</v>
      </c>
      <c r="B188" s="44">
        <v>709568218</v>
      </c>
      <c r="C188" s="63">
        <v>565208255.45636082</v>
      </c>
      <c r="D188" s="63">
        <v>17698618</v>
      </c>
      <c r="E188" s="64">
        <v>126661344.54363921</v>
      </c>
      <c r="F188" s="63">
        <v>29231201.276110649</v>
      </c>
      <c r="G188" s="63">
        <v>56616848.723889351</v>
      </c>
      <c r="H188" s="63">
        <v>16391825</v>
      </c>
      <c r="I188" s="63">
        <v>526637.19097205019</v>
      </c>
      <c r="J188" s="63">
        <v>526945.39682772628</v>
      </c>
      <c r="K188" s="63">
        <v>4449472.4055306921</v>
      </c>
      <c r="L188" s="63">
        <v>8813906.5503087454</v>
      </c>
      <c r="M188" s="63">
        <v>10104508</v>
      </c>
      <c r="N188" s="1"/>
    </row>
    <row r="189" spans="1:14" ht="16" hidden="1" customHeight="1" outlineLevel="1" x14ac:dyDescent="0.45">
      <c r="A189" s="24" t="s">
        <v>89</v>
      </c>
      <c r="B189" s="45">
        <v>176458804</v>
      </c>
      <c r="C189" s="63">
        <v>16219795</v>
      </c>
      <c r="D189" s="63">
        <v>0</v>
      </c>
      <c r="E189" s="64">
        <v>160239009</v>
      </c>
      <c r="F189" s="63">
        <v>121084782.66877401</v>
      </c>
      <c r="G189" s="63">
        <v>5924538.3312259857</v>
      </c>
      <c r="H189" s="63">
        <v>0</v>
      </c>
      <c r="I189" s="63">
        <v>3346135.5</v>
      </c>
      <c r="J189" s="63">
        <v>2205363.5</v>
      </c>
      <c r="K189" s="63">
        <v>3938975</v>
      </c>
      <c r="L189" s="63">
        <v>21700269</v>
      </c>
      <c r="M189" s="63">
        <v>2038945</v>
      </c>
      <c r="N189" s="1"/>
    </row>
    <row r="190" spans="1:14" ht="16" hidden="1" customHeight="1" outlineLevel="1" x14ac:dyDescent="0.45">
      <c r="A190" s="29" t="s">
        <v>209</v>
      </c>
      <c r="B190" s="44">
        <v>0</v>
      </c>
      <c r="C190" s="63">
        <v>0</v>
      </c>
      <c r="D190" s="63">
        <v>0</v>
      </c>
      <c r="E190" s="64">
        <v>0</v>
      </c>
      <c r="F190" s="63">
        <v>0</v>
      </c>
      <c r="G190" s="63">
        <v>0</v>
      </c>
      <c r="H190" s="63">
        <v>0</v>
      </c>
      <c r="I190" s="63">
        <v>0</v>
      </c>
      <c r="J190" s="63">
        <v>0</v>
      </c>
      <c r="K190" s="63">
        <v>0</v>
      </c>
      <c r="L190" s="63">
        <v>0</v>
      </c>
      <c r="M190" s="63">
        <v>0</v>
      </c>
      <c r="N190" s="1"/>
    </row>
    <row r="191" spans="1:14" ht="16" hidden="1" customHeight="1" outlineLevel="1" x14ac:dyDescent="0.45">
      <c r="A191" s="29" t="s">
        <v>90</v>
      </c>
      <c r="B191" s="44">
        <v>3327225</v>
      </c>
      <c r="C191" s="63">
        <v>354917</v>
      </c>
      <c r="D191" s="63">
        <v>250967</v>
      </c>
      <c r="E191" s="64">
        <v>2721341</v>
      </c>
      <c r="F191" s="63">
        <v>1430014</v>
      </c>
      <c r="G191" s="63">
        <v>879329</v>
      </c>
      <c r="H191" s="63">
        <v>299999</v>
      </c>
      <c r="I191" s="63">
        <v>0</v>
      </c>
      <c r="J191" s="63">
        <v>0</v>
      </c>
      <c r="K191" s="63">
        <v>0</v>
      </c>
      <c r="L191" s="63">
        <v>111999</v>
      </c>
      <c r="M191" s="63">
        <v>0</v>
      </c>
      <c r="N191" s="1"/>
    </row>
    <row r="192" spans="1:14" ht="16" hidden="1" customHeight="1" outlineLevel="1" x14ac:dyDescent="0.45">
      <c r="A192" s="30" t="s">
        <v>151</v>
      </c>
      <c r="B192" s="46">
        <v>0</v>
      </c>
      <c r="C192" s="63">
        <v>0</v>
      </c>
      <c r="D192" s="63">
        <v>0</v>
      </c>
      <c r="E192" s="64">
        <v>0</v>
      </c>
      <c r="F192" s="63">
        <v>0</v>
      </c>
      <c r="G192" s="63">
        <v>0</v>
      </c>
      <c r="H192" s="63">
        <v>0</v>
      </c>
      <c r="I192" s="63">
        <v>0</v>
      </c>
      <c r="J192" s="63">
        <v>0</v>
      </c>
      <c r="K192" s="63">
        <v>0</v>
      </c>
      <c r="L192" s="63">
        <v>0</v>
      </c>
      <c r="M192" s="63">
        <v>0</v>
      </c>
      <c r="N192" s="1"/>
    </row>
    <row r="193" spans="1:14" s="1" customFormat="1" collapsed="1" x14ac:dyDescent="0.45">
      <c r="A193" s="28" t="s">
        <v>91</v>
      </c>
      <c r="B193" s="43">
        <v>144546574</v>
      </c>
      <c r="C193" s="60">
        <v>52666089</v>
      </c>
      <c r="D193" s="60">
        <v>1581038</v>
      </c>
      <c r="E193" s="61">
        <v>90299447</v>
      </c>
      <c r="F193" s="60">
        <v>78680199.492733419</v>
      </c>
      <c r="G193" s="60">
        <v>7134411.5072665736</v>
      </c>
      <c r="H193" s="60">
        <v>1001660</v>
      </c>
      <c r="I193" s="60">
        <v>56243</v>
      </c>
      <c r="J193" s="60">
        <v>56243</v>
      </c>
      <c r="K193" s="60">
        <v>1035615</v>
      </c>
      <c r="L193" s="60">
        <v>2194778</v>
      </c>
      <c r="M193" s="60">
        <v>140297</v>
      </c>
    </row>
    <row r="194" spans="1:14" ht="16" hidden="1" customHeight="1" outlineLevel="1" x14ac:dyDescent="0.45">
      <c r="A194" s="29" t="s">
        <v>92</v>
      </c>
      <c r="B194" s="44">
        <v>36691749</v>
      </c>
      <c r="C194" s="63">
        <v>2134064</v>
      </c>
      <c r="D194" s="63">
        <v>222940</v>
      </c>
      <c r="E194" s="64">
        <v>34334745</v>
      </c>
      <c r="F194" s="63">
        <v>27656210.808022685</v>
      </c>
      <c r="G194" s="63">
        <v>4284804.1919773137</v>
      </c>
      <c r="H194" s="63">
        <v>206500</v>
      </c>
      <c r="I194" s="63">
        <v>29450</v>
      </c>
      <c r="J194" s="63">
        <v>29450</v>
      </c>
      <c r="K194" s="63">
        <v>667740</v>
      </c>
      <c r="L194" s="63">
        <v>1349110</v>
      </c>
      <c r="M194" s="63">
        <v>111480</v>
      </c>
      <c r="N194" s="1"/>
    </row>
    <row r="195" spans="1:14" ht="16" hidden="1" customHeight="1" outlineLevel="1" x14ac:dyDescent="0.45">
      <c r="A195" s="29" t="s">
        <v>93</v>
      </c>
      <c r="B195" s="44">
        <v>86364256</v>
      </c>
      <c r="C195" s="63">
        <v>48992600</v>
      </c>
      <c r="D195" s="63">
        <v>3652</v>
      </c>
      <c r="E195" s="64">
        <v>37368004</v>
      </c>
      <c r="F195" s="63">
        <v>36286656</v>
      </c>
      <c r="G195" s="63">
        <v>424000</v>
      </c>
      <c r="H195" s="63">
        <v>630778</v>
      </c>
      <c r="I195" s="63">
        <v>5747.5</v>
      </c>
      <c r="J195" s="63">
        <v>5747.5</v>
      </c>
      <c r="K195" s="63">
        <v>15075</v>
      </c>
      <c r="L195" s="63">
        <v>0</v>
      </c>
      <c r="M195" s="63">
        <v>0</v>
      </c>
      <c r="N195" s="1"/>
    </row>
    <row r="196" spans="1:14" ht="16" hidden="1" customHeight="1" outlineLevel="1" x14ac:dyDescent="0.45">
      <c r="A196" s="29" t="s">
        <v>94</v>
      </c>
      <c r="B196" s="44">
        <v>21490569</v>
      </c>
      <c r="C196" s="63">
        <v>1539425</v>
      </c>
      <c r="D196" s="63">
        <v>1354446</v>
      </c>
      <c r="E196" s="64">
        <v>18596698</v>
      </c>
      <c r="F196" s="63">
        <v>14737332.684710741</v>
      </c>
      <c r="G196" s="63">
        <v>2425607.3152892599</v>
      </c>
      <c r="H196" s="63">
        <v>164382</v>
      </c>
      <c r="I196" s="63">
        <v>21045.5</v>
      </c>
      <c r="J196" s="63">
        <v>21045.5</v>
      </c>
      <c r="K196" s="63">
        <v>352800</v>
      </c>
      <c r="L196" s="63">
        <v>845668</v>
      </c>
      <c r="M196" s="63">
        <v>28817</v>
      </c>
      <c r="N196" s="1"/>
    </row>
    <row r="197" spans="1:14" ht="16" hidden="1" customHeight="1" outlineLevel="1" x14ac:dyDescent="0.45">
      <c r="A197" s="29" t="s">
        <v>210</v>
      </c>
      <c r="B197" s="44">
        <v>0</v>
      </c>
      <c r="C197" s="63">
        <v>0</v>
      </c>
      <c r="D197" s="63">
        <v>0</v>
      </c>
      <c r="E197" s="64">
        <v>0</v>
      </c>
      <c r="F197" s="63">
        <v>0</v>
      </c>
      <c r="G197" s="63">
        <v>0</v>
      </c>
      <c r="H197" s="63">
        <v>0</v>
      </c>
      <c r="I197" s="63">
        <v>0</v>
      </c>
      <c r="J197" s="63">
        <v>0</v>
      </c>
      <c r="K197" s="63">
        <v>0</v>
      </c>
      <c r="L197" s="63">
        <v>0</v>
      </c>
      <c r="M197" s="63">
        <v>0</v>
      </c>
      <c r="N197" s="1"/>
    </row>
    <row r="198" spans="1:14" s="1" customFormat="1" ht="16" hidden="1" customHeight="1" outlineLevel="1" x14ac:dyDescent="0.45">
      <c r="A198" s="24" t="s">
        <v>211</v>
      </c>
      <c r="B198" s="45">
        <v>0</v>
      </c>
      <c r="C198" s="63">
        <v>0</v>
      </c>
      <c r="D198" s="63">
        <v>0</v>
      </c>
      <c r="E198" s="64">
        <v>0</v>
      </c>
      <c r="F198" s="63">
        <v>0</v>
      </c>
      <c r="G198" s="63">
        <v>0</v>
      </c>
      <c r="H198" s="63">
        <v>0</v>
      </c>
      <c r="I198" s="63">
        <v>0</v>
      </c>
      <c r="J198" s="63">
        <v>0</v>
      </c>
      <c r="K198" s="63">
        <v>0</v>
      </c>
      <c r="L198" s="63">
        <v>0</v>
      </c>
      <c r="M198" s="63">
        <v>0</v>
      </c>
    </row>
    <row r="199" spans="1:14" s="1" customFormat="1" collapsed="1" x14ac:dyDescent="0.45">
      <c r="A199" s="28" t="s">
        <v>95</v>
      </c>
      <c r="B199" s="43">
        <v>2977658379</v>
      </c>
      <c r="C199" s="69">
        <v>1282442532</v>
      </c>
      <c r="D199" s="69">
        <v>75185715</v>
      </c>
      <c r="E199" s="61">
        <v>1620030132</v>
      </c>
      <c r="F199" s="60">
        <v>294181048.39098549</v>
      </c>
      <c r="G199" s="60">
        <v>611321208.60901451</v>
      </c>
      <c r="H199" s="70">
        <v>266513795</v>
      </c>
      <c r="I199" s="70">
        <v>956553.5</v>
      </c>
      <c r="J199" s="70">
        <v>956553.5</v>
      </c>
      <c r="K199" s="70">
        <v>17473666</v>
      </c>
      <c r="L199" s="70">
        <v>15110529</v>
      </c>
      <c r="M199" s="60">
        <v>413516778</v>
      </c>
    </row>
    <row r="200" spans="1:14" ht="16" hidden="1" customHeight="1" outlineLevel="1" x14ac:dyDescent="0.45">
      <c r="A200" s="29" t="s">
        <v>152</v>
      </c>
      <c r="B200" s="44">
        <v>532663107</v>
      </c>
      <c r="C200" s="71">
        <v>532649562</v>
      </c>
      <c r="D200" s="71">
        <v>0</v>
      </c>
      <c r="E200" s="64">
        <v>13545</v>
      </c>
      <c r="F200" s="63">
        <v>0</v>
      </c>
      <c r="G200" s="63">
        <v>0</v>
      </c>
      <c r="H200" s="32">
        <v>0</v>
      </c>
      <c r="I200" s="32">
        <v>0</v>
      </c>
      <c r="J200" s="32">
        <v>0</v>
      </c>
      <c r="K200" s="32">
        <v>0</v>
      </c>
      <c r="L200" s="32">
        <v>0</v>
      </c>
      <c r="M200" s="63">
        <v>13545</v>
      </c>
      <c r="N200" s="1"/>
    </row>
    <row r="201" spans="1:14" ht="16" hidden="1" customHeight="1" outlineLevel="1" x14ac:dyDescent="0.45">
      <c r="A201" s="29" t="s">
        <v>153</v>
      </c>
      <c r="B201" s="44">
        <v>763386573</v>
      </c>
      <c r="C201" s="71">
        <v>225967983</v>
      </c>
      <c r="D201" s="71">
        <v>27437528</v>
      </c>
      <c r="E201" s="64">
        <v>509981062</v>
      </c>
      <c r="F201" s="63">
        <v>2100697.9845267944</v>
      </c>
      <c r="G201" s="63">
        <v>4049439.0154732056</v>
      </c>
      <c r="H201" s="32">
        <v>92187817</v>
      </c>
      <c r="I201" s="32">
        <v>78823.5</v>
      </c>
      <c r="J201" s="32">
        <v>78823.5</v>
      </c>
      <c r="K201" s="32">
        <v>3653824</v>
      </c>
      <c r="L201" s="32">
        <v>5152529</v>
      </c>
      <c r="M201" s="63">
        <v>402679108</v>
      </c>
      <c r="N201" s="1"/>
    </row>
    <row r="202" spans="1:14" ht="16" hidden="1" customHeight="1" outlineLevel="1" x14ac:dyDescent="0.45">
      <c r="A202" s="29" t="s">
        <v>117</v>
      </c>
      <c r="B202" s="44">
        <v>68211440</v>
      </c>
      <c r="C202" s="71">
        <v>67129940</v>
      </c>
      <c r="D202" s="71">
        <v>0</v>
      </c>
      <c r="E202" s="64">
        <v>1081500</v>
      </c>
      <c r="F202" s="63">
        <v>0</v>
      </c>
      <c r="G202" s="63">
        <v>1081500</v>
      </c>
      <c r="H202" s="32">
        <v>0</v>
      </c>
      <c r="I202" s="32">
        <v>0</v>
      </c>
      <c r="J202" s="32">
        <v>0</v>
      </c>
      <c r="K202" s="32">
        <v>0</v>
      </c>
      <c r="L202" s="32">
        <v>0</v>
      </c>
      <c r="M202" s="63">
        <v>0</v>
      </c>
      <c r="N202" s="1"/>
    </row>
    <row r="203" spans="1:14" ht="16" hidden="1" customHeight="1" outlineLevel="1" x14ac:dyDescent="0.45">
      <c r="A203" s="29" t="s">
        <v>154</v>
      </c>
      <c r="B203" s="44">
        <v>245210</v>
      </c>
      <c r="C203" s="71">
        <v>242666</v>
      </c>
      <c r="D203" s="71">
        <v>2544</v>
      </c>
      <c r="E203" s="64">
        <v>0</v>
      </c>
      <c r="F203" s="63">
        <v>0</v>
      </c>
      <c r="G203" s="63">
        <v>0</v>
      </c>
      <c r="H203" s="32">
        <v>0</v>
      </c>
      <c r="I203" s="32">
        <v>0</v>
      </c>
      <c r="J203" s="32">
        <v>0</v>
      </c>
      <c r="K203" s="32">
        <v>0</v>
      </c>
      <c r="L203" s="32">
        <v>0</v>
      </c>
      <c r="M203" s="63">
        <v>0</v>
      </c>
      <c r="N203" s="1"/>
    </row>
    <row r="204" spans="1:14" ht="16" hidden="1" customHeight="1" outlineLevel="1" x14ac:dyDescent="0.45">
      <c r="A204" s="29" t="s">
        <v>96</v>
      </c>
      <c r="B204" s="44">
        <v>29075625</v>
      </c>
      <c r="C204" s="71">
        <v>791999.99999999627</v>
      </c>
      <c r="D204" s="71">
        <v>180000</v>
      </c>
      <c r="E204" s="64">
        <v>28103625.000000004</v>
      </c>
      <c r="F204" s="63">
        <v>23734941.626678377</v>
      </c>
      <c r="G204" s="63">
        <v>3983231.3733216249</v>
      </c>
      <c r="H204" s="32">
        <v>0</v>
      </c>
      <c r="I204" s="32">
        <v>0</v>
      </c>
      <c r="J204" s="32">
        <v>0</v>
      </c>
      <c r="K204" s="32">
        <v>187452</v>
      </c>
      <c r="L204" s="32">
        <v>128000</v>
      </c>
      <c r="M204" s="63">
        <v>70000</v>
      </c>
      <c r="N204" s="1"/>
    </row>
    <row r="205" spans="1:14" ht="16" hidden="1" customHeight="1" outlineLevel="1" x14ac:dyDescent="0.45">
      <c r="A205" s="29" t="s">
        <v>97</v>
      </c>
      <c r="B205" s="44">
        <v>40400</v>
      </c>
      <c r="C205" s="71">
        <v>13500</v>
      </c>
      <c r="D205" s="71">
        <v>0</v>
      </c>
      <c r="E205" s="64">
        <v>26900</v>
      </c>
      <c r="F205" s="63">
        <v>26900</v>
      </c>
      <c r="G205" s="63">
        <v>0</v>
      </c>
      <c r="H205" s="32">
        <v>0</v>
      </c>
      <c r="I205" s="32">
        <v>0</v>
      </c>
      <c r="J205" s="32">
        <v>0</v>
      </c>
      <c r="K205" s="32">
        <v>0</v>
      </c>
      <c r="L205" s="32">
        <v>0</v>
      </c>
      <c r="M205" s="63">
        <v>0</v>
      </c>
      <c r="N205" s="1"/>
    </row>
    <row r="206" spans="1:14" ht="16" hidden="1" customHeight="1" outlineLevel="1" x14ac:dyDescent="0.45">
      <c r="A206" s="29" t="s">
        <v>98</v>
      </c>
      <c r="B206" s="44">
        <v>1023107999</v>
      </c>
      <c r="C206" s="71">
        <v>291179683</v>
      </c>
      <c r="D206" s="71">
        <v>0</v>
      </c>
      <c r="E206" s="64">
        <v>731928316</v>
      </c>
      <c r="F206" s="63">
        <v>134076316</v>
      </c>
      <c r="G206" s="63">
        <v>578192000</v>
      </c>
      <c r="H206" s="32">
        <v>0</v>
      </c>
      <c r="I206" s="32">
        <v>0</v>
      </c>
      <c r="J206" s="32">
        <v>0</v>
      </c>
      <c r="K206" s="32">
        <v>9830000</v>
      </c>
      <c r="L206" s="32">
        <v>9830000</v>
      </c>
      <c r="M206" s="63">
        <v>0</v>
      </c>
      <c r="N206" s="1"/>
    </row>
    <row r="207" spans="1:14" ht="16" hidden="1" customHeight="1" outlineLevel="1" x14ac:dyDescent="0.45">
      <c r="A207" s="29" t="s">
        <v>99</v>
      </c>
      <c r="B207" s="44">
        <v>378666122</v>
      </c>
      <c r="C207" s="71">
        <v>143109228</v>
      </c>
      <c r="D207" s="71">
        <v>100600</v>
      </c>
      <c r="E207" s="64">
        <v>235456294</v>
      </c>
      <c r="F207" s="63">
        <v>107058720.04678936</v>
      </c>
      <c r="G207" s="63">
        <v>19169540.95321063</v>
      </c>
      <c r="H207" s="32">
        <v>101237598</v>
      </c>
      <c r="I207" s="32">
        <v>0</v>
      </c>
      <c r="J207" s="32">
        <v>0</v>
      </c>
      <c r="K207" s="32">
        <v>679700</v>
      </c>
      <c r="L207" s="32">
        <v>0</v>
      </c>
      <c r="M207" s="63">
        <v>7310735</v>
      </c>
      <c r="N207" s="1"/>
    </row>
    <row r="208" spans="1:14" ht="16" hidden="1" customHeight="1" outlineLevel="1" x14ac:dyDescent="0.45">
      <c r="A208" s="29" t="s">
        <v>155</v>
      </c>
      <c r="B208" s="44">
        <v>6770960</v>
      </c>
      <c r="C208" s="71">
        <v>6770960</v>
      </c>
      <c r="D208" s="71">
        <v>0</v>
      </c>
      <c r="E208" s="64">
        <v>0</v>
      </c>
      <c r="F208" s="63">
        <v>0</v>
      </c>
      <c r="G208" s="63">
        <v>0</v>
      </c>
      <c r="H208" s="32">
        <v>0</v>
      </c>
      <c r="I208" s="32">
        <v>0</v>
      </c>
      <c r="J208" s="32">
        <v>0</v>
      </c>
      <c r="K208" s="32">
        <v>0</v>
      </c>
      <c r="L208" s="32">
        <v>0</v>
      </c>
      <c r="M208" s="63">
        <v>0</v>
      </c>
      <c r="N208" s="1"/>
    </row>
    <row r="209" spans="1:14" ht="16" hidden="1" customHeight="1" outlineLevel="1" x14ac:dyDescent="0.45">
      <c r="A209" s="29" t="s">
        <v>100</v>
      </c>
      <c r="B209" s="44">
        <v>175143670</v>
      </c>
      <c r="C209" s="71">
        <v>14587010</v>
      </c>
      <c r="D209" s="71">
        <v>47465043</v>
      </c>
      <c r="E209" s="64">
        <v>113091617</v>
      </c>
      <c r="F209" s="63">
        <v>27183472.732990954</v>
      </c>
      <c r="G209" s="63">
        <v>4845497.267009045</v>
      </c>
      <c r="H209" s="32">
        <v>73088380</v>
      </c>
      <c r="I209" s="32">
        <v>877730</v>
      </c>
      <c r="J209" s="32">
        <v>877730</v>
      </c>
      <c r="K209" s="32">
        <v>2775417</v>
      </c>
      <c r="L209" s="32">
        <v>0</v>
      </c>
      <c r="M209" s="63">
        <v>3443390</v>
      </c>
      <c r="N209" s="1"/>
    </row>
    <row r="210" spans="1:14" ht="16" hidden="1" customHeight="1" outlineLevel="1" x14ac:dyDescent="0.45">
      <c r="A210" s="24" t="s">
        <v>212</v>
      </c>
      <c r="B210" s="45">
        <v>0</v>
      </c>
      <c r="C210" s="71">
        <v>0</v>
      </c>
      <c r="D210" s="71">
        <v>0</v>
      </c>
      <c r="E210" s="64">
        <v>0</v>
      </c>
      <c r="F210" s="63">
        <v>0</v>
      </c>
      <c r="G210" s="63">
        <v>0</v>
      </c>
      <c r="H210" s="32">
        <v>0</v>
      </c>
      <c r="I210" s="32">
        <v>0</v>
      </c>
      <c r="J210" s="32">
        <v>0</v>
      </c>
      <c r="K210" s="32">
        <v>0</v>
      </c>
      <c r="L210" s="32">
        <v>0</v>
      </c>
      <c r="M210" s="63">
        <v>0</v>
      </c>
      <c r="N210" s="1"/>
    </row>
    <row r="211" spans="1:14" ht="16" hidden="1" customHeight="1" outlineLevel="1" x14ac:dyDescent="0.45">
      <c r="A211" s="29" t="s">
        <v>213</v>
      </c>
      <c r="B211" s="44">
        <v>0</v>
      </c>
      <c r="C211" s="71">
        <v>0</v>
      </c>
      <c r="D211" s="71">
        <v>0</v>
      </c>
      <c r="E211" s="64">
        <v>0</v>
      </c>
      <c r="F211" s="63">
        <v>0</v>
      </c>
      <c r="G211" s="63">
        <v>0</v>
      </c>
      <c r="H211" s="32">
        <v>0</v>
      </c>
      <c r="I211" s="32">
        <v>0</v>
      </c>
      <c r="J211" s="32">
        <v>0</v>
      </c>
      <c r="K211" s="32">
        <v>0</v>
      </c>
      <c r="L211" s="32">
        <v>0</v>
      </c>
      <c r="M211" s="63">
        <v>0</v>
      </c>
      <c r="N211" s="1"/>
    </row>
    <row r="212" spans="1:14" ht="16" hidden="1" customHeight="1" outlineLevel="1" x14ac:dyDescent="0.45">
      <c r="A212" s="24" t="s">
        <v>214</v>
      </c>
      <c r="B212" s="45">
        <v>0</v>
      </c>
      <c r="C212" s="71">
        <v>0</v>
      </c>
      <c r="D212" s="71">
        <v>0</v>
      </c>
      <c r="E212" s="64">
        <v>0</v>
      </c>
      <c r="F212" s="63">
        <v>0</v>
      </c>
      <c r="G212" s="63">
        <v>0</v>
      </c>
      <c r="H212" s="32">
        <v>0</v>
      </c>
      <c r="I212" s="32">
        <v>0</v>
      </c>
      <c r="J212" s="32">
        <v>0</v>
      </c>
      <c r="K212" s="32">
        <v>0</v>
      </c>
      <c r="L212" s="32">
        <v>0</v>
      </c>
      <c r="M212" s="63">
        <v>0</v>
      </c>
      <c r="N212" s="1"/>
    </row>
    <row r="213" spans="1:14" ht="16" hidden="1" customHeight="1" outlineLevel="1" x14ac:dyDescent="0.45">
      <c r="A213" s="29" t="s">
        <v>215</v>
      </c>
      <c r="B213" s="44">
        <v>0</v>
      </c>
      <c r="C213" s="71">
        <v>0</v>
      </c>
      <c r="D213" s="71">
        <v>0</v>
      </c>
      <c r="E213" s="64">
        <v>0</v>
      </c>
      <c r="F213" s="63">
        <v>0</v>
      </c>
      <c r="G213" s="63">
        <v>0</v>
      </c>
      <c r="H213" s="32">
        <v>0</v>
      </c>
      <c r="I213" s="32">
        <v>0</v>
      </c>
      <c r="J213" s="32">
        <v>0</v>
      </c>
      <c r="K213" s="32">
        <v>0</v>
      </c>
      <c r="L213" s="32">
        <v>0</v>
      </c>
      <c r="M213" s="63">
        <v>0</v>
      </c>
      <c r="N213" s="1"/>
    </row>
    <row r="214" spans="1:14" ht="16" hidden="1" customHeight="1" outlineLevel="1" x14ac:dyDescent="0.45">
      <c r="A214" s="29" t="s">
        <v>257</v>
      </c>
      <c r="B214" s="44">
        <v>347273</v>
      </c>
      <c r="C214" s="71">
        <v>0</v>
      </c>
      <c r="D214" s="71">
        <v>0</v>
      </c>
      <c r="E214" s="64">
        <v>347273</v>
      </c>
      <c r="F214" s="63">
        <v>0</v>
      </c>
      <c r="G214" s="63">
        <v>0</v>
      </c>
      <c r="H214" s="32">
        <v>0</v>
      </c>
      <c r="I214" s="32">
        <v>0</v>
      </c>
      <c r="J214" s="32">
        <v>0</v>
      </c>
      <c r="K214" s="32">
        <v>347273</v>
      </c>
      <c r="L214" s="32">
        <v>0</v>
      </c>
      <c r="M214" s="63">
        <v>0</v>
      </c>
      <c r="N214" s="1"/>
    </row>
    <row r="215" spans="1:14" s="1" customFormat="1" collapsed="1" x14ac:dyDescent="0.45">
      <c r="A215" s="28" t="s">
        <v>156</v>
      </c>
      <c r="B215" s="43">
        <v>98890000</v>
      </c>
      <c r="C215" s="69">
        <v>0</v>
      </c>
      <c r="D215" s="69">
        <v>0</v>
      </c>
      <c r="E215" s="61">
        <v>98890000</v>
      </c>
      <c r="F215" s="60">
        <v>77620000</v>
      </c>
      <c r="G215" s="60">
        <v>0</v>
      </c>
      <c r="H215" s="70">
        <v>21270000</v>
      </c>
      <c r="I215" s="70">
        <v>0</v>
      </c>
      <c r="J215" s="70">
        <v>0</v>
      </c>
      <c r="K215" s="70">
        <v>0</v>
      </c>
      <c r="L215" s="70">
        <v>0</v>
      </c>
      <c r="M215" s="60">
        <v>0</v>
      </c>
    </row>
    <row r="216" spans="1:14" ht="16" hidden="1" customHeight="1" outlineLevel="1" x14ac:dyDescent="0.45">
      <c r="A216" s="29" t="s">
        <v>157</v>
      </c>
      <c r="B216" s="44">
        <v>98890000</v>
      </c>
      <c r="C216" s="71">
        <v>0</v>
      </c>
      <c r="D216" s="71">
        <v>0</v>
      </c>
      <c r="E216" s="64">
        <v>98890000</v>
      </c>
      <c r="F216" s="63">
        <v>77620000</v>
      </c>
      <c r="G216" s="63">
        <v>0</v>
      </c>
      <c r="H216" s="32">
        <v>21270000</v>
      </c>
      <c r="I216" s="32">
        <v>0</v>
      </c>
      <c r="J216" s="32">
        <v>0</v>
      </c>
      <c r="K216" s="32">
        <v>0</v>
      </c>
      <c r="L216" s="32">
        <v>0</v>
      </c>
      <c r="M216" s="63">
        <v>0</v>
      </c>
      <c r="N216" s="1"/>
    </row>
    <row r="217" spans="1:14" s="1" customFormat="1" collapsed="1" x14ac:dyDescent="0.45">
      <c r="A217" s="28" t="s">
        <v>101</v>
      </c>
      <c r="B217" s="43">
        <v>5257821823</v>
      </c>
      <c r="C217" s="69">
        <v>1100727241</v>
      </c>
      <c r="D217" s="69">
        <v>5222000</v>
      </c>
      <c r="E217" s="61">
        <v>4151872582</v>
      </c>
      <c r="F217" s="60">
        <v>1191058930.9788797</v>
      </c>
      <c r="G217" s="60">
        <v>41214445.021120384</v>
      </c>
      <c r="H217" s="70">
        <v>1702330525</v>
      </c>
      <c r="I217" s="70">
        <v>182849121.60000002</v>
      </c>
      <c r="J217" s="70">
        <v>45486165.399999976</v>
      </c>
      <c r="K217" s="70">
        <v>547701787</v>
      </c>
      <c r="L217" s="70">
        <v>425567237</v>
      </c>
      <c r="M217" s="60">
        <v>15664370</v>
      </c>
    </row>
    <row r="218" spans="1:14" s="1" customFormat="1" ht="16" hidden="1" customHeight="1" outlineLevel="1" x14ac:dyDescent="0.45">
      <c r="A218" s="28" t="s">
        <v>166</v>
      </c>
      <c r="B218" s="43">
        <v>0</v>
      </c>
      <c r="C218" s="69">
        <v>-314878590</v>
      </c>
      <c r="D218" s="69">
        <v>0</v>
      </c>
      <c r="E218" s="61">
        <v>314878590</v>
      </c>
      <c r="F218" s="60">
        <v>272518230</v>
      </c>
      <c r="G218" s="60">
        <v>0</v>
      </c>
      <c r="H218" s="70">
        <v>2474400</v>
      </c>
      <c r="I218" s="70">
        <v>904460</v>
      </c>
      <c r="J218" s="70">
        <v>0</v>
      </c>
      <c r="K218" s="70">
        <v>31301000</v>
      </c>
      <c r="L218" s="70">
        <v>7680500</v>
      </c>
      <c r="M218" s="60">
        <v>0</v>
      </c>
    </row>
    <row r="219" spans="1:14" ht="16" hidden="1" customHeight="1" outlineLevel="1" x14ac:dyDescent="0.45">
      <c r="A219" s="29" t="s">
        <v>216</v>
      </c>
      <c r="B219" s="44">
        <v>0</v>
      </c>
      <c r="C219" s="71">
        <v>0</v>
      </c>
      <c r="D219" s="71">
        <v>0</v>
      </c>
      <c r="E219" s="64">
        <v>0</v>
      </c>
      <c r="F219" s="63">
        <v>0</v>
      </c>
      <c r="G219" s="63">
        <v>0</v>
      </c>
      <c r="H219" s="32">
        <v>0</v>
      </c>
      <c r="I219" s="32">
        <v>0</v>
      </c>
      <c r="J219" s="32">
        <v>0</v>
      </c>
      <c r="K219" s="32">
        <v>0</v>
      </c>
      <c r="L219" s="32">
        <v>0</v>
      </c>
      <c r="M219" s="63">
        <v>0</v>
      </c>
      <c r="N219" s="1"/>
    </row>
    <row r="220" spans="1:14" ht="16" hidden="1" customHeight="1" outlineLevel="1" x14ac:dyDescent="0.45">
      <c r="A220" s="29" t="s">
        <v>102</v>
      </c>
      <c r="B220" s="44">
        <v>4623194</v>
      </c>
      <c r="C220" s="71">
        <v>0</v>
      </c>
      <c r="D220" s="71">
        <v>0</v>
      </c>
      <c r="E220" s="64">
        <v>4623194</v>
      </c>
      <c r="F220" s="63">
        <v>0</v>
      </c>
      <c r="G220" s="63">
        <v>4623194</v>
      </c>
      <c r="H220" s="32">
        <v>0</v>
      </c>
      <c r="I220" s="32">
        <v>0</v>
      </c>
      <c r="J220" s="32">
        <v>0</v>
      </c>
      <c r="K220" s="32">
        <v>0</v>
      </c>
      <c r="L220" s="32">
        <v>0</v>
      </c>
      <c r="M220" s="63">
        <v>0</v>
      </c>
      <c r="N220" s="1"/>
    </row>
    <row r="221" spans="1:14" ht="16" hidden="1" customHeight="1" outlineLevel="1" x14ac:dyDescent="0.45">
      <c r="A221" s="29" t="s">
        <v>103</v>
      </c>
      <c r="B221" s="44">
        <v>29097656</v>
      </c>
      <c r="C221" s="71">
        <v>1008140</v>
      </c>
      <c r="D221" s="71">
        <v>0</v>
      </c>
      <c r="E221" s="64">
        <v>28089516</v>
      </c>
      <c r="F221" s="63">
        <v>28089516</v>
      </c>
      <c r="G221" s="63">
        <v>0</v>
      </c>
      <c r="H221" s="32">
        <v>0</v>
      </c>
      <c r="I221" s="32">
        <v>0</v>
      </c>
      <c r="J221" s="32">
        <v>0</v>
      </c>
      <c r="K221" s="32">
        <v>0</v>
      </c>
      <c r="L221" s="32">
        <v>0</v>
      </c>
      <c r="M221" s="63">
        <v>0</v>
      </c>
      <c r="N221" s="1"/>
    </row>
    <row r="222" spans="1:14" s="1" customFormat="1" ht="16" hidden="1" customHeight="1" outlineLevel="1" collapsed="1" x14ac:dyDescent="0.45">
      <c r="A222" s="28" t="s">
        <v>104</v>
      </c>
      <c r="B222" s="43">
        <v>0</v>
      </c>
      <c r="C222" s="69">
        <v>-788096654</v>
      </c>
      <c r="D222" s="69">
        <v>0</v>
      </c>
      <c r="E222" s="61">
        <v>788096654</v>
      </c>
      <c r="F222" s="60">
        <v>425823300</v>
      </c>
      <c r="G222" s="60">
        <v>0</v>
      </c>
      <c r="H222" s="70">
        <v>0</v>
      </c>
      <c r="I222" s="70">
        <v>0</v>
      </c>
      <c r="J222" s="70">
        <v>0</v>
      </c>
      <c r="K222" s="70">
        <v>0</v>
      </c>
      <c r="L222" s="70">
        <v>362273354</v>
      </c>
      <c r="M222" s="60">
        <v>0</v>
      </c>
    </row>
    <row r="223" spans="1:14" ht="16" hidden="1" customHeight="1" outlineLevel="1" x14ac:dyDescent="0.45">
      <c r="A223" s="29" t="s">
        <v>116</v>
      </c>
      <c r="B223" s="44">
        <v>145170133</v>
      </c>
      <c r="C223" s="71">
        <v>89400947</v>
      </c>
      <c r="D223" s="71">
        <v>5222000</v>
      </c>
      <c r="E223" s="64">
        <v>50547186</v>
      </c>
      <c r="F223" s="63">
        <v>1680760</v>
      </c>
      <c r="G223" s="63">
        <v>35985217</v>
      </c>
      <c r="H223" s="32">
        <v>0</v>
      </c>
      <c r="I223" s="32">
        <v>0</v>
      </c>
      <c r="J223" s="32">
        <v>0</v>
      </c>
      <c r="K223" s="32">
        <v>0</v>
      </c>
      <c r="L223" s="32">
        <v>376999</v>
      </c>
      <c r="M223" s="63">
        <v>12504210</v>
      </c>
      <c r="N223" s="1"/>
    </row>
    <row r="224" spans="1:14" ht="16" hidden="1" customHeight="1" outlineLevel="1" x14ac:dyDescent="0.45">
      <c r="A224" s="29" t="s">
        <v>105</v>
      </c>
      <c r="B224" s="44">
        <v>5078174840</v>
      </c>
      <c r="C224" s="71">
        <v>2113293398</v>
      </c>
      <c r="D224" s="71">
        <v>0</v>
      </c>
      <c r="E224" s="64">
        <v>2964881442</v>
      </c>
      <c r="F224" s="63">
        <v>462947124.97887963</v>
      </c>
      <c r="G224" s="63">
        <v>606034.02112038946</v>
      </c>
      <c r="H224" s="32">
        <v>1699856125</v>
      </c>
      <c r="I224" s="72">
        <v>181944661.60000002</v>
      </c>
      <c r="J224" s="72">
        <v>45486165.399999976</v>
      </c>
      <c r="K224" s="72">
        <v>516400787</v>
      </c>
      <c r="L224" s="72">
        <v>54480384</v>
      </c>
      <c r="M224" s="63">
        <v>3160160</v>
      </c>
      <c r="N224" s="1"/>
    </row>
    <row r="225" spans="1:14" ht="16" hidden="1" customHeight="1" outlineLevel="1" x14ac:dyDescent="0.45">
      <c r="A225" s="29" t="s">
        <v>217</v>
      </c>
      <c r="B225" s="44">
        <v>0</v>
      </c>
      <c r="C225" s="71">
        <v>0</v>
      </c>
      <c r="D225" s="71">
        <v>0</v>
      </c>
      <c r="E225" s="64">
        <v>0</v>
      </c>
      <c r="F225" s="63">
        <v>0</v>
      </c>
      <c r="G225" s="63">
        <v>0</v>
      </c>
      <c r="H225" s="32">
        <v>0</v>
      </c>
      <c r="I225" s="32">
        <v>0</v>
      </c>
      <c r="J225" s="32">
        <v>0</v>
      </c>
      <c r="K225" s="32">
        <v>0</v>
      </c>
      <c r="L225" s="32">
        <v>0</v>
      </c>
      <c r="M225" s="63">
        <v>0</v>
      </c>
      <c r="N225" s="1"/>
    </row>
    <row r="226" spans="1:14" ht="16" hidden="1" customHeight="1" outlineLevel="1" x14ac:dyDescent="0.45">
      <c r="A226" s="29" t="s">
        <v>106</v>
      </c>
      <c r="B226" s="44">
        <v>756000</v>
      </c>
      <c r="C226" s="71">
        <v>0</v>
      </c>
      <c r="D226" s="71">
        <v>0</v>
      </c>
      <c r="E226" s="64">
        <v>756000</v>
      </c>
      <c r="F226" s="63">
        <v>0</v>
      </c>
      <c r="G226" s="63">
        <v>0</v>
      </c>
      <c r="H226" s="32">
        <v>0</v>
      </c>
      <c r="I226" s="32">
        <v>0</v>
      </c>
      <c r="J226" s="32">
        <v>0</v>
      </c>
      <c r="K226" s="32">
        <v>0</v>
      </c>
      <c r="L226" s="32">
        <v>756000</v>
      </c>
      <c r="M226" s="63">
        <v>0</v>
      </c>
      <c r="N226" s="1"/>
    </row>
    <row r="227" spans="1:14" s="1" customFormat="1" ht="16" hidden="1" customHeight="1" outlineLevel="1" collapsed="1" x14ac:dyDescent="0.45">
      <c r="A227" s="28" t="s">
        <v>260</v>
      </c>
      <c r="B227" s="43">
        <v>0</v>
      </c>
      <c r="C227" s="69">
        <v>0</v>
      </c>
      <c r="D227" s="69">
        <v>0</v>
      </c>
      <c r="E227" s="61">
        <v>0</v>
      </c>
      <c r="F227" s="60">
        <v>0</v>
      </c>
      <c r="G227" s="60">
        <v>0</v>
      </c>
      <c r="H227" s="70">
        <v>0</v>
      </c>
      <c r="I227" s="70">
        <v>0</v>
      </c>
      <c r="J227" s="70">
        <v>0</v>
      </c>
      <c r="K227" s="70">
        <v>0</v>
      </c>
      <c r="L227" s="70">
        <v>0</v>
      </c>
      <c r="M227" s="60">
        <v>0</v>
      </c>
    </row>
    <row r="228" spans="1:14" s="1" customFormat="1" collapsed="1" x14ac:dyDescent="0.45">
      <c r="A228" s="28" t="s">
        <v>218</v>
      </c>
      <c r="B228" s="43">
        <v>0</v>
      </c>
      <c r="C228" s="69">
        <v>0</v>
      </c>
      <c r="D228" s="69">
        <v>0</v>
      </c>
      <c r="E228" s="61">
        <v>0</v>
      </c>
      <c r="F228" s="60">
        <v>0</v>
      </c>
      <c r="G228" s="60">
        <v>0</v>
      </c>
      <c r="H228" s="70">
        <v>0</v>
      </c>
      <c r="I228" s="70">
        <v>0</v>
      </c>
      <c r="J228" s="70">
        <v>0</v>
      </c>
      <c r="K228" s="70">
        <v>0</v>
      </c>
      <c r="L228" s="70">
        <v>0</v>
      </c>
      <c r="M228" s="60">
        <v>0</v>
      </c>
    </row>
    <row r="229" spans="1:14" s="1" customFormat="1" x14ac:dyDescent="0.45">
      <c r="A229" s="28" t="s">
        <v>107</v>
      </c>
      <c r="B229" s="43">
        <v>1744495304</v>
      </c>
      <c r="C229" s="69">
        <v>-141829615</v>
      </c>
      <c r="D229" s="69">
        <v>0</v>
      </c>
      <c r="E229" s="61">
        <v>1886324919</v>
      </c>
      <c r="F229" s="60">
        <v>0</v>
      </c>
      <c r="G229" s="60">
        <v>4142693</v>
      </c>
      <c r="H229" s="70">
        <v>15436091</v>
      </c>
      <c r="I229" s="70">
        <v>124334365</v>
      </c>
      <c r="J229" s="70">
        <v>553027489</v>
      </c>
      <c r="K229" s="70">
        <v>1050745359</v>
      </c>
      <c r="L229" s="70">
        <v>138638922</v>
      </c>
      <c r="M229" s="60">
        <v>0</v>
      </c>
    </row>
    <row r="230" spans="1:14" ht="16" hidden="1" customHeight="1" outlineLevel="1" x14ac:dyDescent="0.45">
      <c r="A230" s="29" t="s">
        <v>158</v>
      </c>
      <c r="B230" s="44">
        <v>0</v>
      </c>
      <c r="C230" s="71">
        <v>0</v>
      </c>
      <c r="D230" s="71">
        <v>0</v>
      </c>
      <c r="E230" s="64">
        <v>0</v>
      </c>
      <c r="F230" s="63">
        <v>0</v>
      </c>
      <c r="G230" s="63">
        <v>0</v>
      </c>
      <c r="H230" s="32">
        <v>0</v>
      </c>
      <c r="I230" s="32">
        <v>0</v>
      </c>
      <c r="J230" s="32">
        <v>0</v>
      </c>
      <c r="K230" s="32">
        <v>0</v>
      </c>
      <c r="L230" s="32">
        <v>0</v>
      </c>
      <c r="M230" s="63">
        <v>0</v>
      </c>
      <c r="N230" s="1"/>
    </row>
    <row r="231" spans="1:14" ht="16" hidden="1" customHeight="1" outlineLevel="1" x14ac:dyDescent="0.45">
      <c r="A231" s="29" t="s">
        <v>219</v>
      </c>
      <c r="B231" s="44">
        <v>0</v>
      </c>
      <c r="C231" s="71">
        <v>0</v>
      </c>
      <c r="D231" s="71">
        <v>0</v>
      </c>
      <c r="E231" s="64">
        <v>0</v>
      </c>
      <c r="F231" s="63">
        <v>0</v>
      </c>
      <c r="G231" s="63">
        <v>0</v>
      </c>
      <c r="H231" s="32">
        <v>0</v>
      </c>
      <c r="I231" s="32">
        <v>0</v>
      </c>
      <c r="J231" s="32">
        <v>0</v>
      </c>
      <c r="K231" s="32">
        <v>0</v>
      </c>
      <c r="L231" s="32">
        <v>0</v>
      </c>
      <c r="M231" s="63">
        <v>0</v>
      </c>
      <c r="N231" s="1"/>
    </row>
    <row r="232" spans="1:14" ht="16" hidden="1" customHeight="1" outlineLevel="1" x14ac:dyDescent="0.45">
      <c r="A232" s="29" t="s">
        <v>230</v>
      </c>
      <c r="B232" s="44">
        <v>1744495304</v>
      </c>
      <c r="C232" s="71">
        <v>952000</v>
      </c>
      <c r="D232" s="71">
        <v>0</v>
      </c>
      <c r="E232" s="64">
        <v>1743543304</v>
      </c>
      <c r="F232" s="63">
        <v>0</v>
      </c>
      <c r="G232" s="63">
        <v>0</v>
      </c>
      <c r="H232" s="32">
        <v>15436091</v>
      </c>
      <c r="I232" s="32">
        <v>124334365</v>
      </c>
      <c r="J232" s="32">
        <v>553027489</v>
      </c>
      <c r="K232" s="32">
        <v>1050745359</v>
      </c>
      <c r="L232" s="32">
        <v>0</v>
      </c>
      <c r="M232" s="63">
        <v>0</v>
      </c>
      <c r="N232" s="1"/>
    </row>
    <row r="233" spans="1:14" ht="16" hidden="1" customHeight="1" outlineLevel="1" x14ac:dyDescent="0.45">
      <c r="A233" s="29" t="s">
        <v>220</v>
      </c>
      <c r="B233" s="44">
        <v>0</v>
      </c>
      <c r="C233" s="71">
        <v>0</v>
      </c>
      <c r="D233" s="71">
        <v>0</v>
      </c>
      <c r="E233" s="64">
        <v>0</v>
      </c>
      <c r="F233" s="63">
        <v>0</v>
      </c>
      <c r="G233" s="63">
        <v>0</v>
      </c>
      <c r="H233" s="32">
        <v>0</v>
      </c>
      <c r="I233" s="32">
        <v>0</v>
      </c>
      <c r="J233" s="32">
        <v>0</v>
      </c>
      <c r="K233" s="32">
        <v>0</v>
      </c>
      <c r="L233" s="32">
        <v>0</v>
      </c>
      <c r="M233" s="63">
        <v>0</v>
      </c>
      <c r="N233" s="1"/>
    </row>
    <row r="234" spans="1:14" s="1" customFormat="1" ht="16" hidden="1" customHeight="1" outlineLevel="1" collapsed="1" x14ac:dyDescent="0.45">
      <c r="A234" s="28" t="s">
        <v>108</v>
      </c>
      <c r="B234" s="44">
        <v>0</v>
      </c>
      <c r="C234" s="69">
        <v>-4142693</v>
      </c>
      <c r="D234" s="69">
        <v>0</v>
      </c>
      <c r="E234" s="61">
        <v>4142693</v>
      </c>
      <c r="F234" s="60">
        <v>0</v>
      </c>
      <c r="G234" s="60">
        <v>4142693</v>
      </c>
      <c r="H234" s="70">
        <v>0</v>
      </c>
      <c r="I234" s="70">
        <v>0</v>
      </c>
      <c r="J234" s="70">
        <v>0</v>
      </c>
      <c r="K234" s="70">
        <v>0</v>
      </c>
      <c r="L234" s="70">
        <v>0</v>
      </c>
      <c r="M234" s="60">
        <v>0</v>
      </c>
    </row>
    <row r="235" spans="1:14" ht="16" hidden="1" customHeight="1" outlineLevel="1" x14ac:dyDescent="0.45">
      <c r="A235" s="29" t="s">
        <v>221</v>
      </c>
      <c r="B235" s="44">
        <v>0</v>
      </c>
      <c r="C235" s="71">
        <v>0</v>
      </c>
      <c r="D235" s="71">
        <v>0</v>
      </c>
      <c r="E235" s="64">
        <v>0</v>
      </c>
      <c r="F235" s="63">
        <v>0</v>
      </c>
      <c r="G235" s="63">
        <v>0</v>
      </c>
      <c r="H235" s="32">
        <v>0</v>
      </c>
      <c r="I235" s="32">
        <v>0</v>
      </c>
      <c r="J235" s="32">
        <v>0</v>
      </c>
      <c r="K235" s="32">
        <v>0</v>
      </c>
      <c r="L235" s="32">
        <v>0</v>
      </c>
      <c r="M235" s="63">
        <v>0</v>
      </c>
      <c r="N235" s="1"/>
    </row>
    <row r="236" spans="1:14" ht="16" hidden="1" customHeight="1" outlineLevel="1" x14ac:dyDescent="0.45">
      <c r="A236" s="29" t="s">
        <v>222</v>
      </c>
      <c r="B236" s="44">
        <v>0</v>
      </c>
      <c r="C236" s="71">
        <v>0</v>
      </c>
      <c r="D236" s="71">
        <v>0</v>
      </c>
      <c r="E236" s="64">
        <v>0</v>
      </c>
      <c r="F236" s="63">
        <v>0</v>
      </c>
      <c r="G236" s="63">
        <v>0</v>
      </c>
      <c r="H236" s="32">
        <v>0</v>
      </c>
      <c r="I236" s="32">
        <v>0</v>
      </c>
      <c r="J236" s="32">
        <v>0</v>
      </c>
      <c r="K236" s="32">
        <v>0</v>
      </c>
      <c r="L236" s="32">
        <v>0</v>
      </c>
      <c r="M236" s="63">
        <v>0</v>
      </c>
      <c r="N236" s="1"/>
    </row>
    <row r="237" spans="1:14" s="1" customFormat="1" ht="16" hidden="1" customHeight="1" outlineLevel="1" collapsed="1" x14ac:dyDescent="0.45">
      <c r="A237" s="28" t="s">
        <v>109</v>
      </c>
      <c r="B237" s="44">
        <v>0</v>
      </c>
      <c r="C237" s="69">
        <v>-138638922</v>
      </c>
      <c r="D237" s="69">
        <v>0</v>
      </c>
      <c r="E237" s="61">
        <v>138638922</v>
      </c>
      <c r="F237" s="60">
        <v>0</v>
      </c>
      <c r="G237" s="60">
        <v>0</v>
      </c>
      <c r="H237" s="70">
        <v>0</v>
      </c>
      <c r="I237" s="70">
        <v>0</v>
      </c>
      <c r="J237" s="70">
        <v>0</v>
      </c>
      <c r="K237" s="70">
        <v>0</v>
      </c>
      <c r="L237" s="70">
        <v>138638922</v>
      </c>
      <c r="M237" s="60">
        <v>0</v>
      </c>
    </row>
    <row r="238" spans="1:14" s="1" customFormat="1" ht="16" customHeight="1" collapsed="1" x14ac:dyDescent="0.45">
      <c r="A238" s="28" t="s">
        <v>110</v>
      </c>
      <c r="B238" s="44">
        <v>20228370</v>
      </c>
      <c r="C238" s="69">
        <v>17728370</v>
      </c>
      <c r="D238" s="69">
        <v>0</v>
      </c>
      <c r="E238" s="61">
        <v>2500000</v>
      </c>
      <c r="F238" s="60">
        <v>0</v>
      </c>
      <c r="G238" s="60">
        <v>0</v>
      </c>
      <c r="H238" s="70">
        <v>0</v>
      </c>
      <c r="I238" s="70">
        <v>0</v>
      </c>
      <c r="J238" s="70">
        <v>0</v>
      </c>
      <c r="K238" s="70">
        <v>0</v>
      </c>
      <c r="L238" s="70">
        <v>0</v>
      </c>
      <c r="M238" s="60">
        <v>2500000</v>
      </c>
    </row>
    <row r="239" spans="1:14" s="1" customFormat="1" collapsed="1" x14ac:dyDescent="0.45">
      <c r="A239" s="27" t="s">
        <v>231</v>
      </c>
      <c r="B239" s="42">
        <v>-2186347192</v>
      </c>
      <c r="C239" s="73">
        <v>-1996584557.4359131</v>
      </c>
      <c r="D239" s="73">
        <v>-372437380</v>
      </c>
      <c r="E239" s="58">
        <v>182674745.43591285</v>
      </c>
      <c r="F239" s="57">
        <v>-616916611.06728864</v>
      </c>
      <c r="G239" s="57">
        <v>1284650102.3690991</v>
      </c>
      <c r="H239" s="57">
        <v>1573032698.6981893</v>
      </c>
      <c r="I239" s="57">
        <v>-206111827.24681026</v>
      </c>
      <c r="J239" s="57">
        <v>54615740.463566065</v>
      </c>
      <c r="K239" s="57">
        <v>-662532998.12900138</v>
      </c>
      <c r="L239" s="57">
        <v>-631628304.65184164</v>
      </c>
      <c r="M239" s="57">
        <v>-612434055</v>
      </c>
    </row>
    <row r="240" spans="1:14" s="1" customFormat="1" x14ac:dyDescent="0.45">
      <c r="A240" s="28" t="s">
        <v>268</v>
      </c>
      <c r="B240" s="43">
        <v>-935015984</v>
      </c>
      <c r="C240" s="69">
        <v>-938990984</v>
      </c>
      <c r="D240" s="69">
        <v>0</v>
      </c>
      <c r="E240" s="61">
        <v>3975000</v>
      </c>
      <c r="F240" s="60">
        <v>0</v>
      </c>
      <c r="G240" s="60">
        <v>3975000</v>
      </c>
      <c r="H240" s="70">
        <v>0</v>
      </c>
      <c r="I240" s="70">
        <v>0</v>
      </c>
      <c r="J240" s="70">
        <v>0</v>
      </c>
      <c r="K240" s="70">
        <v>0</v>
      </c>
      <c r="L240" s="70">
        <v>0</v>
      </c>
      <c r="M240" s="70">
        <v>0</v>
      </c>
    </row>
    <row r="241" spans="1:14" ht="16" hidden="1" customHeight="1" outlineLevel="1" x14ac:dyDescent="0.45">
      <c r="A241" s="29" t="s">
        <v>159</v>
      </c>
      <c r="B241" s="44">
        <v>186391434</v>
      </c>
      <c r="C241" s="71">
        <v>186391434</v>
      </c>
      <c r="D241" s="71">
        <v>0</v>
      </c>
      <c r="E241" s="64">
        <v>0</v>
      </c>
      <c r="F241" s="63">
        <v>0</v>
      </c>
      <c r="G241" s="63">
        <v>0</v>
      </c>
      <c r="H241" s="32">
        <v>0</v>
      </c>
      <c r="I241" s="32">
        <v>0</v>
      </c>
      <c r="J241" s="32">
        <v>0</v>
      </c>
      <c r="K241" s="32">
        <v>0</v>
      </c>
      <c r="L241" s="32">
        <v>0</v>
      </c>
      <c r="M241" s="32">
        <v>0</v>
      </c>
      <c r="N241" s="1"/>
    </row>
    <row r="242" spans="1:14" ht="16" hidden="1" customHeight="1" outlineLevel="1" x14ac:dyDescent="0.45">
      <c r="A242" s="29" t="s">
        <v>160</v>
      </c>
      <c r="B242" s="44">
        <v>12488000</v>
      </c>
      <c r="C242" s="71">
        <v>12488000</v>
      </c>
      <c r="D242" s="71">
        <v>0</v>
      </c>
      <c r="E242" s="64">
        <v>0</v>
      </c>
      <c r="F242" s="63">
        <v>0</v>
      </c>
      <c r="G242" s="63">
        <v>0</v>
      </c>
      <c r="H242" s="32">
        <v>0</v>
      </c>
      <c r="I242" s="32">
        <v>0</v>
      </c>
      <c r="J242" s="32">
        <v>0</v>
      </c>
      <c r="K242" s="32">
        <v>0</v>
      </c>
      <c r="L242" s="32">
        <v>0</v>
      </c>
      <c r="M242" s="32">
        <v>0</v>
      </c>
      <c r="N242" s="1"/>
    </row>
    <row r="243" spans="1:14" ht="16" hidden="1" customHeight="1" outlineLevel="1" x14ac:dyDescent="0.45">
      <c r="A243" s="29" t="s">
        <v>258</v>
      </c>
      <c r="B243" s="44">
        <v>-1144500000</v>
      </c>
      <c r="C243" s="71">
        <v>-1144500000</v>
      </c>
      <c r="D243" s="71">
        <v>0</v>
      </c>
      <c r="E243" s="64">
        <v>0</v>
      </c>
      <c r="F243" s="63">
        <v>0</v>
      </c>
      <c r="G243" s="63">
        <v>0</v>
      </c>
      <c r="H243" s="32">
        <v>0</v>
      </c>
      <c r="I243" s="32">
        <v>0</v>
      </c>
      <c r="J243" s="32">
        <v>0</v>
      </c>
      <c r="K243" s="32">
        <v>0</v>
      </c>
      <c r="L243" s="32">
        <v>0</v>
      </c>
      <c r="M243" s="32">
        <v>0</v>
      </c>
      <c r="N243" s="1"/>
    </row>
    <row r="244" spans="1:14" ht="16" hidden="1" customHeight="1" outlineLevel="1" x14ac:dyDescent="0.45">
      <c r="A244" s="29" t="s">
        <v>223</v>
      </c>
      <c r="B244" s="44">
        <v>0</v>
      </c>
      <c r="C244" s="71">
        <v>0</v>
      </c>
      <c r="D244" s="71">
        <v>0</v>
      </c>
      <c r="E244" s="64">
        <v>0</v>
      </c>
      <c r="F244" s="63">
        <v>0</v>
      </c>
      <c r="G244" s="63">
        <v>0</v>
      </c>
      <c r="H244" s="32">
        <v>0</v>
      </c>
      <c r="I244" s="32">
        <v>0</v>
      </c>
      <c r="J244" s="32">
        <v>0</v>
      </c>
      <c r="K244" s="32">
        <v>0</v>
      </c>
      <c r="L244" s="32">
        <v>0</v>
      </c>
      <c r="M244" s="32">
        <v>0</v>
      </c>
      <c r="N244" s="1"/>
    </row>
    <row r="245" spans="1:14" s="3" customFormat="1" ht="16" hidden="1" customHeight="1" outlineLevel="1" x14ac:dyDescent="0.45">
      <c r="A245" s="33" t="s">
        <v>243</v>
      </c>
      <c r="B245" s="33">
        <v>6629582</v>
      </c>
      <c r="C245" s="71">
        <v>6629582</v>
      </c>
      <c r="D245" s="71">
        <v>0</v>
      </c>
      <c r="E245" s="64">
        <v>0</v>
      </c>
      <c r="F245" s="63">
        <v>0</v>
      </c>
      <c r="G245" s="63">
        <v>0</v>
      </c>
      <c r="H245" s="32">
        <v>0</v>
      </c>
      <c r="I245" s="32">
        <v>0</v>
      </c>
      <c r="J245" s="32">
        <v>0</v>
      </c>
      <c r="K245" s="32">
        <v>0</v>
      </c>
      <c r="L245" s="32">
        <v>0</v>
      </c>
      <c r="M245" s="32">
        <v>0</v>
      </c>
      <c r="N245" s="1"/>
    </row>
    <row r="246" spans="1:14" s="3" customFormat="1" ht="16" hidden="1" customHeight="1" outlineLevel="1" x14ac:dyDescent="0.45">
      <c r="A246" s="34" t="s">
        <v>264</v>
      </c>
      <c r="B246" s="33">
        <v>0</v>
      </c>
      <c r="C246" s="71">
        <v>0</v>
      </c>
      <c r="D246" s="71">
        <v>0</v>
      </c>
      <c r="E246" s="64">
        <v>0</v>
      </c>
      <c r="F246" s="63">
        <v>0</v>
      </c>
      <c r="G246" s="63">
        <v>0</v>
      </c>
      <c r="H246" s="32">
        <v>0</v>
      </c>
      <c r="I246" s="32">
        <v>0</v>
      </c>
      <c r="J246" s="32">
        <v>0</v>
      </c>
      <c r="K246" s="32">
        <v>0</v>
      </c>
      <c r="L246" s="32">
        <v>0</v>
      </c>
      <c r="M246" s="32">
        <v>0</v>
      </c>
      <c r="N246" s="1"/>
    </row>
    <row r="247" spans="1:14" s="3" customFormat="1" ht="16" hidden="1" customHeight="1" outlineLevel="1" x14ac:dyDescent="0.45">
      <c r="A247" s="34" t="s">
        <v>247</v>
      </c>
      <c r="B247" s="33">
        <v>0</v>
      </c>
      <c r="C247" s="71">
        <v>0</v>
      </c>
      <c r="D247" s="71">
        <v>0</v>
      </c>
      <c r="E247" s="64">
        <v>0</v>
      </c>
      <c r="F247" s="63">
        <v>0</v>
      </c>
      <c r="G247" s="63">
        <v>0</v>
      </c>
      <c r="H247" s="32">
        <v>0</v>
      </c>
      <c r="I247" s="32">
        <v>0</v>
      </c>
      <c r="J247" s="32">
        <v>0</v>
      </c>
      <c r="K247" s="32">
        <v>0</v>
      </c>
      <c r="L247" s="32">
        <v>0</v>
      </c>
      <c r="M247" s="32">
        <v>0</v>
      </c>
      <c r="N247" s="1"/>
    </row>
    <row r="248" spans="1:14" ht="16" hidden="1" customHeight="1" outlineLevel="1" collapsed="1" x14ac:dyDescent="0.45">
      <c r="A248" s="29" t="s">
        <v>161</v>
      </c>
      <c r="B248" s="44">
        <v>3975000</v>
      </c>
      <c r="C248" s="71">
        <v>0</v>
      </c>
      <c r="D248" s="71">
        <v>0</v>
      </c>
      <c r="E248" s="64">
        <v>3975000</v>
      </c>
      <c r="F248" s="63">
        <v>0</v>
      </c>
      <c r="G248" s="63">
        <v>3975000</v>
      </c>
      <c r="H248" s="32">
        <v>0</v>
      </c>
      <c r="I248" s="32">
        <v>0</v>
      </c>
      <c r="J248" s="32">
        <v>0</v>
      </c>
      <c r="K248" s="32">
        <v>0</v>
      </c>
      <c r="L248" s="32">
        <v>0</v>
      </c>
      <c r="M248" s="32">
        <v>0</v>
      </c>
      <c r="N248" s="1"/>
    </row>
    <row r="249" spans="1:14" ht="16" hidden="1" customHeight="1" outlineLevel="1" x14ac:dyDescent="0.45">
      <c r="A249" s="29" t="s">
        <v>224</v>
      </c>
      <c r="B249" s="44">
        <v>0</v>
      </c>
      <c r="C249" s="71">
        <v>0</v>
      </c>
      <c r="D249" s="71">
        <v>0</v>
      </c>
      <c r="E249" s="64">
        <v>0</v>
      </c>
      <c r="F249" s="63">
        <v>0</v>
      </c>
      <c r="G249" s="63">
        <v>0</v>
      </c>
      <c r="H249" s="32">
        <v>0</v>
      </c>
      <c r="I249" s="32">
        <v>0</v>
      </c>
      <c r="J249" s="32">
        <v>0</v>
      </c>
      <c r="K249" s="32">
        <v>0</v>
      </c>
      <c r="L249" s="32">
        <v>0</v>
      </c>
      <c r="M249" s="32">
        <v>0</v>
      </c>
      <c r="N249" s="1"/>
    </row>
    <row r="250" spans="1:14" s="1" customFormat="1" collapsed="1" x14ac:dyDescent="0.45">
      <c r="A250" s="28" t="s">
        <v>111</v>
      </c>
      <c r="B250" s="43">
        <v>-731457</v>
      </c>
      <c r="C250" s="69">
        <v>-731457</v>
      </c>
      <c r="D250" s="69">
        <v>0</v>
      </c>
      <c r="E250" s="61">
        <v>0</v>
      </c>
      <c r="F250" s="60">
        <v>0</v>
      </c>
      <c r="G250" s="60">
        <v>0</v>
      </c>
      <c r="H250" s="70">
        <v>0</v>
      </c>
      <c r="I250" s="70">
        <v>0</v>
      </c>
      <c r="J250" s="70">
        <v>0</v>
      </c>
      <c r="K250" s="70">
        <v>0</v>
      </c>
      <c r="L250" s="70">
        <v>0</v>
      </c>
      <c r="M250" s="70">
        <v>0</v>
      </c>
    </row>
    <row r="251" spans="1:14" ht="16" hidden="1" customHeight="1" outlineLevel="1" x14ac:dyDescent="0.45">
      <c r="A251" s="29" t="s">
        <v>162</v>
      </c>
      <c r="B251" s="44">
        <v>373162634</v>
      </c>
      <c r="C251" s="71">
        <v>373162634</v>
      </c>
      <c r="D251" s="71">
        <v>0</v>
      </c>
      <c r="E251" s="64">
        <v>0</v>
      </c>
      <c r="F251" s="63">
        <v>0</v>
      </c>
      <c r="G251" s="63">
        <v>0</v>
      </c>
      <c r="H251" s="32">
        <v>0</v>
      </c>
      <c r="I251" s="32">
        <v>0</v>
      </c>
      <c r="J251" s="32">
        <v>0</v>
      </c>
      <c r="K251" s="32">
        <v>0</v>
      </c>
      <c r="L251" s="32">
        <v>0</v>
      </c>
      <c r="M251" s="32">
        <v>0</v>
      </c>
      <c r="N251" s="1"/>
    </row>
    <row r="252" spans="1:14" ht="16" hidden="1" customHeight="1" outlineLevel="1" x14ac:dyDescent="0.45">
      <c r="A252" s="29" t="s">
        <v>251</v>
      </c>
      <c r="B252" s="44">
        <v>0</v>
      </c>
      <c r="C252" s="71">
        <v>0</v>
      </c>
      <c r="D252" s="71">
        <v>0</v>
      </c>
      <c r="E252" s="64">
        <v>0</v>
      </c>
      <c r="F252" s="63">
        <v>0</v>
      </c>
      <c r="G252" s="63">
        <v>0</v>
      </c>
      <c r="H252" s="32">
        <v>0</v>
      </c>
      <c r="I252" s="32">
        <v>0</v>
      </c>
      <c r="J252" s="32">
        <v>0</v>
      </c>
      <c r="K252" s="32">
        <v>0</v>
      </c>
      <c r="L252" s="32">
        <v>0</v>
      </c>
      <c r="M252" s="32">
        <v>0</v>
      </c>
      <c r="N252" s="1"/>
    </row>
    <row r="253" spans="1:14" ht="16" hidden="1" customHeight="1" outlineLevel="1" x14ac:dyDescent="0.45">
      <c r="A253" s="29" t="s">
        <v>314</v>
      </c>
      <c r="B253" s="44">
        <v>-1247733655</v>
      </c>
      <c r="C253" s="71">
        <v>-1247733655</v>
      </c>
      <c r="D253" s="71">
        <v>0</v>
      </c>
      <c r="E253" s="64">
        <v>0</v>
      </c>
      <c r="F253" s="63">
        <v>0</v>
      </c>
      <c r="G253" s="63">
        <v>0</v>
      </c>
      <c r="H253" s="32">
        <v>0</v>
      </c>
      <c r="I253" s="32">
        <v>0</v>
      </c>
      <c r="J253" s="32">
        <v>0</v>
      </c>
      <c r="K253" s="32">
        <v>0</v>
      </c>
      <c r="L253" s="32">
        <v>0</v>
      </c>
      <c r="M253" s="32">
        <v>0</v>
      </c>
      <c r="N253" s="1"/>
    </row>
    <row r="254" spans="1:14" ht="16" hidden="1" customHeight="1" outlineLevel="1" x14ac:dyDescent="0.45">
      <c r="A254" s="29" t="s">
        <v>225</v>
      </c>
      <c r="B254" s="44">
        <v>0</v>
      </c>
      <c r="C254" s="71">
        <v>0</v>
      </c>
      <c r="D254" s="71">
        <v>0</v>
      </c>
      <c r="E254" s="64">
        <v>0</v>
      </c>
      <c r="F254" s="63">
        <v>0</v>
      </c>
      <c r="G254" s="63">
        <v>0</v>
      </c>
      <c r="H254" s="32">
        <v>0</v>
      </c>
      <c r="I254" s="32">
        <v>0</v>
      </c>
      <c r="J254" s="32">
        <v>0</v>
      </c>
      <c r="K254" s="32">
        <v>0</v>
      </c>
      <c r="L254" s="32">
        <v>0</v>
      </c>
      <c r="M254" s="32">
        <v>0</v>
      </c>
      <c r="N254" s="1"/>
    </row>
    <row r="255" spans="1:14" ht="16" hidden="1" customHeight="1" outlineLevel="1" x14ac:dyDescent="0.45">
      <c r="A255" s="29" t="s">
        <v>226</v>
      </c>
      <c r="B255" s="44">
        <v>0</v>
      </c>
      <c r="C255" s="71">
        <v>0</v>
      </c>
      <c r="D255" s="71">
        <v>0</v>
      </c>
      <c r="E255" s="64">
        <v>0</v>
      </c>
      <c r="F255" s="63">
        <v>0</v>
      </c>
      <c r="G255" s="63">
        <v>0</v>
      </c>
      <c r="H255" s="32">
        <v>0</v>
      </c>
      <c r="I255" s="32">
        <v>0</v>
      </c>
      <c r="J255" s="32">
        <v>0</v>
      </c>
      <c r="K255" s="32">
        <v>0</v>
      </c>
      <c r="L255" s="32">
        <v>0</v>
      </c>
      <c r="M255" s="32">
        <v>0</v>
      </c>
      <c r="N255" s="1"/>
    </row>
    <row r="256" spans="1:14" ht="16" hidden="1" customHeight="1" outlineLevel="1" x14ac:dyDescent="0.45">
      <c r="A256" s="29" t="s">
        <v>163</v>
      </c>
      <c r="B256" s="44">
        <v>873833345</v>
      </c>
      <c r="C256" s="71">
        <v>873833345</v>
      </c>
      <c r="D256" s="71">
        <v>0</v>
      </c>
      <c r="E256" s="64">
        <v>0</v>
      </c>
      <c r="F256" s="63">
        <v>0</v>
      </c>
      <c r="G256" s="63">
        <v>0</v>
      </c>
      <c r="H256" s="32">
        <v>0</v>
      </c>
      <c r="I256" s="32">
        <v>0</v>
      </c>
      <c r="J256" s="32">
        <v>0</v>
      </c>
      <c r="K256" s="32">
        <v>0</v>
      </c>
      <c r="L256" s="32">
        <v>0</v>
      </c>
      <c r="M256" s="32">
        <v>0</v>
      </c>
      <c r="N256" s="1"/>
    </row>
    <row r="257" spans="1:14" ht="16" hidden="1" customHeight="1" outlineLevel="1" x14ac:dyDescent="0.45">
      <c r="A257" s="29" t="s">
        <v>164</v>
      </c>
      <c r="B257" s="44">
        <v>0</v>
      </c>
      <c r="C257" s="71">
        <v>0</v>
      </c>
      <c r="D257" s="71">
        <v>0</v>
      </c>
      <c r="E257" s="64">
        <v>0</v>
      </c>
      <c r="F257" s="63">
        <v>0</v>
      </c>
      <c r="G257" s="63">
        <v>0</v>
      </c>
      <c r="H257" s="32">
        <v>0</v>
      </c>
      <c r="I257" s="32">
        <v>0</v>
      </c>
      <c r="J257" s="32">
        <v>0</v>
      </c>
      <c r="K257" s="32">
        <v>0</v>
      </c>
      <c r="L257" s="32">
        <v>0</v>
      </c>
      <c r="M257" s="32">
        <v>0</v>
      </c>
      <c r="N257" s="1"/>
    </row>
    <row r="258" spans="1:14" ht="16" hidden="1" customHeight="1" outlineLevel="1" x14ac:dyDescent="0.45">
      <c r="A258" s="29" t="s">
        <v>265</v>
      </c>
      <c r="B258" s="44">
        <v>0</v>
      </c>
      <c r="C258" s="71">
        <v>0</v>
      </c>
      <c r="D258" s="71">
        <v>0</v>
      </c>
      <c r="E258" s="64">
        <v>0</v>
      </c>
      <c r="F258" s="63">
        <v>0</v>
      </c>
      <c r="G258" s="63">
        <v>0</v>
      </c>
      <c r="H258" s="32">
        <v>0</v>
      </c>
      <c r="I258" s="32">
        <v>0</v>
      </c>
      <c r="J258" s="32">
        <v>0</v>
      </c>
      <c r="K258" s="32">
        <v>0</v>
      </c>
      <c r="L258" s="32">
        <v>0</v>
      </c>
      <c r="M258" s="32">
        <v>0</v>
      </c>
      <c r="N258" s="1"/>
    </row>
    <row r="259" spans="1:14" ht="16" hidden="1" customHeight="1" outlineLevel="1" x14ac:dyDescent="0.45">
      <c r="A259" s="29" t="s">
        <v>165</v>
      </c>
      <c r="B259" s="44">
        <v>6219</v>
      </c>
      <c r="C259" s="71">
        <v>6219</v>
      </c>
      <c r="D259" s="71">
        <v>0</v>
      </c>
      <c r="E259" s="64">
        <v>0</v>
      </c>
      <c r="F259" s="63">
        <v>0</v>
      </c>
      <c r="G259" s="63">
        <v>0</v>
      </c>
      <c r="H259" s="32">
        <v>0</v>
      </c>
      <c r="I259" s="32">
        <v>0</v>
      </c>
      <c r="J259" s="32">
        <v>0</v>
      </c>
      <c r="K259" s="32">
        <v>0</v>
      </c>
      <c r="L259" s="32">
        <v>0</v>
      </c>
      <c r="M259" s="32">
        <v>0</v>
      </c>
      <c r="N259" s="1"/>
    </row>
    <row r="260" spans="1:14" s="1" customFormat="1" collapsed="1" x14ac:dyDescent="0.45">
      <c r="A260" s="74" t="s">
        <v>112</v>
      </c>
      <c r="B260" s="76">
        <v>-1580083394</v>
      </c>
      <c r="C260" s="76">
        <v>-1580083394</v>
      </c>
      <c r="D260" s="76">
        <v>0</v>
      </c>
      <c r="E260" s="77">
        <v>0</v>
      </c>
      <c r="F260" s="78">
        <v>0</v>
      </c>
      <c r="G260" s="78">
        <v>0</v>
      </c>
      <c r="H260" s="79">
        <v>0</v>
      </c>
      <c r="I260" s="79">
        <v>0</v>
      </c>
      <c r="J260" s="79">
        <v>0</v>
      </c>
      <c r="K260" s="79">
        <v>0</v>
      </c>
      <c r="L260" s="79">
        <v>0</v>
      </c>
      <c r="M260" s="79">
        <v>0</v>
      </c>
    </row>
    <row r="261" spans="1:14" s="1" customFormat="1" x14ac:dyDescent="0.45">
      <c r="A261" s="27" t="s">
        <v>232</v>
      </c>
      <c r="B261" s="42">
        <v>-1540548325</v>
      </c>
      <c r="C261" s="73">
        <v>-1354760690.4359128</v>
      </c>
      <c r="D261" s="73">
        <v>-372437380</v>
      </c>
      <c r="E261" s="58">
        <v>186649745.43591285</v>
      </c>
      <c r="F261" s="57">
        <v>-616916611.06728864</v>
      </c>
      <c r="G261" s="57">
        <v>1288625102.3690991</v>
      </c>
      <c r="H261" s="80">
        <v>1573032698.6981893</v>
      </c>
      <c r="I261" s="80">
        <v>-206111827.24681026</v>
      </c>
      <c r="J261" s="80">
        <v>54615740.463566065</v>
      </c>
      <c r="K261" s="80">
        <v>-662532998.12900138</v>
      </c>
      <c r="L261" s="80">
        <v>-631628304.65184164</v>
      </c>
      <c r="M261" s="57">
        <v>-612434055</v>
      </c>
    </row>
    <row r="262" spans="1:14" ht="16" hidden="1" customHeight="1" x14ac:dyDescent="0.45">
      <c r="A262" s="83"/>
      <c r="B262" s="35"/>
      <c r="C262" s="84"/>
      <c r="D262" s="36"/>
      <c r="E262" s="36"/>
      <c r="F262" s="85"/>
      <c r="G262" s="36"/>
      <c r="H262" s="36"/>
      <c r="I262" s="36"/>
      <c r="J262" s="36"/>
      <c r="K262" s="36"/>
      <c r="L262" s="85"/>
      <c r="M262" s="36"/>
    </row>
    <row r="263" spans="1:14" s="4" customFormat="1" ht="15" hidden="1" customHeight="1" x14ac:dyDescent="0.45">
      <c r="A263" s="86" t="s">
        <v>298</v>
      </c>
      <c r="B263" s="87"/>
      <c r="C263" s="87"/>
      <c r="D263" s="87"/>
      <c r="E263" s="88">
        <v>1</v>
      </c>
      <c r="F263" s="89">
        <v>0.47</v>
      </c>
      <c r="G263" s="89">
        <v>0.4</v>
      </c>
      <c r="H263" s="89">
        <v>0.05</v>
      </c>
      <c r="I263" s="89">
        <v>1.06E-2</v>
      </c>
      <c r="J263" s="89">
        <v>8.9999999999999993E-3</v>
      </c>
      <c r="K263" s="90">
        <v>2.0400000000000001E-2</v>
      </c>
      <c r="L263" s="90">
        <v>0.02</v>
      </c>
      <c r="M263" s="90">
        <v>0.02</v>
      </c>
    </row>
    <row r="264" spans="1:14" s="4" customFormat="1" ht="15" customHeight="1" x14ac:dyDescent="0.45">
      <c r="A264" s="91"/>
      <c r="B264" s="5"/>
      <c r="C264" s="5"/>
      <c r="D264" s="5"/>
      <c r="E264" s="92"/>
      <c r="F264" s="93"/>
      <c r="G264" s="92"/>
      <c r="H264" s="92"/>
      <c r="I264" s="92"/>
      <c r="J264" s="92"/>
      <c r="K264" s="94"/>
      <c r="L264" s="94"/>
      <c r="M264" s="92"/>
    </row>
    <row r="265" spans="1:14" s="4" customFormat="1" ht="15" customHeight="1" x14ac:dyDescent="0.45">
      <c r="A265" s="95" t="s">
        <v>315</v>
      </c>
      <c r="B265" s="96">
        <v>-372437380</v>
      </c>
      <c r="C265" s="96"/>
      <c r="D265" s="117"/>
      <c r="E265" s="96">
        <v>-372437380.00000006</v>
      </c>
      <c r="F265" s="96">
        <v>-175045568.59999999</v>
      </c>
      <c r="G265" s="96">
        <v>-148974952</v>
      </c>
      <c r="H265" s="96">
        <v>-18621869</v>
      </c>
      <c r="I265" s="96">
        <v>-3947836.2280000001</v>
      </c>
      <c r="J265" s="96">
        <v>-3351936.42</v>
      </c>
      <c r="K265" s="96">
        <v>-7597722.5520000001</v>
      </c>
      <c r="L265" s="96">
        <v>-7448747.6000000006</v>
      </c>
      <c r="M265" s="96">
        <v>-7448747.6000000006</v>
      </c>
    </row>
    <row r="266" spans="1:14" s="4" customFormat="1" ht="15" customHeight="1" x14ac:dyDescent="0.45">
      <c r="A266" s="97" t="s">
        <v>316</v>
      </c>
      <c r="B266" s="98">
        <v>-189762634.56408715</v>
      </c>
      <c r="C266" s="98"/>
      <c r="D266" s="118"/>
      <c r="E266" s="98">
        <v>-189762634.56408763</v>
      </c>
      <c r="F266" s="98">
        <v>-791962179.66728866</v>
      </c>
      <c r="G266" s="98">
        <v>1135675150.3690991</v>
      </c>
      <c r="H266" s="98">
        <v>1554410829.6981893</v>
      </c>
      <c r="I266" s="98">
        <v>-210059663.47481024</v>
      </c>
      <c r="J266" s="98">
        <v>51263804.043566063</v>
      </c>
      <c r="K266" s="98">
        <v>-670130720.68100142</v>
      </c>
      <c r="L266" s="98">
        <v>-639077052.25184166</v>
      </c>
      <c r="M266" s="98">
        <v>-619882802.60000002</v>
      </c>
    </row>
    <row r="267" spans="1:14" s="14" customFormat="1" ht="15" customHeight="1" x14ac:dyDescent="0.45">
      <c r="A267" s="35"/>
      <c r="B267" s="35"/>
      <c r="C267" s="36"/>
      <c r="D267" s="36"/>
      <c r="E267" s="36"/>
      <c r="F267" s="36"/>
      <c r="G267" s="36"/>
      <c r="H267" s="35"/>
      <c r="I267" s="35"/>
      <c r="J267" s="35"/>
      <c r="K267" s="35"/>
      <c r="L267" s="35"/>
      <c r="M267" s="36"/>
    </row>
    <row r="268" spans="1:14" ht="14" customHeight="1" x14ac:dyDescent="0.45">
      <c r="A268" s="95" t="s">
        <v>317</v>
      </c>
      <c r="B268" s="96">
        <v>-1996584557.4359131</v>
      </c>
      <c r="C268" s="96"/>
      <c r="D268" s="117"/>
      <c r="E268" s="96">
        <v>-1996584557.4359133</v>
      </c>
      <c r="F268" s="96">
        <v>-938394741.99487913</v>
      </c>
      <c r="G268" s="96">
        <v>-798633822.97436523</v>
      </c>
      <c r="H268" s="96">
        <v>-99829227.871795654</v>
      </c>
      <c r="I268" s="96">
        <v>-21163796.30882068</v>
      </c>
      <c r="J268" s="96">
        <v>-17969261.016923215</v>
      </c>
      <c r="K268" s="96">
        <v>-40730324.971692629</v>
      </c>
      <c r="L268" s="96">
        <v>-39931691.14871826</v>
      </c>
      <c r="M268" s="96">
        <v>-39931691.14871826</v>
      </c>
    </row>
    <row r="269" spans="1:14" s="4" customFormat="1" ht="15" customHeight="1" x14ac:dyDescent="0.45">
      <c r="A269" s="99" t="s">
        <v>318</v>
      </c>
      <c r="B269" s="100">
        <v>-2186347192</v>
      </c>
      <c r="C269" s="100"/>
      <c r="D269" s="119"/>
      <c r="E269" s="100">
        <v>-2186347192.0000005</v>
      </c>
      <c r="F269" s="100">
        <v>-1730356921.6621678</v>
      </c>
      <c r="G269" s="100">
        <v>337041327.39473391</v>
      </c>
      <c r="H269" s="100">
        <v>1454581601.8263936</v>
      </c>
      <c r="I269" s="100">
        <v>-231223459.78363091</v>
      </c>
      <c r="J269" s="100">
        <v>33294543.026642848</v>
      </c>
      <c r="K269" s="100">
        <v>-710861045.65269411</v>
      </c>
      <c r="L269" s="100">
        <v>-679008743.4005599</v>
      </c>
      <c r="M269" s="100">
        <v>-659814493.74871826</v>
      </c>
    </row>
    <row r="270" spans="1:14" s="14" customFormat="1" ht="15" customHeight="1" x14ac:dyDescent="0.45">
      <c r="A270" s="35"/>
      <c r="B270" s="35"/>
      <c r="C270" s="36"/>
      <c r="D270" s="36"/>
      <c r="E270" s="101"/>
      <c r="F270" s="101"/>
      <c r="G270" s="101"/>
      <c r="H270" s="101"/>
      <c r="I270" s="101"/>
      <c r="J270" s="101"/>
      <c r="K270" s="101"/>
      <c r="L270" s="101"/>
      <c r="M270" s="101"/>
    </row>
    <row r="271" spans="1:14" x14ac:dyDescent="0.45">
      <c r="A271" s="102" t="s">
        <v>319</v>
      </c>
      <c r="B271" s="103">
        <v>-2186347192.0000005</v>
      </c>
      <c r="C271" s="103"/>
      <c r="D271" s="120"/>
      <c r="E271" s="103">
        <v>-2186347192.0000005</v>
      </c>
      <c r="F271" s="103">
        <v>-1758766015.6621678</v>
      </c>
      <c r="G271" s="103">
        <v>365450421.39473391</v>
      </c>
      <c r="H271" s="103">
        <v>1454581601.8263936</v>
      </c>
      <c r="I271" s="103">
        <v>-231223459.78363091</v>
      </c>
      <c r="J271" s="103">
        <v>33294543.026642848</v>
      </c>
      <c r="K271" s="103">
        <v>-710861045.65269411</v>
      </c>
      <c r="L271" s="103">
        <v>-679008743.4005599</v>
      </c>
      <c r="M271" s="103">
        <v>-659814493.74871826</v>
      </c>
    </row>
    <row r="272" spans="1:14" s="1" customFormat="1" x14ac:dyDescent="0.45">
      <c r="A272" s="104" t="s">
        <v>320</v>
      </c>
      <c r="B272" s="104">
        <v>28409094</v>
      </c>
      <c r="C272" s="36"/>
      <c r="D272" s="36"/>
      <c r="E272" s="101"/>
      <c r="F272" s="101"/>
      <c r="G272" s="101"/>
      <c r="H272" s="101"/>
      <c r="I272" s="101"/>
      <c r="J272" s="101"/>
      <c r="K272" s="101"/>
      <c r="L272" s="101"/>
      <c r="M272" s="101"/>
    </row>
    <row r="273" spans="1:13" ht="15.65" customHeight="1" x14ac:dyDescent="0.45">
      <c r="A273" s="105" t="s">
        <v>321</v>
      </c>
      <c r="B273" s="106">
        <v>376523877</v>
      </c>
      <c r="C273" s="36"/>
      <c r="D273" s="36"/>
      <c r="E273" s="36"/>
      <c r="F273" s="36"/>
      <c r="G273" s="36"/>
      <c r="H273" s="35"/>
      <c r="I273" s="35"/>
      <c r="J273" s="35"/>
      <c r="K273" s="35"/>
      <c r="L273" s="35"/>
      <c r="M273" s="35"/>
    </row>
    <row r="274" spans="1:13" ht="15.65" hidden="1" customHeight="1" x14ac:dyDescent="0.45">
      <c r="A274" s="37" t="s">
        <v>235</v>
      </c>
      <c r="B274" s="38">
        <f t="shared" ref="B274:M274" si="0">B28-B29-B30-B63-B70-B71-B73-B74-B115-B122-B126-B133-B136-B141-B142-B151-B156-B164-B171-B178-B181-B193-B199-B215-B217-B228-B229-B238</f>
        <v>0</v>
      </c>
      <c r="C274" s="38">
        <f t="shared" si="0"/>
        <v>9.5367431640625E-7</v>
      </c>
      <c r="D274" s="38">
        <f t="shared" si="0"/>
        <v>0</v>
      </c>
      <c r="E274" s="38">
        <f t="shared" si="0"/>
        <v>-1.9073486328125E-6</v>
      </c>
      <c r="F274" s="38">
        <f t="shared" si="0"/>
        <v>-7.152557373046875E-7</v>
      </c>
      <c r="G274" s="38">
        <f t="shared" si="0"/>
        <v>-7.4505805969238281E-8</v>
      </c>
      <c r="H274" s="38">
        <f t="shared" si="0"/>
        <v>-4.76837158203125E-7</v>
      </c>
      <c r="I274" s="38">
        <f t="shared" si="0"/>
        <v>5.9604644775390625E-8</v>
      </c>
      <c r="J274" s="38">
        <f t="shared" si="0"/>
        <v>0</v>
      </c>
      <c r="K274" s="38">
        <f t="shared" si="0"/>
        <v>2.384185791015625E-7</v>
      </c>
      <c r="L274" s="38">
        <f t="shared" si="0"/>
        <v>0</v>
      </c>
      <c r="M274" s="38">
        <f t="shared" si="0"/>
        <v>0</v>
      </c>
    </row>
    <row r="275" spans="1:13" s="4" customFormat="1" ht="15" hidden="1" customHeight="1" x14ac:dyDescent="0.45">
      <c r="A275" s="37" t="s">
        <v>236</v>
      </c>
      <c r="B275" s="38">
        <f t="shared" ref="B275:M275" si="1">B28-B29-SUM(B31:B62)-SUM(B64:B69)-B70-B72-B73-SUM(B75:B114)-SUM(B116:B121)-SUM(B123:B125)-SUM(B127:B132)-B134-SUM(B137:B140)-B141-SUM(B143:B150)-SUM(B152:B155)-SUM(B157:B163)-SUM(B165:B170)-SUM(B172:B177)-SUM(B179:B180)-SUM(B182:B192)-SUM(B194:B198)-SUM(B200:B214)-B216-SUM(B218:B227)-B228-SUM(B230:B237)-B238-B135</f>
        <v>0</v>
      </c>
      <c r="C275" s="38">
        <f t="shared" si="1"/>
        <v>0</v>
      </c>
      <c r="D275" s="38">
        <f t="shared" si="1"/>
        <v>0</v>
      </c>
      <c r="E275" s="38">
        <f t="shared" si="1"/>
        <v>-1.9073486328125E-6</v>
      </c>
      <c r="F275" s="38">
        <f t="shared" si="1"/>
        <v>-7.152557373046875E-7</v>
      </c>
      <c r="G275" s="38">
        <f t="shared" si="1"/>
        <v>3.7252902984619141E-8</v>
      </c>
      <c r="H275" s="38">
        <f t="shared" si="1"/>
        <v>-4.76837158203125E-7</v>
      </c>
      <c r="I275" s="38">
        <f t="shared" si="1"/>
        <v>5.9604644775390625E-8</v>
      </c>
      <c r="J275" s="38">
        <f t="shared" si="1"/>
        <v>0</v>
      </c>
      <c r="K275" s="38">
        <f t="shared" si="1"/>
        <v>2.384185791015625E-7</v>
      </c>
      <c r="L275" s="38">
        <f t="shared" si="1"/>
        <v>2.384185791015625E-7</v>
      </c>
      <c r="M275" s="38">
        <f t="shared" si="1"/>
        <v>0</v>
      </c>
    </row>
    <row r="276" spans="1:13" s="4" customFormat="1" ht="15" hidden="1" customHeight="1" x14ac:dyDescent="0.45">
      <c r="A276" s="37" t="s">
        <v>237</v>
      </c>
      <c r="B276" s="38">
        <f t="shared" ref="B276:M276" si="2">B3-B25-B28-B239</f>
        <v>0</v>
      </c>
      <c r="C276" s="38">
        <f t="shared" si="2"/>
        <v>0</v>
      </c>
      <c r="D276" s="38">
        <f t="shared" si="2"/>
        <v>0</v>
      </c>
      <c r="E276" s="38">
        <f t="shared" si="2"/>
        <v>2.384185791015625E-7</v>
      </c>
      <c r="F276" s="38">
        <f t="shared" si="2"/>
        <v>1.1920928955078125E-6</v>
      </c>
      <c r="G276" s="38">
        <f t="shared" si="2"/>
        <v>0</v>
      </c>
      <c r="H276" s="38">
        <f t="shared" si="2"/>
        <v>0</v>
      </c>
      <c r="I276" s="38">
        <f t="shared" si="2"/>
        <v>0</v>
      </c>
      <c r="J276" s="38">
        <f t="shared" si="2"/>
        <v>0</v>
      </c>
      <c r="K276" s="38">
        <f t="shared" si="2"/>
        <v>0</v>
      </c>
      <c r="L276" s="38">
        <f t="shared" si="2"/>
        <v>0</v>
      </c>
      <c r="M276" s="38">
        <f t="shared" si="2"/>
        <v>0</v>
      </c>
    </row>
    <row r="277" spans="1:13" s="4" customFormat="1" ht="15" hidden="1" customHeight="1" x14ac:dyDescent="0.45">
      <c r="A277" s="37" t="s">
        <v>238</v>
      </c>
      <c r="B277" s="38">
        <f t="shared" ref="B277:M277" si="3">B239+B240-B250-B261-B260</f>
        <v>0</v>
      </c>
      <c r="C277" s="38">
        <f t="shared" si="3"/>
        <v>0</v>
      </c>
      <c r="D277" s="38">
        <f t="shared" si="3"/>
        <v>0</v>
      </c>
      <c r="E277" s="38">
        <f t="shared" si="3"/>
        <v>0</v>
      </c>
      <c r="F277" s="38">
        <f t="shared" si="3"/>
        <v>0</v>
      </c>
      <c r="G277" s="38">
        <f t="shared" si="3"/>
        <v>0</v>
      </c>
      <c r="H277" s="38">
        <f t="shared" si="3"/>
        <v>0</v>
      </c>
      <c r="I277" s="38">
        <f t="shared" si="3"/>
        <v>0</v>
      </c>
      <c r="J277" s="38">
        <f t="shared" si="3"/>
        <v>0</v>
      </c>
      <c r="K277" s="38">
        <f t="shared" si="3"/>
        <v>0</v>
      </c>
      <c r="L277" s="38">
        <f t="shared" si="3"/>
        <v>0</v>
      </c>
      <c r="M277" s="38">
        <f t="shared" si="3"/>
        <v>0</v>
      </c>
    </row>
    <row r="278" spans="1:13" s="4" customFormat="1" ht="15" hidden="1" customHeight="1" x14ac:dyDescent="0.45">
      <c r="A278" s="32" t="s">
        <v>244</v>
      </c>
      <c r="B278" s="32">
        <f t="shared" ref="B278:M278" si="4">B240-B241-B242-B244-B248-B249-B245-B247-B243-B246</f>
        <v>0</v>
      </c>
      <c r="C278" s="32">
        <f t="shared" si="4"/>
        <v>0</v>
      </c>
      <c r="D278" s="32">
        <f t="shared" si="4"/>
        <v>0</v>
      </c>
      <c r="E278" s="32">
        <f t="shared" si="4"/>
        <v>0</v>
      </c>
      <c r="F278" s="32">
        <f t="shared" si="4"/>
        <v>0</v>
      </c>
      <c r="G278" s="32">
        <f t="shared" si="4"/>
        <v>0</v>
      </c>
      <c r="H278" s="32">
        <f t="shared" si="4"/>
        <v>0</v>
      </c>
      <c r="I278" s="32">
        <f t="shared" si="4"/>
        <v>0</v>
      </c>
      <c r="J278" s="32">
        <f t="shared" si="4"/>
        <v>0</v>
      </c>
      <c r="K278" s="32">
        <f t="shared" si="4"/>
        <v>0</v>
      </c>
      <c r="L278" s="32">
        <f t="shared" si="4"/>
        <v>0</v>
      </c>
      <c r="M278" s="32">
        <f t="shared" si="4"/>
        <v>0</v>
      </c>
    </row>
    <row r="279" spans="1:13" ht="15.65" hidden="1" customHeight="1" x14ac:dyDescent="0.45">
      <c r="A279" s="32" t="s">
        <v>245</v>
      </c>
      <c r="B279" s="32">
        <f t="shared" ref="B279:M279" si="5">B250-B251-B254-B255-B256-B257-B259-B252-B253-B258</f>
        <v>0</v>
      </c>
      <c r="C279" s="32">
        <f t="shared" si="5"/>
        <v>0</v>
      </c>
      <c r="D279" s="32">
        <f t="shared" si="5"/>
        <v>0</v>
      </c>
      <c r="E279" s="32">
        <f t="shared" si="5"/>
        <v>0</v>
      </c>
      <c r="F279" s="32">
        <f t="shared" si="5"/>
        <v>0</v>
      </c>
      <c r="G279" s="32">
        <f t="shared" si="5"/>
        <v>0</v>
      </c>
      <c r="H279" s="32">
        <f t="shared" si="5"/>
        <v>0</v>
      </c>
      <c r="I279" s="32">
        <f t="shared" si="5"/>
        <v>0</v>
      </c>
      <c r="J279" s="32">
        <f t="shared" si="5"/>
        <v>0</v>
      </c>
      <c r="K279" s="32">
        <f t="shared" si="5"/>
        <v>0</v>
      </c>
      <c r="L279" s="32">
        <f t="shared" si="5"/>
        <v>0</v>
      </c>
      <c r="M279" s="32">
        <f t="shared" si="5"/>
        <v>0</v>
      </c>
    </row>
    <row r="280" spans="1:13" ht="15.65" hidden="1" customHeight="1" x14ac:dyDescent="0.45">
      <c r="A280" s="35"/>
      <c r="B280" s="35"/>
      <c r="C280" s="36"/>
      <c r="D280" s="36"/>
      <c r="E280" s="36"/>
      <c r="F280" s="36"/>
      <c r="G280" s="36"/>
      <c r="H280" s="35"/>
      <c r="I280" s="35"/>
      <c r="J280" s="35"/>
      <c r="K280" s="35"/>
      <c r="L280" s="35"/>
      <c r="M280" s="36"/>
    </row>
    <row r="281" spans="1:13" ht="15.65" hidden="1" customHeight="1" x14ac:dyDescent="0.45">
      <c r="A281" s="39" t="s">
        <v>239</v>
      </c>
      <c r="B281" s="38">
        <f>B4+B14+B21-B26-B53-B81-B131-B162-B168-B175-B189-B198-B210-B212-B218-B219-B221-B224-B230-B231-B232-B234-B235-B236-B227</f>
        <v>1909089415</v>
      </c>
      <c r="C281" s="38">
        <f>C4+C14+C21-C26-C53-C81-C131-C162-C168-C175-C189-C198-C210-C212-C219-C221-C224-C230-C231-C232-C235-C236</f>
        <v>-1533957250.0674973</v>
      </c>
      <c r="D281" s="38"/>
      <c r="E281" s="38">
        <f>E4+E14+E21-E26-E53-E81-E131-E162-E168-E175-E189-E198-E210-E212-E218-E219-E221-E224-E230-E231-E232-E234-E235-E236-E227</f>
        <v>3085452452.0674973</v>
      </c>
      <c r="F281" s="38">
        <f>F4+F14+F21-F26-F53-F81-F131-F162-F168-F175-F189-F198-F210-F212-F218-F219-F221-F224-F230-F231-F232-F234-F235-F236-F227</f>
        <v>2778221273.3523464</v>
      </c>
      <c r="G281" s="38">
        <f>G4+G14+G21-G26-G53-G81-G131-G162-G168-G175-G189-G198-G210-G212-G218-G219-G221-G224-G230-G231-G232-G234-G235-G236-G227</f>
        <v>-81809776.352346376</v>
      </c>
      <c r="H281" s="38">
        <f t="shared" ref="H281:L281" si="6">H4+H14+H21-H26-H53-H81-H131-H162-H168-H175-H189-H198-H210-H212-H218-H219-H221-H224-H230-H231-H232-H234-H235-H236-H227-H164-H215</f>
        <v>1130394707</v>
      </c>
      <c r="I281" s="38">
        <f t="shared" si="6"/>
        <v>-200659960.78134072</v>
      </c>
      <c r="J281" s="38">
        <f t="shared" si="6"/>
        <v>-30870584.528234363</v>
      </c>
      <c r="K281" s="38">
        <f t="shared" si="6"/>
        <v>-434606339.54591298</v>
      </c>
      <c r="L281" s="38">
        <f t="shared" si="6"/>
        <v>-88225114.077014431</v>
      </c>
      <c r="M281" s="38">
        <f>M4+M14+M21-M26-M53-M81-M131-M162-M168-M175-M189-M198-M210-M212-M218-M219-M221-M224-M230-M231-M232-M234-M235-M236-M227</f>
        <v>-125137697</v>
      </c>
    </row>
    <row r="282" spans="1:13" s="4" customFormat="1" ht="15" hidden="1" customHeight="1" x14ac:dyDescent="0.45">
      <c r="A282" s="40" t="s">
        <v>240</v>
      </c>
      <c r="B282" s="38">
        <f>B18-B109-B163-B165-B170-B192-B222-B226-B237</f>
        <v>1191283304</v>
      </c>
      <c r="C282" s="38">
        <f>C18-C109-C163-C165-C170-C192-C226-C113</f>
        <v>-5895154</v>
      </c>
      <c r="D282" s="38"/>
      <c r="E282" s="38">
        <f t="shared" ref="E282:M282" si="7">E18-E109-E163-E165-E170-E192-E222-E226-E237-E113</f>
        <v>270442882</v>
      </c>
      <c r="F282" s="38">
        <f t="shared" si="7"/>
        <v>439678544.12735391</v>
      </c>
      <c r="G282" s="38">
        <f t="shared" si="7"/>
        <v>-4217736.1273539504</v>
      </c>
      <c r="H282" s="38">
        <f t="shared" si="7"/>
        <v>34166359</v>
      </c>
      <c r="I282" s="38">
        <f t="shared" si="7"/>
        <v>1045454</v>
      </c>
      <c r="J282" s="38">
        <f t="shared" si="7"/>
        <v>-33091</v>
      </c>
      <c r="K282" s="38">
        <f t="shared" si="7"/>
        <v>-8784456</v>
      </c>
      <c r="L282" s="38">
        <f t="shared" si="7"/>
        <v>-191412192</v>
      </c>
      <c r="M282" s="38">
        <f t="shared" si="7"/>
        <v>0</v>
      </c>
    </row>
    <row r="283" spans="1:13" s="4" customFormat="1" ht="15" hidden="1" customHeight="1" x14ac:dyDescent="0.45">
      <c r="A283" s="37" t="s">
        <v>241</v>
      </c>
      <c r="B283" s="41">
        <f>SUBTOTAL(9,B281:B282)</f>
        <v>3100372719</v>
      </c>
      <c r="C283" s="41">
        <f t="shared" ref="C283" si="8">SUBTOTAL(9,C281:C282)</f>
        <v>-1539852404.0674973</v>
      </c>
      <c r="D283" s="41"/>
      <c r="E283" s="41">
        <f t="shared" ref="E283:L283" si="9">SUBTOTAL(9,E281:E282)</f>
        <v>3355895334.0674973</v>
      </c>
      <c r="F283" s="41">
        <f t="shared" si="9"/>
        <v>3217899817.4797001</v>
      </c>
      <c r="G283" s="41">
        <f>SUBTOTAL(9,G281:G282)</f>
        <v>-86027512.479700327</v>
      </c>
      <c r="H283" s="41">
        <f>SUBTOTAL(9,H281:H282)</f>
        <v>1164561066</v>
      </c>
      <c r="I283" s="41">
        <f t="shared" si="9"/>
        <v>-199614506.78134072</v>
      </c>
      <c r="J283" s="41">
        <f t="shared" si="9"/>
        <v>-30903675.528234363</v>
      </c>
      <c r="K283" s="41">
        <f t="shared" si="9"/>
        <v>-443390795.54591298</v>
      </c>
      <c r="L283" s="41">
        <f t="shared" si="9"/>
        <v>-279637306.07701445</v>
      </c>
      <c r="M283" s="41">
        <f>SUBTOTAL(9,M281:M282)</f>
        <v>-125137697</v>
      </c>
    </row>
    <row r="284" spans="1:13" s="4" customFormat="1" ht="15" hidden="1" customHeight="1" x14ac:dyDescent="0.45">
      <c r="A284" s="9" t="s">
        <v>241</v>
      </c>
      <c r="B284" s="10">
        <f>SUBTOTAL(9,B282:B283)</f>
        <v>1191283304</v>
      </c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</row>
    <row r="285" spans="1:13" collapsed="1" x14ac:dyDescent="0.45">
      <c r="H285" s="3"/>
      <c r="I285" s="3"/>
      <c r="J285" s="3"/>
      <c r="K285" s="3"/>
      <c r="L285" s="3"/>
      <c r="M285" s="2"/>
    </row>
    <row r="286" spans="1:13" x14ac:dyDescent="0.45">
      <c r="E286" s="20"/>
      <c r="F286" s="20"/>
      <c r="G286" s="20"/>
      <c r="H286" s="20"/>
      <c r="M286" s="2"/>
    </row>
    <row r="287" spans="1:13" x14ac:dyDescent="0.45">
      <c r="H287" s="3"/>
      <c r="I287" s="3"/>
      <c r="J287" s="3"/>
      <c r="K287" s="3"/>
      <c r="L287" s="3"/>
    </row>
    <row r="288" spans="1:13" x14ac:dyDescent="0.45">
      <c r="B288" s="3"/>
      <c r="H288" s="3"/>
      <c r="I288" s="3"/>
      <c r="J288" s="3"/>
      <c r="K288" s="3"/>
      <c r="L288" s="3"/>
    </row>
    <row r="289" spans="8:12" x14ac:dyDescent="0.45">
      <c r="H289" s="3"/>
      <c r="I289" s="3"/>
      <c r="J289" s="3"/>
      <c r="K289" s="3"/>
      <c r="L289" s="3"/>
    </row>
    <row r="290" spans="8:12" x14ac:dyDescent="0.45">
      <c r="H290" s="3"/>
      <c r="I290" s="3"/>
      <c r="J290" s="3"/>
      <c r="K290" s="3"/>
      <c r="L290" s="3"/>
    </row>
    <row r="293" spans="8:12" x14ac:dyDescent="0.45">
      <c r="H293" s="3"/>
      <c r="I293" s="3"/>
      <c r="J293" s="3"/>
      <c r="K293" s="3"/>
      <c r="L293" s="3"/>
    </row>
    <row r="295" spans="8:12" x14ac:dyDescent="0.45">
      <c r="H295" s="3"/>
      <c r="I295" s="3"/>
      <c r="J295" s="3"/>
      <c r="K295" s="3"/>
      <c r="L295" s="3"/>
    </row>
  </sheetData>
  <mergeCells count="8">
    <mergeCell ref="I1:L1"/>
    <mergeCell ref="M1:M2"/>
    <mergeCell ref="A1:A2"/>
    <mergeCell ref="B1:B2"/>
    <mergeCell ref="C1:C2"/>
    <mergeCell ref="D1:D2"/>
    <mergeCell ref="E1:E2"/>
    <mergeCell ref="F1:H1"/>
  </mergeCells>
  <phoneticPr fontId="2" type="noConversion"/>
  <pageMargins left="0.75" right="0.75" top="1" bottom="1" header="0.5" footer="0.5"/>
  <pageSetup paperSize="8" scale="60" fitToHeight="0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AF38E-2051-4C3B-88A4-C08881D9C401}">
  <sheetPr>
    <tabColor theme="8"/>
  </sheetPr>
  <dimension ref="A1:K128"/>
  <sheetViews>
    <sheetView workbookViewId="0">
      <selection sqref="A1:A2"/>
    </sheetView>
  </sheetViews>
  <sheetFormatPr defaultRowHeight="12.5" x14ac:dyDescent="0.25"/>
  <cols>
    <col min="1" max="1" width="28.1796875" bestFit="1" customWidth="1"/>
    <col min="2" max="6" width="22.6328125" customWidth="1"/>
    <col min="7" max="7" width="7.08984375" customWidth="1"/>
    <col min="8" max="8" width="26.453125" hidden="1" customWidth="1"/>
    <col min="9" max="9" width="25.26953125" hidden="1" customWidth="1"/>
    <col min="10" max="10" width="22" hidden="1" customWidth="1"/>
    <col min="11" max="11" width="0" hidden="1" customWidth="1"/>
  </cols>
  <sheetData>
    <row r="1" spans="1:11" x14ac:dyDescent="0.25">
      <c r="A1" s="216" t="s">
        <v>313</v>
      </c>
      <c r="B1" s="216" t="s">
        <v>322</v>
      </c>
      <c r="C1" s="174" t="s">
        <v>323</v>
      </c>
      <c r="D1" s="174" t="s">
        <v>324</v>
      </c>
      <c r="E1" s="174" t="s">
        <v>325</v>
      </c>
      <c r="F1" s="174" t="s">
        <v>326</v>
      </c>
      <c r="G1" s="124"/>
      <c r="H1" s="126" t="s">
        <v>362</v>
      </c>
      <c r="I1" s="127" t="s">
        <v>379</v>
      </c>
      <c r="J1" s="215" t="s">
        <v>378</v>
      </c>
      <c r="K1" s="124"/>
    </row>
    <row r="2" spans="1:11" x14ac:dyDescent="0.25">
      <c r="A2" s="216" t="s">
        <v>313</v>
      </c>
      <c r="B2" s="216" t="s">
        <v>322</v>
      </c>
      <c r="C2" s="174" t="s">
        <v>327</v>
      </c>
      <c r="D2" s="174" t="s">
        <v>328</v>
      </c>
      <c r="E2" s="174" t="s">
        <v>329</v>
      </c>
      <c r="F2" s="174" t="s">
        <v>330</v>
      </c>
      <c r="G2" s="124"/>
      <c r="H2" s="128" t="s">
        <v>364</v>
      </c>
      <c r="I2" s="129" t="s">
        <v>363</v>
      </c>
      <c r="J2" s="215"/>
      <c r="K2" s="124"/>
    </row>
    <row r="3" spans="1:11" ht="13" x14ac:dyDescent="0.3">
      <c r="A3" s="181" t="s">
        <v>331</v>
      </c>
      <c r="B3" s="122">
        <v>5590865297</v>
      </c>
      <c r="C3" s="122">
        <v>-9600000</v>
      </c>
      <c r="D3" s="122">
        <v>-302259290</v>
      </c>
      <c r="E3" s="122">
        <v>5934410622</v>
      </c>
      <c r="F3" s="122">
        <v>-31686035</v>
      </c>
      <c r="G3" s="124"/>
      <c r="H3" s="130">
        <f>IFERROR(VLOOKUP($A3,플랫폼1!$A:$E,3,FALSE),0)+IFERROR(VLOOKUP($A3,플랫폼2!$A:$C,3,FALSE),0)+IFERROR(VLOOKUP($A3,모바일!$A:$C,3,FALSE),0)+C3</f>
        <v>-1702447570</v>
      </c>
      <c r="I3" s="130">
        <f>IFERROR(VLOOKUP($A3,플랫폼1!$A:$E,5,FALSE),0)+IFERROR(VLOOKUP($A3,플랫폼2!$A:$I,9,FALSE),0)+IFERROR(VLOOKUP($A3,모바일!$A:$H,8,FALSE),0)</f>
        <v>776983566</v>
      </c>
      <c r="J3" s="131">
        <f>VLOOKUP(A3,플랫폼2!$A:$N,14,0)</f>
        <v>0</v>
      </c>
      <c r="K3" s="132" t="b">
        <f>B3=(H3+I3+J3)</f>
        <v>0</v>
      </c>
    </row>
    <row r="4" spans="1:11" ht="13" x14ac:dyDescent="0.3">
      <c r="A4" s="181" t="s">
        <v>0</v>
      </c>
      <c r="B4" s="122">
        <v>55658424026</v>
      </c>
      <c r="C4" s="122">
        <v>0</v>
      </c>
      <c r="D4" s="122">
        <v>6682762318</v>
      </c>
      <c r="E4" s="122">
        <v>47370147327</v>
      </c>
      <c r="F4" s="122">
        <v>1605514381</v>
      </c>
      <c r="G4" s="124"/>
      <c r="H4" s="130">
        <f>IFERROR(VLOOKUP($A4,플랫폼1!$A:$E,3,FALSE),0)+IFERROR(VLOOKUP($A4,플랫폼2!$A:$C,3,FALSE),0)+IFERROR(VLOOKUP($A4,모바일!$A:$C,3,FALSE),0)+C4</f>
        <v>369658702</v>
      </c>
      <c r="I4" s="130">
        <f>IFERROR(VLOOKUP($A4,플랫폼1!$A:$E,5,FALSE),0)+IFERROR(VLOOKUP($A4,플랫폼2!$A:$I,9,FALSE),0)+IFERROR(VLOOKUP($A4,모바일!$A:$H,8,FALSE),0)</f>
        <v>7450700012</v>
      </c>
      <c r="J4" s="131">
        <f>VLOOKUP(A4,플랫폼2!$A:$N,14,0)</f>
        <v>0</v>
      </c>
      <c r="K4" s="132" t="b">
        <f t="shared" ref="K4:K67" si="0">B4=(H4+I4+J4)</f>
        <v>0</v>
      </c>
    </row>
    <row r="5" spans="1:11" ht="13" x14ac:dyDescent="0.3">
      <c r="A5" s="181" t="s">
        <v>1</v>
      </c>
      <c r="B5" s="122">
        <v>51015838152</v>
      </c>
      <c r="C5" s="122">
        <v>0</v>
      </c>
      <c r="D5" s="122">
        <v>4557133512</v>
      </c>
      <c r="E5" s="122">
        <v>45971037043</v>
      </c>
      <c r="F5" s="122">
        <v>487667597</v>
      </c>
      <c r="G5" s="124"/>
      <c r="H5" s="130">
        <f>IFERROR(VLOOKUP($A5,플랫폼1!$A:$E,3,FALSE),0)+IFERROR(VLOOKUP($A5,플랫폼2!$A:$C,3,FALSE),0)+IFERROR(VLOOKUP($A5,모바일!$A:$C,3,FALSE),0)+C5</f>
        <v>0</v>
      </c>
      <c r="I5" s="130">
        <f>IFERROR(VLOOKUP($A5,플랫폼1!$A:$E,5,FALSE),0)+IFERROR(VLOOKUP($A5,플랫폼2!$A:$I,9,FALSE),0)+IFERROR(VLOOKUP($A5,모바일!$A:$H,8,FALSE),0)</f>
        <v>4557133512</v>
      </c>
      <c r="J5" s="131">
        <f>VLOOKUP(A5,플랫폼2!$A:$N,14,0)</f>
        <v>0</v>
      </c>
      <c r="K5" s="132" t="b">
        <f t="shared" si="0"/>
        <v>0</v>
      </c>
    </row>
    <row r="6" spans="1:11" ht="13" x14ac:dyDescent="0.3">
      <c r="A6" s="181" t="s">
        <v>2</v>
      </c>
      <c r="B6" s="122">
        <v>46041554080</v>
      </c>
      <c r="C6" s="122">
        <v>0</v>
      </c>
      <c r="D6" s="122">
        <v>0</v>
      </c>
      <c r="E6" s="122">
        <v>45961109775</v>
      </c>
      <c r="F6" s="122">
        <v>80444305</v>
      </c>
      <c r="G6" s="124"/>
      <c r="H6" s="130">
        <f>IFERROR(VLOOKUP($A6,플랫폼1!$A:$E,3,FALSE),0)+IFERROR(VLOOKUP($A6,플랫폼2!$A:$C,3,FALSE),0)+IFERROR(VLOOKUP($A6,모바일!$A:$C,3,FALSE),0)+C6</f>
        <v>0</v>
      </c>
      <c r="I6" s="130">
        <f>IFERROR(VLOOKUP($A6,플랫폼1!$A:$E,5,FALSE),0)+IFERROR(VLOOKUP($A6,플랫폼2!$A:$I,9,FALSE),0)+IFERROR(VLOOKUP($A6,모바일!$A:$H,8,FALSE),0)</f>
        <v>0</v>
      </c>
      <c r="J6" s="131">
        <f>VLOOKUP(A6,플랫폼2!$A:$N,14,0)</f>
        <v>0</v>
      </c>
      <c r="K6" s="132" t="b">
        <f t="shared" si="0"/>
        <v>0</v>
      </c>
    </row>
    <row r="7" spans="1:11" ht="13" x14ac:dyDescent="0.3">
      <c r="A7" s="181" t="s">
        <v>5</v>
      </c>
      <c r="B7" s="122">
        <v>407223292</v>
      </c>
      <c r="C7" s="122">
        <v>0</v>
      </c>
      <c r="D7" s="122">
        <v>0</v>
      </c>
      <c r="E7" s="122">
        <v>0</v>
      </c>
      <c r="F7" s="122">
        <v>407223292</v>
      </c>
      <c r="G7" s="124"/>
      <c r="H7" s="130">
        <f>IFERROR(VLOOKUP($A7,플랫폼1!$A:$E,3,FALSE),0)+IFERROR(VLOOKUP($A7,플랫폼2!$A:$C,3,FALSE),0)+IFERROR(VLOOKUP($A7,모바일!$A:$C,3,FALSE),0)+C7</f>
        <v>0</v>
      </c>
      <c r="I7" s="130">
        <f>IFERROR(VLOOKUP($A7,플랫폼1!$A:$E,5,FALSE),0)+IFERROR(VLOOKUP($A7,플랫폼2!$A:$I,9,FALSE),0)+IFERROR(VLOOKUP($A7,모바일!$A:$H,8,FALSE),0)</f>
        <v>0</v>
      </c>
      <c r="J7" s="131">
        <v>381930565</v>
      </c>
      <c r="K7" s="132" t="b">
        <f t="shared" si="0"/>
        <v>0</v>
      </c>
    </row>
    <row r="8" spans="1:11" ht="13" x14ac:dyDescent="0.3">
      <c r="A8" s="181" t="s">
        <v>301</v>
      </c>
      <c r="B8" s="122">
        <v>4567060780</v>
      </c>
      <c r="C8" s="122">
        <v>0</v>
      </c>
      <c r="D8" s="122">
        <v>4557133512</v>
      </c>
      <c r="E8" s="122">
        <v>9927268</v>
      </c>
      <c r="F8" s="122">
        <v>0</v>
      </c>
      <c r="G8" s="124"/>
      <c r="H8" s="130">
        <f>IFERROR(VLOOKUP($A8,플랫폼1!$A:$E,3,FALSE),0)+IFERROR(VLOOKUP($A8,플랫폼2!$A:$C,3,FALSE),0)+IFERROR(VLOOKUP($A8,모바일!$A:$C,3,FALSE),0)+C8</f>
        <v>0</v>
      </c>
      <c r="I8" s="130">
        <f>IFERROR(VLOOKUP($A8,플랫폼1!$A:$E,5,FALSE),0)+IFERROR(VLOOKUP($A8,플랫폼2!$A:$I,9,FALSE),0)+IFERROR(VLOOKUP($A8,모바일!$A:$H,8,FALSE),0)</f>
        <v>4557133512</v>
      </c>
      <c r="J8" s="131">
        <f>VLOOKUP(A8,플랫폼2!$A:$N,14,0)</f>
        <v>0</v>
      </c>
      <c r="K8" s="132" t="b">
        <f t="shared" si="0"/>
        <v>0</v>
      </c>
    </row>
    <row r="9" spans="1:11" ht="13" x14ac:dyDescent="0.3">
      <c r="A9" s="181" t="s">
        <v>7</v>
      </c>
      <c r="B9" s="122">
        <v>4642585874</v>
      </c>
      <c r="C9" s="122">
        <v>0</v>
      </c>
      <c r="D9" s="122">
        <v>2125628806</v>
      </c>
      <c r="E9" s="122">
        <v>1399110284</v>
      </c>
      <c r="F9" s="122">
        <v>1117846784</v>
      </c>
      <c r="G9" s="124"/>
      <c r="H9" s="130">
        <f>IFERROR(VLOOKUP($A9,플랫폼1!$A:$E,3,FALSE),0)+IFERROR(VLOOKUP($A9,플랫폼2!$A:$C,3,FALSE),0)+IFERROR(VLOOKUP($A9,모바일!$A:$C,3,FALSE),0)+C9</f>
        <v>369658702</v>
      </c>
      <c r="I9" s="130">
        <f>IFERROR(VLOOKUP($A9,플랫폼1!$A:$E,5,FALSE),0)+IFERROR(VLOOKUP($A9,플랫폼2!$A:$I,9,FALSE),0)+IFERROR(VLOOKUP($A9,모바일!$A:$H,8,FALSE),0)</f>
        <v>2893566500</v>
      </c>
      <c r="J9" s="131">
        <f>VLOOKUP(A9,플랫폼2!$A:$N,14,0)</f>
        <v>0</v>
      </c>
      <c r="K9" s="132" t="b">
        <f t="shared" si="0"/>
        <v>0</v>
      </c>
    </row>
    <row r="10" spans="1:11" ht="13" x14ac:dyDescent="0.3">
      <c r="A10" s="181" t="s">
        <v>8</v>
      </c>
      <c r="B10" s="122">
        <v>3314577868</v>
      </c>
      <c r="C10" s="122">
        <v>0</v>
      </c>
      <c r="D10" s="122">
        <v>1870069164</v>
      </c>
      <c r="E10" s="122">
        <v>1126326886</v>
      </c>
      <c r="F10" s="122">
        <v>318181818</v>
      </c>
      <c r="G10" s="124"/>
      <c r="H10" s="130">
        <f>IFERROR(VLOOKUP($A10,플랫폼1!$A:$E,3,FALSE),0)+IFERROR(VLOOKUP($A10,플랫폼2!$A:$C,3,FALSE),0)+IFERROR(VLOOKUP($A10,모바일!$A:$C,3,FALSE),0)+C10</f>
        <v>369658702</v>
      </c>
      <c r="I10" s="130">
        <f>IFERROR(VLOOKUP($A10,플랫폼1!$A:$E,5,FALSE),0)+IFERROR(VLOOKUP($A10,플랫폼2!$A:$I,9,FALSE),0)+IFERROR(VLOOKUP($A10,모바일!$A:$H,8,FALSE),0)</f>
        <v>1838341892</v>
      </c>
      <c r="J10" s="131">
        <f>VLOOKUP(A10,플랫폼2!$A:$N,14,0)</f>
        <v>0</v>
      </c>
      <c r="K10" s="132" t="b">
        <f t="shared" si="0"/>
        <v>0</v>
      </c>
    </row>
    <row r="11" spans="1:11" ht="13" x14ac:dyDescent="0.3">
      <c r="A11" s="181" t="s">
        <v>9</v>
      </c>
      <c r="B11" s="122">
        <v>305888006</v>
      </c>
      <c r="C11" s="122">
        <v>0</v>
      </c>
      <c r="D11" s="122">
        <v>255559642</v>
      </c>
      <c r="E11" s="122">
        <v>50328364</v>
      </c>
      <c r="F11" s="122">
        <v>0</v>
      </c>
      <c r="G11" s="124"/>
      <c r="H11" s="130">
        <f>IFERROR(VLOOKUP($A11,플랫폼1!$A:$E,3,FALSE),0)+IFERROR(VLOOKUP($A11,플랫폼2!$A:$C,3,FALSE),0)+IFERROR(VLOOKUP($A11,모바일!$A:$C,3,FALSE),0)+C11</f>
        <v>0</v>
      </c>
      <c r="I11" s="130">
        <f>IFERROR(VLOOKUP($A11,플랫폼1!$A:$E,5,FALSE),0)+IFERROR(VLOOKUP($A11,플랫폼2!$A:$I,9,FALSE),0)+IFERROR(VLOOKUP($A11,모바일!$A:$H,8,FALSE),0)</f>
        <v>255559642</v>
      </c>
      <c r="J11" s="131">
        <f>VLOOKUP(A11,플랫폼2!$A:$N,14,0)</f>
        <v>0</v>
      </c>
      <c r="K11" s="132" t="b">
        <f t="shared" si="0"/>
        <v>0</v>
      </c>
    </row>
    <row r="12" spans="1:11" ht="13" x14ac:dyDescent="0.3">
      <c r="A12" s="181" t="s">
        <v>121</v>
      </c>
      <c r="B12" s="122">
        <v>1022120000</v>
      </c>
      <c r="C12" s="122">
        <v>0</v>
      </c>
      <c r="D12" s="122">
        <v>0</v>
      </c>
      <c r="E12" s="122">
        <v>222455034</v>
      </c>
      <c r="F12" s="122">
        <v>799664966</v>
      </c>
      <c r="G12" s="124"/>
      <c r="H12" s="130">
        <f>IFERROR(VLOOKUP($A12,플랫폼1!$A:$E,3,FALSE),0)+IFERROR(VLOOKUP($A12,플랫폼2!$A:$C,3,FALSE),0)+IFERROR(VLOOKUP($A12,모바일!$A:$C,3,FALSE),0)+C12</f>
        <v>0</v>
      </c>
      <c r="I12" s="130">
        <f>IFERROR(VLOOKUP($A12,플랫폼1!$A:$E,5,FALSE),0)+IFERROR(VLOOKUP($A12,플랫폼2!$A:$I,9,FALSE),0)+IFERROR(VLOOKUP($A12,모바일!$A:$H,8,FALSE),0)</f>
        <v>799664966</v>
      </c>
      <c r="J12" s="131">
        <f>VLOOKUP(A12,플랫폼2!$A:$N,14,0)</f>
        <v>0</v>
      </c>
      <c r="K12" s="132" t="b">
        <f t="shared" si="0"/>
        <v>0</v>
      </c>
    </row>
    <row r="13" spans="1:11" ht="13" x14ac:dyDescent="0.3">
      <c r="A13" s="181" t="s">
        <v>14</v>
      </c>
      <c r="B13" s="122">
        <v>42348181294</v>
      </c>
      <c r="C13" s="122">
        <v>0</v>
      </c>
      <c r="D13" s="122">
        <v>4110141099</v>
      </c>
      <c r="E13" s="122">
        <v>37868843230</v>
      </c>
      <c r="F13" s="122">
        <v>369196965</v>
      </c>
      <c r="G13" s="124"/>
      <c r="H13" s="130">
        <f>IFERROR(VLOOKUP($A13,플랫폼1!$A:$E,3,FALSE),0)+IFERROR(VLOOKUP($A13,플랫폼2!$A:$C,3,FALSE),0)+IFERROR(VLOOKUP($A13,모바일!$A:$C,3,FALSE),0)+C13</f>
        <v>8740000</v>
      </c>
      <c r="I13" s="130">
        <f>IFERROR(VLOOKUP($A13,플랫폼1!$A:$E,5,FALSE),0)+IFERROR(VLOOKUP($A13,플랫폼2!$A:$I,9,FALSE),0)+IFERROR(VLOOKUP($A13,모바일!$A:$H,8,FALSE),0)</f>
        <v>4110141099</v>
      </c>
      <c r="J13" s="131">
        <f>VLOOKUP(A13,플랫폼2!$A:$N,14,0)</f>
        <v>0</v>
      </c>
      <c r="K13" s="132" t="b">
        <f t="shared" si="0"/>
        <v>0</v>
      </c>
    </row>
    <row r="14" spans="1:11" ht="13" x14ac:dyDescent="0.3">
      <c r="A14" s="181" t="s">
        <v>15</v>
      </c>
      <c r="B14" s="122">
        <v>42348181294</v>
      </c>
      <c r="C14" s="122">
        <v>0</v>
      </c>
      <c r="D14" s="122">
        <v>4110141099</v>
      </c>
      <c r="E14" s="122">
        <v>37868843230</v>
      </c>
      <c r="F14" s="122">
        <v>369196965</v>
      </c>
      <c r="G14" s="124"/>
      <c r="H14" s="130">
        <f>IFERROR(VLOOKUP($A14,플랫폼1!$A:$E,3,FALSE),0)+IFERROR(VLOOKUP($A14,플랫폼2!$A:$C,3,FALSE),0)+IFERROR(VLOOKUP($A14,모바일!$A:$C,3,FALSE),0)+C14</f>
        <v>8740000</v>
      </c>
      <c r="I14" s="130">
        <f>IFERROR(VLOOKUP($A14,플랫폼1!$A:$E,5,FALSE),0)+IFERROR(VLOOKUP($A14,플랫폼2!$A:$I,9,FALSE),0)+IFERROR(VLOOKUP($A14,모바일!$A:$H,8,FALSE),0)</f>
        <v>4110141099</v>
      </c>
      <c r="J14" s="131">
        <f>VLOOKUP(A14,플랫폼2!$A:$N,14,0)</f>
        <v>0</v>
      </c>
      <c r="K14" s="132" t="b">
        <f t="shared" si="0"/>
        <v>0</v>
      </c>
    </row>
    <row r="15" spans="1:11" ht="13" x14ac:dyDescent="0.3">
      <c r="A15" s="181" t="s">
        <v>16</v>
      </c>
      <c r="B15" s="122">
        <v>13310242732</v>
      </c>
      <c r="C15" s="122">
        <v>0</v>
      </c>
      <c r="D15" s="122">
        <v>2572621219</v>
      </c>
      <c r="E15" s="122">
        <v>9501304097</v>
      </c>
      <c r="F15" s="122">
        <v>1236317416</v>
      </c>
      <c r="G15" s="124"/>
      <c r="H15" s="130">
        <f>IFERROR(VLOOKUP($A15,플랫폼1!$A:$E,3,FALSE),0)+IFERROR(VLOOKUP($A15,플랫폼2!$A:$C,3,FALSE),0)+IFERROR(VLOOKUP($A15,모바일!$A:$C,3,FALSE),0)+C15</f>
        <v>360918702</v>
      </c>
      <c r="I15" s="130">
        <f>IFERROR(VLOOKUP($A15,플랫폼1!$A:$E,5,FALSE),0)+IFERROR(VLOOKUP($A15,플랫폼2!$A:$I,9,FALSE),0)+IFERROR(VLOOKUP($A15,모바일!$A:$H,8,FALSE),0)</f>
        <v>3340558913</v>
      </c>
      <c r="J15" s="131">
        <f>VLOOKUP(A15,플랫폼2!$A:$N,14,0)</f>
        <v>0</v>
      </c>
      <c r="K15" s="132" t="b">
        <f t="shared" si="0"/>
        <v>0</v>
      </c>
    </row>
    <row r="16" spans="1:11" ht="13" x14ac:dyDescent="0.3">
      <c r="A16" s="181" t="s">
        <v>17</v>
      </c>
      <c r="B16" s="122">
        <v>7715395455</v>
      </c>
      <c r="C16" s="122">
        <v>9600000</v>
      </c>
      <c r="D16" s="122">
        <v>2870898509</v>
      </c>
      <c r="E16" s="122">
        <v>3566893495</v>
      </c>
      <c r="F16" s="122">
        <v>1268003451</v>
      </c>
      <c r="G16" s="124"/>
      <c r="H16" s="130">
        <f>IFERROR(VLOOKUP($A16,플랫폼1!$A:$E,3,FALSE),0)+IFERROR(VLOOKUP($A16,플랫폼2!$A:$C,3,FALSE),0)+IFERROR(VLOOKUP($A16,모바일!$A:$C,3,FALSE),0)+C16</f>
        <v>2059384272</v>
      </c>
      <c r="I16" s="130">
        <f>IFERROR(VLOOKUP($A16,플랫폼1!$A:$E,5,FALSE),0)+IFERROR(VLOOKUP($A16,플랫폼2!$A:$I,9,FALSE),0)+IFERROR(VLOOKUP($A16,모바일!$A:$H,8,FALSE),0)</f>
        <v>2563575347</v>
      </c>
      <c r="J16" s="131">
        <f>VLOOKUP(A16,플랫폼2!$A:$N,14,0)</f>
        <v>0</v>
      </c>
      <c r="K16" s="132" t="b">
        <f t="shared" si="0"/>
        <v>0</v>
      </c>
    </row>
    <row r="17" spans="1:11" ht="13" x14ac:dyDescent="0.3">
      <c r="A17" s="181" t="s">
        <v>19</v>
      </c>
      <c r="B17" s="122">
        <v>1002204290</v>
      </c>
      <c r="C17" s="122">
        <v>0</v>
      </c>
      <c r="D17" s="122">
        <v>252158180</v>
      </c>
      <c r="E17" s="122">
        <v>333087550</v>
      </c>
      <c r="F17" s="122">
        <v>416958560</v>
      </c>
      <c r="G17" s="124"/>
      <c r="H17" s="130">
        <f>IFERROR(VLOOKUP($A17,플랫폼1!$A:$E,3,FALSE),0)+IFERROR(VLOOKUP($A17,플랫폼2!$A:$C,3,FALSE),0)+IFERROR(VLOOKUP($A17,모바일!$A:$C,3,FALSE),0)+C17</f>
        <v>885415020</v>
      </c>
      <c r="I17" s="130">
        <f>IFERROR(VLOOKUP($A17,플랫폼1!$A:$E,5,FALSE),0)+IFERROR(VLOOKUP($A17,플랫폼2!$A:$I,9,FALSE),0)+IFERROR(VLOOKUP($A17,모바일!$A:$H,8,FALSE),0)</f>
        <v>0</v>
      </c>
      <c r="J17" s="131">
        <f>VLOOKUP(A17,플랫폼2!$A:$N,14,0)</f>
        <v>0</v>
      </c>
      <c r="K17" s="132" t="b">
        <f t="shared" si="0"/>
        <v>0</v>
      </c>
    </row>
    <row r="18" spans="1:11" ht="13" x14ac:dyDescent="0.3">
      <c r="A18" s="181" t="s">
        <v>20</v>
      </c>
      <c r="B18" s="122">
        <v>531956760</v>
      </c>
      <c r="C18" s="122">
        <v>0</v>
      </c>
      <c r="D18" s="122">
        <v>151580040</v>
      </c>
      <c r="E18" s="122">
        <v>212815570</v>
      </c>
      <c r="F18" s="122">
        <v>167561150</v>
      </c>
      <c r="G18" s="124"/>
      <c r="H18" s="130">
        <f>IFERROR(VLOOKUP($A18,플랫폼1!$A:$E,3,FALSE),0)+IFERROR(VLOOKUP($A18,플랫폼2!$A:$C,3,FALSE),0)+IFERROR(VLOOKUP($A18,모바일!$A:$C,3,FALSE),0)+C18</f>
        <v>531956760</v>
      </c>
      <c r="I18" s="130">
        <f>IFERROR(VLOOKUP($A18,플랫폼1!$A:$E,5,FALSE),0)+IFERROR(VLOOKUP($A18,플랫폼2!$A:$I,9,FALSE),0)+IFERROR(VLOOKUP($A18,모바일!$A:$H,8,FALSE),0)</f>
        <v>0</v>
      </c>
      <c r="J18" s="131">
        <f>VLOOKUP(A18,플랫폼2!$A:$N,14,0)</f>
        <v>0</v>
      </c>
      <c r="K18" s="132" t="b">
        <f t="shared" si="0"/>
        <v>1</v>
      </c>
    </row>
    <row r="19" spans="1:11" ht="13" x14ac:dyDescent="0.3">
      <c r="A19" s="181" t="s">
        <v>21</v>
      </c>
      <c r="B19" s="122">
        <v>97224510</v>
      </c>
      <c r="C19" s="122">
        <v>0</v>
      </c>
      <c r="D19" s="122">
        <v>28356020</v>
      </c>
      <c r="E19" s="122">
        <v>38904020</v>
      </c>
      <c r="F19" s="122">
        <v>29964470</v>
      </c>
      <c r="G19" s="124"/>
      <c r="H19" s="130">
        <f>IFERROR(VLOOKUP($A19,플랫폼1!$A:$E,3,FALSE),0)+IFERROR(VLOOKUP($A19,플랫폼2!$A:$C,3,FALSE),0)+IFERROR(VLOOKUP($A19,모바일!$A:$C,3,FALSE),0)+C19</f>
        <v>97224510</v>
      </c>
      <c r="I19" s="130">
        <f>IFERROR(VLOOKUP($A19,플랫폼1!$A:$E,5,FALSE),0)+IFERROR(VLOOKUP($A19,플랫폼2!$A:$I,9,FALSE),0)+IFERROR(VLOOKUP($A19,모바일!$A:$H,8,FALSE),0)</f>
        <v>0</v>
      </c>
      <c r="J19" s="131">
        <f>VLOOKUP(A19,플랫폼2!$A:$N,14,0)</f>
        <v>0</v>
      </c>
      <c r="K19" s="132" t="b">
        <f t="shared" si="0"/>
        <v>1</v>
      </c>
    </row>
    <row r="20" spans="1:11" ht="13" x14ac:dyDescent="0.3">
      <c r="A20" s="181" t="s">
        <v>22</v>
      </c>
      <c r="B20" s="122">
        <v>20400000</v>
      </c>
      <c r="C20" s="122">
        <v>0</v>
      </c>
      <c r="D20" s="122">
        <v>8400000</v>
      </c>
      <c r="E20" s="122">
        <v>8400000</v>
      </c>
      <c r="F20" s="122">
        <v>3600000</v>
      </c>
      <c r="G20" s="124"/>
      <c r="H20" s="130">
        <f>IFERROR(VLOOKUP($A20,플랫폼1!$A:$E,3,FALSE),0)+IFERROR(VLOOKUP($A20,플랫폼2!$A:$C,3,FALSE),0)+IFERROR(VLOOKUP($A20,모바일!$A:$C,3,FALSE),0)+C20</f>
        <v>20400000</v>
      </c>
      <c r="I20" s="130">
        <f>IFERROR(VLOOKUP($A20,플랫폼1!$A:$E,5,FALSE),0)+IFERROR(VLOOKUP($A20,플랫폼2!$A:$I,9,FALSE),0)+IFERROR(VLOOKUP($A20,모바일!$A:$H,8,FALSE),0)</f>
        <v>0</v>
      </c>
      <c r="J20" s="131">
        <f>VLOOKUP(A20,플랫폼2!$A:$N,14,0)</f>
        <v>0</v>
      </c>
      <c r="K20" s="132" t="b">
        <f t="shared" si="0"/>
        <v>1</v>
      </c>
    </row>
    <row r="21" spans="1:11" ht="13" x14ac:dyDescent="0.3">
      <c r="A21" s="181" t="s">
        <v>23</v>
      </c>
      <c r="B21" s="122">
        <v>8027910</v>
      </c>
      <c r="C21" s="122">
        <v>0</v>
      </c>
      <c r="D21" s="122">
        <v>684440</v>
      </c>
      <c r="E21" s="122">
        <v>6032780</v>
      </c>
      <c r="F21" s="122">
        <v>1310690</v>
      </c>
      <c r="G21" s="124"/>
      <c r="H21" s="130">
        <f>IFERROR(VLOOKUP($A21,플랫폼1!$A:$E,3,FALSE),0)+IFERROR(VLOOKUP($A21,플랫폼2!$A:$C,3,FALSE),0)+IFERROR(VLOOKUP($A21,모바일!$A:$C,3,FALSE),0)+C21</f>
        <v>8027910</v>
      </c>
      <c r="I21" s="130">
        <f>IFERROR(VLOOKUP($A21,플랫폼1!$A:$E,5,FALSE),0)+IFERROR(VLOOKUP($A21,플랫폼2!$A:$I,9,FALSE),0)+IFERROR(VLOOKUP($A21,모바일!$A:$H,8,FALSE),0)</f>
        <v>0</v>
      </c>
      <c r="J21" s="131">
        <f>VLOOKUP(A21,플랫폼2!$A:$N,14,0)</f>
        <v>0</v>
      </c>
      <c r="K21" s="132" t="b">
        <f t="shared" si="0"/>
        <v>1</v>
      </c>
    </row>
    <row r="22" spans="1:11" ht="13" x14ac:dyDescent="0.3">
      <c r="A22" s="181" t="s">
        <v>24</v>
      </c>
      <c r="B22" s="122">
        <v>19371300</v>
      </c>
      <c r="C22" s="122">
        <v>0</v>
      </c>
      <c r="D22" s="122">
        <v>10535000</v>
      </c>
      <c r="E22" s="122">
        <v>1733790</v>
      </c>
      <c r="F22" s="122">
        <v>7102510</v>
      </c>
      <c r="G22" s="124"/>
      <c r="H22" s="130">
        <f>IFERROR(VLOOKUP($A22,플랫폼1!$A:$E,3,FALSE),0)+IFERROR(VLOOKUP($A22,플랫폼2!$A:$C,3,FALSE),0)+IFERROR(VLOOKUP($A22,모바일!$A:$C,3,FALSE),0)+C22</f>
        <v>19371300</v>
      </c>
      <c r="I22" s="130">
        <f>IFERROR(VLOOKUP($A22,플랫폼1!$A:$E,5,FALSE),0)+IFERROR(VLOOKUP($A22,플랫폼2!$A:$I,9,FALSE),0)+IFERROR(VLOOKUP($A22,모바일!$A:$H,8,FALSE),0)</f>
        <v>0</v>
      </c>
      <c r="J22" s="131">
        <f>VLOOKUP(A22,플랫폼2!$A:$N,14,0)</f>
        <v>0</v>
      </c>
      <c r="K22" s="132" t="b">
        <f t="shared" si="0"/>
        <v>1</v>
      </c>
    </row>
    <row r="23" spans="1:11" ht="13" x14ac:dyDescent="0.3">
      <c r="A23" s="181" t="s">
        <v>25</v>
      </c>
      <c r="B23" s="122">
        <v>19065000</v>
      </c>
      <c r="C23" s="122">
        <v>0</v>
      </c>
      <c r="D23" s="122">
        <v>6975000</v>
      </c>
      <c r="E23" s="122">
        <v>7440000</v>
      </c>
      <c r="F23" s="122">
        <v>4650000</v>
      </c>
      <c r="G23" s="124"/>
      <c r="H23" s="130">
        <f>IFERROR(VLOOKUP($A23,플랫폼1!$A:$E,3,FALSE),0)+IFERROR(VLOOKUP($A23,플랫폼2!$A:$C,3,FALSE),0)+IFERROR(VLOOKUP($A23,모바일!$A:$C,3,FALSE),0)+C23</f>
        <v>19065000</v>
      </c>
      <c r="I23" s="130">
        <f>IFERROR(VLOOKUP($A23,플랫폼1!$A:$E,5,FALSE),0)+IFERROR(VLOOKUP($A23,플랫폼2!$A:$I,9,FALSE),0)+IFERROR(VLOOKUP($A23,모바일!$A:$H,8,FALSE),0)</f>
        <v>0</v>
      </c>
      <c r="J23" s="131">
        <f>VLOOKUP(A23,플랫폼2!$A:$N,14,0)</f>
        <v>0</v>
      </c>
      <c r="K23" s="132" t="b">
        <f t="shared" si="0"/>
        <v>1</v>
      </c>
    </row>
    <row r="24" spans="1:11" ht="13" x14ac:dyDescent="0.3">
      <c r="A24" s="181" t="s">
        <v>26</v>
      </c>
      <c r="B24" s="122">
        <v>216914980</v>
      </c>
      <c r="C24" s="122">
        <v>0</v>
      </c>
      <c r="D24" s="122">
        <v>25889170</v>
      </c>
      <c r="E24" s="122">
        <v>40696250</v>
      </c>
      <c r="F24" s="122">
        <v>150329560</v>
      </c>
      <c r="G24" s="124"/>
      <c r="H24" s="130">
        <f>IFERROR(VLOOKUP($A24,플랫폼1!$A:$E,3,FALSE),0)+IFERROR(VLOOKUP($A24,플랫폼2!$A:$C,3,FALSE),0)+IFERROR(VLOOKUP($A24,모바일!$A:$C,3,FALSE),0)+C24</f>
        <v>126564550</v>
      </c>
      <c r="I24" s="130">
        <f>IFERROR(VLOOKUP($A24,플랫폼1!$A:$E,5,FALSE),0)+IFERROR(VLOOKUP($A24,플랫폼2!$A:$I,9,FALSE),0)+IFERROR(VLOOKUP($A24,모바일!$A:$H,8,FALSE),0)</f>
        <v>0</v>
      </c>
      <c r="J24" s="131">
        <f>VLOOKUP(A24,플랫폼2!$A:$N,14,0)</f>
        <v>0</v>
      </c>
      <c r="K24" s="132" t="b">
        <f t="shared" si="0"/>
        <v>0</v>
      </c>
    </row>
    <row r="25" spans="1:11" ht="13" x14ac:dyDescent="0.3">
      <c r="A25" s="181" t="s">
        <v>27</v>
      </c>
      <c r="B25" s="122">
        <v>35747970</v>
      </c>
      <c r="C25" s="122">
        <v>0</v>
      </c>
      <c r="D25" s="122">
        <v>4378510</v>
      </c>
      <c r="E25" s="122">
        <v>6009850</v>
      </c>
      <c r="F25" s="122">
        <v>25359610</v>
      </c>
      <c r="G25" s="124"/>
      <c r="H25" s="130">
        <f>IFERROR(VLOOKUP($A25,플랫폼1!$A:$E,3,FALSE),0)+IFERROR(VLOOKUP($A25,플랫폼2!$A:$C,3,FALSE),0)+IFERROR(VLOOKUP($A25,모바일!$A:$C,3,FALSE),0)+C25</f>
        <v>20435630</v>
      </c>
      <c r="I25" s="130">
        <f>IFERROR(VLOOKUP($A25,플랫폼1!$A:$E,5,FALSE),0)+IFERROR(VLOOKUP($A25,플랫폼2!$A:$I,9,FALSE),0)+IFERROR(VLOOKUP($A25,모바일!$A:$H,8,FALSE),0)</f>
        <v>0</v>
      </c>
      <c r="J25" s="131">
        <f>VLOOKUP(A25,플랫폼2!$A:$N,14,0)</f>
        <v>0</v>
      </c>
      <c r="K25" s="132" t="b">
        <f t="shared" si="0"/>
        <v>0</v>
      </c>
    </row>
    <row r="26" spans="1:11" ht="13" x14ac:dyDescent="0.3">
      <c r="A26" s="181" t="s">
        <v>28</v>
      </c>
      <c r="B26" s="122">
        <v>150000</v>
      </c>
      <c r="C26" s="122">
        <v>0</v>
      </c>
      <c r="D26" s="122">
        <v>0</v>
      </c>
      <c r="E26" s="122">
        <v>0</v>
      </c>
      <c r="F26" s="122">
        <v>150000</v>
      </c>
      <c r="G26" s="124"/>
      <c r="H26" s="130">
        <f>IFERROR(VLOOKUP($A26,플랫폼1!$A:$E,3,FALSE),0)+IFERROR(VLOOKUP($A26,플랫폼2!$A:$C,3,FALSE),0)+IFERROR(VLOOKUP($A26,모바일!$A:$C,3,FALSE),0)+C26</f>
        <v>0</v>
      </c>
      <c r="I26" s="130">
        <f>IFERROR(VLOOKUP($A26,플랫폼1!$A:$E,5,FALSE),0)+IFERROR(VLOOKUP($A26,플랫폼2!$A:$I,9,FALSE),0)+IFERROR(VLOOKUP($A26,모바일!$A:$H,8,FALSE),0)</f>
        <v>0</v>
      </c>
      <c r="J26" s="131" t="e">
        <f>VLOOKUP(A26,플랫폼2!$A:$N,14,0)</f>
        <v>#N/A</v>
      </c>
      <c r="K26" s="132" t="e">
        <f t="shared" si="0"/>
        <v>#N/A</v>
      </c>
    </row>
    <row r="27" spans="1:11" ht="13" x14ac:dyDescent="0.3">
      <c r="A27" s="181" t="s">
        <v>29</v>
      </c>
      <c r="B27" s="122">
        <v>14759500</v>
      </c>
      <c r="C27" s="122">
        <v>0</v>
      </c>
      <c r="D27" s="122">
        <v>1860000</v>
      </c>
      <c r="E27" s="122">
        <v>2703000</v>
      </c>
      <c r="F27" s="122">
        <v>10196500</v>
      </c>
      <c r="G27" s="124"/>
      <c r="H27" s="130">
        <f>IFERROR(VLOOKUP($A27,플랫폼1!$A:$E,3,FALSE),0)+IFERROR(VLOOKUP($A27,플랫폼2!$A:$C,3,FALSE),0)+IFERROR(VLOOKUP($A27,모바일!$A:$C,3,FALSE),0)+C27</f>
        <v>8283000</v>
      </c>
      <c r="I27" s="130">
        <f>IFERROR(VLOOKUP($A27,플랫폼1!$A:$E,5,FALSE),0)+IFERROR(VLOOKUP($A27,플랫폼2!$A:$I,9,FALSE),0)+IFERROR(VLOOKUP($A27,모바일!$A:$H,8,FALSE),0)</f>
        <v>0</v>
      </c>
      <c r="J27" s="131">
        <f>VLOOKUP(A27,플랫폼2!$A:$N,14,0)</f>
        <v>0</v>
      </c>
      <c r="K27" s="132" t="b">
        <f t="shared" si="0"/>
        <v>0</v>
      </c>
    </row>
    <row r="28" spans="1:11" ht="13" x14ac:dyDescent="0.3">
      <c r="A28" s="181" t="s">
        <v>30</v>
      </c>
      <c r="B28" s="122">
        <v>271370</v>
      </c>
      <c r="C28" s="122">
        <v>0</v>
      </c>
      <c r="D28" s="122">
        <v>0</v>
      </c>
      <c r="E28" s="122">
        <v>271370</v>
      </c>
      <c r="F28" s="122">
        <v>0</v>
      </c>
      <c r="G28" s="124"/>
      <c r="H28" s="130">
        <f>IFERROR(VLOOKUP($A28,플랫폼1!$A:$E,3,FALSE),0)+IFERROR(VLOOKUP($A28,플랫폼2!$A:$C,3,FALSE),0)+IFERROR(VLOOKUP($A28,모바일!$A:$C,3,FALSE),0)+C28</f>
        <v>271370</v>
      </c>
      <c r="I28" s="130">
        <f>IFERROR(VLOOKUP($A28,플랫폼1!$A:$E,5,FALSE),0)+IFERROR(VLOOKUP($A28,플랫폼2!$A:$I,9,FALSE),0)+IFERROR(VLOOKUP($A28,모바일!$A:$H,8,FALSE),0)</f>
        <v>0</v>
      </c>
      <c r="J28" s="131">
        <f>VLOOKUP(A28,플랫폼2!$A:$N,14,0)</f>
        <v>0</v>
      </c>
      <c r="K28" s="132" t="b">
        <f t="shared" si="0"/>
        <v>1</v>
      </c>
    </row>
    <row r="29" spans="1:11" ht="13" x14ac:dyDescent="0.3">
      <c r="A29" s="181" t="s">
        <v>31</v>
      </c>
      <c r="B29" s="122">
        <v>814990</v>
      </c>
      <c r="C29" s="122">
        <v>0</v>
      </c>
      <c r="D29" s="122">
        <v>0</v>
      </c>
      <c r="E29" s="122">
        <v>580920</v>
      </c>
      <c r="F29" s="122">
        <v>234070</v>
      </c>
      <c r="G29" s="124"/>
      <c r="H29" s="130">
        <f>IFERROR(VLOOKUP($A29,플랫폼1!$A:$E,3,FALSE),0)+IFERROR(VLOOKUP($A29,플랫폼2!$A:$C,3,FALSE),0)+IFERROR(VLOOKUP($A29,모바일!$A:$C,3,FALSE),0)+C29</f>
        <v>814990</v>
      </c>
      <c r="I29" s="130">
        <f>IFERROR(VLOOKUP($A29,플랫폼1!$A:$E,5,FALSE),0)+IFERROR(VLOOKUP($A29,플랫폼2!$A:$I,9,FALSE),0)+IFERROR(VLOOKUP($A29,모바일!$A:$H,8,FALSE),0)</f>
        <v>0</v>
      </c>
      <c r="J29" s="131"/>
      <c r="K29" s="132" t="b">
        <f t="shared" si="0"/>
        <v>1</v>
      </c>
    </row>
    <row r="30" spans="1:11" ht="13" x14ac:dyDescent="0.3">
      <c r="A30" s="181" t="s">
        <v>32</v>
      </c>
      <c r="B30" s="122">
        <v>12000000</v>
      </c>
      <c r="C30" s="122">
        <v>0</v>
      </c>
      <c r="D30" s="122">
        <v>6000000</v>
      </c>
      <c r="E30" s="122">
        <v>0</v>
      </c>
      <c r="F30" s="122">
        <v>6000000</v>
      </c>
      <c r="G30" s="124"/>
      <c r="H30" s="130">
        <f>IFERROR(VLOOKUP($A30,플랫폼1!$A:$E,3,FALSE),0)+IFERROR(VLOOKUP($A30,플랫폼2!$A:$C,3,FALSE),0)+IFERROR(VLOOKUP($A30,모바일!$A:$C,3,FALSE),0)+C30</f>
        <v>12000000</v>
      </c>
      <c r="I30" s="130">
        <f>IFERROR(VLOOKUP($A30,플랫폼1!$A:$E,5,FALSE),0)+IFERROR(VLOOKUP($A30,플랫폼2!$A:$I,9,FALSE),0)+IFERROR(VLOOKUP($A30,모바일!$A:$H,8,FALSE),0)</f>
        <v>0</v>
      </c>
      <c r="J30" s="131" t="e">
        <f>VLOOKUP(A30,플랫폼2!$A:$N,14,0)</f>
        <v>#N/A</v>
      </c>
      <c r="K30" s="132" t="e">
        <f t="shared" si="0"/>
        <v>#N/A</v>
      </c>
    </row>
    <row r="31" spans="1:11" ht="13" x14ac:dyDescent="0.3">
      <c r="A31" s="181" t="s">
        <v>302</v>
      </c>
      <c r="B31" s="122">
        <v>25500000</v>
      </c>
      <c r="C31" s="122">
        <v>0</v>
      </c>
      <c r="D31" s="122">
        <v>7500000</v>
      </c>
      <c r="E31" s="122">
        <v>7500000</v>
      </c>
      <c r="F31" s="122">
        <v>10500000</v>
      </c>
      <c r="G31" s="124"/>
      <c r="H31" s="130">
        <f>IFERROR(VLOOKUP($A31,플랫폼1!$A:$E,3,FALSE),0)+IFERROR(VLOOKUP($A31,플랫폼2!$A:$C,3,FALSE),0)+IFERROR(VLOOKUP($A31,모바일!$A:$C,3,FALSE),0)+C31</f>
        <v>21000000</v>
      </c>
      <c r="I31" s="130">
        <f>IFERROR(VLOOKUP($A31,플랫폼1!$A:$E,5,FALSE),0)+IFERROR(VLOOKUP($A31,플랫폼2!$A:$I,9,FALSE),0)+IFERROR(VLOOKUP($A31,모바일!$A:$H,8,FALSE),0)</f>
        <v>0</v>
      </c>
      <c r="J31" s="131">
        <f>VLOOKUP(A31,플랫폼2!$A:$N,14,0)</f>
        <v>0</v>
      </c>
      <c r="K31" s="132" t="b">
        <f t="shared" si="0"/>
        <v>0</v>
      </c>
    </row>
    <row r="32" spans="1:11" ht="13" x14ac:dyDescent="0.3">
      <c r="A32" s="181" t="s">
        <v>33</v>
      </c>
      <c r="B32" s="122">
        <v>212455470</v>
      </c>
      <c r="C32" s="122">
        <v>0</v>
      </c>
      <c r="D32" s="122">
        <v>52137050</v>
      </c>
      <c r="E32" s="122">
        <v>92280640</v>
      </c>
      <c r="F32" s="122">
        <v>68037780</v>
      </c>
      <c r="G32" s="124"/>
      <c r="H32" s="130">
        <f>IFERROR(VLOOKUP($A32,플랫폼1!$A:$E,3,FALSE),0)+IFERROR(VLOOKUP($A32,플랫폼2!$A:$C,3,FALSE),0)+IFERROR(VLOOKUP($A32,모바일!$A:$C,3,FALSE),0)+C32</f>
        <v>209211690</v>
      </c>
      <c r="I32" s="130">
        <f>IFERROR(VLOOKUP($A32,플랫폼1!$A:$E,5,FALSE),0)+IFERROR(VLOOKUP($A32,플랫폼2!$A:$I,9,FALSE),0)+IFERROR(VLOOKUP($A32,모바일!$A:$H,8,FALSE),0)</f>
        <v>0</v>
      </c>
      <c r="J32" s="131">
        <f>VLOOKUP(A32,플랫폼2!$A:$N,14,0)</f>
        <v>0</v>
      </c>
      <c r="K32" s="132" t="b">
        <f t="shared" si="0"/>
        <v>0</v>
      </c>
    </row>
    <row r="33" spans="1:11" ht="13" x14ac:dyDescent="0.3">
      <c r="A33" s="181" t="s">
        <v>34</v>
      </c>
      <c r="B33" s="122">
        <v>86629610</v>
      </c>
      <c r="C33" s="122">
        <v>0</v>
      </c>
      <c r="D33" s="122">
        <v>26381150</v>
      </c>
      <c r="E33" s="122">
        <v>36667830</v>
      </c>
      <c r="F33" s="122">
        <v>23580630</v>
      </c>
      <c r="G33" s="124"/>
      <c r="H33" s="130">
        <f>IFERROR(VLOOKUP($A33,플랫폼1!$A:$E,3,FALSE),0)+IFERROR(VLOOKUP($A33,플랫폼2!$A:$C,3,FALSE),0)+IFERROR(VLOOKUP($A33,모바일!$A:$C,3,FALSE),0)+C33</f>
        <v>86629610</v>
      </c>
      <c r="I33" s="130">
        <f>IFERROR(VLOOKUP($A33,플랫폼1!$A:$E,5,FALSE),0)+IFERROR(VLOOKUP($A33,플랫폼2!$A:$I,9,FALSE),0)+IFERROR(VLOOKUP($A33,모바일!$A:$H,8,FALSE),0)</f>
        <v>0</v>
      </c>
      <c r="J33" s="131">
        <f>VLOOKUP(A33,플랫폼2!$A:$N,14,0)</f>
        <v>0</v>
      </c>
      <c r="K33" s="132" t="b">
        <f t="shared" si="0"/>
        <v>1</v>
      </c>
    </row>
    <row r="34" spans="1:11" ht="13" x14ac:dyDescent="0.3">
      <c r="A34" s="181" t="s">
        <v>179</v>
      </c>
      <c r="B34" s="122">
        <v>109209360</v>
      </c>
      <c r="C34" s="122">
        <v>0</v>
      </c>
      <c r="D34" s="122">
        <v>23955900</v>
      </c>
      <c r="E34" s="122">
        <v>50443360</v>
      </c>
      <c r="F34" s="122">
        <v>34810100</v>
      </c>
      <c r="G34" s="124"/>
      <c r="H34" s="130">
        <f>IFERROR(VLOOKUP($A34,플랫폼1!$A:$E,3,FALSE),0)+IFERROR(VLOOKUP($A34,플랫폼2!$A:$C,3,FALSE),0)+IFERROR(VLOOKUP($A34,모바일!$A:$C,3,FALSE),0)+C34</f>
        <v>109209360</v>
      </c>
      <c r="I34" s="130">
        <f>IFERROR(VLOOKUP($A34,플랫폼1!$A:$E,5,FALSE),0)+IFERROR(VLOOKUP($A34,플랫폼2!$A:$I,9,FALSE),0)+IFERROR(VLOOKUP($A34,모바일!$A:$H,8,FALSE),0)</f>
        <v>0</v>
      </c>
      <c r="J34" s="131">
        <f>VLOOKUP(A34,플랫폼2!$A:$N,14,0)</f>
        <v>0</v>
      </c>
      <c r="K34" s="132" t="b">
        <f t="shared" si="0"/>
        <v>1</v>
      </c>
    </row>
    <row r="35" spans="1:11" ht="13" x14ac:dyDescent="0.3">
      <c r="A35" s="181" t="s">
        <v>35</v>
      </c>
      <c r="B35" s="122">
        <v>16616500</v>
      </c>
      <c r="C35" s="122">
        <v>0</v>
      </c>
      <c r="D35" s="122">
        <v>1800000</v>
      </c>
      <c r="E35" s="122">
        <v>5169450</v>
      </c>
      <c r="F35" s="122">
        <v>9647050</v>
      </c>
      <c r="G35" s="124"/>
      <c r="H35" s="130">
        <f>IFERROR(VLOOKUP($A35,플랫폼1!$A:$E,3,FALSE),0)+IFERROR(VLOOKUP($A35,플랫폼2!$A:$C,3,FALSE),0)+IFERROR(VLOOKUP($A35,모바일!$A:$C,3,FALSE),0)+C35</f>
        <v>13372720</v>
      </c>
      <c r="I35" s="130">
        <f>IFERROR(VLOOKUP($A35,플랫폼1!$A:$E,5,FALSE),0)+IFERROR(VLOOKUP($A35,플랫폼2!$A:$I,9,FALSE),0)+IFERROR(VLOOKUP($A35,모바일!$A:$H,8,FALSE),0)</f>
        <v>0</v>
      </c>
      <c r="J35" s="131">
        <v>770000</v>
      </c>
      <c r="K35" s="132" t="b">
        <f t="shared" si="0"/>
        <v>0</v>
      </c>
    </row>
    <row r="36" spans="1:11" ht="13" x14ac:dyDescent="0.3">
      <c r="A36" s="181" t="s">
        <v>133</v>
      </c>
      <c r="B36" s="122">
        <v>770000</v>
      </c>
      <c r="C36" s="122">
        <v>0</v>
      </c>
      <c r="D36" s="122">
        <v>0</v>
      </c>
      <c r="E36" s="122">
        <v>0</v>
      </c>
      <c r="F36" s="122">
        <v>770000</v>
      </c>
      <c r="G36" s="124"/>
      <c r="H36" s="130">
        <f>IFERROR(VLOOKUP($A36,플랫폼1!$A:$E,3,FALSE),0)+IFERROR(VLOOKUP($A36,플랫폼2!$A:$C,3,FALSE),0)+IFERROR(VLOOKUP($A36,모바일!$A:$C,3,FALSE),0)+C36</f>
        <v>0</v>
      </c>
      <c r="I36" s="130">
        <f>IFERROR(VLOOKUP($A36,플랫폼1!$A:$E,5,FALSE),0)+IFERROR(VLOOKUP($A36,플랫폼2!$A:$I,9,FALSE),0)+IFERROR(VLOOKUP($A36,모바일!$A:$H,8,FALSE),0)</f>
        <v>0</v>
      </c>
      <c r="J36" s="131" t="e">
        <f>VLOOKUP(A36,플랫폼2!$A:$N,14,0)</f>
        <v>#N/A</v>
      </c>
      <c r="K36" s="132" t="e">
        <f t="shared" si="0"/>
        <v>#N/A</v>
      </c>
    </row>
    <row r="37" spans="1:11" ht="13" x14ac:dyDescent="0.3">
      <c r="A37" s="181" t="s">
        <v>36</v>
      </c>
      <c r="B37" s="122">
        <v>96355182</v>
      </c>
      <c r="C37" s="122">
        <v>0</v>
      </c>
      <c r="D37" s="122">
        <v>20989541</v>
      </c>
      <c r="E37" s="122">
        <v>35673714</v>
      </c>
      <c r="F37" s="122">
        <v>39691927</v>
      </c>
      <c r="G37" s="124"/>
      <c r="H37" s="130">
        <f>IFERROR(VLOOKUP($A37,플랫폼1!$A:$E,3,FALSE),0)+IFERROR(VLOOKUP($A37,플랫폼2!$A:$C,3,FALSE),0)+IFERROR(VLOOKUP($A37,모바일!$A:$C,3,FALSE),0)+C37</f>
        <v>87300132</v>
      </c>
      <c r="I37" s="130">
        <f>IFERROR(VLOOKUP($A37,플랫폼1!$A:$E,5,FALSE),0)+IFERROR(VLOOKUP($A37,플랫폼2!$A:$I,9,FALSE),0)+IFERROR(VLOOKUP($A37,모바일!$A:$H,8,FALSE),0)</f>
        <v>0</v>
      </c>
      <c r="J37" s="131">
        <f>VLOOKUP(A37,플랫폼2!$A:$N,14,0)</f>
        <v>0</v>
      </c>
      <c r="K37" s="132" t="b">
        <f t="shared" si="0"/>
        <v>0</v>
      </c>
    </row>
    <row r="38" spans="1:11" ht="13" x14ac:dyDescent="0.3">
      <c r="A38" s="181" t="s">
        <v>37</v>
      </c>
      <c r="B38" s="122">
        <v>96355182</v>
      </c>
      <c r="C38" s="122">
        <v>0</v>
      </c>
      <c r="D38" s="122">
        <v>20989541</v>
      </c>
      <c r="E38" s="122">
        <v>35673714</v>
      </c>
      <c r="F38" s="122">
        <v>39691927</v>
      </c>
      <c r="G38" s="124"/>
      <c r="H38" s="130">
        <f>IFERROR(VLOOKUP($A38,플랫폼1!$A:$E,3,FALSE),0)+IFERROR(VLOOKUP($A38,플랫폼2!$A:$C,3,FALSE),0)+IFERROR(VLOOKUP($A38,모바일!$A:$C,3,FALSE),0)+C38</f>
        <v>87300132</v>
      </c>
      <c r="I38" s="130">
        <f>IFERROR(VLOOKUP($A38,플랫폼1!$A:$E,5,FALSE),0)+IFERROR(VLOOKUP($A38,플랫폼2!$A:$I,9,FALSE),0)+IFERROR(VLOOKUP($A38,모바일!$A:$H,8,FALSE),0)</f>
        <v>0</v>
      </c>
      <c r="J38" s="131">
        <f>VLOOKUP(A38,플랫폼2!$A:$N,14,0)</f>
        <v>0</v>
      </c>
      <c r="K38" s="132" t="b">
        <f t="shared" si="0"/>
        <v>0</v>
      </c>
    </row>
    <row r="39" spans="1:11" ht="13" x14ac:dyDescent="0.3">
      <c r="A39" s="181" t="s">
        <v>181</v>
      </c>
      <c r="B39" s="122">
        <v>3000000</v>
      </c>
      <c r="C39" s="122">
        <v>0</v>
      </c>
      <c r="D39" s="122">
        <v>0</v>
      </c>
      <c r="E39" s="122">
        <v>2000000</v>
      </c>
      <c r="F39" s="122">
        <v>1000000</v>
      </c>
      <c r="G39" s="124"/>
      <c r="H39" s="130">
        <f>IFERROR(VLOOKUP($A39,플랫폼1!$A:$E,3,FALSE),0)+IFERROR(VLOOKUP($A39,플랫폼2!$A:$C,3,FALSE),0)+IFERROR(VLOOKUP($A39,모바일!$A:$C,3,FALSE),0)+C39</f>
        <v>3000000</v>
      </c>
      <c r="I39" s="130">
        <f>IFERROR(VLOOKUP($A39,플랫폼1!$A:$E,5,FALSE),0)+IFERROR(VLOOKUP($A39,플랫폼2!$A:$I,9,FALSE),0)+IFERROR(VLOOKUP($A39,모바일!$A:$H,8,FALSE),0)</f>
        <v>0</v>
      </c>
      <c r="J39" s="131">
        <f>VLOOKUP(A39,플랫폼2!$A:$N,14,0)</f>
        <v>0</v>
      </c>
      <c r="K39" s="132" t="b">
        <f t="shared" si="0"/>
        <v>1</v>
      </c>
    </row>
    <row r="40" spans="1:11" ht="13" x14ac:dyDescent="0.3">
      <c r="A40" s="181" t="s">
        <v>372</v>
      </c>
      <c r="B40" s="122">
        <v>3000000</v>
      </c>
      <c r="C40" s="122">
        <v>0</v>
      </c>
      <c r="D40" s="122">
        <v>0</v>
      </c>
      <c r="E40" s="122">
        <v>2000000</v>
      </c>
      <c r="F40" s="122">
        <v>1000000</v>
      </c>
      <c r="G40" s="124"/>
      <c r="H40" s="130">
        <f>IFERROR(VLOOKUP($A40,플랫폼1!$A:$E,3,FALSE),0)+IFERROR(VLOOKUP($A40,플랫폼2!$A:$C,3,FALSE),0)+IFERROR(VLOOKUP($A40,모바일!$A:$C,3,FALSE),0)+C40</f>
        <v>3000000</v>
      </c>
      <c r="I40" s="130">
        <f>IFERROR(VLOOKUP($A40,플랫폼1!$A:$E,5,FALSE),0)+IFERROR(VLOOKUP($A40,플랫폼2!$A:$I,9,FALSE),0)+IFERROR(VLOOKUP($A40,모바일!$A:$H,8,FALSE),0)</f>
        <v>0</v>
      </c>
      <c r="J40" s="131">
        <f>VLOOKUP(A40,플랫폼2!$A:$N,14,0)</f>
        <v>0</v>
      </c>
      <c r="K40" s="132" t="b">
        <f t="shared" si="0"/>
        <v>1</v>
      </c>
    </row>
    <row r="41" spans="1:11" ht="13" x14ac:dyDescent="0.3">
      <c r="A41" s="181" t="s">
        <v>38</v>
      </c>
      <c r="B41" s="122">
        <v>177173881</v>
      </c>
      <c r="C41" s="122">
        <v>0</v>
      </c>
      <c r="D41" s="122">
        <v>37582805</v>
      </c>
      <c r="E41" s="122">
        <v>59770791</v>
      </c>
      <c r="F41" s="122">
        <v>79820285</v>
      </c>
      <c r="G41" s="124"/>
      <c r="H41" s="130">
        <f>IFERROR(VLOOKUP($A41,플랫폼1!$A:$E,3,FALSE),0)+IFERROR(VLOOKUP($A41,플랫폼2!$A:$C,3,FALSE),0)+IFERROR(VLOOKUP($A41,모바일!$A:$C,3,FALSE),0)+C41</f>
        <v>148358924</v>
      </c>
      <c r="I41" s="130">
        <f>IFERROR(VLOOKUP($A41,플랫폼1!$A:$E,5,FALSE),0)+IFERROR(VLOOKUP($A41,플랫폼2!$A:$I,9,FALSE),0)+IFERROR(VLOOKUP($A41,모바일!$A:$H,8,FALSE),0)</f>
        <v>0</v>
      </c>
      <c r="J41" s="131">
        <f>VLOOKUP(A41,플랫폼2!$A:$N,14,0)</f>
        <v>0</v>
      </c>
      <c r="K41" s="132" t="b">
        <f t="shared" si="0"/>
        <v>0</v>
      </c>
    </row>
    <row r="42" spans="1:11" ht="13" x14ac:dyDescent="0.3">
      <c r="A42" s="181" t="s">
        <v>40</v>
      </c>
      <c r="B42" s="122">
        <v>9137733</v>
      </c>
      <c r="C42" s="122">
        <v>0</v>
      </c>
      <c r="D42" s="122">
        <v>2231658</v>
      </c>
      <c r="E42" s="122">
        <v>3156074</v>
      </c>
      <c r="F42" s="122">
        <v>3750001</v>
      </c>
      <c r="G42" s="124"/>
      <c r="H42" s="130">
        <f>IFERROR(VLOOKUP($A42,플랫폼1!$A:$E,3,FALSE),0)+IFERROR(VLOOKUP($A42,플랫폼2!$A:$C,3,FALSE),0)+IFERROR(VLOOKUP($A42,모바일!$A:$C,3,FALSE),0)+C42</f>
        <v>8159495</v>
      </c>
      <c r="I42" s="130">
        <f>IFERROR(VLOOKUP($A42,플랫폼1!$A:$E,5,FALSE),0)+IFERROR(VLOOKUP($A42,플랫폼2!$A:$I,9,FALSE),0)+IFERROR(VLOOKUP($A42,모바일!$A:$H,8,FALSE),0)</f>
        <v>0</v>
      </c>
      <c r="J42" s="131">
        <f>VLOOKUP(A42,플랫폼2!$A:$N,14,0)</f>
        <v>0</v>
      </c>
      <c r="K42" s="132" t="b">
        <f t="shared" si="0"/>
        <v>0</v>
      </c>
    </row>
    <row r="43" spans="1:11" ht="13" x14ac:dyDescent="0.3">
      <c r="A43" s="181" t="s">
        <v>41</v>
      </c>
      <c r="B43" s="122">
        <v>46343260</v>
      </c>
      <c r="C43" s="122">
        <v>0</v>
      </c>
      <c r="D43" s="122">
        <v>10095650</v>
      </c>
      <c r="E43" s="122">
        <v>17170730</v>
      </c>
      <c r="F43" s="122">
        <v>19076880</v>
      </c>
      <c r="G43" s="124"/>
      <c r="H43" s="130">
        <f>IFERROR(VLOOKUP($A43,플랫폼1!$A:$E,3,FALSE),0)+IFERROR(VLOOKUP($A43,플랫폼2!$A:$C,3,FALSE),0)+IFERROR(VLOOKUP($A43,모바일!$A:$C,3,FALSE),0)+C43</f>
        <v>42009130</v>
      </c>
      <c r="I43" s="130">
        <f>IFERROR(VLOOKUP($A43,플랫폼1!$A:$E,5,FALSE),0)+IFERROR(VLOOKUP($A43,플랫폼2!$A:$I,9,FALSE),0)+IFERROR(VLOOKUP($A43,모바일!$A:$H,8,FALSE),0)</f>
        <v>0</v>
      </c>
      <c r="J43" s="131">
        <f>VLOOKUP(A43,플랫폼2!$A:$N,14,0)</f>
        <v>0</v>
      </c>
      <c r="K43" s="132" t="b">
        <f t="shared" si="0"/>
        <v>0</v>
      </c>
    </row>
    <row r="44" spans="1:11" ht="13" x14ac:dyDescent="0.3">
      <c r="A44" s="181" t="s">
        <v>42</v>
      </c>
      <c r="B44" s="122">
        <v>40687490</v>
      </c>
      <c r="C44" s="122">
        <v>0</v>
      </c>
      <c r="D44" s="122">
        <v>10430310</v>
      </c>
      <c r="E44" s="122">
        <v>13740310</v>
      </c>
      <c r="F44" s="122">
        <v>16516870</v>
      </c>
      <c r="G44" s="124"/>
      <c r="H44" s="130">
        <f>IFERROR(VLOOKUP($A44,플랫폼1!$A:$E,3,FALSE),0)+IFERROR(VLOOKUP($A44,플랫폼2!$A:$C,3,FALSE),0)+IFERROR(VLOOKUP($A44,모바일!$A:$C,3,FALSE),0)+C44</f>
        <v>35752540</v>
      </c>
      <c r="I44" s="130">
        <f>IFERROR(VLOOKUP($A44,플랫폼1!$A:$E,5,FALSE),0)+IFERROR(VLOOKUP($A44,플랫폼2!$A:$I,9,FALSE),0)+IFERROR(VLOOKUP($A44,모바일!$A:$H,8,FALSE),0)</f>
        <v>0</v>
      </c>
      <c r="J44" s="131">
        <f>VLOOKUP(A44,플랫폼2!$A:$N,14,0)</f>
        <v>0</v>
      </c>
      <c r="K44" s="132" t="b">
        <f t="shared" si="0"/>
        <v>0</v>
      </c>
    </row>
    <row r="45" spans="1:11" ht="13" x14ac:dyDescent="0.3">
      <c r="A45" s="181" t="s">
        <v>43</v>
      </c>
      <c r="B45" s="122">
        <v>20191364</v>
      </c>
      <c r="C45" s="122">
        <v>0</v>
      </c>
      <c r="D45" s="122">
        <v>4930837</v>
      </c>
      <c r="E45" s="122">
        <v>6940814</v>
      </c>
      <c r="F45" s="122">
        <v>8319713</v>
      </c>
      <c r="G45" s="124"/>
      <c r="H45" s="130">
        <f>IFERROR(VLOOKUP($A45,플랫폼1!$A:$E,3,FALSE),0)+IFERROR(VLOOKUP($A45,플랫폼2!$A:$C,3,FALSE),0)+IFERROR(VLOOKUP($A45,모바일!$A:$C,3,FALSE),0)+C45</f>
        <v>17985246</v>
      </c>
      <c r="I45" s="130">
        <f>IFERROR(VLOOKUP($A45,플랫폼1!$A:$E,5,FALSE),0)+IFERROR(VLOOKUP($A45,플랫폼2!$A:$I,9,FALSE),0)+IFERROR(VLOOKUP($A45,모바일!$A:$H,8,FALSE),0)</f>
        <v>0</v>
      </c>
      <c r="J45" s="131">
        <f>VLOOKUP(A45,플랫폼2!$A:$N,14,0)</f>
        <v>0</v>
      </c>
      <c r="K45" s="132" t="b">
        <f t="shared" si="0"/>
        <v>0</v>
      </c>
    </row>
    <row r="46" spans="1:11" ht="13" x14ac:dyDescent="0.3">
      <c r="A46" s="181" t="s">
        <v>44</v>
      </c>
      <c r="B46" s="122">
        <v>13488000</v>
      </c>
      <c r="C46" s="122">
        <v>0</v>
      </c>
      <c r="D46" s="122">
        <v>200000</v>
      </c>
      <c r="E46" s="122">
        <v>535000</v>
      </c>
      <c r="F46" s="122">
        <v>12753000</v>
      </c>
      <c r="G46" s="124"/>
      <c r="H46" s="130">
        <f>IFERROR(VLOOKUP($A46,플랫폼1!$A:$E,3,FALSE),0)+IFERROR(VLOOKUP($A46,플랫폼2!$A:$C,3,FALSE),0)+IFERROR(VLOOKUP($A46,모바일!$A:$C,3,FALSE),0)+C46</f>
        <v>1885000</v>
      </c>
      <c r="I46" s="130">
        <f>IFERROR(VLOOKUP($A46,플랫폼1!$A:$E,5,FALSE),0)+IFERROR(VLOOKUP($A46,플랫폼2!$A:$I,9,FALSE),0)+IFERROR(VLOOKUP($A46,모바일!$A:$H,8,FALSE),0)</f>
        <v>0</v>
      </c>
      <c r="J46" s="131">
        <f>VLOOKUP(A46,플랫폼2!$A:$N,14,0)</f>
        <v>0</v>
      </c>
      <c r="K46" s="132" t="b">
        <f t="shared" si="0"/>
        <v>0</v>
      </c>
    </row>
    <row r="47" spans="1:11" ht="13" x14ac:dyDescent="0.3">
      <c r="A47" s="181" t="s">
        <v>45</v>
      </c>
      <c r="B47" s="122">
        <v>10850000</v>
      </c>
      <c r="C47" s="122">
        <v>0</v>
      </c>
      <c r="D47" s="122">
        <v>2450000</v>
      </c>
      <c r="E47" s="122">
        <v>3500000</v>
      </c>
      <c r="F47" s="122">
        <v>4900000</v>
      </c>
      <c r="G47" s="124"/>
      <c r="H47" s="130">
        <f>IFERROR(VLOOKUP($A47,플랫폼1!$A:$E,3,FALSE),0)+IFERROR(VLOOKUP($A47,플랫폼2!$A:$C,3,FALSE),0)+IFERROR(VLOOKUP($A47,모바일!$A:$C,3,FALSE),0)+C47</f>
        <v>10850000</v>
      </c>
      <c r="I47" s="130">
        <f>IFERROR(VLOOKUP($A47,플랫폼1!$A:$E,5,FALSE),0)+IFERROR(VLOOKUP($A47,플랫폼2!$A:$I,9,FALSE),0)+IFERROR(VLOOKUP($A47,모바일!$A:$H,8,FALSE),0)</f>
        <v>0</v>
      </c>
      <c r="J47" s="131">
        <f>VLOOKUP(A47,플랫폼2!$A:$N,14,0)</f>
        <v>0</v>
      </c>
      <c r="K47" s="132" t="b">
        <f t="shared" si="0"/>
        <v>1</v>
      </c>
    </row>
    <row r="48" spans="1:11" ht="13" x14ac:dyDescent="0.3">
      <c r="A48" s="181" t="s">
        <v>47</v>
      </c>
      <c r="B48" s="122">
        <v>1124464</v>
      </c>
      <c r="C48" s="122">
        <v>0</v>
      </c>
      <c r="D48" s="122">
        <v>0</v>
      </c>
      <c r="E48" s="122">
        <v>937913</v>
      </c>
      <c r="F48" s="122">
        <v>186551</v>
      </c>
      <c r="G48" s="124"/>
      <c r="H48" s="130">
        <f>IFERROR(VLOOKUP($A48,플랫폼1!$A:$E,3,FALSE),0)+IFERROR(VLOOKUP($A48,플랫폼2!$A:$C,3,FALSE),0)+IFERROR(VLOOKUP($A48,모바일!$A:$C,3,FALSE),0)+C48</f>
        <v>937913</v>
      </c>
      <c r="I48" s="130">
        <f>IFERROR(VLOOKUP($A48,플랫폼1!$A:$E,5,FALSE),0)+IFERROR(VLOOKUP($A48,플랫폼2!$A:$I,9,FALSE),0)+IFERROR(VLOOKUP($A48,모바일!$A:$H,8,FALSE),0)</f>
        <v>0</v>
      </c>
      <c r="J48" s="131">
        <f>VLOOKUP(A48,플랫폼2!$A:$N,14,0)</f>
        <v>0</v>
      </c>
      <c r="K48" s="132" t="b">
        <f t="shared" si="0"/>
        <v>0</v>
      </c>
    </row>
    <row r="49" spans="1:11" ht="13" x14ac:dyDescent="0.3">
      <c r="A49" s="181" t="s">
        <v>48</v>
      </c>
      <c r="B49" s="122">
        <v>8288170</v>
      </c>
      <c r="C49" s="122">
        <v>0</v>
      </c>
      <c r="D49" s="122">
        <v>1352050</v>
      </c>
      <c r="E49" s="122">
        <v>3302050</v>
      </c>
      <c r="F49" s="122">
        <v>3634070</v>
      </c>
      <c r="G49" s="124"/>
      <c r="H49" s="130">
        <f>IFERROR(VLOOKUP($A49,플랫폼1!$A:$E,3,FALSE),0)+IFERROR(VLOOKUP($A49,플랫폼2!$A:$C,3,FALSE),0)+IFERROR(VLOOKUP($A49,모바일!$A:$C,3,FALSE),0)+C49</f>
        <v>7986200</v>
      </c>
      <c r="I49" s="130">
        <f>IFERROR(VLOOKUP($A49,플랫폼1!$A:$E,5,FALSE),0)+IFERROR(VLOOKUP($A49,플랫폼2!$A:$I,9,FALSE),0)+IFERROR(VLOOKUP($A49,모바일!$A:$H,8,FALSE),0)</f>
        <v>0</v>
      </c>
      <c r="J49" s="131">
        <f>VLOOKUP(A49,플랫폼2!$A:$N,14,0)</f>
        <v>0</v>
      </c>
      <c r="K49" s="132" t="b">
        <f t="shared" si="0"/>
        <v>0</v>
      </c>
    </row>
    <row r="50" spans="1:11" ht="13" x14ac:dyDescent="0.3">
      <c r="A50" s="181" t="s">
        <v>49</v>
      </c>
      <c r="B50" s="122">
        <v>1080800</v>
      </c>
      <c r="C50" s="122">
        <v>0</v>
      </c>
      <c r="D50" s="122">
        <v>122300</v>
      </c>
      <c r="E50" s="122">
        <v>909300</v>
      </c>
      <c r="F50" s="122">
        <v>49200</v>
      </c>
      <c r="G50" s="124"/>
      <c r="H50" s="130">
        <f>IFERROR(VLOOKUP($A50,플랫폼1!$A:$E,3,FALSE),0)+IFERROR(VLOOKUP($A50,플랫폼2!$A:$C,3,FALSE),0)+IFERROR(VLOOKUP($A50,모바일!$A:$C,3,FALSE),0)+C50</f>
        <v>1080800</v>
      </c>
      <c r="I50" s="130">
        <f>IFERROR(VLOOKUP($A50,플랫폼1!$A:$E,5,FALSE),0)+IFERROR(VLOOKUP($A50,플랫폼2!$A:$I,9,FALSE),0)+IFERROR(VLOOKUP($A50,모바일!$A:$H,8,FALSE),0)</f>
        <v>0</v>
      </c>
      <c r="J50" s="131">
        <f>VLOOKUP(A50,플랫폼2!$A:$N,14,0)</f>
        <v>0</v>
      </c>
      <c r="K50" s="132" t="b">
        <f t="shared" si="0"/>
        <v>1</v>
      </c>
    </row>
    <row r="51" spans="1:11" ht="13" x14ac:dyDescent="0.3">
      <c r="A51" s="181" t="s">
        <v>50</v>
      </c>
      <c r="B51" s="122">
        <v>900000</v>
      </c>
      <c r="C51" s="122">
        <v>0</v>
      </c>
      <c r="D51" s="122">
        <v>300000</v>
      </c>
      <c r="E51" s="122">
        <v>500000</v>
      </c>
      <c r="F51" s="122">
        <v>100000</v>
      </c>
      <c r="G51" s="124"/>
      <c r="H51" s="130">
        <f>IFERROR(VLOOKUP($A51,플랫폼1!$A:$E,3,FALSE),0)+IFERROR(VLOOKUP($A51,플랫폼2!$A:$C,3,FALSE),0)+IFERROR(VLOOKUP($A51,모바일!$A:$C,3,FALSE),0)+C51</f>
        <v>900000</v>
      </c>
      <c r="I51" s="130">
        <f>IFERROR(VLOOKUP($A51,플랫폼1!$A:$E,5,FALSE),0)+IFERROR(VLOOKUP($A51,플랫폼2!$A:$I,9,FALSE),0)+IFERROR(VLOOKUP($A51,모바일!$A:$H,8,FALSE),0)</f>
        <v>0</v>
      </c>
      <c r="J51" s="131">
        <f>VLOOKUP(A51,플랫폼2!$A:$N,14,0)</f>
        <v>0</v>
      </c>
      <c r="K51" s="132" t="b">
        <f t="shared" si="0"/>
        <v>1</v>
      </c>
    </row>
    <row r="52" spans="1:11" ht="13" x14ac:dyDescent="0.3">
      <c r="A52" s="181" t="s">
        <v>51</v>
      </c>
      <c r="B52" s="122">
        <v>1500000</v>
      </c>
      <c r="C52" s="122">
        <v>0</v>
      </c>
      <c r="D52" s="122">
        <v>0</v>
      </c>
      <c r="E52" s="122">
        <v>1300000</v>
      </c>
      <c r="F52" s="122">
        <v>200000</v>
      </c>
      <c r="G52" s="124"/>
      <c r="H52" s="130">
        <f>IFERROR(VLOOKUP($A52,플랫폼1!$A:$E,3,FALSE),0)+IFERROR(VLOOKUP($A52,플랫폼2!$A:$C,3,FALSE),0)+IFERROR(VLOOKUP($A52,모바일!$A:$C,3,FALSE),0)+C52</f>
        <v>1400000</v>
      </c>
      <c r="I52" s="130">
        <f>IFERROR(VLOOKUP($A52,플랫폼1!$A:$E,5,FALSE),0)+IFERROR(VLOOKUP($A52,플랫폼2!$A:$I,9,FALSE),0)+IFERROR(VLOOKUP($A52,모바일!$A:$H,8,FALSE),0)</f>
        <v>0</v>
      </c>
      <c r="J52" s="131">
        <f>VLOOKUP(A52,플랫폼2!$A:$N,14,0)</f>
        <v>0</v>
      </c>
      <c r="K52" s="132" t="b">
        <f t="shared" si="0"/>
        <v>0</v>
      </c>
    </row>
    <row r="53" spans="1:11" ht="13" x14ac:dyDescent="0.3">
      <c r="A53" s="181" t="s">
        <v>184</v>
      </c>
      <c r="B53" s="122">
        <v>1200000</v>
      </c>
      <c r="C53" s="122">
        <v>0</v>
      </c>
      <c r="D53" s="122">
        <v>0</v>
      </c>
      <c r="E53" s="122">
        <v>1050000</v>
      </c>
      <c r="F53" s="122">
        <v>150000</v>
      </c>
      <c r="G53" s="124"/>
      <c r="H53" s="130">
        <f>IFERROR(VLOOKUP($A53,플랫폼1!$A:$E,3,FALSE),0)+IFERROR(VLOOKUP($A53,플랫폼2!$A:$C,3,FALSE),0)+IFERROR(VLOOKUP($A53,모바일!$A:$C,3,FALSE),0)+C53</f>
        <v>1200000</v>
      </c>
      <c r="I53" s="130">
        <f>IFERROR(VLOOKUP($A53,플랫폼1!$A:$E,5,FALSE),0)+IFERROR(VLOOKUP($A53,플랫폼2!$A:$I,9,FALSE),0)+IFERROR(VLOOKUP($A53,모바일!$A:$H,8,FALSE),0)</f>
        <v>0</v>
      </c>
      <c r="J53" s="131">
        <f>VLOOKUP(A53,플랫폼2!$A:$N,14,0)</f>
        <v>0</v>
      </c>
      <c r="K53" s="132" t="b">
        <f t="shared" si="0"/>
        <v>1</v>
      </c>
    </row>
    <row r="54" spans="1:11" ht="13" x14ac:dyDescent="0.3">
      <c r="A54" s="181" t="s">
        <v>53</v>
      </c>
      <c r="B54" s="122">
        <v>21650000</v>
      </c>
      <c r="C54" s="122">
        <v>0</v>
      </c>
      <c r="D54" s="122">
        <v>5400000</v>
      </c>
      <c r="E54" s="122">
        <v>6450000</v>
      </c>
      <c r="F54" s="122">
        <v>9800000</v>
      </c>
      <c r="G54" s="124"/>
      <c r="H54" s="130">
        <f>IFERROR(VLOOKUP($A54,플랫폼1!$A:$E,3,FALSE),0)+IFERROR(VLOOKUP($A54,플랫폼2!$A:$C,3,FALSE),0)+IFERROR(VLOOKUP($A54,모바일!$A:$C,3,FALSE),0)+C54</f>
        <v>17500000</v>
      </c>
      <c r="I54" s="130">
        <f>IFERROR(VLOOKUP($A54,플랫폼1!$A:$E,5,FALSE),0)+IFERROR(VLOOKUP($A54,플랫폼2!$A:$I,9,FALSE),0)+IFERROR(VLOOKUP($A54,모바일!$A:$H,8,FALSE),0)</f>
        <v>0</v>
      </c>
      <c r="J54" s="131"/>
      <c r="K54" s="132" t="b">
        <f t="shared" si="0"/>
        <v>0</v>
      </c>
    </row>
    <row r="55" spans="1:11" ht="13" x14ac:dyDescent="0.3">
      <c r="A55" s="181" t="s">
        <v>54</v>
      </c>
      <c r="B55" s="122">
        <v>382600</v>
      </c>
      <c r="C55" s="122">
        <v>0</v>
      </c>
      <c r="D55" s="122">
        <v>0</v>
      </c>
      <c r="E55" s="122">
        <v>228600</v>
      </c>
      <c r="F55" s="122">
        <v>154000</v>
      </c>
      <c r="G55" s="124"/>
      <c r="H55" s="130">
        <f>IFERROR(VLOOKUP($A55,플랫폼1!$A:$E,3,FALSE),0)+IFERROR(VLOOKUP($A55,플랫폼2!$A:$C,3,FALSE),0)+IFERROR(VLOOKUP($A55,모바일!$A:$C,3,FALSE),0)+C55</f>
        <v>382600</v>
      </c>
      <c r="I55" s="130">
        <f>IFERROR(VLOOKUP($A55,플랫폼1!$A:$E,5,FALSE),0)+IFERROR(VLOOKUP($A55,플랫폼2!$A:$I,9,FALSE),0)+IFERROR(VLOOKUP($A55,모바일!$A:$H,8,FALSE),0)</f>
        <v>0</v>
      </c>
      <c r="J55" s="131">
        <f>VLOOKUP(A55,플랫폼2!$A:$N,14,0)</f>
        <v>0</v>
      </c>
      <c r="K55" s="132" t="b">
        <f t="shared" si="0"/>
        <v>1</v>
      </c>
    </row>
    <row r="56" spans="1:11" ht="13" x14ac:dyDescent="0.3">
      <c r="A56" s="181" t="s">
        <v>55</v>
      </c>
      <c r="B56" s="122">
        <v>280000</v>
      </c>
      <c r="C56" s="122">
        <v>0</v>
      </c>
      <c r="D56" s="122">
        <v>70000</v>
      </c>
      <c r="E56" s="122">
        <v>0</v>
      </c>
      <c r="F56" s="122">
        <v>210000</v>
      </c>
      <c r="G56" s="124"/>
      <c r="H56" s="130">
        <f>IFERROR(VLOOKUP($A56,플랫폼1!$A:$E,3,FALSE),0)+IFERROR(VLOOKUP($A56,플랫폼2!$A:$C,3,FALSE),0)+IFERROR(VLOOKUP($A56,모바일!$A:$C,3,FALSE),0)+C56</f>
        <v>280000</v>
      </c>
      <c r="I56" s="130">
        <f>IFERROR(VLOOKUP($A56,플랫폼1!$A:$E,5,FALSE),0)+IFERROR(VLOOKUP($A56,플랫폼2!$A:$I,9,FALSE),0)+IFERROR(VLOOKUP($A56,모바일!$A:$H,8,FALSE),0)</f>
        <v>0</v>
      </c>
      <c r="J56" s="131" t="e">
        <f>VLOOKUP(A56,플랫폼2!$A:$N,14,0)</f>
        <v>#N/A</v>
      </c>
      <c r="K56" s="132" t="e">
        <f t="shared" si="0"/>
        <v>#N/A</v>
      </c>
    </row>
    <row r="57" spans="1:11" ht="13" x14ac:dyDescent="0.3">
      <c r="A57" s="181" t="s">
        <v>56</v>
      </c>
      <c r="B57" s="122">
        <v>70000</v>
      </c>
      <c r="C57" s="122">
        <v>0</v>
      </c>
      <c r="D57" s="122">
        <v>0</v>
      </c>
      <c r="E57" s="122">
        <v>50000</v>
      </c>
      <c r="F57" s="122">
        <v>20000</v>
      </c>
      <c r="G57" s="124"/>
      <c r="H57" s="130">
        <f>IFERROR(VLOOKUP($A57,플랫폼1!$A:$E,3,FALSE),0)+IFERROR(VLOOKUP($A57,플랫폼2!$A:$C,3,FALSE),0)+IFERROR(VLOOKUP($A57,모바일!$A:$C,3,FALSE),0)+C57</f>
        <v>50000</v>
      </c>
      <c r="I57" s="130">
        <f>IFERROR(VLOOKUP($A57,플랫폼1!$A:$E,5,FALSE),0)+IFERROR(VLOOKUP($A57,플랫폼2!$A:$I,9,FALSE),0)+IFERROR(VLOOKUP($A57,모바일!$A:$H,8,FALSE),0)</f>
        <v>0</v>
      </c>
      <c r="J57" s="131">
        <f>VLOOKUP(A57,플랫폼2!$A:$N,14,0)</f>
        <v>0</v>
      </c>
      <c r="K57" s="132" t="b">
        <f t="shared" si="0"/>
        <v>0</v>
      </c>
    </row>
    <row r="58" spans="1:11" ht="13" x14ac:dyDescent="0.3">
      <c r="A58" s="181" t="s">
        <v>57</v>
      </c>
      <c r="B58" s="122">
        <v>25789404</v>
      </c>
      <c r="C58" s="122">
        <v>0</v>
      </c>
      <c r="D58" s="122">
        <v>5920700</v>
      </c>
      <c r="E58" s="122">
        <v>8649876</v>
      </c>
      <c r="F58" s="122">
        <v>11218828</v>
      </c>
      <c r="G58" s="124"/>
      <c r="H58" s="130">
        <f>IFERROR(VLOOKUP($A58,플랫폼1!$A:$E,3,FALSE),0)+IFERROR(VLOOKUP($A58,플랫폼2!$A:$C,3,FALSE),0)+IFERROR(VLOOKUP($A58,모바일!$A:$C,3,FALSE),0)+C58</f>
        <v>25789404</v>
      </c>
      <c r="I58" s="130">
        <f>IFERROR(VLOOKUP($A58,플랫폼1!$A:$E,5,FALSE),0)+IFERROR(VLOOKUP($A58,플랫폼2!$A:$I,9,FALSE),0)+IFERROR(VLOOKUP($A58,모바일!$A:$H,8,FALSE),0)</f>
        <v>0</v>
      </c>
      <c r="J58" s="131">
        <f>VLOOKUP(A58,플랫폼2!$A:$N,14,0)</f>
        <v>0</v>
      </c>
      <c r="K58" s="132" t="b">
        <f t="shared" si="0"/>
        <v>1</v>
      </c>
    </row>
    <row r="59" spans="1:11" ht="13" x14ac:dyDescent="0.3">
      <c r="A59" s="181" t="s">
        <v>266</v>
      </c>
      <c r="B59" s="122">
        <v>492000</v>
      </c>
      <c r="C59" s="122">
        <v>0</v>
      </c>
      <c r="D59" s="122">
        <v>0</v>
      </c>
      <c r="E59" s="122">
        <v>492000</v>
      </c>
      <c r="F59" s="122">
        <v>0</v>
      </c>
      <c r="G59" s="124"/>
      <c r="H59" s="130">
        <f>IFERROR(VLOOKUP($A59,플랫폼1!$A:$E,3,FALSE),0)+IFERROR(VLOOKUP($A59,플랫폼2!$A:$C,3,FALSE),0)+IFERROR(VLOOKUP($A59,모바일!$A:$C,3,FALSE),0)+C59</f>
        <v>492000</v>
      </c>
      <c r="I59" s="130">
        <f>IFERROR(VLOOKUP($A59,플랫폼1!$A:$E,5,FALSE),0)+IFERROR(VLOOKUP($A59,플랫폼2!$A:$I,9,FALSE),0)+IFERROR(VLOOKUP($A59,모바일!$A:$H,8,FALSE),0)</f>
        <v>0</v>
      </c>
      <c r="J59" s="131">
        <f>VLOOKUP(A59,플랫폼2!$A:$N,14,0)</f>
        <v>0</v>
      </c>
      <c r="K59" s="132" t="b">
        <f t="shared" si="0"/>
        <v>1</v>
      </c>
    </row>
    <row r="60" spans="1:11" ht="13" x14ac:dyDescent="0.3">
      <c r="A60" s="181" t="s">
        <v>58</v>
      </c>
      <c r="B60" s="122">
        <v>11593228</v>
      </c>
      <c r="C60" s="122">
        <v>0</v>
      </c>
      <c r="D60" s="122">
        <v>2842700</v>
      </c>
      <c r="E60" s="122">
        <v>1421900</v>
      </c>
      <c r="F60" s="122">
        <v>7328628</v>
      </c>
      <c r="G60" s="124"/>
      <c r="H60" s="130">
        <f>IFERROR(VLOOKUP($A60,플랫폼1!$A:$E,3,FALSE),0)+IFERROR(VLOOKUP($A60,플랫폼2!$A:$C,3,FALSE),0)+IFERROR(VLOOKUP($A60,모바일!$A:$C,3,FALSE),0)+C60</f>
        <v>11593228</v>
      </c>
      <c r="I60" s="130">
        <f>IFERROR(VLOOKUP($A60,플랫폼1!$A:$E,5,FALSE),0)+IFERROR(VLOOKUP($A60,플랫폼2!$A:$I,9,FALSE),0)+IFERROR(VLOOKUP($A60,모바일!$A:$H,8,FALSE),0)</f>
        <v>0</v>
      </c>
      <c r="J60" s="131">
        <f>VLOOKUP(A60,플랫폼2!$A:$N,14,0)</f>
        <v>0</v>
      </c>
      <c r="K60" s="132" t="b">
        <f t="shared" si="0"/>
        <v>1</v>
      </c>
    </row>
    <row r="61" spans="1:11" ht="13" x14ac:dyDescent="0.3">
      <c r="A61" s="181" t="s">
        <v>270</v>
      </c>
      <c r="B61" s="122">
        <v>1729976</v>
      </c>
      <c r="C61" s="122">
        <v>0</v>
      </c>
      <c r="D61" s="122">
        <v>684000</v>
      </c>
      <c r="E61" s="122">
        <v>1045976</v>
      </c>
      <c r="F61" s="122">
        <v>0</v>
      </c>
      <c r="G61" s="124"/>
      <c r="H61" s="130">
        <f>IFERROR(VLOOKUP($A61,플랫폼1!$A:$E,3,FALSE),0)+IFERROR(VLOOKUP($A61,플랫폼2!$A:$C,3,FALSE),0)+IFERROR(VLOOKUP($A61,모바일!$A:$C,3,FALSE),0)+C61</f>
        <v>1729976</v>
      </c>
      <c r="I61" s="130">
        <f>IFERROR(VLOOKUP($A61,플랫폼1!$A:$E,5,FALSE),0)+IFERROR(VLOOKUP($A61,플랫폼2!$A:$I,9,FALSE),0)+IFERROR(VLOOKUP($A61,모바일!$A:$H,8,FALSE),0)</f>
        <v>0</v>
      </c>
      <c r="J61" s="131"/>
      <c r="K61" s="132" t="b">
        <f t="shared" si="0"/>
        <v>1</v>
      </c>
    </row>
    <row r="62" spans="1:11" ht="13" x14ac:dyDescent="0.3">
      <c r="A62" s="181" t="s">
        <v>297</v>
      </c>
      <c r="B62" s="122">
        <v>11974200</v>
      </c>
      <c r="C62" s="122">
        <v>0</v>
      </c>
      <c r="D62" s="122">
        <v>2394000</v>
      </c>
      <c r="E62" s="122">
        <v>5690000</v>
      </c>
      <c r="F62" s="122">
        <v>3890200</v>
      </c>
      <c r="G62" s="124"/>
      <c r="H62" s="130">
        <f>IFERROR(VLOOKUP($A62,플랫폼1!$A:$E,3,FALSE),0)+IFERROR(VLOOKUP($A62,플랫폼2!$A:$C,3,FALSE),0)+IFERROR(VLOOKUP($A62,모바일!$A:$C,3,FALSE),0)+C62</f>
        <v>11974200</v>
      </c>
      <c r="I62" s="130">
        <f>IFERROR(VLOOKUP($A62,플랫폼1!$A:$E,5,FALSE),0)+IFERROR(VLOOKUP($A62,플랫폼2!$A:$I,9,FALSE),0)+IFERROR(VLOOKUP($A62,모바일!$A:$H,8,FALSE),0)</f>
        <v>0</v>
      </c>
      <c r="J62" s="131"/>
      <c r="K62" s="132" t="b">
        <f t="shared" si="0"/>
        <v>1</v>
      </c>
    </row>
    <row r="63" spans="1:11" ht="13" x14ac:dyDescent="0.3">
      <c r="A63" s="181" t="s">
        <v>136</v>
      </c>
      <c r="B63" s="122">
        <v>1300000</v>
      </c>
      <c r="C63" s="122">
        <v>0</v>
      </c>
      <c r="D63" s="122">
        <v>1300000</v>
      </c>
      <c r="E63" s="122">
        <v>0</v>
      </c>
      <c r="F63" s="122">
        <v>0</v>
      </c>
      <c r="G63" s="124"/>
      <c r="H63" s="130">
        <f>IFERROR(VLOOKUP($A63,플랫폼1!$A:$E,3,FALSE),0)+IFERROR(VLOOKUP($A63,플랫폼2!$A:$C,3,FALSE),0)+IFERROR(VLOOKUP($A63,모바일!$A:$C,3,FALSE),0)+C63</f>
        <v>1300000</v>
      </c>
      <c r="I63" s="130">
        <f>IFERROR(VLOOKUP($A63,플랫폼1!$A:$E,5,FALSE),0)+IFERROR(VLOOKUP($A63,플랫폼2!$A:$I,9,FALSE),0)+IFERROR(VLOOKUP($A63,모바일!$A:$H,8,FALSE),0)</f>
        <v>0</v>
      </c>
      <c r="J63" s="131" t="e">
        <f>VLOOKUP(A63,플랫폼2!$A:$N,14,0)</f>
        <v>#N/A</v>
      </c>
      <c r="K63" s="132" t="e">
        <f t="shared" si="0"/>
        <v>#N/A</v>
      </c>
    </row>
    <row r="64" spans="1:11" ht="13" x14ac:dyDescent="0.3">
      <c r="A64" s="181" t="s">
        <v>138</v>
      </c>
      <c r="B64" s="122">
        <v>1300000</v>
      </c>
      <c r="C64" s="122">
        <v>0</v>
      </c>
      <c r="D64" s="122">
        <v>1300000</v>
      </c>
      <c r="E64" s="122">
        <v>0</v>
      </c>
      <c r="F64" s="122">
        <v>0</v>
      </c>
      <c r="G64" s="124"/>
      <c r="H64" s="130">
        <f>IFERROR(VLOOKUP($A64,플랫폼1!$A:$E,3,FALSE),0)+IFERROR(VLOOKUP($A64,플랫폼2!$A:$C,3,FALSE),0)+IFERROR(VLOOKUP($A64,모바일!$A:$C,3,FALSE),0)+C64</f>
        <v>1300000</v>
      </c>
      <c r="I64" s="130">
        <f>IFERROR(VLOOKUP($A64,플랫폼1!$A:$E,5,FALSE),0)+IFERROR(VLOOKUP($A64,플랫폼2!$A:$I,9,FALSE),0)+IFERROR(VLOOKUP($A64,모바일!$A:$H,8,FALSE),0)</f>
        <v>0</v>
      </c>
      <c r="J64" s="131" t="e">
        <f>VLOOKUP(A64,플랫폼2!$A:$N,14,0)</f>
        <v>#N/A</v>
      </c>
      <c r="K64" s="132" t="e">
        <f t="shared" si="0"/>
        <v>#N/A</v>
      </c>
    </row>
    <row r="65" spans="1:11" ht="13" x14ac:dyDescent="0.3">
      <c r="A65" s="181" t="s">
        <v>59</v>
      </c>
      <c r="B65" s="122">
        <v>10440707</v>
      </c>
      <c r="C65" s="122">
        <v>0</v>
      </c>
      <c r="D65" s="122">
        <v>3085305</v>
      </c>
      <c r="E65" s="122">
        <v>2986620</v>
      </c>
      <c r="F65" s="122">
        <v>4368782</v>
      </c>
      <c r="G65" s="124"/>
      <c r="H65" s="130">
        <f>IFERROR(VLOOKUP($A65,플랫폼1!$A:$E,3,FALSE),0)+IFERROR(VLOOKUP($A65,플랫폼2!$A:$C,3,FALSE),0)+IFERROR(VLOOKUP($A65,모바일!$A:$C,3,FALSE),0)+C65</f>
        <v>3159638</v>
      </c>
      <c r="I65" s="130">
        <f>IFERROR(VLOOKUP($A65,플랫폼1!$A:$E,5,FALSE),0)+IFERROR(VLOOKUP($A65,플랫폼2!$A:$I,9,FALSE),0)+IFERROR(VLOOKUP($A65,모바일!$A:$H,8,FALSE),0)</f>
        <v>3692861</v>
      </c>
      <c r="J65" s="131">
        <f>VLOOKUP(A65,플랫폼2!$A:$N,14,0)</f>
        <v>0</v>
      </c>
      <c r="K65" s="132" t="b">
        <f t="shared" si="0"/>
        <v>0</v>
      </c>
    </row>
    <row r="66" spans="1:11" ht="13" x14ac:dyDescent="0.3">
      <c r="A66" s="181" t="s">
        <v>60</v>
      </c>
      <c r="B66" s="122">
        <v>725574</v>
      </c>
      <c r="C66" s="122">
        <v>0</v>
      </c>
      <c r="D66" s="122">
        <v>172800</v>
      </c>
      <c r="E66" s="122">
        <v>67733</v>
      </c>
      <c r="F66" s="122">
        <v>485041</v>
      </c>
      <c r="G66" s="124"/>
      <c r="H66" s="130">
        <f>IFERROR(VLOOKUP($A66,플랫폼1!$A:$E,3,FALSE),0)+IFERROR(VLOOKUP($A66,플랫폼2!$A:$C,3,FALSE),0)+IFERROR(VLOOKUP($A66,모바일!$A:$C,3,FALSE),0)+C66</f>
        <v>240533</v>
      </c>
      <c r="I66" s="130">
        <f>IFERROR(VLOOKUP($A66,플랫폼1!$A:$E,5,FALSE),0)+IFERROR(VLOOKUP($A66,플랫폼2!$A:$I,9,FALSE),0)+IFERROR(VLOOKUP($A66,모바일!$A:$H,8,FALSE),0)</f>
        <v>0</v>
      </c>
      <c r="J66" s="131"/>
      <c r="K66" s="132" t="b">
        <f t="shared" si="0"/>
        <v>0</v>
      </c>
    </row>
    <row r="67" spans="1:11" ht="13" x14ac:dyDescent="0.3">
      <c r="A67" s="181" t="s">
        <v>61</v>
      </c>
      <c r="B67" s="122">
        <v>6611748</v>
      </c>
      <c r="C67" s="122">
        <v>0</v>
      </c>
      <c r="D67" s="122">
        <v>0</v>
      </c>
      <c r="E67" s="122">
        <v>2918887</v>
      </c>
      <c r="F67" s="122">
        <v>3692861</v>
      </c>
      <c r="G67" s="124"/>
      <c r="H67" s="130">
        <f>IFERROR(VLOOKUP($A67,플랫폼1!$A:$E,3,FALSE),0)+IFERROR(VLOOKUP($A67,플랫폼2!$A:$C,3,FALSE),0)+IFERROR(VLOOKUP($A67,모바일!$A:$C,3,FALSE),0)+C67</f>
        <v>0</v>
      </c>
      <c r="I67" s="130">
        <f>IFERROR(VLOOKUP($A67,플랫폼1!$A:$E,5,FALSE),0)+IFERROR(VLOOKUP($A67,플랫폼2!$A:$I,9,FALSE),0)+IFERROR(VLOOKUP($A67,모바일!$A:$H,8,FALSE),0)</f>
        <v>3692861</v>
      </c>
      <c r="J67" s="131">
        <v>154700</v>
      </c>
      <c r="K67" s="132" t="b">
        <f t="shared" si="0"/>
        <v>0</v>
      </c>
    </row>
    <row r="68" spans="1:11" ht="13" x14ac:dyDescent="0.3">
      <c r="A68" s="181" t="s">
        <v>62</v>
      </c>
      <c r="B68" s="122">
        <v>2903305</v>
      </c>
      <c r="C68" s="122">
        <v>0</v>
      </c>
      <c r="D68" s="122">
        <v>2903305</v>
      </c>
      <c r="E68" s="122">
        <v>0</v>
      </c>
      <c r="F68" s="122">
        <v>0</v>
      </c>
      <c r="G68" s="124"/>
      <c r="H68" s="130">
        <f>IFERROR(VLOOKUP($A68,플랫폼1!$A:$E,3,FALSE),0)+IFERROR(VLOOKUP($A68,플랫폼2!$A:$C,3,FALSE),0)+IFERROR(VLOOKUP($A68,모바일!$A:$C,3,FALSE),0)+C68</f>
        <v>2903305</v>
      </c>
      <c r="I68" s="130">
        <f>IFERROR(VLOOKUP($A68,플랫폼1!$A:$E,5,FALSE),0)+IFERROR(VLOOKUP($A68,플랫폼2!$A:$I,9,FALSE),0)+IFERROR(VLOOKUP($A68,모바일!$A:$H,8,FALSE),0)</f>
        <v>0</v>
      </c>
      <c r="J68" s="131">
        <v>3758275</v>
      </c>
      <c r="K68" s="132" t="b">
        <f t="shared" ref="K68:K94" si="1">B68=(H68+I68+J68)</f>
        <v>0</v>
      </c>
    </row>
    <row r="69" spans="1:11" ht="13" x14ac:dyDescent="0.3">
      <c r="A69" s="181" t="s">
        <v>63</v>
      </c>
      <c r="B69" s="122">
        <v>200080</v>
      </c>
      <c r="C69" s="122">
        <v>0</v>
      </c>
      <c r="D69" s="122">
        <v>9200</v>
      </c>
      <c r="E69" s="122">
        <v>0</v>
      </c>
      <c r="F69" s="122">
        <v>190880</v>
      </c>
      <c r="G69" s="124"/>
      <c r="H69" s="130">
        <f>IFERROR(VLOOKUP($A69,플랫폼1!$A:$E,3,FALSE),0)+IFERROR(VLOOKUP($A69,플랫폼2!$A:$C,3,FALSE),0)+IFERROR(VLOOKUP($A69,모바일!$A:$C,3,FALSE),0)+C69</f>
        <v>15800</v>
      </c>
      <c r="I69" s="130">
        <f>IFERROR(VLOOKUP($A69,플랫폼1!$A:$E,5,FALSE),0)+IFERROR(VLOOKUP($A69,플랫폼2!$A:$I,9,FALSE),0)+IFERROR(VLOOKUP($A69,모바일!$A:$H,8,FALSE),0)</f>
        <v>0</v>
      </c>
      <c r="J69" s="131">
        <v>3758275</v>
      </c>
      <c r="K69" s="132" t="b">
        <f t="shared" si="1"/>
        <v>0</v>
      </c>
    </row>
    <row r="70" spans="1:11" ht="13" x14ac:dyDescent="0.3">
      <c r="A70" s="181" t="s">
        <v>64</v>
      </c>
      <c r="B70" s="122">
        <v>4129565</v>
      </c>
      <c r="C70" s="122">
        <v>0</v>
      </c>
      <c r="D70" s="122">
        <v>0</v>
      </c>
      <c r="E70" s="122">
        <v>0</v>
      </c>
      <c r="F70" s="122">
        <v>4129565</v>
      </c>
      <c r="G70" s="124"/>
      <c r="H70" s="130">
        <f>IFERROR(VLOOKUP($A70,플랫폼1!$A:$E,3,FALSE),0)+IFERROR(VLOOKUP($A70,플랫폼2!$A:$C,3,FALSE),0)+IFERROR(VLOOKUP($A70,모바일!$A:$C,3,FALSE),0)+C70</f>
        <v>0</v>
      </c>
      <c r="I70" s="130">
        <f>IFERROR(VLOOKUP($A70,플랫폼1!$A:$E,5,FALSE),0)+IFERROR(VLOOKUP($A70,플랫폼2!$A:$I,9,FALSE),0)+IFERROR(VLOOKUP($A70,모바일!$A:$H,8,FALSE),0)</f>
        <v>0</v>
      </c>
      <c r="J70" s="131" t="e">
        <f>VLOOKUP(A70,플랫폼2!$A:$N,14,0)</f>
        <v>#N/A</v>
      </c>
      <c r="K70" s="132" t="e">
        <f t="shared" si="1"/>
        <v>#N/A</v>
      </c>
    </row>
    <row r="71" spans="1:11" ht="13" x14ac:dyDescent="0.3">
      <c r="A71" s="181" t="s">
        <v>65</v>
      </c>
      <c r="B71" s="122">
        <v>4129565</v>
      </c>
      <c r="C71" s="122">
        <v>0</v>
      </c>
      <c r="D71" s="122">
        <v>0</v>
      </c>
      <c r="E71" s="122">
        <v>0</v>
      </c>
      <c r="F71" s="122">
        <v>4129565</v>
      </c>
      <c r="G71" s="124"/>
      <c r="H71" s="130">
        <f>IFERROR(VLOOKUP($A71,플랫폼1!$A:$E,3,FALSE),0)+IFERROR(VLOOKUP($A71,플랫폼2!$A:$C,3,FALSE),0)+IFERROR(VLOOKUP($A71,모바일!$A:$C,3,FALSE),0)+C71</f>
        <v>0</v>
      </c>
      <c r="I71" s="130">
        <f>IFERROR(VLOOKUP($A71,플랫폼1!$A:$E,5,FALSE),0)+IFERROR(VLOOKUP($A71,플랫폼2!$A:$I,9,FALSE),0)+IFERROR(VLOOKUP($A71,모바일!$A:$H,8,FALSE),0)</f>
        <v>0</v>
      </c>
      <c r="J71" s="131" t="e">
        <f>VLOOKUP(A71,플랫폼2!$A:$N,14,0)</f>
        <v>#N/A</v>
      </c>
      <c r="K71" s="132" t="e">
        <f t="shared" si="1"/>
        <v>#N/A</v>
      </c>
    </row>
    <row r="72" spans="1:11" ht="13" x14ac:dyDescent="0.3">
      <c r="A72" s="181" t="s">
        <v>66</v>
      </c>
      <c r="B72" s="122">
        <v>319799989</v>
      </c>
      <c r="C72" s="122">
        <v>9600000</v>
      </c>
      <c r="D72" s="122">
        <v>0</v>
      </c>
      <c r="E72" s="122">
        <v>310199989</v>
      </c>
      <c r="F72" s="122">
        <v>0</v>
      </c>
      <c r="G72" s="124"/>
      <c r="H72" s="130">
        <f>IFERROR(VLOOKUP($A72,플랫폼1!$A:$E,3,FALSE),0)+IFERROR(VLOOKUP($A72,플랫폼2!$A:$C,3,FALSE),0)+IFERROR(VLOOKUP($A72,모바일!$A:$C,3,FALSE),0)+C72</f>
        <v>9600000</v>
      </c>
      <c r="I72" s="130">
        <f>IFERROR(VLOOKUP($A72,플랫폼1!$A:$E,5,FALSE),0)+IFERROR(VLOOKUP($A72,플랫폼2!$A:$I,9,FALSE),0)+IFERROR(VLOOKUP($A72,모바일!$A:$H,8,FALSE),0)</f>
        <v>0</v>
      </c>
      <c r="J72" s="131">
        <f>VLOOKUP(A72,플랫폼2!$A:$N,14,0)</f>
        <v>0</v>
      </c>
      <c r="K72" s="132" t="b">
        <f t="shared" si="1"/>
        <v>0</v>
      </c>
    </row>
    <row r="73" spans="1:11" ht="13" x14ac:dyDescent="0.3">
      <c r="A73" s="181" t="s">
        <v>67</v>
      </c>
      <c r="B73" s="122">
        <v>168031590</v>
      </c>
      <c r="C73" s="122">
        <v>0</v>
      </c>
      <c r="D73" s="122">
        <v>0</v>
      </c>
      <c r="E73" s="122">
        <v>50298537</v>
      </c>
      <c r="F73" s="122">
        <v>117733053</v>
      </c>
      <c r="G73" s="124"/>
      <c r="H73" s="130">
        <f>IFERROR(VLOOKUP($A73,플랫폼1!$A:$E,3,FALSE),0)+IFERROR(VLOOKUP($A73,플랫폼2!$A:$C,3,FALSE),0)+IFERROR(VLOOKUP($A73,모바일!$A:$C,3,FALSE),0)+C73</f>
        <v>1400000</v>
      </c>
      <c r="I73" s="130">
        <f>IFERROR(VLOOKUP($A73,플랫폼1!$A:$E,5,FALSE),0)+IFERROR(VLOOKUP($A73,플랫폼2!$A:$I,9,FALSE),0)+IFERROR(VLOOKUP($A73,모바일!$A:$H,8,FALSE),0)</f>
        <v>45423053</v>
      </c>
      <c r="J73" s="131">
        <f>VLOOKUP(A73,플랫폼2!$A:$N,14,0)</f>
        <v>0</v>
      </c>
      <c r="K73" s="132" t="b">
        <f t="shared" si="1"/>
        <v>0</v>
      </c>
    </row>
    <row r="74" spans="1:11" ht="13" x14ac:dyDescent="0.3">
      <c r="A74" s="181" t="s">
        <v>69</v>
      </c>
      <c r="B74" s="122">
        <v>144510000</v>
      </c>
      <c r="C74" s="122">
        <v>0</v>
      </c>
      <c r="D74" s="122">
        <v>0</v>
      </c>
      <c r="E74" s="122">
        <v>38600000</v>
      </c>
      <c r="F74" s="122">
        <v>105910000</v>
      </c>
      <c r="G74" s="124"/>
      <c r="H74" s="130">
        <f>IFERROR(VLOOKUP($A74,플랫폼1!$A:$E,3,FALSE),0)+IFERROR(VLOOKUP($A74,플랫폼2!$A:$C,3,FALSE),0)+IFERROR(VLOOKUP($A74,모바일!$A:$C,3,FALSE),0)+C74</f>
        <v>1400000</v>
      </c>
      <c r="I74" s="130">
        <f>IFERROR(VLOOKUP($A74,플랫폼1!$A:$E,5,FALSE),0)+IFERROR(VLOOKUP($A74,플랫폼2!$A:$I,9,FALSE),0)+IFERROR(VLOOKUP($A74,모바일!$A:$H,8,FALSE),0)</f>
        <v>34800000</v>
      </c>
      <c r="J74" s="131">
        <f>VLOOKUP(A74,플랫폼2!$A:$N,14,0)</f>
        <v>0</v>
      </c>
      <c r="K74" s="132" t="b">
        <f t="shared" si="1"/>
        <v>0</v>
      </c>
    </row>
    <row r="75" spans="1:11" ht="13" x14ac:dyDescent="0.3">
      <c r="A75" s="181" t="s">
        <v>70</v>
      </c>
      <c r="B75" s="122">
        <v>23521590</v>
      </c>
      <c r="C75" s="122">
        <v>0</v>
      </c>
      <c r="D75" s="122">
        <v>0</v>
      </c>
      <c r="E75" s="122">
        <v>11698537</v>
      </c>
      <c r="F75" s="122">
        <v>11823053</v>
      </c>
      <c r="G75" s="124"/>
      <c r="H75" s="130">
        <f>IFERROR(VLOOKUP($A75,플랫폼1!$A:$E,3,FALSE),0)+IFERROR(VLOOKUP($A75,플랫폼2!$A:$C,3,FALSE),0)+IFERROR(VLOOKUP($A75,모바일!$A:$C,3,FALSE),0)+C75</f>
        <v>0</v>
      </c>
      <c r="I75" s="130">
        <f>IFERROR(VLOOKUP($A75,플랫폼1!$A:$E,5,FALSE),0)+IFERROR(VLOOKUP($A75,플랫폼2!$A:$I,9,FALSE),0)+IFERROR(VLOOKUP($A75,모바일!$A:$H,8,FALSE),0)</f>
        <v>10623053</v>
      </c>
      <c r="J75" s="131">
        <f>VLOOKUP(A75,플랫폼2!$A:$N,14,0)</f>
        <v>0</v>
      </c>
      <c r="K75" s="132" t="b">
        <f t="shared" si="1"/>
        <v>0</v>
      </c>
    </row>
    <row r="76" spans="1:11" ht="13" x14ac:dyDescent="0.3">
      <c r="A76" s="181" t="s">
        <v>71</v>
      </c>
      <c r="B76" s="122">
        <v>1716166</v>
      </c>
      <c r="C76" s="122">
        <v>0</v>
      </c>
      <c r="D76" s="122">
        <v>0</v>
      </c>
      <c r="E76" s="122">
        <v>1519973</v>
      </c>
      <c r="F76" s="122">
        <v>196193</v>
      </c>
      <c r="G76" s="124"/>
      <c r="H76" s="130">
        <f>IFERROR(VLOOKUP($A76,플랫폼1!$A:$E,3,FALSE),0)+IFERROR(VLOOKUP($A76,플랫폼2!$A:$C,3,FALSE),0)+IFERROR(VLOOKUP($A76,모바일!$A:$C,3,FALSE),0)+C76</f>
        <v>1519973</v>
      </c>
      <c r="I76" s="130">
        <f>IFERROR(VLOOKUP($A76,플랫폼1!$A:$E,5,FALSE),0)+IFERROR(VLOOKUP($A76,플랫폼2!$A:$I,9,FALSE),0)+IFERROR(VLOOKUP($A76,모바일!$A:$H,8,FALSE),0)</f>
        <v>0</v>
      </c>
      <c r="J76" s="131">
        <f>VLOOKUP(A76,플랫폼2!$A:$N,14,0)</f>
        <v>0</v>
      </c>
      <c r="K76" s="132" t="b">
        <f t="shared" si="1"/>
        <v>0</v>
      </c>
    </row>
    <row r="77" spans="1:11" ht="13" x14ac:dyDescent="0.3">
      <c r="A77" s="181" t="s">
        <v>72</v>
      </c>
      <c r="B77" s="122">
        <v>1716166</v>
      </c>
      <c r="C77" s="122">
        <v>0</v>
      </c>
      <c r="D77" s="122">
        <v>0</v>
      </c>
      <c r="E77" s="122">
        <v>1519973</v>
      </c>
      <c r="F77" s="122">
        <v>196193</v>
      </c>
      <c r="G77" s="124"/>
      <c r="H77" s="130">
        <f>IFERROR(VLOOKUP($A77,플랫폼1!$A:$E,3,FALSE),0)+IFERROR(VLOOKUP($A77,플랫폼2!$A:$C,3,FALSE),0)+IFERROR(VLOOKUP($A77,모바일!$A:$C,3,FALSE),0)+C77</f>
        <v>1519973</v>
      </c>
      <c r="I77" s="130">
        <f>IFERROR(VLOOKUP($A77,플랫폼1!$A:$E,5,FALSE),0)+IFERROR(VLOOKUP($A77,플랫폼2!$A:$I,9,FALSE),0)+IFERROR(VLOOKUP($A77,모바일!$A:$H,8,FALSE),0)</f>
        <v>0</v>
      </c>
      <c r="J77" s="131">
        <f>VLOOKUP(A77,플랫폼2!$A:$N,14,0)</f>
        <v>0</v>
      </c>
      <c r="K77" s="132" t="b">
        <f t="shared" si="1"/>
        <v>0</v>
      </c>
    </row>
    <row r="78" spans="1:11" ht="13" x14ac:dyDescent="0.3">
      <c r="A78" s="181" t="s">
        <v>73</v>
      </c>
      <c r="B78" s="122">
        <v>1422630</v>
      </c>
      <c r="C78" s="122">
        <v>0</v>
      </c>
      <c r="D78" s="122">
        <v>337960</v>
      </c>
      <c r="E78" s="122">
        <v>423270</v>
      </c>
      <c r="F78" s="122">
        <v>661400</v>
      </c>
      <c r="G78" s="124"/>
      <c r="H78" s="130">
        <f>IFERROR(VLOOKUP($A78,플랫폼1!$A:$E,3,FALSE),0)+IFERROR(VLOOKUP($A78,플랫폼2!$A:$C,3,FALSE),0)+IFERROR(VLOOKUP($A78,모바일!$A:$C,3,FALSE),0)+C78</f>
        <v>847130</v>
      </c>
      <c r="I78" s="130">
        <f>IFERROR(VLOOKUP($A78,플랫폼1!$A:$E,5,FALSE),0)+IFERROR(VLOOKUP($A78,플랫폼2!$A:$I,9,FALSE),0)+IFERROR(VLOOKUP($A78,모바일!$A:$H,8,FALSE),0)</f>
        <v>0</v>
      </c>
      <c r="J78" s="131">
        <f>VLOOKUP(A78,플랫폼2!$A:$N,14,0)</f>
        <v>0</v>
      </c>
      <c r="K78" s="132" t="b">
        <f t="shared" si="1"/>
        <v>0</v>
      </c>
    </row>
    <row r="79" spans="1:11" ht="13" x14ac:dyDescent="0.3">
      <c r="A79" s="181" t="s">
        <v>74</v>
      </c>
      <c r="B79" s="122">
        <v>1262570</v>
      </c>
      <c r="C79" s="122">
        <v>0</v>
      </c>
      <c r="D79" s="122">
        <v>257900</v>
      </c>
      <c r="E79" s="122">
        <v>343270</v>
      </c>
      <c r="F79" s="122">
        <v>661400</v>
      </c>
      <c r="G79" s="124"/>
      <c r="H79" s="130">
        <f>IFERROR(VLOOKUP($A79,플랫폼1!$A:$E,3,FALSE),0)+IFERROR(VLOOKUP($A79,플랫폼2!$A:$C,3,FALSE),0)+IFERROR(VLOOKUP($A79,모바일!$A:$C,3,FALSE),0)+C79</f>
        <v>687070</v>
      </c>
      <c r="I79" s="130">
        <f>IFERROR(VLOOKUP($A79,플랫폼1!$A:$E,5,FALSE),0)+IFERROR(VLOOKUP($A79,플랫폼2!$A:$I,9,FALSE),0)+IFERROR(VLOOKUP($A79,모바일!$A:$H,8,FALSE),0)</f>
        <v>0</v>
      </c>
      <c r="J79" s="131">
        <f>VLOOKUP(A79,플랫폼2!$A:$N,14,0)</f>
        <v>0</v>
      </c>
      <c r="K79" s="132" t="b">
        <f t="shared" si="1"/>
        <v>0</v>
      </c>
    </row>
    <row r="80" spans="1:11" ht="13" x14ac:dyDescent="0.3">
      <c r="A80" s="181" t="s">
        <v>75</v>
      </c>
      <c r="B80" s="122">
        <v>160060</v>
      </c>
      <c r="C80" s="122">
        <v>0</v>
      </c>
      <c r="D80" s="122">
        <v>80060</v>
      </c>
      <c r="E80" s="122">
        <v>80000</v>
      </c>
      <c r="F80" s="122">
        <v>0</v>
      </c>
      <c r="G80" s="124"/>
      <c r="H80" s="130">
        <f>IFERROR(VLOOKUP($A80,플랫폼1!$A:$E,3,FALSE),0)+IFERROR(VLOOKUP($A80,플랫폼2!$A:$C,3,FALSE),0)+IFERROR(VLOOKUP($A80,모바일!$A:$C,3,FALSE),0)+C80</f>
        <v>160060</v>
      </c>
      <c r="I80" s="130">
        <f>IFERROR(VLOOKUP($A80,플랫폼1!$A:$E,5,FALSE),0)+IFERROR(VLOOKUP($A80,플랫폼2!$A:$I,9,FALSE),0)+IFERROR(VLOOKUP($A80,모바일!$A:$H,8,FALSE),0)</f>
        <v>0</v>
      </c>
      <c r="J80" s="131">
        <f>VLOOKUP(A80,플랫폼2!$A:$N,14,0)</f>
        <v>0</v>
      </c>
      <c r="K80" s="132" t="b">
        <f t="shared" si="1"/>
        <v>1</v>
      </c>
    </row>
    <row r="81" spans="1:11" ht="13" x14ac:dyDescent="0.3">
      <c r="A81" s="181" t="s">
        <v>78</v>
      </c>
      <c r="B81" s="122">
        <v>446998110</v>
      </c>
      <c r="C81" s="122">
        <v>0</v>
      </c>
      <c r="D81" s="122">
        <v>367913925</v>
      </c>
      <c r="E81" s="122">
        <v>62155934</v>
      </c>
      <c r="F81" s="122">
        <v>16928251</v>
      </c>
      <c r="G81" s="137"/>
      <c r="H81" s="133">
        <f>IFERROR(VLOOKUP($A81,플랫폼1!$A:$E,3,FALSE),0)+IFERROR(VLOOKUP($A81,플랫폼2!$A:$C,3,FALSE),0)+IFERROR(VLOOKUP($A81,모바일!$A:$C,3,FALSE),0)+C81</f>
        <v>0</v>
      </c>
      <c r="I81" s="133">
        <f>IFERROR(VLOOKUP($A81,플랫폼1!$A:$E,5,FALSE),0)+IFERROR(VLOOKUP($A81,플랫폼2!$A:$I,9,FALSE),0)+IFERROR(VLOOKUP($A81,모바일!$A:$H,8,FALSE),0)</f>
        <v>383784176</v>
      </c>
      <c r="J81" s="134">
        <f>VLOOKUP(A81,플랫폼2!$A:$N,14,0)</f>
        <v>0</v>
      </c>
      <c r="K81" s="132" t="b">
        <f t="shared" si="1"/>
        <v>0</v>
      </c>
    </row>
    <row r="82" spans="1:11" ht="13" x14ac:dyDescent="0.3">
      <c r="A82" s="181" t="s">
        <v>79</v>
      </c>
      <c r="B82" s="122">
        <v>446998110</v>
      </c>
      <c r="C82" s="122">
        <v>0</v>
      </c>
      <c r="D82" s="122">
        <v>367913925</v>
      </c>
      <c r="E82" s="122">
        <v>62155934</v>
      </c>
      <c r="F82" s="122">
        <v>16928251</v>
      </c>
      <c r="G82" s="124"/>
      <c r="H82" s="130">
        <f>IFERROR(VLOOKUP($A82,플랫폼1!$A:$E,3,FALSE),0)+IFERROR(VLOOKUP($A82,플랫폼2!$A:$C,3,FALSE),0)+IFERROR(VLOOKUP($A82,모바일!$A:$C,3,FALSE),0)+C82</f>
        <v>0</v>
      </c>
      <c r="I82" s="130">
        <f>IFERROR(VLOOKUP($A82,플랫폼1!$A:$E,5,FALSE),0)+IFERROR(VLOOKUP($A82,플랫폼2!$A:$I,9,FALSE),0)+IFERROR(VLOOKUP($A82,모바일!$A:$H,8,FALSE),0)</f>
        <v>383784176</v>
      </c>
      <c r="J82" s="131">
        <v>356728</v>
      </c>
      <c r="K82" s="132" t="b">
        <f t="shared" si="1"/>
        <v>0</v>
      </c>
    </row>
    <row r="83" spans="1:11" ht="13" x14ac:dyDescent="0.3">
      <c r="A83" s="181" t="s">
        <v>80</v>
      </c>
      <c r="B83" s="122">
        <v>4356728</v>
      </c>
      <c r="C83" s="122">
        <v>0</v>
      </c>
      <c r="D83" s="122">
        <v>0</v>
      </c>
      <c r="E83" s="122">
        <v>4000000</v>
      </c>
      <c r="F83" s="122">
        <v>356728</v>
      </c>
      <c r="G83" s="124"/>
      <c r="H83" s="130">
        <f>IFERROR(VLOOKUP($A83,플랫폼1!$A:$E,3,FALSE),0)+IFERROR(VLOOKUP($A83,플랫폼2!$A:$C,3,FALSE),0)+IFERROR(VLOOKUP($A83,모바일!$A:$C,3,FALSE),0)+C83</f>
        <v>4000000</v>
      </c>
      <c r="I83" s="130">
        <f>IFERROR(VLOOKUP($A83,플랫폼1!$A:$E,5,FALSE),0)+IFERROR(VLOOKUP($A83,플랫폼2!$A:$I,9,FALSE),0)+IFERROR(VLOOKUP($A83,모바일!$A:$H,8,FALSE),0)</f>
        <v>0</v>
      </c>
      <c r="J83" s="131">
        <f>VLOOKUP(A83,플랫폼2!$A:$N,14,0)</f>
        <v>0</v>
      </c>
      <c r="K83" s="132" t="b">
        <f t="shared" si="1"/>
        <v>0</v>
      </c>
    </row>
    <row r="84" spans="1:11" ht="13" x14ac:dyDescent="0.3">
      <c r="A84" s="181" t="s">
        <v>82</v>
      </c>
      <c r="B84" s="122">
        <v>356728</v>
      </c>
      <c r="C84" s="122">
        <v>0</v>
      </c>
      <c r="D84" s="122">
        <v>0</v>
      </c>
      <c r="E84" s="122">
        <v>0</v>
      </c>
      <c r="F84" s="122">
        <v>356728</v>
      </c>
      <c r="G84" s="124"/>
      <c r="H84" s="130">
        <f>IFERROR(VLOOKUP($A84,플랫폼1!$A:$E,3,FALSE),0)+IFERROR(VLOOKUP($A84,플랫폼2!$A:$C,3,FALSE),0)+IFERROR(VLOOKUP($A84,모바일!$A:$C,3,FALSE),0)+C84</f>
        <v>0</v>
      </c>
      <c r="I84" s="130">
        <f>IFERROR(VLOOKUP($A84,플랫폼1!$A:$E,5,FALSE),0)+IFERROR(VLOOKUP($A84,플랫폼2!$A:$I,9,FALSE),0)+IFERROR(VLOOKUP($A84,모바일!$A:$H,8,FALSE),0)</f>
        <v>0</v>
      </c>
      <c r="J84" s="131" t="e">
        <f>VLOOKUP(A84,플랫폼2!$A:$N,14,0)</f>
        <v>#N/A</v>
      </c>
      <c r="K84" s="132" t="e">
        <f t="shared" si="1"/>
        <v>#N/A</v>
      </c>
    </row>
    <row r="85" spans="1:11" ht="13" x14ac:dyDescent="0.3">
      <c r="A85" s="181" t="s">
        <v>208</v>
      </c>
      <c r="B85" s="122">
        <v>4000000</v>
      </c>
      <c r="C85" s="122">
        <v>0</v>
      </c>
      <c r="D85" s="122">
        <v>0</v>
      </c>
      <c r="E85" s="122">
        <v>4000000</v>
      </c>
      <c r="F85" s="122">
        <v>0</v>
      </c>
      <c r="G85" s="124"/>
      <c r="H85" s="130">
        <f>IFERROR(VLOOKUP($A85,플랫폼1!$A:$E,3,FALSE),0)+IFERROR(VLOOKUP($A85,플랫폼2!$A:$C,3,FALSE),0)+IFERROR(VLOOKUP($A85,모바일!$A:$C,3,FALSE),0)+C85</f>
        <v>4000000</v>
      </c>
      <c r="I85" s="130">
        <f>IFERROR(VLOOKUP($A85,플랫폼1!$A:$E,5,FALSE),0)+IFERROR(VLOOKUP($A85,플랫폼2!$A:$I,9,FALSE),0)+IFERROR(VLOOKUP($A85,모바일!$A:$H,8,FALSE),0)</f>
        <v>0</v>
      </c>
      <c r="J85" s="131">
        <v>1343525</v>
      </c>
      <c r="K85" s="132" t="b">
        <f t="shared" si="1"/>
        <v>0</v>
      </c>
    </row>
    <row r="86" spans="1:11" ht="13" customHeight="1" x14ac:dyDescent="0.3">
      <c r="A86" s="181" t="s">
        <v>83</v>
      </c>
      <c r="B86" s="122">
        <v>165105842</v>
      </c>
      <c r="C86" s="122">
        <v>0</v>
      </c>
      <c r="D86" s="122">
        <v>96883410</v>
      </c>
      <c r="E86" s="122">
        <v>46760909</v>
      </c>
      <c r="F86" s="122">
        <v>21461523</v>
      </c>
      <c r="G86" s="124"/>
      <c r="H86" s="130">
        <f>IFERROR(VLOOKUP($A86,플랫폼1!$A:$E,3,FALSE),0)+IFERROR(VLOOKUP($A86,플랫폼2!$A:$C,3,FALSE),0)+IFERROR(VLOOKUP($A86,모바일!$A:$C,3,FALSE),0)+C86</f>
        <v>97756615</v>
      </c>
      <c r="I86" s="130">
        <f>IFERROR(VLOOKUP($A86,플랫폼1!$A:$E,5,FALSE),0)+IFERROR(VLOOKUP($A86,플랫폼2!$A:$I,9,FALSE),0)+IFERROR(VLOOKUP($A86,모바일!$A:$H,8,FALSE),0)</f>
        <v>60939481</v>
      </c>
      <c r="J86" s="131">
        <f>VLOOKUP(A86,플랫폼2!$A:$N,14,0)</f>
        <v>0</v>
      </c>
      <c r="K86" s="132"/>
    </row>
    <row r="87" spans="1:11" ht="13" customHeight="1" x14ac:dyDescent="0.3">
      <c r="A87" s="181" t="s">
        <v>84</v>
      </c>
      <c r="B87" s="122">
        <v>1571544</v>
      </c>
      <c r="C87" s="122">
        <v>0</v>
      </c>
      <c r="D87" s="122">
        <v>0</v>
      </c>
      <c r="E87" s="122">
        <v>0</v>
      </c>
      <c r="F87" s="122">
        <v>1571544</v>
      </c>
      <c r="G87" s="124"/>
      <c r="H87" s="130">
        <f>IFERROR(VLOOKUP($A87,플랫폼1!$A:$E,3,FALSE),0)+IFERROR(VLOOKUP($A87,플랫폼2!$A:$C,3,FALSE),0)+IFERROR(VLOOKUP($A87,모바일!$A:$C,3,FALSE),0)+C87</f>
        <v>0</v>
      </c>
      <c r="I87" s="130">
        <f>IFERROR(VLOOKUP($A87,플랫폼1!$A:$E,5,FALSE),0)+IFERROR(VLOOKUP($A87,플랫폼2!$A:$I,9,FALSE),0)+IFERROR(VLOOKUP($A87,모바일!$A:$H,8,FALSE),0)</f>
        <v>0</v>
      </c>
      <c r="J87" s="131" t="e">
        <f>VLOOKUP(A87,플랫폼2!$A:$N,14,0)</f>
        <v>#N/A</v>
      </c>
      <c r="K87" s="132" t="e">
        <f t="shared" si="1"/>
        <v>#N/A</v>
      </c>
    </row>
    <row r="88" spans="1:11" ht="13" customHeight="1" x14ac:dyDescent="0.3">
      <c r="A88" s="181" t="s">
        <v>85</v>
      </c>
      <c r="B88" s="122">
        <v>7426739</v>
      </c>
      <c r="C88" s="122">
        <v>0</v>
      </c>
      <c r="D88" s="122">
        <v>3362793</v>
      </c>
      <c r="E88" s="122">
        <v>2239718</v>
      </c>
      <c r="F88" s="122">
        <v>1824228</v>
      </c>
      <c r="G88" s="124"/>
      <c r="H88" s="130">
        <f>IFERROR(VLOOKUP($A88,플랫폼1!$A:$E,3,FALSE),0)+IFERROR(VLOOKUP($A88,플랫폼2!$A:$C,3,FALSE),0)+IFERROR(VLOOKUP($A88,모바일!$A:$C,3,FALSE),0)+C88</f>
        <v>7426739</v>
      </c>
      <c r="I88" s="130">
        <f>IFERROR(VLOOKUP($A88,플랫폼1!$A:$E,5,FALSE),0)+IFERROR(VLOOKUP($A88,플랫폼2!$A:$I,9,FALSE),0)+IFERROR(VLOOKUP($A88,모바일!$A:$H,8,FALSE),0)</f>
        <v>0</v>
      </c>
      <c r="J88" s="131">
        <f>VLOOKUP(A88,플랫폼2!$A:$N,14,0)</f>
        <v>0</v>
      </c>
      <c r="K88" s="132"/>
    </row>
    <row r="89" spans="1:11" ht="13" x14ac:dyDescent="0.3">
      <c r="A89" s="181" t="s">
        <v>150</v>
      </c>
      <c r="B89" s="122">
        <v>3934986</v>
      </c>
      <c r="C89" s="122">
        <v>0</v>
      </c>
      <c r="D89" s="122">
        <v>1391709</v>
      </c>
      <c r="E89" s="122">
        <v>1920636</v>
      </c>
      <c r="F89" s="122">
        <v>622641</v>
      </c>
      <c r="G89" s="137"/>
      <c r="H89" s="133">
        <f>IFERROR(VLOOKUP($A89,플랫폼1!$A:$E,3,FALSE),0)+IFERROR(VLOOKUP($A89,플랫폼2!$A:$C,3,FALSE),0)+IFERROR(VLOOKUP($A89,모바일!$A:$C,3,FALSE),0)+C89</f>
        <v>3585072</v>
      </c>
      <c r="I89" s="133">
        <f>IFERROR(VLOOKUP($A89,플랫폼1!$A:$E,5,FALSE),0)+IFERROR(VLOOKUP($A89,플랫폼2!$A:$I,9,FALSE),0)+IFERROR(VLOOKUP($A89,모바일!$A:$H,8,FALSE),0)</f>
        <v>0</v>
      </c>
      <c r="J89" s="134">
        <f>VLOOKUP(A89,플랫폼2!$A:$N,14,0)</f>
        <v>0</v>
      </c>
      <c r="K89" s="132" t="b">
        <f t="shared" si="1"/>
        <v>0</v>
      </c>
    </row>
    <row r="90" spans="1:11" ht="13" x14ac:dyDescent="0.3">
      <c r="A90" s="181" t="s">
        <v>87</v>
      </c>
      <c r="B90" s="122">
        <v>1478826</v>
      </c>
      <c r="C90" s="122">
        <v>0</v>
      </c>
      <c r="D90" s="122">
        <v>249097</v>
      </c>
      <c r="E90" s="122">
        <v>936370</v>
      </c>
      <c r="F90" s="122">
        <v>293359</v>
      </c>
      <c r="G90" s="124"/>
      <c r="H90" s="130">
        <f>IFERROR(VLOOKUP($A90,플랫폼1!$A:$E,3,FALSE),0)+IFERROR(VLOOKUP($A90,플랫폼2!$A:$C,3,FALSE),0)+IFERROR(VLOOKUP($A90,모바일!$A:$C,3,FALSE),0)+C90</f>
        <v>1478826</v>
      </c>
      <c r="I90" s="130">
        <f>IFERROR(VLOOKUP($A90,플랫폼1!$A:$E,5,FALSE),0)+IFERROR(VLOOKUP($A90,플랫폼2!$A:$I,9,FALSE),0)+IFERROR(VLOOKUP($A90,모바일!$A:$H,8,FALSE),0)</f>
        <v>0</v>
      </c>
      <c r="J90" s="131">
        <f>VLOOKUP(A90,플랫폼2!$A:$N,14,0)</f>
        <v>0</v>
      </c>
      <c r="K90" s="132" t="b">
        <f t="shared" si="1"/>
        <v>1</v>
      </c>
    </row>
    <row r="91" spans="1:11" ht="13" x14ac:dyDescent="0.3">
      <c r="A91" s="181" t="s">
        <v>88</v>
      </c>
      <c r="B91" s="122">
        <v>121173797</v>
      </c>
      <c r="C91" s="122">
        <v>0</v>
      </c>
      <c r="D91" s="122">
        <v>64755705</v>
      </c>
      <c r="E91" s="122">
        <v>41573730</v>
      </c>
      <c r="F91" s="122">
        <v>14844362</v>
      </c>
      <c r="G91" s="124"/>
      <c r="H91" s="130">
        <f>IFERROR(VLOOKUP($A91,플랫폼1!$A:$E,3,FALSE),0)+IFERROR(VLOOKUP($A91,플랫폼2!$A:$C,3,FALSE),0)+IFERROR(VLOOKUP($A91,모바일!$A:$C,3,FALSE),0)+C91</f>
        <v>85175523</v>
      </c>
      <c r="I91" s="130">
        <f>IFERROR(VLOOKUP($A91,플랫폼1!$A:$E,5,FALSE),0)+IFERROR(VLOOKUP($A91,플랫폼2!$A:$I,9,FALSE),0)+IFERROR(VLOOKUP($A91,모바일!$A:$H,8,FALSE),0)</f>
        <v>33815375</v>
      </c>
      <c r="J91" s="131">
        <f>VLOOKUP(A91,플랫폼2!$A:$N,14,0)</f>
        <v>0</v>
      </c>
      <c r="K91" s="132" t="b">
        <f t="shared" si="1"/>
        <v>0</v>
      </c>
    </row>
    <row r="92" spans="1:11" ht="13" x14ac:dyDescent="0.3">
      <c r="A92" s="181" t="s">
        <v>89</v>
      </c>
      <c r="B92" s="122">
        <v>29519950</v>
      </c>
      <c r="C92" s="122">
        <v>0</v>
      </c>
      <c r="D92" s="122">
        <v>27124106</v>
      </c>
      <c r="E92" s="122">
        <v>90455</v>
      </c>
      <c r="F92" s="122">
        <v>2305389</v>
      </c>
      <c r="G92" s="124"/>
      <c r="H92" s="130">
        <f>IFERROR(VLOOKUP($A92,플랫폼1!$A:$E,3,FALSE),0)+IFERROR(VLOOKUP($A92,플랫폼2!$A:$C,3,FALSE),0)+IFERROR(VLOOKUP($A92,모바일!$A:$C,3,FALSE),0)+C92</f>
        <v>90455</v>
      </c>
      <c r="I92" s="130">
        <f>IFERROR(VLOOKUP($A92,플랫폼1!$A:$E,5,FALSE),0)+IFERROR(VLOOKUP($A92,플랫폼2!$A:$I,9,FALSE),0)+IFERROR(VLOOKUP($A92,모바일!$A:$H,8,FALSE),0)</f>
        <v>27124106</v>
      </c>
      <c r="J92" s="131">
        <v>814490</v>
      </c>
      <c r="K92" s="132" t="b">
        <f t="shared" si="1"/>
        <v>0</v>
      </c>
    </row>
    <row r="93" spans="1:11" ht="13" x14ac:dyDescent="0.3">
      <c r="A93" s="181" t="s">
        <v>91</v>
      </c>
      <c r="B93" s="122">
        <v>33236400</v>
      </c>
      <c r="C93" s="122">
        <v>0</v>
      </c>
      <c r="D93" s="122">
        <v>1058101</v>
      </c>
      <c r="E93" s="122">
        <v>6118840</v>
      </c>
      <c r="F93" s="122">
        <v>26059459</v>
      </c>
      <c r="G93" s="124"/>
      <c r="H93" s="130">
        <f>IFERROR(VLOOKUP($A93,플랫폼1!$A:$E,3,FALSE),0)+IFERROR(VLOOKUP($A93,플랫폼2!$A:$C,3,FALSE),0)+IFERROR(VLOOKUP($A93,모바일!$A:$C,3,FALSE),0)+C93</f>
        <v>25573224</v>
      </c>
      <c r="I93" s="130">
        <f>IFERROR(VLOOKUP($A93,플랫폼1!$A:$E,5,FALSE),0)+IFERROR(VLOOKUP($A93,플랫폼2!$A:$I,9,FALSE),0)+IFERROR(VLOOKUP($A93,모바일!$A:$H,8,FALSE),0)</f>
        <v>0</v>
      </c>
      <c r="J93" s="131">
        <v>254000</v>
      </c>
      <c r="K93" s="132" t="b">
        <f t="shared" si="1"/>
        <v>0</v>
      </c>
    </row>
    <row r="94" spans="1:11" ht="13" x14ac:dyDescent="0.3">
      <c r="A94" s="181" t="s">
        <v>92</v>
      </c>
      <c r="B94" s="122">
        <v>925970</v>
      </c>
      <c r="C94" s="122">
        <v>0</v>
      </c>
      <c r="D94" s="122">
        <v>0</v>
      </c>
      <c r="E94" s="122">
        <v>0</v>
      </c>
      <c r="F94" s="122">
        <v>925970</v>
      </c>
      <c r="G94" s="124"/>
      <c r="H94" s="130">
        <f>IFERROR(VLOOKUP($A94,플랫폼1!$A:$E,3,FALSE),0)+IFERROR(VLOOKUP($A94,플랫폼2!$A:$C,3,FALSE),0)+IFERROR(VLOOKUP($A94,모바일!$A:$C,3,FALSE),0)+C94</f>
        <v>0</v>
      </c>
      <c r="I94" s="130">
        <f>IFERROR(VLOOKUP($A94,플랫폼1!$A:$E,5,FALSE),0)+IFERROR(VLOOKUP($A94,플랫폼2!$A:$I,9,FALSE),0)+IFERROR(VLOOKUP($A94,모바일!$A:$H,8,FALSE),0)</f>
        <v>0</v>
      </c>
      <c r="J94" s="131" t="e">
        <f>VLOOKUP(A94,플랫폼2!$A:$N,14,0)</f>
        <v>#N/A</v>
      </c>
      <c r="K94" s="132" t="e">
        <f t="shared" si="1"/>
        <v>#N/A</v>
      </c>
    </row>
    <row r="95" spans="1:11" ht="13" x14ac:dyDescent="0.3">
      <c r="A95" s="181" t="s">
        <v>93</v>
      </c>
      <c r="B95" s="122">
        <v>22029182</v>
      </c>
      <c r="C95" s="122">
        <v>0</v>
      </c>
      <c r="D95" s="122">
        <v>0</v>
      </c>
      <c r="E95" s="122">
        <v>0</v>
      </c>
      <c r="F95" s="122">
        <v>22029182</v>
      </c>
      <c r="H95" s="130">
        <f>IFERROR(VLOOKUP($A95,플랫폼1!$A:$E,3,FALSE),0)+IFERROR(VLOOKUP($A95,플랫폼2!$A:$C,3,FALSE),0)+IFERROR(VLOOKUP($A95,모바일!$A:$C,3,FALSE),0)+C95</f>
        <v>21775182</v>
      </c>
      <c r="I95" s="130">
        <f>IFERROR(VLOOKUP($A95,플랫폼1!$A:$E,5,FALSE),0)+IFERROR(VLOOKUP($A95,플랫폼2!$A:$I,9,FALSE),0)+IFERROR(VLOOKUP($A95,모바일!$A:$H,8,FALSE),0)</f>
        <v>0</v>
      </c>
      <c r="J95" s="131" t="e">
        <f>VLOOKUP(A95,플랫폼2!$A:$N,14,0)</f>
        <v>#N/A</v>
      </c>
      <c r="K95" s="132" t="e">
        <f t="shared" ref="K95:K119" si="2">B95=(H95+I95+J95)</f>
        <v>#N/A</v>
      </c>
    </row>
    <row r="96" spans="1:11" ht="13" x14ac:dyDescent="0.3">
      <c r="A96" s="181" t="s">
        <v>94</v>
      </c>
      <c r="B96" s="122">
        <v>10281248</v>
      </c>
      <c r="C96" s="122">
        <v>0</v>
      </c>
      <c r="D96" s="122">
        <v>1058101</v>
      </c>
      <c r="E96" s="122">
        <v>6118840</v>
      </c>
      <c r="F96" s="122">
        <v>3104307</v>
      </c>
      <c r="H96" s="130">
        <f>IFERROR(VLOOKUP($A96,플랫폼1!$A:$E,3,FALSE),0)+IFERROR(VLOOKUP($A96,플랫폼2!$A:$C,3,FALSE),0)+IFERROR(VLOOKUP($A96,모바일!$A:$C,3,FALSE),0)+C96</f>
        <v>3798042</v>
      </c>
      <c r="I96" s="130">
        <f>IFERROR(VLOOKUP($A96,플랫폼1!$A:$E,5,FALSE),0)+IFERROR(VLOOKUP($A96,플랫폼2!$A:$I,9,FALSE),0)+IFERROR(VLOOKUP($A96,모바일!$A:$H,8,FALSE),0)</f>
        <v>0</v>
      </c>
      <c r="J96" s="131">
        <v>310500000</v>
      </c>
      <c r="K96" s="132" t="b">
        <f t="shared" si="2"/>
        <v>0</v>
      </c>
    </row>
    <row r="97" spans="1:11" ht="13" x14ac:dyDescent="0.3">
      <c r="A97" s="181" t="s">
        <v>95</v>
      </c>
      <c r="B97" s="122">
        <v>4558399689</v>
      </c>
      <c r="C97" s="122">
        <v>0</v>
      </c>
      <c r="D97" s="122">
        <v>1859508712</v>
      </c>
      <c r="E97" s="122">
        <v>2270048021</v>
      </c>
      <c r="F97" s="122">
        <v>428842956</v>
      </c>
      <c r="H97" s="130">
        <f>IFERROR(VLOOKUP($A97,플랫폼1!$A:$E,3,FALSE),0)+IFERROR(VLOOKUP($A97,플랫폼2!$A:$C,3,FALSE),0)+IFERROR(VLOOKUP($A97,모바일!$A:$C,3,FALSE),0)+C97</f>
        <v>428909941</v>
      </c>
      <c r="I97" s="130">
        <f>IFERROR(VLOOKUP($A97,플랫폼1!$A:$E,5,FALSE),0)+IFERROR(VLOOKUP($A97,플랫폼2!$A:$I,9,FALSE),0)+IFERROR(VLOOKUP($A97,모바일!$A:$H,8,FALSE),0)</f>
        <v>1900092832</v>
      </c>
      <c r="J97" s="131">
        <f>VLOOKUP(A97,플랫폼2!$A:$N,14,0)</f>
        <v>0</v>
      </c>
      <c r="K97" s="132" t="b">
        <f t="shared" si="2"/>
        <v>0</v>
      </c>
    </row>
    <row r="98" spans="1:11" ht="13" x14ac:dyDescent="0.3">
      <c r="A98" s="181" t="s">
        <v>152</v>
      </c>
      <c r="B98" s="122">
        <v>317328026</v>
      </c>
      <c r="C98" s="122">
        <v>0</v>
      </c>
      <c r="D98" s="122">
        <v>798000</v>
      </c>
      <c r="E98" s="122">
        <v>316162119</v>
      </c>
      <c r="F98" s="122">
        <v>367907</v>
      </c>
      <c r="H98" s="130">
        <f>IFERROR(VLOOKUP($A98,플랫폼1!$A:$E,3,FALSE),0)+IFERROR(VLOOKUP($A98,플랫폼2!$A:$C,3,FALSE),0)+IFERROR(VLOOKUP($A98,모바일!$A:$C,3,FALSE),0)+C98</f>
        <v>1328026</v>
      </c>
      <c r="I98" s="130">
        <f>IFERROR(VLOOKUP($A98,플랫폼1!$A:$E,5,FALSE),0)+IFERROR(VLOOKUP($A98,플랫폼2!$A:$I,9,FALSE),0)+IFERROR(VLOOKUP($A98,모바일!$A:$H,8,FALSE),0)</f>
        <v>0</v>
      </c>
      <c r="J98" s="131">
        <v>751590</v>
      </c>
      <c r="K98" s="132" t="b">
        <f t="shared" si="2"/>
        <v>0</v>
      </c>
    </row>
    <row r="99" spans="1:11" ht="13" x14ac:dyDescent="0.3">
      <c r="A99" s="181" t="s">
        <v>153</v>
      </c>
      <c r="B99" s="122">
        <v>3828600663</v>
      </c>
      <c r="C99" s="122">
        <v>0</v>
      </c>
      <c r="D99" s="122">
        <v>1858550712</v>
      </c>
      <c r="E99" s="122">
        <v>1641136786</v>
      </c>
      <c r="F99" s="122">
        <v>328913165</v>
      </c>
      <c r="H99" s="130">
        <f>IFERROR(VLOOKUP($A99,플랫폼1!$A:$E,3,FALSE),0)+IFERROR(VLOOKUP($A99,플랫폼2!$A:$C,3,FALSE),0)+IFERROR(VLOOKUP($A99,모바일!$A:$C,3,FALSE),0)+C99</f>
        <v>311352834</v>
      </c>
      <c r="I99" s="130">
        <f>IFERROR(VLOOKUP($A99,플랫폼1!$A:$E,5,FALSE),0)+IFERROR(VLOOKUP($A99,플랫폼2!$A:$I,9,FALSE),0)+IFERROR(VLOOKUP($A99,모바일!$A:$H,8,FALSE),0)</f>
        <v>1899292832</v>
      </c>
      <c r="J99" s="131">
        <v>754194</v>
      </c>
      <c r="K99" s="132" t="b">
        <f t="shared" si="2"/>
        <v>0</v>
      </c>
    </row>
    <row r="100" spans="1:11" ht="13" x14ac:dyDescent="0.3">
      <c r="A100" s="181" t="s">
        <v>117</v>
      </c>
      <c r="B100" s="122">
        <v>751590</v>
      </c>
      <c r="C100" s="122">
        <v>0</v>
      </c>
      <c r="D100" s="122">
        <v>0</v>
      </c>
      <c r="E100" s="122">
        <v>0</v>
      </c>
      <c r="F100" s="122">
        <v>751590</v>
      </c>
      <c r="H100" s="130">
        <f>IFERROR(VLOOKUP($A100,플랫폼1!$A:$E,3,FALSE),0)+IFERROR(VLOOKUP($A100,플랫폼2!$A:$C,3,FALSE),0)+IFERROR(VLOOKUP($A100,모바일!$A:$C,3,FALSE),0)+C100</f>
        <v>0</v>
      </c>
      <c r="I100" s="130">
        <f>IFERROR(VLOOKUP($A100,플랫폼1!$A:$E,5,FALSE),0)+IFERROR(VLOOKUP($A100,플랫폼2!$A:$I,9,FALSE),0)+IFERROR(VLOOKUP($A100,모바일!$A:$H,8,FALSE),0)</f>
        <v>0</v>
      </c>
      <c r="J100" s="131" t="e">
        <f>VLOOKUP(A100,플랫폼2!$A:$N,14,0)</f>
        <v>#N/A</v>
      </c>
      <c r="K100" s="132" t="e">
        <f t="shared" si="2"/>
        <v>#N/A</v>
      </c>
    </row>
    <row r="101" spans="1:11" ht="13" x14ac:dyDescent="0.3">
      <c r="A101" s="181" t="s">
        <v>96</v>
      </c>
      <c r="B101" s="122">
        <v>824194</v>
      </c>
      <c r="C101" s="122">
        <v>0</v>
      </c>
      <c r="D101" s="122">
        <v>0</v>
      </c>
      <c r="E101" s="122">
        <v>0</v>
      </c>
      <c r="F101" s="122">
        <v>824194</v>
      </c>
      <c r="H101" s="130">
        <f>IFERROR(VLOOKUP($A101,플랫폼1!$A:$E,3,FALSE),0)+IFERROR(VLOOKUP($A101,플랫폼2!$A:$C,3,FALSE),0)+IFERROR(VLOOKUP($A101,모바일!$A:$C,3,FALSE),0)+C101</f>
        <v>0</v>
      </c>
      <c r="I101" s="130">
        <f>IFERROR(VLOOKUP($A101,플랫폼1!$A:$E,5,FALSE),0)+IFERROR(VLOOKUP($A101,플랫폼2!$A:$I,9,FALSE),0)+IFERROR(VLOOKUP($A101,모바일!$A:$H,8,FALSE),0)</f>
        <v>0</v>
      </c>
      <c r="J101" s="131" t="e">
        <f>VLOOKUP(A101,플랫폼2!$A:$N,14,0)</f>
        <v>#N/A</v>
      </c>
      <c r="K101" s="132" t="e">
        <f t="shared" si="2"/>
        <v>#N/A</v>
      </c>
    </row>
    <row r="102" spans="1:11" ht="13" x14ac:dyDescent="0.3">
      <c r="A102" s="181" t="s">
        <v>98</v>
      </c>
      <c r="B102" s="122">
        <v>97972000</v>
      </c>
      <c r="C102" s="122">
        <v>0</v>
      </c>
      <c r="D102" s="122">
        <v>0</v>
      </c>
      <c r="E102" s="122">
        <v>1100000</v>
      </c>
      <c r="F102" s="122">
        <v>96872000</v>
      </c>
      <c r="H102" s="130">
        <f>IFERROR(VLOOKUP($A102,플랫폼1!$A:$E,3,FALSE),0)+IFERROR(VLOOKUP($A102,플랫폼2!$A:$C,3,FALSE),0)+IFERROR(VLOOKUP($A102,모바일!$A:$C,3,FALSE),0)+C102</f>
        <v>97972000</v>
      </c>
      <c r="I102" s="130">
        <f>IFERROR(VLOOKUP($A102,플랫폼1!$A:$E,5,FALSE),0)+IFERROR(VLOOKUP($A102,플랫폼2!$A:$I,9,FALSE),0)+IFERROR(VLOOKUP($A102,모바일!$A:$H,8,FALSE),0)</f>
        <v>0</v>
      </c>
      <c r="J102" s="131">
        <f>VLOOKUP(A102,플랫폼2!$A:$N,14,0)</f>
        <v>0</v>
      </c>
      <c r="K102" s="132" t="b">
        <f t="shared" si="2"/>
        <v>1</v>
      </c>
    </row>
    <row r="103" spans="1:11" ht="13" x14ac:dyDescent="0.3">
      <c r="A103" s="181" t="s">
        <v>99</v>
      </c>
      <c r="B103" s="122">
        <v>296205486</v>
      </c>
      <c r="C103" s="122">
        <v>0</v>
      </c>
      <c r="D103" s="122">
        <v>160000</v>
      </c>
      <c r="E103" s="122">
        <v>294931386</v>
      </c>
      <c r="F103" s="122">
        <v>1114100</v>
      </c>
      <c r="H103" s="130">
        <f>IFERROR(VLOOKUP($A103,플랫폼1!$A:$E,3,FALSE),0)+IFERROR(VLOOKUP($A103,플랫폼2!$A:$C,3,FALSE),0)+IFERROR(VLOOKUP($A103,모바일!$A:$C,3,FALSE),0)+C103</f>
        <v>1539351</v>
      </c>
      <c r="I103" s="130">
        <f>IFERROR(VLOOKUP($A103,플랫폼1!$A:$E,5,FALSE),0)+IFERROR(VLOOKUP($A103,플랫폼2!$A:$I,9,FALSE),0)+IFERROR(VLOOKUP($A103,모바일!$A:$H,8,FALSE),0)</f>
        <v>800000</v>
      </c>
      <c r="J103" s="131">
        <f>VLOOKUP(A103,플랫폼2!$A:$N,14,0)</f>
        <v>0</v>
      </c>
      <c r="K103" s="132" t="b">
        <f t="shared" si="2"/>
        <v>0</v>
      </c>
    </row>
    <row r="104" spans="1:11" ht="13" x14ac:dyDescent="0.3">
      <c r="A104" s="181" t="s">
        <v>100</v>
      </c>
      <c r="B104" s="122">
        <v>16717730</v>
      </c>
      <c r="C104" s="122">
        <v>0</v>
      </c>
      <c r="D104" s="122">
        <v>0</v>
      </c>
      <c r="E104" s="122">
        <v>16717730</v>
      </c>
      <c r="F104" s="122">
        <v>0</v>
      </c>
      <c r="H104" s="130">
        <f>IFERROR(VLOOKUP($A104,플랫폼1!$A:$E,3,FALSE),0)+IFERROR(VLOOKUP($A104,플랫폼2!$A:$C,3,FALSE),0)+IFERROR(VLOOKUP($A104,모바일!$A:$C,3,FALSE),0)+C104</f>
        <v>16717730</v>
      </c>
      <c r="I104" s="130">
        <f>IFERROR(VLOOKUP($A104,플랫폼1!$A:$E,5,FALSE),0)+IFERROR(VLOOKUP($A104,플랫폼2!$A:$I,9,FALSE),0)+IFERROR(VLOOKUP($A104,모바일!$A:$H,8,FALSE),0)</f>
        <v>0</v>
      </c>
      <c r="J104" s="131">
        <f>VLOOKUP(A104,플랫폼2!$A:$N,14,0)</f>
        <v>0</v>
      </c>
      <c r="K104" s="132" t="b">
        <f t="shared" si="2"/>
        <v>1</v>
      </c>
    </row>
    <row r="105" spans="1:11" ht="13" x14ac:dyDescent="0.3">
      <c r="A105" s="181" t="s">
        <v>101</v>
      </c>
      <c r="B105" s="122">
        <v>452709812</v>
      </c>
      <c r="C105" s="122">
        <v>0</v>
      </c>
      <c r="D105" s="122">
        <v>142022820</v>
      </c>
      <c r="E105" s="122">
        <v>280918831</v>
      </c>
      <c r="F105" s="122">
        <v>29768161</v>
      </c>
      <c r="H105" s="130">
        <f>IFERROR(VLOOKUP($A105,플랫폼1!$A:$E,3,FALSE),0)+IFERROR(VLOOKUP($A105,플랫폼2!$A:$C,3,FALSE),0)+IFERROR(VLOOKUP($A105,모바일!$A:$C,3,FALSE),0)+C105</f>
        <v>126242581</v>
      </c>
      <c r="I105" s="130">
        <f>IFERROR(VLOOKUP($A105,플랫폼1!$A:$E,5,FALSE),0)+IFERROR(VLOOKUP($A105,플랫폼2!$A:$I,9,FALSE),0)+IFERROR(VLOOKUP($A105,모바일!$A:$H,8,FALSE),0)</f>
        <v>139642944</v>
      </c>
      <c r="J105" s="131">
        <v>765950</v>
      </c>
      <c r="K105" s="132" t="b">
        <f t="shared" si="2"/>
        <v>0</v>
      </c>
    </row>
    <row r="106" spans="1:11" ht="13" x14ac:dyDescent="0.3">
      <c r="A106" s="181" t="s">
        <v>116</v>
      </c>
      <c r="B106" s="122">
        <v>266454887</v>
      </c>
      <c r="C106" s="122">
        <v>0</v>
      </c>
      <c r="D106" s="122">
        <v>36884936</v>
      </c>
      <c r="E106" s="122">
        <v>200201790</v>
      </c>
      <c r="F106" s="122">
        <v>29368161</v>
      </c>
      <c r="H106" s="130">
        <f>IFERROR(VLOOKUP($A106,플랫폼1!$A:$E,3,FALSE),0)+IFERROR(VLOOKUP($A106,플랫폼2!$A:$C,3,FALSE),0)+IFERROR(VLOOKUP($A106,모바일!$A:$C,3,FALSE),0)+C106</f>
        <v>64630041</v>
      </c>
      <c r="I106" s="130">
        <f>IFERROR(VLOOKUP($A106,플랫폼1!$A:$E,5,FALSE),0)+IFERROR(VLOOKUP($A106,플랫폼2!$A:$I,9,FALSE),0)+IFERROR(VLOOKUP($A106,모바일!$A:$H,8,FALSE),0)</f>
        <v>36039600</v>
      </c>
      <c r="J106" s="131"/>
      <c r="K106" s="132" t="b">
        <f t="shared" si="2"/>
        <v>0</v>
      </c>
    </row>
    <row r="107" spans="1:11" ht="13" x14ac:dyDescent="0.3">
      <c r="A107" s="181" t="s">
        <v>105</v>
      </c>
      <c r="B107" s="122">
        <v>186254925</v>
      </c>
      <c r="C107" s="122">
        <v>0</v>
      </c>
      <c r="D107" s="122">
        <v>105137884</v>
      </c>
      <c r="E107" s="122">
        <v>80717041</v>
      </c>
      <c r="F107" s="122">
        <v>400000</v>
      </c>
      <c r="H107" s="130">
        <f>IFERROR(VLOOKUP($A107,플랫폼1!$A:$E,3,FALSE),0)+IFERROR(VLOOKUP($A107,플랫폼2!$A:$C,3,FALSE),0)+IFERROR(VLOOKUP($A107,모바일!$A:$C,3,FALSE),0)+C107</f>
        <v>61612540</v>
      </c>
      <c r="I107" s="130">
        <f>IFERROR(VLOOKUP($A107,플랫폼1!$A:$E,5,FALSE),0)+IFERROR(VLOOKUP($A107,플랫폼2!$A:$I,9,FALSE),0)+IFERROR(VLOOKUP($A107,모바일!$A:$H,8,FALSE),0)</f>
        <v>103603344</v>
      </c>
      <c r="J107" s="131">
        <f>VLOOKUP(A107,플랫폼2!$A:$N,14,0)</f>
        <v>0</v>
      </c>
      <c r="K107" s="132" t="b">
        <f t="shared" si="2"/>
        <v>0</v>
      </c>
    </row>
    <row r="108" spans="1:11" ht="13" x14ac:dyDescent="0.3">
      <c r="A108" s="181" t="s">
        <v>110</v>
      </c>
      <c r="B108" s="122">
        <v>30000000</v>
      </c>
      <c r="C108" s="122">
        <v>0</v>
      </c>
      <c r="D108" s="122">
        <v>30000000</v>
      </c>
      <c r="E108" s="122">
        <v>0</v>
      </c>
      <c r="F108" s="122">
        <v>0</v>
      </c>
      <c r="H108" s="130">
        <f>IFERROR(VLOOKUP($A108,플랫폼1!$A:$E,3,FALSE),0)+IFERROR(VLOOKUP($A108,플랫폼2!$A:$C,3,FALSE),0)+IFERROR(VLOOKUP($A108,모바일!$A:$C,3,FALSE),0)+C108</f>
        <v>0</v>
      </c>
      <c r="I108" s="130">
        <f>IFERROR(VLOOKUP($A108,플랫폼1!$A:$E,5,FALSE),0)+IFERROR(VLOOKUP($A108,플랫폼2!$A:$I,9,FALSE),0)+IFERROR(VLOOKUP($A108,모바일!$A:$H,8,FALSE),0)</f>
        <v>30000000</v>
      </c>
      <c r="J108" s="131" t="e">
        <f>VLOOKUP(A108,플랫폼2!$A:$N,14,0)</f>
        <v>#N/A</v>
      </c>
      <c r="K108" s="132" t="e">
        <f t="shared" si="2"/>
        <v>#N/A</v>
      </c>
    </row>
    <row r="109" spans="1:11" ht="13" x14ac:dyDescent="0.3">
      <c r="A109" s="181" t="s">
        <v>308</v>
      </c>
      <c r="B109" s="122">
        <v>5594847277</v>
      </c>
      <c r="C109" s="122">
        <v>-9600000</v>
      </c>
      <c r="D109" s="122">
        <v>-298277290</v>
      </c>
      <c r="E109" s="122">
        <v>5934410602</v>
      </c>
      <c r="F109" s="122">
        <v>-31686035</v>
      </c>
      <c r="H109" s="139">
        <v>0</v>
      </c>
      <c r="I109" s="130">
        <v>20</v>
      </c>
      <c r="J109" s="131">
        <v>0</v>
      </c>
      <c r="K109" s="132" t="b">
        <f>B109=(H109+I109+J109)</f>
        <v>0</v>
      </c>
    </row>
    <row r="110" spans="1:11" ht="13" x14ac:dyDescent="0.3">
      <c r="A110" s="181" t="s">
        <v>309</v>
      </c>
      <c r="B110" s="122">
        <v>20</v>
      </c>
      <c r="C110" s="122">
        <v>0</v>
      </c>
      <c r="D110" s="122">
        <v>0</v>
      </c>
      <c r="E110" s="122">
        <v>20</v>
      </c>
      <c r="F110" s="122">
        <v>0</v>
      </c>
      <c r="H110" s="130">
        <f>IFERROR(VLOOKUP($A110,플랫폼1!$A:$E,3,FALSE),0)+IFERROR(VLOOKUP($A110,플랫폼2!$A:$C,3,FALSE),0)+IFERROR(VLOOKUP($A110,모바일!$A:$C,3,FALSE),0)+C110</f>
        <v>0</v>
      </c>
      <c r="I110" s="130">
        <f>IFERROR(VLOOKUP($A110,플랫폼1!$A:$E,5,FALSE),0)+IFERROR(VLOOKUP($A110,플랫폼2!$A:$I,9,FALSE),0)+IFERROR(VLOOKUP($A110,모바일!$A:$H,8,FALSE),0)</f>
        <v>0</v>
      </c>
      <c r="J110" s="131">
        <f>VLOOKUP(A110,플랫폼2!$A:$N,14,0)</f>
        <v>0</v>
      </c>
      <c r="K110" s="132" t="b">
        <f t="shared" si="2"/>
        <v>0</v>
      </c>
    </row>
    <row r="111" spans="1:11" ht="13" x14ac:dyDescent="0.3">
      <c r="A111" s="181" t="s">
        <v>161</v>
      </c>
      <c r="B111" s="122">
        <v>20</v>
      </c>
      <c r="C111" s="122">
        <v>0</v>
      </c>
      <c r="D111" s="122">
        <v>0</v>
      </c>
      <c r="E111" s="122">
        <v>20</v>
      </c>
      <c r="F111" s="122">
        <v>0</v>
      </c>
      <c r="H111" s="130">
        <f>IFERROR(VLOOKUP($A111,플랫폼1!$A:$E,3,FALSE),0)+IFERROR(VLOOKUP($A111,플랫폼2!$A:$C,3,FALSE),0)+IFERROR(VLOOKUP($A111,모바일!$A:$C,3,FALSE),0)+C111</f>
        <v>0</v>
      </c>
      <c r="I111" s="130">
        <f>IFERROR(VLOOKUP($A111,플랫폼1!$A:$E,5,FALSE),0)+IFERROR(VLOOKUP($A111,플랫폼2!$A:$I,9,FALSE),0)+IFERROR(VLOOKUP($A111,모바일!$A:$H,8,FALSE),0)</f>
        <v>0</v>
      </c>
      <c r="J111" s="131">
        <f>VLOOKUP(A111,플랫폼2!$A:$N,14,0)</f>
        <v>0</v>
      </c>
      <c r="K111" s="132" t="b">
        <f t="shared" si="2"/>
        <v>0</v>
      </c>
    </row>
    <row r="112" spans="1:11" ht="13" x14ac:dyDescent="0.3">
      <c r="A112" s="181" t="s">
        <v>376</v>
      </c>
      <c r="B112" s="122">
        <v>20</v>
      </c>
      <c r="C112" s="122">
        <v>0</v>
      </c>
      <c r="D112" s="122">
        <v>0</v>
      </c>
      <c r="E112" s="122">
        <v>20</v>
      </c>
      <c r="F112" s="122">
        <v>0</v>
      </c>
      <c r="H112" s="130">
        <v>3982000</v>
      </c>
      <c r="I112" s="130">
        <f>IFERROR(VLOOKUP($A112,플랫폼1!$A:$E,5,FALSE),0)+IFERROR(VLOOKUP($A112,플랫폼2!$A:$I,9,FALSE),0)+IFERROR(VLOOKUP($A112,모바일!$A:$H,8,FALSE),0)</f>
        <v>0</v>
      </c>
      <c r="J112" s="131">
        <v>0</v>
      </c>
      <c r="K112" s="132" t="b">
        <f>B112=(H112+I112+J112)</f>
        <v>0</v>
      </c>
    </row>
    <row r="113" spans="1:11" ht="13" x14ac:dyDescent="0.3">
      <c r="A113" s="181" t="s">
        <v>111</v>
      </c>
      <c r="B113" s="122">
        <v>3982000</v>
      </c>
      <c r="C113" s="122">
        <v>0</v>
      </c>
      <c r="D113" s="122">
        <v>3982000</v>
      </c>
      <c r="E113" s="122">
        <v>0</v>
      </c>
      <c r="F113" s="122">
        <v>0</v>
      </c>
      <c r="H113" s="130">
        <f>IFERROR(VLOOKUP($A113,플랫폼1!$A:$E,3,FALSE),0)+IFERROR(VLOOKUP($A113,플랫폼2!$A:$C,3,FALSE),0)+IFERROR(VLOOKUP($A113,모바일!$A:$C,3,FALSE),0)+C113</f>
        <v>3982000</v>
      </c>
      <c r="I113" s="130">
        <f>IFERROR(VLOOKUP($A113,플랫폼1!$A:$E,5,FALSE),0)+IFERROR(VLOOKUP($A113,플랫폼2!$A:$I,9,FALSE),0)+IFERROR(VLOOKUP($A113,모바일!$A:$H,8,FALSE),0)</f>
        <v>0</v>
      </c>
      <c r="J113" s="131"/>
      <c r="K113" s="132" t="b">
        <f t="shared" si="2"/>
        <v>1</v>
      </c>
    </row>
    <row r="114" spans="1:11" ht="13" x14ac:dyDescent="0.3">
      <c r="A114" s="181" t="s">
        <v>165</v>
      </c>
      <c r="B114" s="122">
        <v>3982000</v>
      </c>
      <c r="C114" s="122">
        <v>0</v>
      </c>
      <c r="D114" s="122">
        <v>3982000</v>
      </c>
      <c r="E114" s="122">
        <v>0</v>
      </c>
      <c r="F114" s="122">
        <v>0</v>
      </c>
      <c r="H114" s="130">
        <f>IFERROR(VLOOKUP($A114,플랫폼1!$A:$E,3,FALSE),0)+IFERROR(VLOOKUP($A114,플랫폼2!$A:$C,3,FALSE),0)+IFERROR(VLOOKUP($A114,모바일!$A:$C,3,FALSE),0)+C114</f>
        <v>3982000</v>
      </c>
      <c r="I114" s="130">
        <f>IFERROR(VLOOKUP($A114,플랫폼1!$A:$E,5,FALSE),0)+IFERROR(VLOOKUP($A114,플랫폼2!$A:$I,9,FALSE),0)+IFERROR(VLOOKUP($A114,모바일!$A:$H,8,FALSE),0)</f>
        <v>0</v>
      </c>
      <c r="J114" s="131" t="e">
        <f>VLOOKUP(A114,플랫폼2!$A:$N,14,0)</f>
        <v>#N/A</v>
      </c>
      <c r="K114" s="132" t="e">
        <f t="shared" si="2"/>
        <v>#N/A</v>
      </c>
    </row>
    <row r="115" spans="1:11" ht="13" x14ac:dyDescent="0.3">
      <c r="A115" s="181" t="s">
        <v>373</v>
      </c>
      <c r="B115" s="122">
        <v>3982000</v>
      </c>
      <c r="C115" s="122">
        <v>0</v>
      </c>
      <c r="D115" s="122">
        <v>3982000</v>
      </c>
      <c r="E115" s="122">
        <v>0</v>
      </c>
      <c r="F115" s="122">
        <v>0</v>
      </c>
      <c r="H115" s="130">
        <f>IFERROR(VLOOKUP($A115,플랫폼1!$A:$E,3,FALSE),0)+IFERROR(VLOOKUP($A115,플랫폼2!$A:$C,3,FALSE),0)+IFERROR(VLOOKUP($A115,모바일!$A:$C,3,FALSE),0)+C115</f>
        <v>3982000</v>
      </c>
      <c r="I115" s="130">
        <f>IFERROR(VLOOKUP($A115,플랫폼1!$A:$E,5,FALSE),0)+IFERROR(VLOOKUP($A115,플랫폼2!$A:$I,9,FALSE),0)+IFERROR(VLOOKUP($A115,모바일!$A:$H,8,FALSE),0)</f>
        <v>0</v>
      </c>
      <c r="J115" s="131" t="e">
        <f>VLOOKUP(A115,플랫폼2!$A:$N,14,0)</f>
        <v>#N/A</v>
      </c>
      <c r="K115" s="132" t="e">
        <f t="shared" si="2"/>
        <v>#N/A</v>
      </c>
    </row>
    <row r="116" spans="1:11" ht="13" x14ac:dyDescent="0.3">
      <c r="A116" s="181" t="s">
        <v>332</v>
      </c>
      <c r="B116" s="122">
        <v>5590865297</v>
      </c>
      <c r="C116" s="122">
        <v>-9600000</v>
      </c>
      <c r="D116" s="122">
        <v>-302259290</v>
      </c>
      <c r="E116" s="122">
        <v>5934410622</v>
      </c>
      <c r="F116" s="122">
        <v>-31686035</v>
      </c>
      <c r="H116" s="130">
        <f>IFERROR(VLOOKUP($A116,플랫폼1!$A:$E,3,FALSE),0)+IFERROR(VLOOKUP($A116,플랫폼2!$A:$C,3,FALSE),0)+IFERROR(VLOOKUP($A116,모바일!$A:$C,3,FALSE),0)+C116</f>
        <v>-1702447570</v>
      </c>
      <c r="I116" s="130">
        <f>IFERROR(VLOOKUP($A116,플랫폼1!$A:$E,5,FALSE),0)+IFERROR(VLOOKUP($A116,플랫폼2!$A:$I,9,FALSE),0)+IFERROR(VLOOKUP($A116,모바일!$A:$H,8,FALSE),0)</f>
        <v>776983566</v>
      </c>
      <c r="J116" s="131">
        <f>VLOOKUP(A116,플랫폼2!$A:$N,14,0)</f>
        <v>0</v>
      </c>
      <c r="K116" s="132" t="b">
        <f t="shared" si="2"/>
        <v>0</v>
      </c>
    </row>
    <row r="117" spans="1:11" ht="13" x14ac:dyDescent="0.3">
      <c r="A117" s="181" t="s">
        <v>333</v>
      </c>
      <c r="B117" s="122">
        <v>5590865297</v>
      </c>
      <c r="C117" s="122">
        <v>-9600000</v>
      </c>
      <c r="D117" s="122">
        <v>-302259290</v>
      </c>
      <c r="E117" s="122">
        <v>5934410622</v>
      </c>
      <c r="F117" s="122">
        <v>-31686035</v>
      </c>
      <c r="H117" s="130"/>
      <c r="I117" s="130"/>
      <c r="J117" s="131"/>
      <c r="K117" s="132"/>
    </row>
    <row r="118" spans="1:11" ht="13" x14ac:dyDescent="0.3">
      <c r="A118" s="181" t="s">
        <v>112</v>
      </c>
      <c r="B118" s="122">
        <v>0</v>
      </c>
      <c r="C118" s="122">
        <v>0</v>
      </c>
      <c r="D118" s="122">
        <v>0</v>
      </c>
      <c r="E118" s="122">
        <v>0</v>
      </c>
      <c r="F118" s="122">
        <v>0</v>
      </c>
      <c r="H118" s="130">
        <f>IFERROR(VLOOKUP($A118,플랫폼1!$A:$E,3,FALSE),0)+IFERROR(VLOOKUP($A118,플랫폼2!$A:$C,3,FALSE),0)+IFERROR(VLOOKUP($A118,모바일!$A:$C,3,FALSE),0)+C118</f>
        <v>0</v>
      </c>
      <c r="I118" s="130">
        <f>IFERROR(VLOOKUP($A118,플랫폼1!$A:$E,5,FALSE),0)+IFERROR(VLOOKUP($A118,플랫폼2!$A:$I,9,FALSE),0)+IFERROR(VLOOKUP($A118,모바일!$A:$H,8,FALSE),0)</f>
        <v>0</v>
      </c>
      <c r="J118" s="131">
        <f>VLOOKUP(A118,플랫폼2!$A:$N,14,0)</f>
        <v>0</v>
      </c>
      <c r="K118" s="132" t="b">
        <f t="shared" si="2"/>
        <v>1</v>
      </c>
    </row>
    <row r="119" spans="1:11" ht="13" x14ac:dyDescent="0.3">
      <c r="A119" s="181" t="s">
        <v>334</v>
      </c>
      <c r="B119" s="122">
        <v>5590865297</v>
      </c>
      <c r="C119" s="122">
        <v>-9600000</v>
      </c>
      <c r="D119" s="122">
        <v>-302259290</v>
      </c>
      <c r="E119" s="122">
        <v>5934410622</v>
      </c>
      <c r="F119" s="122">
        <v>-31686035</v>
      </c>
      <c r="H119" s="130">
        <f>IFERROR(VLOOKUP($A119,플랫폼1!$A:$E,3,FALSE),0)+IFERROR(VLOOKUP($A119,플랫폼2!$A:$C,3,FALSE),0)+IFERROR(VLOOKUP($A119,모바일!$A:$C,3,FALSE),0)+C119</f>
        <v>-395735094</v>
      </c>
      <c r="I119" s="130">
        <f>IFERROR(VLOOKUP($A119,플랫폼1!$A:$E,5,FALSE),0)+IFERROR(VLOOKUP($A119,플랫폼2!$A:$I,9,FALSE),0)+IFERROR(VLOOKUP($A119,모바일!$A:$H,8,FALSE),0)</f>
        <v>0</v>
      </c>
      <c r="J119" s="131">
        <f>VLOOKUP(A119,플랫폼2!$A:$N,14,0)</f>
        <v>0</v>
      </c>
      <c r="K119" s="132" t="b">
        <f t="shared" si="2"/>
        <v>0</v>
      </c>
    </row>
    <row r="120" spans="1:11" ht="13" x14ac:dyDescent="0.3">
      <c r="A120" s="181" t="s">
        <v>335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H120" s="130">
        <f>IFERROR(VLOOKUP($A120,플랫폼1!$A:$E,3,FALSE),0)+IFERROR(VLOOKUP($A120,플랫폼2!$A:$C,3,FALSE),0)+IFERROR(VLOOKUP($A120,모바일!$A:$C,3,FALSE),0)+C120</f>
        <v>0</v>
      </c>
      <c r="I120" s="130">
        <f>IFERROR(VLOOKUP($A120,플랫폼1!$A:$E,5,FALSE),0)+IFERROR(VLOOKUP($A120,플랫폼2!$A:$I,9,FALSE),0)+IFERROR(VLOOKUP($A120,모바일!$A:$H,8,FALSE),0)</f>
        <v>0</v>
      </c>
      <c r="J120" s="131">
        <f>VLOOKUP(A120,플랫폼2!$A:$N,14,0)</f>
        <v>0</v>
      </c>
      <c r="K120" s="132" t="b">
        <f t="shared" ref="K120" si="3">B120=(H120+I120+J120)</f>
        <v>1</v>
      </c>
    </row>
    <row r="121" spans="1:11" x14ac:dyDescent="0.25">
      <c r="A121" s="181" t="s">
        <v>311</v>
      </c>
      <c r="B121" s="122">
        <v>5590865297</v>
      </c>
      <c r="C121" s="122">
        <v>-9600000</v>
      </c>
      <c r="D121" s="122">
        <v>-302259290</v>
      </c>
      <c r="E121" s="122">
        <v>5934410622</v>
      </c>
      <c r="F121" s="122">
        <v>-31686035</v>
      </c>
    </row>
    <row r="122" spans="1:11" x14ac:dyDescent="0.25">
      <c r="A122" s="181" t="s">
        <v>336</v>
      </c>
      <c r="B122" s="122">
        <v>0</v>
      </c>
      <c r="C122" s="122">
        <v>0</v>
      </c>
      <c r="D122" s="122">
        <v>0</v>
      </c>
      <c r="E122" s="122">
        <v>0</v>
      </c>
      <c r="F122" s="122">
        <v>0</v>
      </c>
    </row>
    <row r="123" spans="1:11" x14ac:dyDescent="0.25">
      <c r="A123" s="181" t="s">
        <v>337</v>
      </c>
      <c r="B123" s="122">
        <v>0</v>
      </c>
      <c r="C123" s="122">
        <v>0</v>
      </c>
      <c r="D123" s="122">
        <v>0</v>
      </c>
      <c r="E123" s="122">
        <v>0</v>
      </c>
      <c r="F123" s="122">
        <v>0</v>
      </c>
    </row>
    <row r="124" spans="1:11" x14ac:dyDescent="0.25">
      <c r="A124" s="181" t="s">
        <v>338</v>
      </c>
      <c r="B124" s="122">
        <v>0</v>
      </c>
      <c r="C124" s="122">
        <v>0</v>
      </c>
      <c r="D124" s="122">
        <v>0</v>
      </c>
      <c r="E124" s="122">
        <v>0</v>
      </c>
      <c r="F124" s="122">
        <v>0</v>
      </c>
    </row>
    <row r="125" spans="1:11" x14ac:dyDescent="0.25">
      <c r="A125" s="181" t="s">
        <v>339</v>
      </c>
      <c r="B125" s="122">
        <v>0</v>
      </c>
      <c r="C125" s="122">
        <v>0</v>
      </c>
      <c r="D125" s="122">
        <v>0</v>
      </c>
      <c r="E125" s="122">
        <v>0</v>
      </c>
      <c r="F125" s="122">
        <v>0</v>
      </c>
    </row>
    <row r="126" spans="1:11" x14ac:dyDescent="0.25">
      <c r="A126" s="181" t="s">
        <v>340</v>
      </c>
      <c r="B126" s="122">
        <v>0</v>
      </c>
      <c r="C126" s="122">
        <v>0</v>
      </c>
      <c r="D126" s="122">
        <v>0</v>
      </c>
      <c r="E126" s="122">
        <v>0</v>
      </c>
      <c r="F126" s="122">
        <v>0</v>
      </c>
    </row>
    <row r="127" spans="1:11" x14ac:dyDescent="0.25">
      <c r="J127" s="175"/>
    </row>
    <row r="128" spans="1:11" x14ac:dyDescent="0.25">
      <c r="I128" s="175">
        <f>B105-H105-I105-J105</f>
        <v>186058337</v>
      </c>
    </row>
  </sheetData>
  <autoFilter ref="H1:K120" xr:uid="{246AF38E-2051-4C3B-88A4-C08881D9C401}"/>
  <mergeCells count="3">
    <mergeCell ref="J1:J2"/>
    <mergeCell ref="A1:A2"/>
    <mergeCell ref="B1:B2"/>
  </mergeCells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D7F3E-2CA6-4DEE-A0B4-C554DF0450A1}">
  <sheetPr>
    <tabColor theme="4" tint="0.79998168889431442"/>
  </sheetPr>
  <dimension ref="A1:E90"/>
  <sheetViews>
    <sheetView workbookViewId="0">
      <selection sqref="A1:A2"/>
    </sheetView>
  </sheetViews>
  <sheetFormatPr defaultRowHeight="12.5" x14ac:dyDescent="0.25"/>
  <cols>
    <col min="1" max="1" width="28.1796875" bestFit="1" customWidth="1"/>
    <col min="2" max="3" width="22.6328125" customWidth="1"/>
    <col min="4" max="4" width="3.08984375" style="113" customWidth="1"/>
    <col min="5" max="5" width="22.6328125" customWidth="1"/>
    <col min="6" max="6" width="8.7265625" customWidth="1"/>
  </cols>
  <sheetData>
    <row r="1" spans="1:5" x14ac:dyDescent="0.25">
      <c r="A1" s="216" t="s">
        <v>313</v>
      </c>
      <c r="B1" s="216" t="s">
        <v>322</v>
      </c>
      <c r="C1" s="174" t="s">
        <v>341</v>
      </c>
      <c r="D1" s="121"/>
      <c r="E1" s="174" t="s">
        <v>342</v>
      </c>
    </row>
    <row r="2" spans="1:5" x14ac:dyDescent="0.25">
      <c r="A2" s="216" t="s">
        <v>313</v>
      </c>
      <c r="B2" s="216" t="s">
        <v>322</v>
      </c>
      <c r="C2" s="174" t="s">
        <v>328</v>
      </c>
      <c r="D2" s="121"/>
      <c r="E2" s="174" t="s">
        <v>343</v>
      </c>
    </row>
    <row r="3" spans="1:5" x14ac:dyDescent="0.25">
      <c r="A3" s="181" t="s">
        <v>331</v>
      </c>
      <c r="B3" s="122">
        <v>-302259290</v>
      </c>
      <c r="C3" s="122">
        <v>-655720398</v>
      </c>
      <c r="D3" s="122"/>
      <c r="E3" s="122">
        <v>353461108</v>
      </c>
    </row>
    <row r="4" spans="1:5" x14ac:dyDescent="0.25">
      <c r="A4" s="181" t="s">
        <v>0</v>
      </c>
      <c r="B4" s="122">
        <v>6682762318</v>
      </c>
      <c r="C4" s="122">
        <v>31727272</v>
      </c>
      <c r="D4" s="122"/>
      <c r="E4" s="122">
        <v>6651035046</v>
      </c>
    </row>
    <row r="5" spans="1:5" x14ac:dyDescent="0.25">
      <c r="A5" s="181" t="s">
        <v>1</v>
      </c>
      <c r="B5" s="122">
        <v>4557133512</v>
      </c>
      <c r="C5" s="122">
        <v>0</v>
      </c>
      <c r="D5" s="122"/>
      <c r="E5" s="122">
        <v>4557133512</v>
      </c>
    </row>
    <row r="6" spans="1:5" x14ac:dyDescent="0.25">
      <c r="A6" s="181" t="s">
        <v>301</v>
      </c>
      <c r="B6" s="122">
        <v>4557133512</v>
      </c>
      <c r="C6" s="122">
        <v>0</v>
      </c>
      <c r="D6" s="122"/>
      <c r="E6" s="122">
        <v>4557133512</v>
      </c>
    </row>
    <row r="7" spans="1:5" x14ac:dyDescent="0.25">
      <c r="A7" s="181" t="s">
        <v>7</v>
      </c>
      <c r="B7" s="122">
        <v>2125628806</v>
      </c>
      <c r="C7" s="122">
        <v>31727272</v>
      </c>
      <c r="D7" s="122"/>
      <c r="E7" s="122">
        <v>2093901534</v>
      </c>
    </row>
    <row r="8" spans="1:5" x14ac:dyDescent="0.25">
      <c r="A8" s="181" t="s">
        <v>8</v>
      </c>
      <c r="B8" s="122">
        <v>1870069164</v>
      </c>
      <c r="C8" s="122">
        <v>31727272</v>
      </c>
      <c r="D8" s="121"/>
      <c r="E8" s="122">
        <v>1838341892</v>
      </c>
    </row>
    <row r="9" spans="1:5" x14ac:dyDescent="0.25">
      <c r="A9" s="181" t="s">
        <v>9</v>
      </c>
      <c r="B9" s="122">
        <v>255559642</v>
      </c>
      <c r="C9" s="122">
        <v>0</v>
      </c>
      <c r="D9" s="122"/>
      <c r="E9" s="122">
        <v>255559642</v>
      </c>
    </row>
    <row r="10" spans="1:5" x14ac:dyDescent="0.25">
      <c r="A10" s="181" t="s">
        <v>14</v>
      </c>
      <c r="B10" s="122">
        <v>4110141099</v>
      </c>
      <c r="C10" s="122">
        <v>0</v>
      </c>
      <c r="D10" s="121"/>
      <c r="E10" s="122">
        <v>4110141099</v>
      </c>
    </row>
    <row r="11" spans="1:5" x14ac:dyDescent="0.25">
      <c r="A11" s="181" t="s">
        <v>15</v>
      </c>
      <c r="B11" s="122">
        <v>4110141099</v>
      </c>
      <c r="C11" s="122">
        <v>0</v>
      </c>
      <c r="D11" s="121"/>
      <c r="E11" s="122">
        <v>4110141099</v>
      </c>
    </row>
    <row r="12" spans="1:5" x14ac:dyDescent="0.25">
      <c r="A12" s="181" t="s">
        <v>16</v>
      </c>
      <c r="B12" s="122">
        <v>2572621219</v>
      </c>
      <c r="C12" s="122">
        <v>31727272</v>
      </c>
      <c r="D12" s="122"/>
      <c r="E12" s="122">
        <v>2540893947</v>
      </c>
    </row>
    <row r="13" spans="1:5" x14ac:dyDescent="0.25">
      <c r="A13" s="181" t="s">
        <v>17</v>
      </c>
      <c r="B13" s="122">
        <v>2870898509</v>
      </c>
      <c r="C13" s="122">
        <v>683465670</v>
      </c>
      <c r="D13" s="122"/>
      <c r="E13" s="122">
        <v>2187432839</v>
      </c>
    </row>
    <row r="14" spans="1:5" x14ac:dyDescent="0.25">
      <c r="A14" s="181" t="s">
        <v>19</v>
      </c>
      <c r="B14" s="122">
        <v>252158180</v>
      </c>
      <c r="C14" s="122">
        <v>252158180</v>
      </c>
      <c r="D14" s="122"/>
      <c r="E14" s="122">
        <v>0</v>
      </c>
    </row>
    <row r="15" spans="1:5" x14ac:dyDescent="0.25">
      <c r="A15" s="181" t="s">
        <v>20</v>
      </c>
      <c r="B15" s="122">
        <v>151580040</v>
      </c>
      <c r="C15" s="122">
        <v>151580040</v>
      </c>
      <c r="D15" s="122"/>
      <c r="E15" s="122">
        <v>0</v>
      </c>
    </row>
    <row r="16" spans="1:5" x14ac:dyDescent="0.25">
      <c r="A16" s="181" t="s">
        <v>21</v>
      </c>
      <c r="B16" s="122">
        <v>28356020</v>
      </c>
      <c r="C16" s="122">
        <v>28356020</v>
      </c>
      <c r="D16" s="122"/>
      <c r="E16" s="122">
        <v>0</v>
      </c>
    </row>
    <row r="17" spans="1:5" x14ac:dyDescent="0.25">
      <c r="A17" s="181" t="s">
        <v>22</v>
      </c>
      <c r="B17" s="122">
        <v>8400000</v>
      </c>
      <c r="C17" s="122">
        <v>8400000</v>
      </c>
      <c r="D17" s="122"/>
      <c r="E17" s="122">
        <v>0</v>
      </c>
    </row>
    <row r="18" spans="1:5" x14ac:dyDescent="0.25">
      <c r="A18" s="181" t="s">
        <v>23</v>
      </c>
      <c r="B18" s="122">
        <v>684440</v>
      </c>
      <c r="C18" s="122">
        <v>684440</v>
      </c>
      <c r="D18" s="122"/>
      <c r="E18" s="122">
        <v>0</v>
      </c>
    </row>
    <row r="19" spans="1:5" x14ac:dyDescent="0.25">
      <c r="A19" s="181" t="s">
        <v>24</v>
      </c>
      <c r="B19" s="122">
        <v>10535000</v>
      </c>
      <c r="C19" s="122">
        <v>10535000</v>
      </c>
      <c r="D19" s="122"/>
      <c r="E19" s="122">
        <v>0</v>
      </c>
    </row>
    <row r="20" spans="1:5" x14ac:dyDescent="0.25">
      <c r="A20" s="181" t="s">
        <v>25</v>
      </c>
      <c r="B20" s="122">
        <v>6975000</v>
      </c>
      <c r="C20" s="122">
        <v>6975000</v>
      </c>
      <c r="D20" s="122"/>
      <c r="E20" s="122">
        <v>0</v>
      </c>
    </row>
    <row r="21" spans="1:5" x14ac:dyDescent="0.25">
      <c r="A21" s="181" t="s">
        <v>26</v>
      </c>
      <c r="B21" s="122">
        <v>25889170</v>
      </c>
      <c r="C21" s="122">
        <v>25889170</v>
      </c>
      <c r="D21" s="122"/>
      <c r="E21" s="122">
        <v>0</v>
      </c>
    </row>
    <row r="22" spans="1:5" x14ac:dyDescent="0.25">
      <c r="A22" s="181" t="s">
        <v>27</v>
      </c>
      <c r="B22" s="122">
        <v>4378510</v>
      </c>
      <c r="C22" s="122">
        <v>4378510</v>
      </c>
      <c r="D22" s="122"/>
      <c r="E22" s="122">
        <v>0</v>
      </c>
    </row>
    <row r="23" spans="1:5" x14ac:dyDescent="0.25">
      <c r="A23" s="181" t="s">
        <v>29</v>
      </c>
      <c r="B23" s="122">
        <v>1860000</v>
      </c>
      <c r="C23" s="122">
        <v>1860000</v>
      </c>
      <c r="D23" s="122"/>
      <c r="E23" s="122">
        <v>0</v>
      </c>
    </row>
    <row r="24" spans="1:5" x14ac:dyDescent="0.25">
      <c r="A24" s="181" t="s">
        <v>32</v>
      </c>
      <c r="B24" s="122">
        <v>6000000</v>
      </c>
      <c r="C24" s="122">
        <v>6000000</v>
      </c>
      <c r="D24" s="122"/>
      <c r="E24" s="122">
        <v>0</v>
      </c>
    </row>
    <row r="25" spans="1:5" x14ac:dyDescent="0.25">
      <c r="A25" s="181" t="s">
        <v>302</v>
      </c>
      <c r="B25" s="122">
        <v>7500000</v>
      </c>
      <c r="C25" s="122">
        <v>7500000</v>
      </c>
      <c r="D25" s="122"/>
      <c r="E25" s="122">
        <v>0</v>
      </c>
    </row>
    <row r="26" spans="1:5" x14ac:dyDescent="0.25">
      <c r="A26" s="181" t="s">
        <v>33</v>
      </c>
      <c r="B26" s="122">
        <v>52137050</v>
      </c>
      <c r="C26" s="122">
        <v>52137050</v>
      </c>
      <c r="D26" s="122"/>
      <c r="E26" s="122">
        <v>0</v>
      </c>
    </row>
    <row r="27" spans="1:5" x14ac:dyDescent="0.25">
      <c r="A27" s="181" t="s">
        <v>34</v>
      </c>
      <c r="B27" s="122">
        <v>26381150</v>
      </c>
      <c r="C27" s="122">
        <v>26381150</v>
      </c>
      <c r="D27" s="122"/>
      <c r="E27" s="122">
        <v>0</v>
      </c>
    </row>
    <row r="28" spans="1:5" x14ac:dyDescent="0.25">
      <c r="A28" s="181" t="s">
        <v>179</v>
      </c>
      <c r="B28" s="122">
        <v>23955900</v>
      </c>
      <c r="C28" s="122">
        <v>23955900</v>
      </c>
      <c r="D28" s="122"/>
      <c r="E28" s="122">
        <v>0</v>
      </c>
    </row>
    <row r="29" spans="1:5" x14ac:dyDescent="0.25">
      <c r="A29" s="181" t="s">
        <v>35</v>
      </c>
      <c r="B29" s="122">
        <v>1800000</v>
      </c>
      <c r="C29" s="122">
        <v>1800000</v>
      </c>
      <c r="D29" s="122"/>
      <c r="E29" s="122">
        <v>0</v>
      </c>
    </row>
    <row r="30" spans="1:5" x14ac:dyDescent="0.25">
      <c r="A30" s="181" t="s">
        <v>36</v>
      </c>
      <c r="B30" s="122">
        <v>20989541</v>
      </c>
      <c r="C30" s="122">
        <v>20989541</v>
      </c>
      <c r="D30" s="122"/>
      <c r="E30" s="122">
        <v>0</v>
      </c>
    </row>
    <row r="31" spans="1:5" x14ac:dyDescent="0.25">
      <c r="A31" s="181" t="s">
        <v>37</v>
      </c>
      <c r="B31" s="122">
        <v>20989541</v>
      </c>
      <c r="C31" s="122">
        <v>20989541</v>
      </c>
      <c r="D31" s="122"/>
      <c r="E31" s="122">
        <v>0</v>
      </c>
    </row>
    <row r="32" spans="1:5" x14ac:dyDescent="0.25">
      <c r="A32" s="181" t="s">
        <v>38</v>
      </c>
      <c r="B32" s="122">
        <v>37582805</v>
      </c>
      <c r="C32" s="122">
        <v>37582805</v>
      </c>
      <c r="D32" s="122"/>
      <c r="E32" s="122">
        <v>0</v>
      </c>
    </row>
    <row r="33" spans="1:5" x14ac:dyDescent="0.25">
      <c r="A33" s="181" t="s">
        <v>40</v>
      </c>
      <c r="B33" s="122">
        <v>2231658</v>
      </c>
      <c r="C33" s="122">
        <v>2231658</v>
      </c>
      <c r="D33" s="122"/>
      <c r="E33" s="122">
        <v>0</v>
      </c>
    </row>
    <row r="34" spans="1:5" x14ac:dyDescent="0.25">
      <c r="A34" s="181" t="s">
        <v>41</v>
      </c>
      <c r="B34" s="122">
        <v>10095650</v>
      </c>
      <c r="C34" s="122">
        <v>10095650</v>
      </c>
      <c r="D34" s="122"/>
      <c r="E34" s="122">
        <v>0</v>
      </c>
    </row>
    <row r="35" spans="1:5" x14ac:dyDescent="0.25">
      <c r="A35" s="181" t="s">
        <v>42</v>
      </c>
      <c r="B35" s="122">
        <v>10430310</v>
      </c>
      <c r="C35" s="122">
        <v>10430310</v>
      </c>
      <c r="D35" s="122"/>
      <c r="E35" s="122">
        <v>0</v>
      </c>
    </row>
    <row r="36" spans="1:5" x14ac:dyDescent="0.25">
      <c r="A36" s="181" t="s">
        <v>43</v>
      </c>
      <c r="B36" s="122">
        <v>4930837</v>
      </c>
      <c r="C36" s="122">
        <v>4930837</v>
      </c>
      <c r="D36" s="122"/>
      <c r="E36" s="122">
        <v>0</v>
      </c>
    </row>
    <row r="37" spans="1:5" x14ac:dyDescent="0.25">
      <c r="A37" s="181" t="s">
        <v>44</v>
      </c>
      <c r="B37" s="122">
        <v>200000</v>
      </c>
      <c r="C37" s="122">
        <v>200000</v>
      </c>
      <c r="D37" s="122"/>
      <c r="E37" s="122">
        <v>0</v>
      </c>
    </row>
    <row r="38" spans="1:5" x14ac:dyDescent="0.25">
      <c r="A38" s="181" t="s">
        <v>45</v>
      </c>
      <c r="B38" s="122">
        <v>2450000</v>
      </c>
      <c r="C38" s="122">
        <v>2450000</v>
      </c>
      <c r="D38" s="122"/>
      <c r="E38" s="122">
        <v>0</v>
      </c>
    </row>
    <row r="39" spans="1:5" x14ac:dyDescent="0.25">
      <c r="A39" s="181" t="s">
        <v>48</v>
      </c>
      <c r="B39" s="122">
        <v>1352050</v>
      </c>
      <c r="C39" s="122">
        <v>1352050</v>
      </c>
      <c r="D39" s="122"/>
      <c r="E39" s="122">
        <v>0</v>
      </c>
    </row>
    <row r="40" spans="1:5" x14ac:dyDescent="0.25">
      <c r="A40" s="181" t="s">
        <v>49</v>
      </c>
      <c r="B40" s="122">
        <v>122300</v>
      </c>
      <c r="C40" s="122">
        <v>122300</v>
      </c>
      <c r="D40" s="122"/>
      <c r="E40" s="122">
        <v>0</v>
      </c>
    </row>
    <row r="41" spans="1:5" x14ac:dyDescent="0.25">
      <c r="A41" s="181" t="s">
        <v>50</v>
      </c>
      <c r="B41" s="122">
        <v>300000</v>
      </c>
      <c r="C41" s="122">
        <v>300000</v>
      </c>
      <c r="D41" s="122"/>
      <c r="E41" s="122">
        <v>0</v>
      </c>
    </row>
    <row r="42" spans="1:5" x14ac:dyDescent="0.25">
      <c r="A42" s="181" t="s">
        <v>53</v>
      </c>
      <c r="B42" s="122">
        <v>5400000</v>
      </c>
      <c r="C42" s="122">
        <v>5400000</v>
      </c>
      <c r="D42" s="122"/>
      <c r="E42" s="122">
        <v>0</v>
      </c>
    </row>
    <row r="43" spans="1:5" x14ac:dyDescent="0.25">
      <c r="A43" s="181" t="s">
        <v>55</v>
      </c>
      <c r="B43" s="122">
        <v>70000</v>
      </c>
      <c r="C43" s="122">
        <v>70000</v>
      </c>
      <c r="D43" s="122"/>
      <c r="E43" s="122">
        <v>0</v>
      </c>
    </row>
    <row r="44" spans="1:5" x14ac:dyDescent="0.25">
      <c r="A44" s="181" t="s">
        <v>57</v>
      </c>
      <c r="B44" s="122">
        <v>5920700</v>
      </c>
      <c r="C44" s="122">
        <v>5920700</v>
      </c>
      <c r="D44" s="122"/>
      <c r="E44" s="122">
        <v>0</v>
      </c>
    </row>
    <row r="45" spans="1:5" x14ac:dyDescent="0.25">
      <c r="A45" s="181" t="s">
        <v>58</v>
      </c>
      <c r="B45" s="122">
        <v>2842700</v>
      </c>
      <c r="C45" s="122">
        <v>2842700</v>
      </c>
      <c r="D45" s="122"/>
      <c r="E45" s="122">
        <v>0</v>
      </c>
    </row>
    <row r="46" spans="1:5" x14ac:dyDescent="0.25">
      <c r="A46" s="181" t="s">
        <v>270</v>
      </c>
      <c r="B46" s="122">
        <v>684000</v>
      </c>
      <c r="C46" s="122">
        <v>684000</v>
      </c>
      <c r="D46" s="122"/>
      <c r="E46" s="122">
        <v>0</v>
      </c>
    </row>
    <row r="47" spans="1:5" x14ac:dyDescent="0.25">
      <c r="A47" s="181" t="s">
        <v>297</v>
      </c>
      <c r="B47" s="122">
        <v>2394000</v>
      </c>
      <c r="C47" s="122">
        <v>2394000</v>
      </c>
      <c r="D47" s="122"/>
      <c r="E47" s="122">
        <v>0</v>
      </c>
    </row>
    <row r="48" spans="1:5" x14ac:dyDescent="0.25">
      <c r="A48" s="181" t="s">
        <v>136</v>
      </c>
      <c r="B48" s="122">
        <v>1300000</v>
      </c>
      <c r="C48" s="122">
        <v>1300000</v>
      </c>
      <c r="D48" s="122"/>
      <c r="E48" s="122">
        <v>0</v>
      </c>
    </row>
    <row r="49" spans="1:5" x14ac:dyDescent="0.25">
      <c r="A49" s="181" t="s">
        <v>138</v>
      </c>
      <c r="B49" s="122">
        <v>1300000</v>
      </c>
      <c r="C49" s="122">
        <v>1300000</v>
      </c>
      <c r="D49" s="122"/>
      <c r="E49" s="122">
        <v>0</v>
      </c>
    </row>
    <row r="50" spans="1:5" x14ac:dyDescent="0.25">
      <c r="A50" s="181" t="s">
        <v>59</v>
      </c>
      <c r="B50" s="122">
        <v>3085305</v>
      </c>
      <c r="C50" s="122">
        <v>3085305</v>
      </c>
      <c r="D50" s="122"/>
      <c r="E50" s="122">
        <v>0</v>
      </c>
    </row>
    <row r="51" spans="1:5" x14ac:dyDescent="0.25">
      <c r="A51" s="181" t="s">
        <v>60</v>
      </c>
      <c r="B51" s="122">
        <v>172800</v>
      </c>
      <c r="C51" s="122">
        <v>172800</v>
      </c>
      <c r="D51" s="122"/>
      <c r="E51" s="122">
        <v>0</v>
      </c>
    </row>
    <row r="52" spans="1:5" x14ac:dyDescent="0.25">
      <c r="A52" s="181" t="s">
        <v>62</v>
      </c>
      <c r="B52" s="122">
        <v>2903305</v>
      </c>
      <c r="C52" s="122">
        <v>2903305</v>
      </c>
      <c r="D52" s="122"/>
      <c r="E52" s="122">
        <v>0</v>
      </c>
    </row>
    <row r="53" spans="1:5" x14ac:dyDescent="0.25">
      <c r="A53" s="181" t="s">
        <v>63</v>
      </c>
      <c r="B53" s="122">
        <v>9200</v>
      </c>
      <c r="C53" s="122">
        <v>9200</v>
      </c>
      <c r="D53" s="122"/>
      <c r="E53" s="122">
        <v>0</v>
      </c>
    </row>
    <row r="54" spans="1:5" x14ac:dyDescent="0.25">
      <c r="A54" s="181" t="s">
        <v>73</v>
      </c>
      <c r="B54" s="122">
        <v>337960</v>
      </c>
      <c r="C54" s="122">
        <v>337960</v>
      </c>
      <c r="D54" s="122"/>
      <c r="E54" s="122">
        <v>0</v>
      </c>
    </row>
    <row r="55" spans="1:5" x14ac:dyDescent="0.25">
      <c r="A55" s="181" t="s">
        <v>74</v>
      </c>
      <c r="B55" s="122">
        <v>257900</v>
      </c>
      <c r="C55" s="122">
        <v>257900</v>
      </c>
      <c r="D55" s="122"/>
      <c r="E55" s="122">
        <v>0</v>
      </c>
    </row>
    <row r="56" spans="1:5" x14ac:dyDescent="0.25">
      <c r="A56" s="181" t="s">
        <v>75</v>
      </c>
      <c r="B56" s="122">
        <v>80060</v>
      </c>
      <c r="C56" s="122">
        <v>80060</v>
      </c>
      <c r="D56" s="122"/>
      <c r="E56" s="122">
        <v>0</v>
      </c>
    </row>
    <row r="57" spans="1:5" x14ac:dyDescent="0.25">
      <c r="A57" s="181" t="s">
        <v>78</v>
      </c>
      <c r="B57" s="122">
        <v>367913925</v>
      </c>
      <c r="C57" s="122">
        <v>0</v>
      </c>
      <c r="D57" s="122"/>
      <c r="E57" s="122">
        <v>367913925</v>
      </c>
    </row>
    <row r="58" spans="1:5" x14ac:dyDescent="0.25">
      <c r="A58" s="181" t="s">
        <v>79</v>
      </c>
      <c r="B58" s="122">
        <v>367913925</v>
      </c>
      <c r="C58" s="122">
        <v>0</v>
      </c>
      <c r="D58" s="122"/>
      <c r="E58" s="122">
        <v>367913925</v>
      </c>
    </row>
    <row r="59" spans="1:5" x14ac:dyDescent="0.25">
      <c r="A59" s="181" t="s">
        <v>83</v>
      </c>
      <c r="B59" s="122">
        <v>96883410</v>
      </c>
      <c r="C59" s="122">
        <v>35943929</v>
      </c>
      <c r="D59" s="122"/>
      <c r="E59" s="122">
        <v>60939481</v>
      </c>
    </row>
    <row r="60" spans="1:5" x14ac:dyDescent="0.25">
      <c r="A60" s="181" t="s">
        <v>85</v>
      </c>
      <c r="B60" s="122">
        <v>3362793</v>
      </c>
      <c r="C60" s="122">
        <v>3362793</v>
      </c>
      <c r="D60" s="122"/>
      <c r="E60" s="122">
        <v>0</v>
      </c>
    </row>
    <row r="61" spans="1:5" x14ac:dyDescent="0.25">
      <c r="A61" s="181" t="s">
        <v>150</v>
      </c>
      <c r="B61" s="122">
        <v>1391709</v>
      </c>
      <c r="C61" s="122">
        <v>1391709</v>
      </c>
      <c r="D61" s="122"/>
      <c r="E61" s="122">
        <v>0</v>
      </c>
    </row>
    <row r="62" spans="1:5" x14ac:dyDescent="0.25">
      <c r="A62" s="181" t="s">
        <v>87</v>
      </c>
      <c r="B62" s="122">
        <v>249097</v>
      </c>
      <c r="C62" s="122">
        <v>249097</v>
      </c>
      <c r="D62" s="122"/>
      <c r="E62" s="122">
        <v>0</v>
      </c>
    </row>
    <row r="63" spans="1:5" x14ac:dyDescent="0.25">
      <c r="A63" s="181" t="s">
        <v>88</v>
      </c>
      <c r="B63" s="122">
        <v>64755705</v>
      </c>
      <c r="C63" s="122">
        <v>30940330</v>
      </c>
      <c r="D63" s="122"/>
      <c r="E63" s="122">
        <v>33815375</v>
      </c>
    </row>
    <row r="64" spans="1:5" x14ac:dyDescent="0.25">
      <c r="A64" s="181" t="s">
        <v>89</v>
      </c>
      <c r="B64" s="122">
        <v>27124106</v>
      </c>
      <c r="C64" s="122">
        <v>0</v>
      </c>
      <c r="D64" s="122"/>
      <c r="E64" s="122">
        <v>27124106</v>
      </c>
    </row>
    <row r="65" spans="1:5" x14ac:dyDescent="0.25">
      <c r="A65" s="181" t="s">
        <v>91</v>
      </c>
      <c r="B65" s="122">
        <v>1058101</v>
      </c>
      <c r="C65" s="122">
        <v>1058101</v>
      </c>
      <c r="D65" s="122"/>
      <c r="E65" s="122">
        <v>0</v>
      </c>
    </row>
    <row r="66" spans="1:5" x14ac:dyDescent="0.25">
      <c r="A66" s="181" t="s">
        <v>94</v>
      </c>
      <c r="B66" s="122">
        <v>1058101</v>
      </c>
      <c r="C66" s="122">
        <v>1058101</v>
      </c>
      <c r="D66" s="122"/>
      <c r="E66" s="122">
        <v>0</v>
      </c>
    </row>
    <row r="67" spans="1:5" x14ac:dyDescent="0.25">
      <c r="A67" s="181" t="s">
        <v>95</v>
      </c>
      <c r="B67" s="122">
        <v>1859508712</v>
      </c>
      <c r="C67" s="122">
        <v>270572223</v>
      </c>
      <c r="D67" s="121"/>
      <c r="E67" s="122">
        <v>1588936489</v>
      </c>
    </row>
    <row r="68" spans="1:5" x14ac:dyDescent="0.25">
      <c r="A68" s="181" t="s">
        <v>152</v>
      </c>
      <c r="B68" s="122">
        <v>798000</v>
      </c>
      <c r="C68" s="122">
        <v>798000</v>
      </c>
      <c r="D68" s="121"/>
      <c r="E68" s="122">
        <v>0</v>
      </c>
    </row>
    <row r="69" spans="1:5" x14ac:dyDescent="0.25">
      <c r="A69" s="181" t="s">
        <v>153</v>
      </c>
      <c r="B69" s="122">
        <v>1858550712</v>
      </c>
      <c r="C69" s="122">
        <v>269614223</v>
      </c>
      <c r="D69" s="124"/>
      <c r="E69" s="122">
        <v>1588936489</v>
      </c>
    </row>
    <row r="70" spans="1:5" x14ac:dyDescent="0.25">
      <c r="A70" s="181" t="s">
        <v>99</v>
      </c>
      <c r="B70" s="122">
        <v>160000</v>
      </c>
      <c r="C70" s="122">
        <v>160000</v>
      </c>
      <c r="D70" s="124"/>
      <c r="E70" s="122">
        <v>0</v>
      </c>
    </row>
    <row r="71" spans="1:5" x14ac:dyDescent="0.25">
      <c r="A71" s="181" t="s">
        <v>101</v>
      </c>
      <c r="B71" s="122">
        <v>142022820</v>
      </c>
      <c r="C71" s="122">
        <v>2379876</v>
      </c>
      <c r="D71" s="124"/>
      <c r="E71" s="122">
        <v>139642944</v>
      </c>
    </row>
    <row r="72" spans="1:5" x14ac:dyDescent="0.25">
      <c r="A72" s="181" t="s">
        <v>116</v>
      </c>
      <c r="B72" s="122">
        <v>36884936</v>
      </c>
      <c r="C72" s="122">
        <v>845336</v>
      </c>
      <c r="D72" s="124"/>
      <c r="E72" s="122">
        <v>36039600</v>
      </c>
    </row>
    <row r="73" spans="1:5" x14ac:dyDescent="0.25">
      <c r="A73" s="181" t="s">
        <v>105</v>
      </c>
      <c r="B73" s="122">
        <v>105137884</v>
      </c>
      <c r="C73" s="122">
        <v>1534540</v>
      </c>
      <c r="D73" s="124"/>
      <c r="E73" s="122">
        <v>103603344</v>
      </c>
    </row>
    <row r="74" spans="1:5" x14ac:dyDescent="0.25">
      <c r="A74" s="181" t="s">
        <v>110</v>
      </c>
      <c r="B74" s="122">
        <v>30000000</v>
      </c>
      <c r="C74" s="122">
        <v>0</v>
      </c>
      <c r="D74" s="124"/>
      <c r="E74" s="122">
        <v>30000000</v>
      </c>
    </row>
    <row r="75" spans="1:5" x14ac:dyDescent="0.25">
      <c r="A75" s="181" t="s">
        <v>231</v>
      </c>
      <c r="B75" s="122">
        <v>-298277290</v>
      </c>
      <c r="C75" s="122">
        <v>-651738398</v>
      </c>
      <c r="D75" s="124"/>
      <c r="E75" s="122">
        <v>353461108</v>
      </c>
    </row>
    <row r="76" spans="1:5" x14ac:dyDescent="0.25">
      <c r="A76" s="181" t="s">
        <v>309</v>
      </c>
      <c r="B76" s="122">
        <v>0</v>
      </c>
      <c r="C76" s="122">
        <v>0</v>
      </c>
      <c r="D76" s="124"/>
      <c r="E76" s="122">
        <v>0</v>
      </c>
    </row>
    <row r="77" spans="1:5" x14ac:dyDescent="0.25">
      <c r="A77" s="181" t="s">
        <v>111</v>
      </c>
      <c r="B77" s="122">
        <v>3982000</v>
      </c>
      <c r="C77" s="122">
        <v>3982000</v>
      </c>
      <c r="D77" s="124"/>
      <c r="E77" s="122">
        <v>0</v>
      </c>
    </row>
    <row r="78" spans="1:5" x14ac:dyDescent="0.25">
      <c r="A78" s="181" t="s">
        <v>165</v>
      </c>
      <c r="B78" s="122">
        <v>3982000</v>
      </c>
      <c r="C78" s="122">
        <v>3982000</v>
      </c>
      <c r="D78" s="124"/>
      <c r="E78" s="122">
        <v>0</v>
      </c>
    </row>
    <row r="79" spans="1:5" x14ac:dyDescent="0.25">
      <c r="A79" s="181" t="s">
        <v>373</v>
      </c>
      <c r="B79" s="122">
        <v>3982000</v>
      </c>
      <c r="C79" s="122">
        <v>3982000</v>
      </c>
      <c r="D79" s="124"/>
      <c r="E79" s="122">
        <v>0</v>
      </c>
    </row>
    <row r="80" spans="1:5" x14ac:dyDescent="0.25">
      <c r="A80" s="181" t="s">
        <v>358</v>
      </c>
      <c r="B80" s="122">
        <v>-302259290</v>
      </c>
      <c r="C80" s="122">
        <v>-655720398</v>
      </c>
      <c r="D80" s="124"/>
      <c r="E80" s="122">
        <v>353461108</v>
      </c>
    </row>
    <row r="81" spans="1:5" x14ac:dyDescent="0.25">
      <c r="A81" s="181" t="s">
        <v>359</v>
      </c>
      <c r="B81" s="122">
        <v>-302259290</v>
      </c>
      <c r="C81" s="122">
        <v>-655720398</v>
      </c>
      <c r="D81" s="124"/>
      <c r="E81" s="122">
        <v>353461108</v>
      </c>
    </row>
    <row r="82" spans="1:5" x14ac:dyDescent="0.25">
      <c r="A82" s="181" t="s">
        <v>112</v>
      </c>
      <c r="B82" s="122">
        <v>0</v>
      </c>
      <c r="C82" s="122">
        <v>0</v>
      </c>
      <c r="D82" s="124"/>
      <c r="E82" s="122">
        <v>0</v>
      </c>
    </row>
    <row r="83" spans="1:5" x14ac:dyDescent="0.25">
      <c r="A83" s="181" t="s">
        <v>360</v>
      </c>
      <c r="B83" s="122">
        <v>-302259290</v>
      </c>
      <c r="C83" s="122">
        <v>-655720398</v>
      </c>
      <c r="D83" s="124"/>
      <c r="E83" s="122">
        <v>353461108</v>
      </c>
    </row>
    <row r="84" spans="1:5" x14ac:dyDescent="0.25">
      <c r="A84" s="181" t="s">
        <v>335</v>
      </c>
      <c r="B84" s="122">
        <v>0</v>
      </c>
      <c r="C84" s="122">
        <v>0</v>
      </c>
      <c r="D84" s="124"/>
      <c r="E84" s="122">
        <v>0</v>
      </c>
    </row>
    <row r="85" spans="1:5" x14ac:dyDescent="0.25">
      <c r="A85" s="181" t="s">
        <v>232</v>
      </c>
      <c r="B85" s="122">
        <v>-302259290</v>
      </c>
      <c r="C85" s="122">
        <v>-655720398</v>
      </c>
      <c r="D85" s="124"/>
      <c r="E85" s="122">
        <v>353461108</v>
      </c>
    </row>
    <row r="86" spans="1:5" x14ac:dyDescent="0.25">
      <c r="A86" s="181" t="s">
        <v>336</v>
      </c>
      <c r="B86" s="122">
        <v>0</v>
      </c>
      <c r="C86" s="122">
        <v>0</v>
      </c>
      <c r="D86" s="124"/>
      <c r="E86" s="122">
        <v>0</v>
      </c>
    </row>
    <row r="87" spans="1:5" x14ac:dyDescent="0.25">
      <c r="A87" s="181" t="s">
        <v>337</v>
      </c>
      <c r="B87" s="122">
        <v>0</v>
      </c>
      <c r="C87" s="122">
        <v>0</v>
      </c>
      <c r="D87" s="124"/>
      <c r="E87" s="122">
        <v>0</v>
      </c>
    </row>
    <row r="88" spans="1:5" x14ac:dyDescent="0.25">
      <c r="A88" s="181" t="s">
        <v>338</v>
      </c>
      <c r="B88" s="122">
        <v>0</v>
      </c>
      <c r="C88" s="122">
        <v>0</v>
      </c>
      <c r="D88" s="124"/>
      <c r="E88" s="122">
        <v>0</v>
      </c>
    </row>
    <row r="89" spans="1:5" x14ac:dyDescent="0.25">
      <c r="A89" s="181" t="s">
        <v>339</v>
      </c>
      <c r="B89" s="122">
        <v>0</v>
      </c>
      <c r="C89" s="122">
        <v>0</v>
      </c>
      <c r="D89" s="124"/>
      <c r="E89" s="122">
        <v>0</v>
      </c>
    </row>
    <row r="90" spans="1:5" x14ac:dyDescent="0.25">
      <c r="A90" s="181" t="s">
        <v>340</v>
      </c>
      <c r="B90" s="122">
        <v>0</v>
      </c>
      <c r="C90" s="122">
        <v>0</v>
      </c>
      <c r="D90" s="124"/>
      <c r="E90" s="122">
        <v>0</v>
      </c>
    </row>
  </sheetData>
  <mergeCells count="2">
    <mergeCell ref="A1:A2"/>
    <mergeCell ref="B1:B2"/>
  </mergeCells>
  <phoneticPr fontId="2" type="noConversion"/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C0F4B-92C7-4AEB-8AAA-1F37C41DF9C9}">
  <sheetPr>
    <tabColor theme="4" tint="0.79998168889431442"/>
  </sheetPr>
  <dimension ref="A1:Q106"/>
  <sheetViews>
    <sheetView workbookViewId="0">
      <selection sqref="A1:A2"/>
    </sheetView>
  </sheetViews>
  <sheetFormatPr defaultRowHeight="12.5" x14ac:dyDescent="0.25"/>
  <cols>
    <col min="1" max="1" width="28.1796875" bestFit="1" customWidth="1"/>
    <col min="2" max="3" width="22.6328125" customWidth="1"/>
    <col min="4" max="4" width="3.54296875" style="107" customWidth="1"/>
    <col min="5" max="7" width="22.6328125" customWidth="1"/>
    <col min="8" max="8" width="19.81640625" customWidth="1"/>
    <col min="9" max="9" width="13.1796875" bestFit="1" customWidth="1"/>
    <col min="10" max="10" width="14.26953125" bestFit="1" customWidth="1"/>
    <col min="11" max="13" width="13.7265625" bestFit="1" customWidth="1"/>
    <col min="14" max="15" width="16.7265625" bestFit="1" customWidth="1"/>
    <col min="17" max="17" width="14.36328125" customWidth="1"/>
  </cols>
  <sheetData>
    <row r="1" spans="1:17" ht="12.5" customHeight="1" x14ac:dyDescent="0.25">
      <c r="A1" s="216" t="s">
        <v>313</v>
      </c>
      <c r="B1" s="216" t="s">
        <v>322</v>
      </c>
      <c r="C1" s="174" t="s">
        <v>344</v>
      </c>
      <c r="D1" s="122"/>
      <c r="E1" s="191" t="s">
        <v>345</v>
      </c>
      <c r="F1" s="191" t="s">
        <v>346</v>
      </c>
      <c r="G1" s="174" t="s">
        <v>347</v>
      </c>
      <c r="H1" s="174" t="s">
        <v>374</v>
      </c>
      <c r="I1" s="124"/>
      <c r="J1" s="218" t="s">
        <v>361</v>
      </c>
      <c r="K1" s="124"/>
      <c r="L1" s="216" t="s">
        <v>370</v>
      </c>
      <c r="M1" s="220" t="s">
        <v>432</v>
      </c>
      <c r="N1" s="124"/>
      <c r="O1" s="217" t="s">
        <v>377</v>
      </c>
      <c r="P1" s="124"/>
      <c r="Q1" s="192" t="s">
        <v>323</v>
      </c>
    </row>
    <row r="2" spans="1:17" ht="12.5" customHeight="1" x14ac:dyDescent="0.25">
      <c r="A2" s="216" t="s">
        <v>313</v>
      </c>
      <c r="B2" s="216" t="s">
        <v>322</v>
      </c>
      <c r="C2" s="174" t="s">
        <v>329</v>
      </c>
      <c r="D2" s="122"/>
      <c r="E2" s="191" t="s">
        <v>348</v>
      </c>
      <c r="F2" s="191" t="s">
        <v>349</v>
      </c>
      <c r="G2" s="174" t="s">
        <v>350</v>
      </c>
      <c r="H2" s="174" t="s">
        <v>375</v>
      </c>
      <c r="I2" s="124"/>
      <c r="J2" s="219"/>
      <c r="K2" s="124"/>
      <c r="L2" s="216"/>
      <c r="M2" s="220"/>
      <c r="N2" s="124"/>
      <c r="O2" s="217"/>
      <c r="P2" s="124"/>
      <c r="Q2" s="192" t="s">
        <v>327</v>
      </c>
    </row>
    <row r="3" spans="1:17" x14ac:dyDescent="0.25">
      <c r="A3" s="181" t="s">
        <v>331</v>
      </c>
      <c r="B3" s="122">
        <v>5934410622</v>
      </c>
      <c r="C3" s="122">
        <v>-386135094</v>
      </c>
      <c r="D3" s="122"/>
      <c r="E3" s="122">
        <v>-171252189</v>
      </c>
      <c r="F3" s="122">
        <v>780942133</v>
      </c>
      <c r="G3" s="122">
        <v>6054866663</v>
      </c>
      <c r="H3" s="122">
        <v>-344010891</v>
      </c>
      <c r="I3" s="124"/>
      <c r="J3" s="125">
        <f>SUM(E3:G3)</f>
        <v>6664556607</v>
      </c>
      <c r="K3" s="124"/>
      <c r="L3" s="116">
        <f>C3/2</f>
        <v>-193067547</v>
      </c>
      <c r="M3" s="116">
        <f>E3+F3+Q3</f>
        <v>600089944</v>
      </c>
      <c r="N3" s="116"/>
      <c r="O3" s="116">
        <f>IFERROR(VLOOKUP(A3,$A:$H,8,0),0)+IFERROR(VLOOKUP(A3,[1]모바일!$A:$S,19,0),0)</f>
        <v>-690720704.33333337</v>
      </c>
      <c r="P3" s="124"/>
      <c r="Q3" s="193">
        <f>IFERROR(VLOOKUP(A3,[1]유통플랫폼!$A:$C,3,0),)</f>
        <v>-9600000</v>
      </c>
    </row>
    <row r="4" spans="1:17" x14ac:dyDescent="0.25">
      <c r="A4" s="181" t="s">
        <v>0</v>
      </c>
      <c r="B4" s="122">
        <v>47370147327</v>
      </c>
      <c r="C4" s="122">
        <v>337931430</v>
      </c>
      <c r="D4" s="122"/>
      <c r="E4" s="122">
        <v>222455034</v>
      </c>
      <c r="F4" s="122">
        <v>9773828742</v>
      </c>
      <c r="G4" s="122">
        <v>36950460848</v>
      </c>
      <c r="H4" s="122">
        <v>85471273</v>
      </c>
      <c r="I4" s="124"/>
      <c r="J4" s="125">
        <f t="shared" ref="J4:J67" si="0">SUM(E4:G4)</f>
        <v>46946744624</v>
      </c>
      <c r="K4" s="124"/>
      <c r="L4" s="116">
        <f t="shared" ref="L4:L67" si="1">C4/2</f>
        <v>168965715</v>
      </c>
      <c r="M4" s="116">
        <f t="shared" ref="M4:M67" si="2">E4+F4+Q4</f>
        <v>9996283776</v>
      </c>
      <c r="N4" s="116"/>
      <c r="O4" s="116">
        <f>IFERROR(VLOOKUP(A4,$A:$H,8,0),0)+IFERROR(VLOOKUP(A4,[1]모바일!$A:$S,19,0),0)</f>
        <v>891320688</v>
      </c>
      <c r="P4" s="124"/>
      <c r="Q4" s="193">
        <f>IFERROR(VLOOKUP(A4,[1]유통플랫폼!$A:$C,3,0),)</f>
        <v>0</v>
      </c>
    </row>
    <row r="5" spans="1:17" x14ac:dyDescent="0.25">
      <c r="A5" s="181" t="s">
        <v>1</v>
      </c>
      <c r="B5" s="122">
        <v>45971037043</v>
      </c>
      <c r="C5" s="122">
        <v>0</v>
      </c>
      <c r="D5" s="122"/>
      <c r="E5" s="122">
        <v>0</v>
      </c>
      <c r="F5" s="122">
        <v>9035257470</v>
      </c>
      <c r="G5" s="122">
        <v>36850308300</v>
      </c>
      <c r="H5" s="122">
        <v>85471273</v>
      </c>
      <c r="I5" s="124"/>
      <c r="J5" s="125">
        <f t="shared" si="0"/>
        <v>45885565770</v>
      </c>
      <c r="K5" s="124"/>
      <c r="L5" s="116">
        <f t="shared" si="1"/>
        <v>0</v>
      </c>
      <c r="M5" s="116">
        <f t="shared" si="2"/>
        <v>9035257470</v>
      </c>
      <c r="N5" s="116"/>
      <c r="O5" s="116">
        <f>IFERROR(VLOOKUP(A5,$A:$H,8,0),0)+IFERROR(VLOOKUP(A5,[1]모바일!$A:$S,19,0),0)</f>
        <v>573138870</v>
      </c>
      <c r="P5" s="124"/>
      <c r="Q5" s="193">
        <f>IFERROR(VLOOKUP(A5,[1]유통플랫폼!$A:$C,3,0),)</f>
        <v>0</v>
      </c>
    </row>
    <row r="6" spans="1:17" x14ac:dyDescent="0.25">
      <c r="A6" s="181" t="s">
        <v>2</v>
      </c>
      <c r="B6" s="122">
        <v>45961109775</v>
      </c>
      <c r="C6" s="122">
        <v>0</v>
      </c>
      <c r="D6" s="121"/>
      <c r="E6" s="122">
        <v>0</v>
      </c>
      <c r="F6" s="122">
        <v>9035257470</v>
      </c>
      <c r="G6" s="122">
        <v>36840381032</v>
      </c>
      <c r="H6" s="122">
        <v>85471273</v>
      </c>
      <c r="I6" s="124"/>
      <c r="J6" s="125">
        <f t="shared" si="0"/>
        <v>45875638502</v>
      </c>
      <c r="K6" s="124"/>
      <c r="L6" s="116">
        <f t="shared" si="1"/>
        <v>0</v>
      </c>
      <c r="M6" s="116">
        <f t="shared" si="2"/>
        <v>9035257470</v>
      </c>
      <c r="N6" s="116"/>
      <c r="O6" s="116">
        <f>IFERROR(VLOOKUP(A6,$A:$H,8,0),0)+IFERROR(VLOOKUP(A6,[1]모바일!$A:$S,19,0),0)</f>
        <v>165915578</v>
      </c>
      <c r="P6" s="124"/>
      <c r="Q6" s="193">
        <f>IFERROR(VLOOKUP(A6,[1]유통플랫폼!$A:$C,3,0),)</f>
        <v>0</v>
      </c>
    </row>
    <row r="7" spans="1:17" x14ac:dyDescent="0.25">
      <c r="A7" s="181" t="s">
        <v>301</v>
      </c>
      <c r="B7" s="122">
        <v>9927268</v>
      </c>
      <c r="C7" s="122">
        <v>0</v>
      </c>
      <c r="D7" s="122"/>
      <c r="E7" s="122">
        <v>0</v>
      </c>
      <c r="F7" s="122">
        <v>0</v>
      </c>
      <c r="G7" s="122">
        <v>9927268</v>
      </c>
      <c r="H7" s="122">
        <v>0</v>
      </c>
      <c r="I7" s="124"/>
      <c r="J7" s="125">
        <f t="shared" si="0"/>
        <v>9927268</v>
      </c>
      <c r="K7" s="124"/>
      <c r="L7" s="116">
        <f t="shared" si="1"/>
        <v>0</v>
      </c>
      <c r="M7" s="116">
        <f t="shared" si="2"/>
        <v>0</v>
      </c>
      <c r="N7" s="116"/>
      <c r="O7" s="116">
        <f>IFERROR(VLOOKUP(A7,$A:$H,8,0),0)+IFERROR(VLOOKUP(A7,[1]모바일!$A:$S,19,0),0)</f>
        <v>0</v>
      </c>
      <c r="P7" s="124"/>
      <c r="Q7" s="193">
        <f>IFERROR(VLOOKUP(A7,[1]유통플랫폼!$A:$C,3,0),)</f>
        <v>0</v>
      </c>
    </row>
    <row r="8" spans="1:17" x14ac:dyDescent="0.25">
      <c r="A8" s="181" t="s">
        <v>7</v>
      </c>
      <c r="B8" s="122">
        <v>1399110284</v>
      </c>
      <c r="C8" s="122">
        <v>337931430</v>
      </c>
      <c r="D8" s="121"/>
      <c r="E8" s="122">
        <v>222455034</v>
      </c>
      <c r="F8" s="122">
        <v>738571272</v>
      </c>
      <c r="G8" s="122">
        <v>100152548</v>
      </c>
      <c r="H8" s="122">
        <v>0</v>
      </c>
      <c r="I8" s="124"/>
      <c r="J8" s="125">
        <f t="shared" si="0"/>
        <v>1061178854</v>
      </c>
      <c r="K8" s="124"/>
      <c r="L8" s="116">
        <f t="shared" si="1"/>
        <v>168965715</v>
      </c>
      <c r="M8" s="116">
        <f t="shared" si="2"/>
        <v>961026306</v>
      </c>
      <c r="N8" s="116"/>
      <c r="O8" s="116">
        <f>IFERROR(VLOOKUP(A8,$A:$H,8,0),0)+IFERROR(VLOOKUP(A8,[1]모바일!$A:$S,19,0),0)</f>
        <v>318181818</v>
      </c>
      <c r="P8" s="124"/>
      <c r="Q8" s="193">
        <f>IFERROR(VLOOKUP(A8,[1]유통플랫폼!$A:$C,3,0),)</f>
        <v>0</v>
      </c>
    </row>
    <row r="9" spans="1:17" x14ac:dyDescent="0.25">
      <c r="A9" s="181" t="s">
        <v>8</v>
      </c>
      <c r="B9" s="122">
        <v>1126326886</v>
      </c>
      <c r="C9" s="122">
        <v>337931430</v>
      </c>
      <c r="D9" s="121"/>
      <c r="E9" s="122">
        <v>0</v>
      </c>
      <c r="F9" s="122">
        <v>736477272</v>
      </c>
      <c r="G9" s="122">
        <v>51918184</v>
      </c>
      <c r="H9" s="122">
        <v>0</v>
      </c>
      <c r="I9" s="124"/>
      <c r="J9" s="125">
        <f t="shared" si="0"/>
        <v>788395456</v>
      </c>
      <c r="K9" s="124"/>
      <c r="L9" s="116">
        <f t="shared" si="1"/>
        <v>168965715</v>
      </c>
      <c r="M9" s="116">
        <f t="shared" si="2"/>
        <v>736477272</v>
      </c>
      <c r="N9" s="116"/>
      <c r="O9" s="116">
        <f>IFERROR(VLOOKUP(A9,$A:$H,8,0),0)+IFERROR(VLOOKUP(A9,[1]모바일!$A:$S,19,0),0)</f>
        <v>318181818</v>
      </c>
      <c r="P9" s="124"/>
      <c r="Q9" s="193">
        <f>IFERROR(VLOOKUP(A9,[1]유통플랫폼!$A:$C,3,0),)</f>
        <v>0</v>
      </c>
    </row>
    <row r="10" spans="1:17" x14ac:dyDescent="0.25">
      <c r="A10" s="181" t="s">
        <v>9</v>
      </c>
      <c r="B10" s="122">
        <v>50328364</v>
      </c>
      <c r="C10" s="122">
        <v>0</v>
      </c>
      <c r="D10" s="122"/>
      <c r="E10" s="122">
        <v>0</v>
      </c>
      <c r="F10" s="122">
        <v>2094000</v>
      </c>
      <c r="G10" s="122">
        <v>48234364</v>
      </c>
      <c r="H10" s="122">
        <v>0</v>
      </c>
      <c r="I10" s="124"/>
      <c r="J10" s="125">
        <f t="shared" si="0"/>
        <v>50328364</v>
      </c>
      <c r="K10" s="124"/>
      <c r="L10" s="116">
        <f t="shared" si="1"/>
        <v>0</v>
      </c>
      <c r="M10" s="116">
        <f t="shared" si="2"/>
        <v>2094000</v>
      </c>
      <c r="N10" s="116"/>
      <c r="O10" s="116">
        <f>IFERROR(VLOOKUP(A10,$A:$H,8,0),0)+IFERROR(VLOOKUP(A10,[1]모바일!$A:$S,19,0),0)</f>
        <v>0</v>
      </c>
      <c r="P10" s="124"/>
      <c r="Q10" s="193">
        <f>IFERROR(VLOOKUP(A10,[1]유통플랫폼!$A:$C,3,0),)</f>
        <v>0</v>
      </c>
    </row>
    <row r="11" spans="1:17" x14ac:dyDescent="0.25">
      <c r="A11" s="181" t="s">
        <v>121</v>
      </c>
      <c r="B11" s="122">
        <v>222455034</v>
      </c>
      <c r="C11" s="122">
        <v>0</v>
      </c>
      <c r="D11" s="122"/>
      <c r="E11" s="122">
        <v>222455034</v>
      </c>
      <c r="F11" s="122">
        <v>0</v>
      </c>
      <c r="G11" s="122">
        <v>0</v>
      </c>
      <c r="H11" s="122">
        <v>0</v>
      </c>
      <c r="I11" s="124"/>
      <c r="J11" s="125">
        <f t="shared" si="0"/>
        <v>222455034</v>
      </c>
      <c r="K11" s="124"/>
      <c r="L11" s="116">
        <f t="shared" si="1"/>
        <v>0</v>
      </c>
      <c r="M11" s="116">
        <f t="shared" si="2"/>
        <v>222455034</v>
      </c>
      <c r="N11" s="116"/>
      <c r="O11" s="116">
        <f>IFERROR(VLOOKUP(A11,$A:$H,8,0),0)+IFERROR(VLOOKUP(A11,[1]모바일!$A:$S,19,0),0)</f>
        <v>0</v>
      </c>
      <c r="P11" s="124"/>
      <c r="Q11" s="193">
        <f>IFERROR(VLOOKUP(A11,[1]유통플랫폼!$A:$C,3,0),)</f>
        <v>0</v>
      </c>
    </row>
    <row r="12" spans="1:17" x14ac:dyDescent="0.25">
      <c r="A12" s="181" t="s">
        <v>14</v>
      </c>
      <c r="B12" s="122">
        <v>37868843230</v>
      </c>
      <c r="C12" s="122">
        <v>0</v>
      </c>
      <c r="D12" s="122"/>
      <c r="E12" s="122">
        <v>0</v>
      </c>
      <c r="F12" s="122">
        <v>7894223749</v>
      </c>
      <c r="G12" s="122">
        <v>29895506448</v>
      </c>
      <c r="H12" s="122">
        <v>79113033</v>
      </c>
      <c r="I12" s="124"/>
      <c r="J12" s="125">
        <f t="shared" si="0"/>
        <v>37789730197</v>
      </c>
      <c r="K12" s="124"/>
      <c r="L12" s="116">
        <f t="shared" si="1"/>
        <v>0</v>
      </c>
      <c r="M12" s="116">
        <f t="shared" si="2"/>
        <v>7894223749</v>
      </c>
      <c r="N12" s="116"/>
      <c r="O12" s="116">
        <f>IFERROR(VLOOKUP(A12,$A:$H,8,0),0)+IFERROR(VLOOKUP(A12,[1]모바일!$A:$S,19,0),0)</f>
        <v>446853331.33333331</v>
      </c>
      <c r="P12" s="124"/>
      <c r="Q12" s="193">
        <f>IFERROR(VLOOKUP(A12,[1]유통플랫폼!$A:$C,3,0),)</f>
        <v>0</v>
      </c>
    </row>
    <row r="13" spans="1:17" x14ac:dyDescent="0.25">
      <c r="A13" s="181" t="s">
        <v>15</v>
      </c>
      <c r="B13" s="122">
        <v>37868843230</v>
      </c>
      <c r="C13" s="122">
        <v>0</v>
      </c>
      <c r="D13" s="122"/>
      <c r="E13" s="122">
        <v>0</v>
      </c>
      <c r="F13" s="122">
        <v>7894223749</v>
      </c>
      <c r="G13" s="122">
        <v>29895506448</v>
      </c>
      <c r="H13" s="122">
        <v>79113033</v>
      </c>
      <c r="I13" s="124"/>
      <c r="J13" s="125">
        <f t="shared" si="0"/>
        <v>37789730197</v>
      </c>
      <c r="K13" s="124"/>
      <c r="L13" s="116">
        <f t="shared" si="1"/>
        <v>0</v>
      </c>
      <c r="M13" s="116">
        <f t="shared" si="2"/>
        <v>7894223749</v>
      </c>
      <c r="N13" s="116"/>
      <c r="O13" s="116">
        <f>IFERROR(VLOOKUP(A13,$A:$H,8,0),0)+IFERROR(VLOOKUP(A13,[1]모바일!$A:$S,19,0),0)</f>
        <v>446853331.33333331</v>
      </c>
      <c r="P13" s="124"/>
      <c r="Q13" s="193">
        <f>IFERROR(VLOOKUP(A13,[1]유통플랫폼!$A:$C,3,0),)</f>
        <v>0</v>
      </c>
    </row>
    <row r="14" spans="1:17" x14ac:dyDescent="0.25">
      <c r="A14" s="181" t="s">
        <v>16</v>
      </c>
      <c r="B14" s="122">
        <v>9501304097</v>
      </c>
      <c r="C14" s="122">
        <v>337931430</v>
      </c>
      <c r="D14" s="122"/>
      <c r="E14" s="122">
        <v>222455034</v>
      </c>
      <c r="F14" s="122">
        <v>1879604993</v>
      </c>
      <c r="G14" s="122">
        <v>7054954400</v>
      </c>
      <c r="H14" s="122">
        <v>6358240</v>
      </c>
      <c r="I14" s="124"/>
      <c r="J14" s="125">
        <f t="shared" si="0"/>
        <v>9157014427</v>
      </c>
      <c r="K14" s="124"/>
      <c r="L14" s="116">
        <f t="shared" si="1"/>
        <v>168965715</v>
      </c>
      <c r="M14" s="116">
        <f t="shared" si="2"/>
        <v>2102060027</v>
      </c>
      <c r="N14" s="116"/>
      <c r="O14" s="116">
        <f>IFERROR(VLOOKUP(A14,$A:$H,8,0),0)+IFERROR(VLOOKUP(A14,[1]모바일!$A:$S,19,0),0)</f>
        <v>444467356.66666669</v>
      </c>
      <c r="P14" s="124"/>
      <c r="Q14" s="193">
        <f>IFERROR(VLOOKUP(A14,[1]유통플랫폼!$A:$C,3,0),)</f>
        <v>0</v>
      </c>
    </row>
    <row r="15" spans="1:17" x14ac:dyDescent="0.25">
      <c r="A15" s="182" t="s">
        <v>17</v>
      </c>
      <c r="B15" s="183">
        <v>3566893495</v>
      </c>
      <c r="C15" s="183">
        <v>724066524</v>
      </c>
      <c r="D15" s="183"/>
      <c r="E15" s="183">
        <v>393707223</v>
      </c>
      <c r="F15" s="183">
        <v>1098662880</v>
      </c>
      <c r="G15" s="183">
        <v>1000087737</v>
      </c>
      <c r="H15" s="183">
        <v>350369131</v>
      </c>
      <c r="I15" s="185"/>
      <c r="J15" s="194">
        <f t="shared" si="0"/>
        <v>2492457840</v>
      </c>
      <c r="K15" s="185"/>
      <c r="L15" s="186">
        <f t="shared" si="1"/>
        <v>362033262</v>
      </c>
      <c r="M15" s="186">
        <f t="shared" si="2"/>
        <v>1501970103</v>
      </c>
      <c r="N15" s="186"/>
      <c r="O15" s="186">
        <f>IFERROR(VLOOKUP(A15,$A:$H,8,0),0)+IFERROR(VLOOKUP(A15,[1]모바일!$A:$S,19,0),0)</f>
        <v>1135188061</v>
      </c>
      <c r="P15" s="185"/>
      <c r="Q15" s="183">
        <f>IFERROR(VLOOKUP(A15,[1]유통플랫폼!$A:$C,3,0),)</f>
        <v>9600000</v>
      </c>
    </row>
    <row r="16" spans="1:17" x14ac:dyDescent="0.25">
      <c r="A16" s="181" t="s">
        <v>19</v>
      </c>
      <c r="B16" s="122">
        <v>333087550</v>
      </c>
      <c r="C16" s="122">
        <v>333087550</v>
      </c>
      <c r="D16" s="122"/>
      <c r="E16" s="122">
        <v>0</v>
      </c>
      <c r="F16" s="122">
        <v>0</v>
      </c>
      <c r="G16" s="122">
        <v>0</v>
      </c>
      <c r="H16" s="122">
        <v>0</v>
      </c>
      <c r="I16" s="124"/>
      <c r="J16" s="125">
        <f t="shared" si="0"/>
        <v>0</v>
      </c>
      <c r="K16" s="124"/>
      <c r="L16" s="116">
        <f t="shared" si="1"/>
        <v>166543775</v>
      </c>
      <c r="M16" s="116">
        <f t="shared" si="2"/>
        <v>0</v>
      </c>
      <c r="N16" s="116"/>
      <c r="O16" s="116">
        <f>IFERROR(VLOOKUP(A16,$A:$H,8,0),0)+IFERROR(VLOOKUP(A16,[1]모바일!$A:$S,19,0),0)</f>
        <v>366930345</v>
      </c>
      <c r="P16" s="124"/>
      <c r="Q16" s="193">
        <f>IFERROR(VLOOKUP(A16,[1]유통플랫폼!$A:$C,3,0),)</f>
        <v>0</v>
      </c>
    </row>
    <row r="17" spans="1:17" x14ac:dyDescent="0.25">
      <c r="A17" s="181" t="s">
        <v>20</v>
      </c>
      <c r="B17" s="122">
        <v>212815570</v>
      </c>
      <c r="C17" s="122">
        <v>212815570</v>
      </c>
      <c r="D17" s="122"/>
      <c r="E17" s="122">
        <v>0</v>
      </c>
      <c r="F17" s="122">
        <v>0</v>
      </c>
      <c r="G17" s="122">
        <v>0</v>
      </c>
      <c r="H17" s="122">
        <v>0</v>
      </c>
      <c r="I17" s="124"/>
      <c r="J17" s="125">
        <f t="shared" si="0"/>
        <v>0</v>
      </c>
      <c r="K17" s="124"/>
      <c r="L17" s="116">
        <f t="shared" si="1"/>
        <v>106407785</v>
      </c>
      <c r="M17" s="116">
        <f t="shared" si="2"/>
        <v>0</v>
      </c>
      <c r="N17" s="116"/>
      <c r="O17" s="116">
        <f>IFERROR(VLOOKUP(A17,$A:$H,8,0),0)+IFERROR(VLOOKUP(A17,[1]모바일!$A:$S,19,0),0)</f>
        <v>139634291.66666666</v>
      </c>
      <c r="P17" s="124"/>
      <c r="Q17" s="193">
        <f>IFERROR(VLOOKUP(A17,[1]유통플랫폼!$A:$C,3,0),)</f>
        <v>0</v>
      </c>
    </row>
    <row r="18" spans="1:17" x14ac:dyDescent="0.25">
      <c r="A18" s="181" t="s">
        <v>21</v>
      </c>
      <c r="B18" s="122">
        <v>38904020</v>
      </c>
      <c r="C18" s="122">
        <v>38904020</v>
      </c>
      <c r="D18" s="122"/>
      <c r="E18" s="122">
        <v>0</v>
      </c>
      <c r="F18" s="122">
        <v>0</v>
      </c>
      <c r="G18" s="122">
        <v>0</v>
      </c>
      <c r="H18" s="122">
        <v>0</v>
      </c>
      <c r="I18" s="124"/>
      <c r="J18" s="125">
        <f t="shared" si="0"/>
        <v>0</v>
      </c>
      <c r="K18" s="124"/>
      <c r="L18" s="116">
        <f t="shared" si="1"/>
        <v>19452010</v>
      </c>
      <c r="M18" s="116">
        <f t="shared" si="2"/>
        <v>0</v>
      </c>
      <c r="N18" s="116"/>
      <c r="O18" s="116">
        <f>IFERROR(VLOOKUP(A18,$A:$H,8,0),0)+IFERROR(VLOOKUP(A18,[1]모바일!$A:$S,19,0),0)</f>
        <v>24970391.666666664</v>
      </c>
      <c r="P18" s="124"/>
      <c r="Q18" s="193">
        <f>IFERROR(VLOOKUP(A18,[1]유통플랫폼!$A:$C,3,0),)</f>
        <v>0</v>
      </c>
    </row>
    <row r="19" spans="1:17" x14ac:dyDescent="0.25">
      <c r="A19" s="181" t="s">
        <v>22</v>
      </c>
      <c r="B19" s="122">
        <v>8400000</v>
      </c>
      <c r="C19" s="122">
        <v>8400000</v>
      </c>
      <c r="D19" s="122"/>
      <c r="E19" s="122">
        <v>0</v>
      </c>
      <c r="F19" s="122">
        <v>0</v>
      </c>
      <c r="G19" s="122">
        <v>0</v>
      </c>
      <c r="H19" s="122">
        <v>0</v>
      </c>
      <c r="I19" s="124"/>
      <c r="J19" s="125">
        <f t="shared" si="0"/>
        <v>0</v>
      </c>
      <c r="K19" s="124"/>
      <c r="L19" s="116">
        <f t="shared" si="1"/>
        <v>4200000</v>
      </c>
      <c r="M19" s="116">
        <f t="shared" si="2"/>
        <v>0</v>
      </c>
      <c r="N19" s="116"/>
      <c r="O19" s="116">
        <f>IFERROR(VLOOKUP(A19,$A:$H,8,0),0)+IFERROR(VLOOKUP(A19,[1]모바일!$A:$S,19,0),0)</f>
        <v>3000000</v>
      </c>
      <c r="P19" s="124"/>
      <c r="Q19" s="193">
        <f>IFERROR(VLOOKUP(A19,[1]유통플랫폼!$A:$C,3,0),)</f>
        <v>0</v>
      </c>
    </row>
    <row r="20" spans="1:17" x14ac:dyDescent="0.25">
      <c r="A20" s="181" t="s">
        <v>23</v>
      </c>
      <c r="B20" s="122">
        <v>6032780</v>
      </c>
      <c r="C20" s="122">
        <v>6032780</v>
      </c>
      <c r="D20" s="122"/>
      <c r="E20" s="122">
        <v>0</v>
      </c>
      <c r="F20" s="122">
        <v>0</v>
      </c>
      <c r="G20" s="122">
        <v>0</v>
      </c>
      <c r="H20" s="122">
        <v>0</v>
      </c>
      <c r="I20" s="124"/>
      <c r="J20" s="125">
        <f t="shared" si="0"/>
        <v>0</v>
      </c>
      <c r="K20" s="124"/>
      <c r="L20" s="116">
        <f t="shared" si="1"/>
        <v>3016390</v>
      </c>
      <c r="M20" s="116">
        <f t="shared" si="2"/>
        <v>0</v>
      </c>
      <c r="N20" s="116"/>
      <c r="O20" s="116">
        <f>IFERROR(VLOOKUP(A20,$A:$H,8,0),0)+IFERROR(VLOOKUP(A20,[1]모바일!$A:$S,19,0),0)</f>
        <v>1092241.6666666667</v>
      </c>
      <c r="P20" s="124"/>
      <c r="Q20" s="193">
        <f>IFERROR(VLOOKUP(A20,[1]유통플랫폼!$A:$C,3,0),)</f>
        <v>0</v>
      </c>
    </row>
    <row r="21" spans="1:17" x14ac:dyDescent="0.25">
      <c r="A21" s="181" t="s">
        <v>24</v>
      </c>
      <c r="B21" s="122">
        <v>1733790</v>
      </c>
      <c r="C21" s="122">
        <v>1733790</v>
      </c>
      <c r="D21" s="122"/>
      <c r="E21" s="122">
        <v>0</v>
      </c>
      <c r="F21" s="122">
        <v>0</v>
      </c>
      <c r="G21" s="122">
        <v>0</v>
      </c>
      <c r="H21" s="122">
        <v>0</v>
      </c>
      <c r="I21" s="124"/>
      <c r="J21" s="125">
        <f t="shared" si="0"/>
        <v>0</v>
      </c>
      <c r="K21" s="124"/>
      <c r="L21" s="116">
        <f t="shared" si="1"/>
        <v>866895</v>
      </c>
      <c r="M21" s="116">
        <f t="shared" si="2"/>
        <v>0</v>
      </c>
      <c r="N21" s="116"/>
      <c r="O21" s="116">
        <f>IFERROR(VLOOKUP(A21,$A:$H,8,0),0)+IFERROR(VLOOKUP(A21,[1]모바일!$A:$S,19,0),0)</f>
        <v>5918758.333333334</v>
      </c>
      <c r="P21" s="124"/>
      <c r="Q21" s="193">
        <f>IFERROR(VLOOKUP(A21,[1]유통플랫폼!$A:$C,3,0),)</f>
        <v>0</v>
      </c>
    </row>
    <row r="22" spans="1:17" x14ac:dyDescent="0.25">
      <c r="A22" s="181" t="s">
        <v>25</v>
      </c>
      <c r="B22" s="122">
        <v>7440000</v>
      </c>
      <c r="C22" s="122">
        <v>7440000</v>
      </c>
      <c r="D22" s="122"/>
      <c r="E22" s="122">
        <v>0</v>
      </c>
      <c r="F22" s="122">
        <v>0</v>
      </c>
      <c r="G22" s="122">
        <v>0</v>
      </c>
      <c r="H22" s="122">
        <v>0</v>
      </c>
      <c r="I22" s="124"/>
      <c r="J22" s="125">
        <f t="shared" si="0"/>
        <v>0</v>
      </c>
      <c r="K22" s="124"/>
      <c r="L22" s="116">
        <f t="shared" si="1"/>
        <v>3720000</v>
      </c>
      <c r="M22" s="116">
        <f t="shared" si="2"/>
        <v>0</v>
      </c>
      <c r="N22" s="116"/>
      <c r="O22" s="116">
        <f>IFERROR(VLOOKUP(A22,$A:$H,8,0),0)+IFERROR(VLOOKUP(A22,[1]모바일!$A:$S,19,0),0)</f>
        <v>3875000</v>
      </c>
      <c r="P22" s="124"/>
      <c r="Q22" s="193">
        <f>IFERROR(VLOOKUP(A22,[1]유통플랫폼!$A:$C,3,0),)</f>
        <v>0</v>
      </c>
    </row>
    <row r="23" spans="1:17" x14ac:dyDescent="0.25">
      <c r="A23" s="181" t="s">
        <v>26</v>
      </c>
      <c r="B23" s="122">
        <v>40696250</v>
      </c>
      <c r="C23" s="122">
        <v>40696250</v>
      </c>
      <c r="D23" s="122"/>
      <c r="E23" s="122">
        <v>0</v>
      </c>
      <c r="F23" s="122">
        <v>0</v>
      </c>
      <c r="G23" s="122">
        <v>0</v>
      </c>
      <c r="H23" s="122">
        <v>0</v>
      </c>
      <c r="I23" s="124"/>
      <c r="J23" s="125">
        <f t="shared" si="0"/>
        <v>0</v>
      </c>
      <c r="K23" s="124"/>
      <c r="L23" s="116">
        <f t="shared" si="1"/>
        <v>20348125</v>
      </c>
      <c r="M23" s="116">
        <f t="shared" si="2"/>
        <v>0</v>
      </c>
      <c r="N23" s="116"/>
      <c r="O23" s="116">
        <f>IFERROR(VLOOKUP(A23,$A:$H,8,0),0)+IFERROR(VLOOKUP(A23,[1]모바일!$A:$S,19,0),0)</f>
        <v>140333038.33333331</v>
      </c>
      <c r="P23" s="124"/>
      <c r="Q23" s="193">
        <f>IFERROR(VLOOKUP(A23,[1]유통플랫폼!$A:$C,3,0),)</f>
        <v>0</v>
      </c>
    </row>
    <row r="24" spans="1:17" x14ac:dyDescent="0.25">
      <c r="A24" s="181" t="s">
        <v>27</v>
      </c>
      <c r="B24" s="122">
        <v>6009850</v>
      </c>
      <c r="C24" s="122">
        <v>6009850</v>
      </c>
      <c r="D24" s="122"/>
      <c r="E24" s="122">
        <v>0</v>
      </c>
      <c r="F24" s="122">
        <v>0</v>
      </c>
      <c r="G24" s="122">
        <v>0</v>
      </c>
      <c r="H24" s="122">
        <v>0</v>
      </c>
      <c r="I24" s="124"/>
      <c r="J24" s="125">
        <f t="shared" si="0"/>
        <v>0</v>
      </c>
      <c r="K24" s="124"/>
      <c r="L24" s="116">
        <f t="shared" si="1"/>
        <v>3004925</v>
      </c>
      <c r="M24" s="116">
        <f t="shared" si="2"/>
        <v>0</v>
      </c>
      <c r="N24" s="116"/>
      <c r="O24" s="116">
        <f>IFERROR(VLOOKUP(A24,$A:$H,8,0),0)+IFERROR(VLOOKUP(A24,[1]모바일!$A:$S,19,0),0)</f>
        <v>23685065</v>
      </c>
      <c r="P24" s="124"/>
      <c r="Q24" s="193">
        <f>IFERROR(VLOOKUP(A24,[1]유통플랫폼!$A:$C,3,0),)</f>
        <v>0</v>
      </c>
    </row>
    <row r="25" spans="1:17" x14ac:dyDescent="0.25">
      <c r="A25" s="181" t="s">
        <v>29</v>
      </c>
      <c r="B25" s="122">
        <v>2703000</v>
      </c>
      <c r="C25" s="122">
        <v>2703000</v>
      </c>
      <c r="D25" s="122"/>
      <c r="E25" s="122">
        <v>0</v>
      </c>
      <c r="F25" s="122">
        <v>0</v>
      </c>
      <c r="G25" s="122">
        <v>0</v>
      </c>
      <c r="H25" s="122">
        <v>0</v>
      </c>
      <c r="I25" s="124"/>
      <c r="J25" s="125">
        <f t="shared" si="0"/>
        <v>0</v>
      </c>
      <c r="K25" s="124"/>
      <c r="L25" s="116">
        <f t="shared" si="1"/>
        <v>1351500</v>
      </c>
      <c r="M25" s="116">
        <f t="shared" si="2"/>
        <v>0</v>
      </c>
      <c r="N25" s="116"/>
      <c r="O25" s="116">
        <f>IFERROR(VLOOKUP(A25,$A:$H,8,0),0)+IFERROR(VLOOKUP(A25,[1]모바일!$A:$S,19,0),0)</f>
        <v>9576500</v>
      </c>
      <c r="P25" s="124"/>
      <c r="Q25" s="193">
        <f>IFERROR(VLOOKUP(A25,[1]유통플랫폼!$A:$C,3,0),)</f>
        <v>0</v>
      </c>
    </row>
    <row r="26" spans="1:17" x14ac:dyDescent="0.25">
      <c r="A26" s="181" t="s">
        <v>30</v>
      </c>
      <c r="B26" s="122">
        <v>271370</v>
      </c>
      <c r="C26" s="122">
        <v>271370</v>
      </c>
      <c r="D26" s="122"/>
      <c r="E26" s="122">
        <v>0</v>
      </c>
      <c r="F26" s="122">
        <v>0</v>
      </c>
      <c r="G26" s="122">
        <v>0</v>
      </c>
      <c r="H26" s="122">
        <v>0</v>
      </c>
      <c r="I26" s="124"/>
      <c r="J26" s="125">
        <f t="shared" si="0"/>
        <v>0</v>
      </c>
      <c r="K26" s="124"/>
      <c r="L26" s="116">
        <f t="shared" si="1"/>
        <v>135685</v>
      </c>
      <c r="M26" s="116">
        <f t="shared" si="2"/>
        <v>0</v>
      </c>
      <c r="N26" s="116"/>
      <c r="O26" s="116">
        <f>IFERROR(VLOOKUP(A26,$A:$H,8,0),0)+IFERROR(VLOOKUP(A26,[1]모바일!$A:$S,19,0),0)</f>
        <v>0</v>
      </c>
      <c r="P26" s="124"/>
      <c r="Q26" s="193">
        <f>IFERROR(VLOOKUP(A26,[1]유통플랫폼!$A:$C,3,0),)</f>
        <v>0</v>
      </c>
    </row>
    <row r="27" spans="1:17" x14ac:dyDescent="0.25">
      <c r="A27" s="181" t="s">
        <v>31</v>
      </c>
      <c r="B27" s="122">
        <v>580920</v>
      </c>
      <c r="C27" s="122">
        <v>580920</v>
      </c>
      <c r="D27" s="122"/>
      <c r="E27" s="122">
        <v>0</v>
      </c>
      <c r="F27" s="122">
        <v>0</v>
      </c>
      <c r="G27" s="122">
        <v>0</v>
      </c>
      <c r="H27" s="122">
        <v>0</v>
      </c>
      <c r="I27" s="124"/>
      <c r="J27" s="125">
        <f t="shared" si="0"/>
        <v>0</v>
      </c>
      <c r="K27" s="124"/>
      <c r="L27" s="116">
        <f t="shared" si="1"/>
        <v>290460</v>
      </c>
      <c r="M27" s="116">
        <f t="shared" si="2"/>
        <v>0</v>
      </c>
      <c r="N27" s="116"/>
      <c r="O27" s="116">
        <f>IFERROR(VLOOKUP(A27,$A:$H,8,0),0)+IFERROR(VLOOKUP(A27,[1]모바일!$A:$S,19,0),0)</f>
        <v>195058.33333333331</v>
      </c>
      <c r="P27" s="124"/>
      <c r="Q27" s="193">
        <f>IFERROR(VLOOKUP(A27,[1]유통플랫폼!$A:$C,3,0),)</f>
        <v>0</v>
      </c>
    </row>
    <row r="28" spans="1:17" x14ac:dyDescent="0.25">
      <c r="A28" s="181" t="s">
        <v>302</v>
      </c>
      <c r="B28" s="122">
        <v>7500000</v>
      </c>
      <c r="C28" s="122">
        <v>7500000</v>
      </c>
      <c r="D28" s="122"/>
      <c r="E28" s="122">
        <v>0</v>
      </c>
      <c r="F28" s="122">
        <v>0</v>
      </c>
      <c r="G28" s="122">
        <v>0</v>
      </c>
      <c r="H28" s="122">
        <v>0</v>
      </c>
      <c r="I28" s="124"/>
      <c r="J28" s="125">
        <f t="shared" si="0"/>
        <v>0</v>
      </c>
      <c r="K28" s="124"/>
      <c r="L28" s="116">
        <f t="shared" si="1"/>
        <v>3750000</v>
      </c>
      <c r="M28" s="116">
        <f t="shared" si="2"/>
        <v>0</v>
      </c>
      <c r="N28" s="116"/>
      <c r="O28" s="116">
        <f>IFERROR(VLOOKUP(A28,$A:$H,8,0),0)+IFERROR(VLOOKUP(A28,[1]모바일!$A:$S,19,0),0)</f>
        <v>9500000</v>
      </c>
      <c r="P28" s="124"/>
      <c r="Q28" s="193">
        <f>IFERROR(VLOOKUP(A28,[1]유통플랫폼!$A:$C,3,0),)</f>
        <v>0</v>
      </c>
    </row>
    <row r="29" spans="1:17" x14ac:dyDescent="0.25">
      <c r="A29" s="181" t="s">
        <v>33</v>
      </c>
      <c r="B29" s="122">
        <v>92280640</v>
      </c>
      <c r="C29" s="122">
        <v>92280640</v>
      </c>
      <c r="D29" s="122"/>
      <c r="E29" s="122">
        <v>0</v>
      </c>
      <c r="F29" s="122">
        <v>0</v>
      </c>
      <c r="G29" s="122">
        <v>0</v>
      </c>
      <c r="H29" s="122">
        <v>0</v>
      </c>
      <c r="I29" s="124"/>
      <c r="J29" s="125">
        <f t="shared" si="0"/>
        <v>0</v>
      </c>
      <c r="K29" s="124"/>
      <c r="L29" s="116">
        <f t="shared" si="1"/>
        <v>46140320</v>
      </c>
      <c r="M29" s="116">
        <f t="shared" si="2"/>
        <v>0</v>
      </c>
      <c r="N29" s="116"/>
      <c r="O29" s="116">
        <f>IFERROR(VLOOKUP(A29,$A:$H,8,0),0)+IFERROR(VLOOKUP(A29,[1]모바일!$A:$S,19,0),0)</f>
        <v>57238780</v>
      </c>
      <c r="P29" s="124"/>
      <c r="Q29" s="193">
        <f>IFERROR(VLOOKUP(A29,[1]유통플랫폼!$A:$C,3,0),)</f>
        <v>0</v>
      </c>
    </row>
    <row r="30" spans="1:17" x14ac:dyDescent="0.25">
      <c r="A30" s="181" t="s">
        <v>34</v>
      </c>
      <c r="B30" s="122">
        <v>36667830</v>
      </c>
      <c r="C30" s="122">
        <v>36667830</v>
      </c>
      <c r="D30" s="122"/>
      <c r="E30" s="122">
        <v>0</v>
      </c>
      <c r="F30" s="122">
        <v>0</v>
      </c>
      <c r="G30" s="122">
        <v>0</v>
      </c>
      <c r="H30" s="122">
        <v>0</v>
      </c>
      <c r="I30" s="124"/>
      <c r="J30" s="125">
        <f t="shared" si="0"/>
        <v>0</v>
      </c>
      <c r="K30" s="124"/>
      <c r="L30" s="116">
        <f t="shared" si="1"/>
        <v>18333915</v>
      </c>
      <c r="M30" s="116">
        <f t="shared" si="2"/>
        <v>0</v>
      </c>
      <c r="N30" s="116"/>
      <c r="O30" s="116">
        <f>IFERROR(VLOOKUP(A30,$A:$H,8,0),0)+IFERROR(VLOOKUP(A30,[1]모바일!$A:$S,19,0),0)</f>
        <v>19650525</v>
      </c>
      <c r="P30" s="124"/>
      <c r="Q30" s="193">
        <f>IFERROR(VLOOKUP(A30,[1]유통플랫폼!$A:$C,3,0),)</f>
        <v>0</v>
      </c>
    </row>
    <row r="31" spans="1:17" x14ac:dyDescent="0.25">
      <c r="A31" s="181" t="s">
        <v>179</v>
      </c>
      <c r="B31" s="122">
        <v>50443360</v>
      </c>
      <c r="C31" s="122">
        <v>50443360</v>
      </c>
      <c r="D31" s="122"/>
      <c r="E31" s="122">
        <v>0</v>
      </c>
      <c r="F31" s="122">
        <v>0</v>
      </c>
      <c r="G31" s="122">
        <v>0</v>
      </c>
      <c r="H31" s="122">
        <v>0</v>
      </c>
      <c r="I31" s="124"/>
      <c r="J31" s="125">
        <f t="shared" si="0"/>
        <v>0</v>
      </c>
      <c r="K31" s="124"/>
      <c r="L31" s="116">
        <f t="shared" si="1"/>
        <v>25221680</v>
      </c>
      <c r="M31" s="116">
        <f t="shared" si="2"/>
        <v>0</v>
      </c>
      <c r="N31" s="116"/>
      <c r="O31" s="116">
        <f>IFERROR(VLOOKUP(A31,$A:$H,8,0),0)+IFERROR(VLOOKUP(A31,[1]모바일!$A:$S,19,0),0)</f>
        <v>29008416.666666664</v>
      </c>
      <c r="P31" s="124"/>
      <c r="Q31" s="193">
        <f>IFERROR(VLOOKUP(A31,[1]유통플랫폼!$A:$C,3,0),)</f>
        <v>0</v>
      </c>
    </row>
    <row r="32" spans="1:17" x14ac:dyDescent="0.25">
      <c r="A32" s="181" t="s">
        <v>35</v>
      </c>
      <c r="B32" s="122">
        <v>5169450</v>
      </c>
      <c r="C32" s="122">
        <v>5169450</v>
      </c>
      <c r="D32" s="122"/>
      <c r="E32" s="122">
        <v>0</v>
      </c>
      <c r="F32" s="122">
        <v>0</v>
      </c>
      <c r="G32" s="122">
        <v>0</v>
      </c>
      <c r="H32" s="122">
        <v>0</v>
      </c>
      <c r="I32" s="124"/>
      <c r="J32" s="125">
        <f t="shared" si="0"/>
        <v>0</v>
      </c>
      <c r="K32" s="124"/>
      <c r="L32" s="116">
        <f t="shared" si="1"/>
        <v>2584725</v>
      </c>
      <c r="M32" s="116">
        <f t="shared" si="2"/>
        <v>0</v>
      </c>
      <c r="N32" s="116"/>
      <c r="O32" s="116">
        <f>IFERROR(VLOOKUP(A32,$A:$H,8,0),0)+IFERROR(VLOOKUP(A32,[1]모바일!$A:$S,19,0),0)</f>
        <v>8579838.333333334</v>
      </c>
      <c r="P32" s="124"/>
      <c r="Q32" s="193">
        <f>IFERROR(VLOOKUP(A32,[1]유통플랫폼!$A:$C,3,0),)</f>
        <v>0</v>
      </c>
    </row>
    <row r="33" spans="1:17" x14ac:dyDescent="0.25">
      <c r="A33" s="181" t="s">
        <v>36</v>
      </c>
      <c r="B33" s="122">
        <v>35673714</v>
      </c>
      <c r="C33" s="122">
        <v>35673714</v>
      </c>
      <c r="D33" s="122"/>
      <c r="E33" s="122">
        <v>0</v>
      </c>
      <c r="F33" s="122">
        <v>0</v>
      </c>
      <c r="G33" s="122">
        <v>0</v>
      </c>
      <c r="H33" s="122">
        <v>0</v>
      </c>
      <c r="I33" s="124"/>
      <c r="J33" s="125">
        <f t="shared" si="0"/>
        <v>0</v>
      </c>
      <c r="K33" s="124"/>
      <c r="L33" s="116">
        <f t="shared" si="1"/>
        <v>17836857</v>
      </c>
      <c r="M33" s="116">
        <f t="shared" si="2"/>
        <v>0</v>
      </c>
      <c r="N33" s="116"/>
      <c r="O33" s="116">
        <f>IFERROR(VLOOKUP(A33,$A:$H,8,0),0)+IFERROR(VLOOKUP(A33,[1]모바일!$A:$S,19,0),0)</f>
        <v>34585780.833333336</v>
      </c>
      <c r="P33" s="124"/>
      <c r="Q33" s="193">
        <f>IFERROR(VLOOKUP(A33,[1]유통플랫폼!$A:$C,3,0),)</f>
        <v>0</v>
      </c>
    </row>
    <row r="34" spans="1:17" x14ac:dyDescent="0.25">
      <c r="A34" s="181" t="s">
        <v>37</v>
      </c>
      <c r="B34" s="122">
        <v>35673714</v>
      </c>
      <c r="C34" s="122">
        <v>35673714</v>
      </c>
      <c r="D34" s="122"/>
      <c r="E34" s="122">
        <v>0</v>
      </c>
      <c r="F34" s="122">
        <v>0</v>
      </c>
      <c r="G34" s="122">
        <v>0</v>
      </c>
      <c r="H34" s="122">
        <v>0</v>
      </c>
      <c r="I34" s="124"/>
      <c r="J34" s="125">
        <f t="shared" si="0"/>
        <v>0</v>
      </c>
      <c r="K34" s="124"/>
      <c r="L34" s="116">
        <f t="shared" si="1"/>
        <v>17836857</v>
      </c>
      <c r="M34" s="116">
        <f t="shared" si="2"/>
        <v>0</v>
      </c>
      <c r="N34" s="116"/>
      <c r="O34" s="116">
        <f>IFERROR(VLOOKUP(A34,$A:$H,8,0),0)+IFERROR(VLOOKUP(A34,[1]모바일!$A:$S,19,0),0)</f>
        <v>34585780.833333336</v>
      </c>
      <c r="P34" s="124"/>
      <c r="Q34" s="193">
        <f>IFERROR(VLOOKUP(A34,[1]유통플랫폼!$A:$C,3,0),)</f>
        <v>0</v>
      </c>
    </row>
    <row r="35" spans="1:17" x14ac:dyDescent="0.25">
      <c r="A35" s="181" t="s">
        <v>181</v>
      </c>
      <c r="B35" s="122">
        <v>2000000</v>
      </c>
      <c r="C35" s="122">
        <v>2000000</v>
      </c>
      <c r="D35" s="122"/>
      <c r="E35" s="122">
        <v>0</v>
      </c>
      <c r="F35" s="122">
        <v>0</v>
      </c>
      <c r="G35" s="122">
        <v>0</v>
      </c>
      <c r="H35" s="122">
        <v>0</v>
      </c>
      <c r="I35" s="124"/>
      <c r="J35" s="125">
        <f t="shared" si="0"/>
        <v>0</v>
      </c>
      <c r="K35" s="124"/>
      <c r="L35" s="116">
        <f t="shared" si="1"/>
        <v>1000000</v>
      </c>
      <c r="M35" s="116">
        <f t="shared" si="2"/>
        <v>0</v>
      </c>
      <c r="N35" s="116"/>
      <c r="O35" s="116">
        <f>IFERROR(VLOOKUP(A35,$A:$H,8,0),0)+IFERROR(VLOOKUP(A35,[1]모바일!$A:$S,19,0),0)</f>
        <v>833333.33333333326</v>
      </c>
      <c r="P35" s="124"/>
      <c r="Q35" s="193">
        <f>IFERROR(VLOOKUP(A35,[1]유통플랫폼!$A:$C,3,0),)</f>
        <v>0</v>
      </c>
    </row>
    <row r="36" spans="1:17" x14ac:dyDescent="0.25">
      <c r="A36" s="181" t="s">
        <v>372</v>
      </c>
      <c r="B36" s="122">
        <v>2000000</v>
      </c>
      <c r="C36" s="122">
        <v>2000000</v>
      </c>
      <c r="D36" s="122"/>
      <c r="E36" s="122">
        <v>0</v>
      </c>
      <c r="F36" s="122">
        <v>0</v>
      </c>
      <c r="G36" s="122">
        <v>0</v>
      </c>
      <c r="H36" s="122">
        <v>0</v>
      </c>
      <c r="I36" s="124"/>
      <c r="J36" s="125">
        <f t="shared" si="0"/>
        <v>0</v>
      </c>
      <c r="K36" s="124"/>
      <c r="L36" s="116">
        <f t="shared" si="1"/>
        <v>1000000</v>
      </c>
      <c r="M36" s="116">
        <f t="shared" si="2"/>
        <v>0</v>
      </c>
      <c r="N36" s="116"/>
      <c r="O36" s="116">
        <f>IFERROR(VLOOKUP(A36,$A:$H,8,0),0)+IFERROR(VLOOKUP(A36,[1]모바일!$A:$S,19,0),0)</f>
        <v>833333.33333333326</v>
      </c>
      <c r="P36" s="124"/>
      <c r="Q36" s="193">
        <f>IFERROR(VLOOKUP(A36,[1]유통플랫폼!$A:$C,3,0),)</f>
        <v>0</v>
      </c>
    </row>
    <row r="37" spans="1:17" x14ac:dyDescent="0.25">
      <c r="A37" s="181" t="s">
        <v>38</v>
      </c>
      <c r="B37" s="122">
        <v>59770791</v>
      </c>
      <c r="C37" s="122">
        <v>59770791</v>
      </c>
      <c r="D37" s="122"/>
      <c r="E37" s="122">
        <v>0</v>
      </c>
      <c r="F37" s="122">
        <v>0</v>
      </c>
      <c r="G37" s="122">
        <v>0</v>
      </c>
      <c r="H37" s="122">
        <v>0</v>
      </c>
      <c r="I37" s="124"/>
      <c r="J37" s="125">
        <f t="shared" si="0"/>
        <v>0</v>
      </c>
      <c r="K37" s="124"/>
      <c r="L37" s="116">
        <f t="shared" si="1"/>
        <v>29885395.5</v>
      </c>
      <c r="M37" s="116">
        <f t="shared" si="2"/>
        <v>0</v>
      </c>
      <c r="N37" s="116"/>
      <c r="O37" s="116">
        <f>IFERROR(VLOOKUP(A37,$A:$H,8,0),0)+IFERROR(VLOOKUP(A37,[1]모바일!$A:$S,19,0),0)</f>
        <v>71319397</v>
      </c>
      <c r="P37" s="124"/>
      <c r="Q37" s="193">
        <f>IFERROR(VLOOKUP(A37,[1]유통플랫폼!$A:$C,3,0),)</f>
        <v>0</v>
      </c>
    </row>
    <row r="38" spans="1:17" x14ac:dyDescent="0.25">
      <c r="A38" s="181" t="s">
        <v>40</v>
      </c>
      <c r="B38" s="122">
        <v>3156074</v>
      </c>
      <c r="C38" s="122">
        <v>3156074</v>
      </c>
      <c r="D38" s="122"/>
      <c r="E38" s="122">
        <v>0</v>
      </c>
      <c r="F38" s="122">
        <v>0</v>
      </c>
      <c r="G38" s="122">
        <v>0</v>
      </c>
      <c r="H38" s="122">
        <v>0</v>
      </c>
      <c r="I38" s="124"/>
      <c r="J38" s="125">
        <f t="shared" si="0"/>
        <v>0</v>
      </c>
      <c r="K38" s="124"/>
      <c r="L38" s="116">
        <f t="shared" si="1"/>
        <v>1578037</v>
      </c>
      <c r="M38" s="116">
        <f t="shared" si="2"/>
        <v>0</v>
      </c>
      <c r="N38" s="116"/>
      <c r="O38" s="116">
        <f>IFERROR(VLOOKUP(A38,$A:$H,8,0),0)+IFERROR(VLOOKUP(A38,[1]모바일!$A:$S,19,0),0)</f>
        <v>3288040.5</v>
      </c>
      <c r="P38" s="124"/>
      <c r="Q38" s="193">
        <f>IFERROR(VLOOKUP(A38,[1]유통플랫폼!$A:$C,3,0),)</f>
        <v>0</v>
      </c>
    </row>
    <row r="39" spans="1:17" x14ac:dyDescent="0.25">
      <c r="A39" s="181" t="s">
        <v>41</v>
      </c>
      <c r="B39" s="122">
        <v>17170730</v>
      </c>
      <c r="C39" s="122">
        <v>17170730</v>
      </c>
      <c r="D39" s="122"/>
      <c r="E39" s="122">
        <v>0</v>
      </c>
      <c r="F39" s="122">
        <v>0</v>
      </c>
      <c r="G39" s="122">
        <v>0</v>
      </c>
      <c r="H39" s="122">
        <v>0</v>
      </c>
      <c r="I39" s="124"/>
      <c r="J39" s="125">
        <f t="shared" si="0"/>
        <v>0</v>
      </c>
      <c r="K39" s="124"/>
      <c r="L39" s="116">
        <f t="shared" si="1"/>
        <v>8585365</v>
      </c>
      <c r="M39" s="116">
        <f t="shared" si="2"/>
        <v>0</v>
      </c>
      <c r="N39" s="116"/>
      <c r="O39" s="116">
        <f>IFERROR(VLOOKUP(A39,$A:$H,8,0),0)+IFERROR(VLOOKUP(A39,[1]모바일!$A:$S,19,0),0)</f>
        <v>16619755</v>
      </c>
      <c r="P39" s="124"/>
      <c r="Q39" s="193">
        <f>IFERROR(VLOOKUP(A39,[1]유통플랫폼!$A:$C,3,0),)</f>
        <v>0</v>
      </c>
    </row>
    <row r="40" spans="1:17" x14ac:dyDescent="0.25">
      <c r="A40" s="181" t="s">
        <v>42</v>
      </c>
      <c r="B40" s="122">
        <v>13740310</v>
      </c>
      <c r="C40" s="122">
        <v>13740310</v>
      </c>
      <c r="D40" s="122"/>
      <c r="E40" s="122">
        <v>0</v>
      </c>
      <c r="F40" s="122">
        <v>0</v>
      </c>
      <c r="G40" s="122">
        <v>0</v>
      </c>
      <c r="H40" s="122">
        <v>0</v>
      </c>
      <c r="I40" s="124"/>
      <c r="J40" s="125">
        <f t="shared" si="0"/>
        <v>0</v>
      </c>
      <c r="K40" s="124"/>
      <c r="L40" s="116">
        <f t="shared" si="1"/>
        <v>6870155</v>
      </c>
      <c r="M40" s="116">
        <f t="shared" si="2"/>
        <v>0</v>
      </c>
      <c r="N40" s="116"/>
      <c r="O40" s="116">
        <f>IFERROR(VLOOKUP(A40,$A:$H,8,0),0)+IFERROR(VLOOKUP(A40,[1]모바일!$A:$S,19,0),0)</f>
        <v>14586550</v>
      </c>
      <c r="P40" s="124"/>
      <c r="Q40" s="193">
        <f>IFERROR(VLOOKUP(A40,[1]유통플랫폼!$A:$C,3,0),)</f>
        <v>0</v>
      </c>
    </row>
    <row r="41" spans="1:17" x14ac:dyDescent="0.25">
      <c r="A41" s="181" t="s">
        <v>43</v>
      </c>
      <c r="B41" s="122">
        <v>6940814</v>
      </c>
      <c r="C41" s="122">
        <v>6940814</v>
      </c>
      <c r="D41" s="122"/>
      <c r="E41" s="122">
        <v>0</v>
      </c>
      <c r="F41" s="122">
        <v>0</v>
      </c>
      <c r="G41" s="122">
        <v>0</v>
      </c>
      <c r="H41" s="122">
        <v>0</v>
      </c>
      <c r="I41" s="124"/>
      <c r="J41" s="125">
        <f t="shared" si="0"/>
        <v>0</v>
      </c>
      <c r="K41" s="124"/>
      <c r="L41" s="116">
        <f t="shared" si="1"/>
        <v>3470407</v>
      </c>
      <c r="M41" s="116">
        <f t="shared" si="2"/>
        <v>0</v>
      </c>
      <c r="N41" s="116"/>
      <c r="O41" s="116">
        <f>IFERROR(VLOOKUP(A41,$A:$H,8,0),0)+IFERROR(VLOOKUP(A41,[1]모바일!$A:$S,19,0),0)</f>
        <v>7300780.5</v>
      </c>
      <c r="P41" s="124"/>
      <c r="Q41" s="193">
        <f>IFERROR(VLOOKUP(A41,[1]유통플랫폼!$A:$C,3,0),)</f>
        <v>0</v>
      </c>
    </row>
    <row r="42" spans="1:17" x14ac:dyDescent="0.25">
      <c r="A42" s="181" t="s">
        <v>44</v>
      </c>
      <c r="B42" s="122">
        <v>535000</v>
      </c>
      <c r="C42" s="122">
        <v>535000</v>
      </c>
      <c r="D42" s="122"/>
      <c r="E42" s="122">
        <v>0</v>
      </c>
      <c r="F42" s="122">
        <v>0</v>
      </c>
      <c r="G42" s="122">
        <v>0</v>
      </c>
      <c r="H42" s="122">
        <v>0</v>
      </c>
      <c r="I42" s="124"/>
      <c r="J42" s="125">
        <f t="shared" si="0"/>
        <v>0</v>
      </c>
      <c r="K42" s="124"/>
      <c r="L42" s="116">
        <f t="shared" si="1"/>
        <v>267500</v>
      </c>
      <c r="M42" s="116">
        <f t="shared" si="2"/>
        <v>0</v>
      </c>
      <c r="N42" s="116"/>
      <c r="O42" s="116">
        <f>IFERROR(VLOOKUP(A42,$A:$H,8,0),0)+IFERROR(VLOOKUP(A42,[1]모바일!$A:$S,19,0),0)</f>
        <v>12561333.333333334</v>
      </c>
      <c r="P42" s="124"/>
      <c r="Q42" s="193">
        <f>IFERROR(VLOOKUP(A42,[1]유통플랫폼!$A:$C,3,0),)</f>
        <v>0</v>
      </c>
    </row>
    <row r="43" spans="1:17" x14ac:dyDescent="0.25">
      <c r="A43" s="181" t="s">
        <v>45</v>
      </c>
      <c r="B43" s="122">
        <v>3500000</v>
      </c>
      <c r="C43" s="122">
        <v>3500000</v>
      </c>
      <c r="D43" s="122"/>
      <c r="E43" s="122">
        <v>0</v>
      </c>
      <c r="F43" s="122">
        <v>0</v>
      </c>
      <c r="G43" s="122">
        <v>0</v>
      </c>
      <c r="H43" s="122">
        <v>0</v>
      </c>
      <c r="I43" s="124"/>
      <c r="J43" s="125">
        <f t="shared" si="0"/>
        <v>0</v>
      </c>
      <c r="K43" s="124"/>
      <c r="L43" s="116">
        <f t="shared" si="1"/>
        <v>1750000</v>
      </c>
      <c r="M43" s="116">
        <f t="shared" si="2"/>
        <v>0</v>
      </c>
      <c r="N43" s="116"/>
      <c r="O43" s="116">
        <f>IFERROR(VLOOKUP(A43,$A:$H,8,0),0)+IFERROR(VLOOKUP(A43,[1]모바일!$A:$S,19,0),0)</f>
        <v>4083333.333333333</v>
      </c>
      <c r="P43" s="124"/>
      <c r="Q43" s="193">
        <f>IFERROR(VLOOKUP(A43,[1]유통플랫폼!$A:$C,3,0),)</f>
        <v>0</v>
      </c>
    </row>
    <row r="44" spans="1:17" x14ac:dyDescent="0.25">
      <c r="A44" s="181" t="s">
        <v>47</v>
      </c>
      <c r="B44" s="122">
        <v>937913</v>
      </c>
      <c r="C44" s="122">
        <v>937913</v>
      </c>
      <c r="D44" s="122"/>
      <c r="E44" s="122">
        <v>0</v>
      </c>
      <c r="F44" s="122">
        <v>0</v>
      </c>
      <c r="G44" s="122">
        <v>0</v>
      </c>
      <c r="H44" s="122">
        <v>0</v>
      </c>
      <c r="I44" s="124"/>
      <c r="J44" s="125">
        <f t="shared" si="0"/>
        <v>0</v>
      </c>
      <c r="K44" s="124"/>
      <c r="L44" s="116">
        <f t="shared" si="1"/>
        <v>468956.5</v>
      </c>
      <c r="M44" s="116">
        <f t="shared" si="2"/>
        <v>0</v>
      </c>
      <c r="N44" s="116"/>
      <c r="O44" s="116">
        <f>IFERROR(VLOOKUP(A44,$A:$H,8,0),0)+IFERROR(VLOOKUP(A44,[1]모바일!$A:$S,19,0),0)</f>
        <v>186551</v>
      </c>
      <c r="P44" s="124"/>
      <c r="Q44" s="193">
        <f>IFERROR(VLOOKUP(A44,[1]유통플랫폼!$A:$C,3,0),)</f>
        <v>0</v>
      </c>
    </row>
    <row r="45" spans="1:17" x14ac:dyDescent="0.25">
      <c r="A45" s="181" t="s">
        <v>48</v>
      </c>
      <c r="B45" s="122">
        <v>3302050</v>
      </c>
      <c r="C45" s="122">
        <v>3302050</v>
      </c>
      <c r="D45" s="122"/>
      <c r="E45" s="122">
        <v>0</v>
      </c>
      <c r="F45" s="122">
        <v>0</v>
      </c>
      <c r="G45" s="122">
        <v>0</v>
      </c>
      <c r="H45" s="122">
        <v>0</v>
      </c>
      <c r="I45" s="124"/>
      <c r="J45" s="125">
        <f t="shared" si="0"/>
        <v>0</v>
      </c>
      <c r="K45" s="124"/>
      <c r="L45" s="116">
        <f t="shared" si="1"/>
        <v>1651025</v>
      </c>
      <c r="M45" s="116">
        <f t="shared" si="2"/>
        <v>0</v>
      </c>
      <c r="N45" s="116"/>
      <c r="O45" s="116">
        <f>IFERROR(VLOOKUP(A45,$A:$H,8,0),0)+IFERROR(VLOOKUP(A45,[1]모바일!$A:$S,19,0),0)</f>
        <v>3078720</v>
      </c>
      <c r="P45" s="124"/>
      <c r="Q45" s="193">
        <f>IFERROR(VLOOKUP(A45,[1]유통플랫폼!$A:$C,3,0),)</f>
        <v>0</v>
      </c>
    </row>
    <row r="46" spans="1:17" x14ac:dyDescent="0.25">
      <c r="A46" s="181" t="s">
        <v>49</v>
      </c>
      <c r="B46" s="122">
        <v>909300</v>
      </c>
      <c r="C46" s="122">
        <v>909300</v>
      </c>
      <c r="D46" s="122"/>
      <c r="E46" s="122">
        <v>0</v>
      </c>
      <c r="F46" s="122">
        <v>0</v>
      </c>
      <c r="G46" s="122">
        <v>0</v>
      </c>
      <c r="H46" s="122">
        <v>0</v>
      </c>
      <c r="I46" s="124"/>
      <c r="J46" s="125">
        <f t="shared" si="0"/>
        <v>0</v>
      </c>
      <c r="K46" s="124"/>
      <c r="L46" s="116">
        <f t="shared" si="1"/>
        <v>454650</v>
      </c>
      <c r="M46" s="116">
        <f t="shared" si="2"/>
        <v>0</v>
      </c>
      <c r="N46" s="116"/>
      <c r="O46" s="116">
        <f>IFERROR(VLOOKUP(A46,$A:$H,8,0),0)+IFERROR(VLOOKUP(A46,[1]모바일!$A:$S,19,0),0)</f>
        <v>41000</v>
      </c>
      <c r="P46" s="124"/>
      <c r="Q46" s="193">
        <f>IFERROR(VLOOKUP(A46,[1]유통플랫폼!$A:$C,3,0),)</f>
        <v>0</v>
      </c>
    </row>
    <row r="47" spans="1:17" x14ac:dyDescent="0.25">
      <c r="A47" s="181" t="s">
        <v>50</v>
      </c>
      <c r="B47" s="122">
        <v>500000</v>
      </c>
      <c r="C47" s="122">
        <v>500000</v>
      </c>
      <c r="D47" s="122"/>
      <c r="E47" s="122">
        <v>0</v>
      </c>
      <c r="F47" s="122">
        <v>0</v>
      </c>
      <c r="G47" s="122">
        <v>0</v>
      </c>
      <c r="H47" s="122">
        <v>0</v>
      </c>
      <c r="I47" s="124"/>
      <c r="J47" s="125">
        <f t="shared" si="0"/>
        <v>0</v>
      </c>
      <c r="K47" s="124"/>
      <c r="L47" s="116">
        <f t="shared" si="1"/>
        <v>250000</v>
      </c>
      <c r="M47" s="116">
        <f t="shared" si="2"/>
        <v>0</v>
      </c>
      <c r="N47" s="116"/>
      <c r="O47" s="116">
        <f>IFERROR(VLOOKUP(A47,$A:$H,8,0),0)+IFERROR(VLOOKUP(A47,[1]모바일!$A:$S,19,0),0)</f>
        <v>83333.333333333343</v>
      </c>
      <c r="P47" s="124"/>
      <c r="Q47" s="193">
        <f>IFERROR(VLOOKUP(A47,[1]유통플랫폼!$A:$C,3,0),)</f>
        <v>0</v>
      </c>
    </row>
    <row r="48" spans="1:17" x14ac:dyDescent="0.25">
      <c r="A48" s="181" t="s">
        <v>51</v>
      </c>
      <c r="B48" s="122">
        <v>1300000</v>
      </c>
      <c r="C48" s="122">
        <v>1300000</v>
      </c>
      <c r="D48" s="122"/>
      <c r="E48" s="122">
        <v>0</v>
      </c>
      <c r="F48" s="122">
        <v>0</v>
      </c>
      <c r="G48" s="122">
        <v>0</v>
      </c>
      <c r="H48" s="122">
        <v>0</v>
      </c>
      <c r="I48" s="124"/>
      <c r="J48" s="125">
        <f t="shared" si="0"/>
        <v>0</v>
      </c>
      <c r="K48" s="124"/>
      <c r="L48" s="116">
        <f t="shared" si="1"/>
        <v>650000</v>
      </c>
      <c r="M48" s="116">
        <f t="shared" si="2"/>
        <v>0</v>
      </c>
      <c r="N48" s="116"/>
      <c r="O48" s="116">
        <f>IFERROR(VLOOKUP(A48,$A:$H,8,0),0)+IFERROR(VLOOKUP(A48,[1]모바일!$A:$S,19,0),0)</f>
        <v>183333.33333333334</v>
      </c>
      <c r="P48" s="124"/>
      <c r="Q48" s="193">
        <f>IFERROR(VLOOKUP(A48,[1]유통플랫폼!$A:$C,3,0),)</f>
        <v>0</v>
      </c>
    </row>
    <row r="49" spans="1:17" x14ac:dyDescent="0.25">
      <c r="A49" s="181" t="s">
        <v>184</v>
      </c>
      <c r="B49" s="122">
        <v>1050000</v>
      </c>
      <c r="C49" s="122">
        <v>1050000</v>
      </c>
      <c r="D49" s="122"/>
      <c r="E49" s="122">
        <v>0</v>
      </c>
      <c r="F49" s="122">
        <v>0</v>
      </c>
      <c r="G49" s="122">
        <v>0</v>
      </c>
      <c r="H49" s="122">
        <v>0</v>
      </c>
      <c r="I49" s="124"/>
      <c r="J49" s="125">
        <f t="shared" si="0"/>
        <v>0</v>
      </c>
      <c r="K49" s="124"/>
      <c r="L49" s="116">
        <f t="shared" si="1"/>
        <v>525000</v>
      </c>
      <c r="M49" s="116">
        <f t="shared" si="2"/>
        <v>0</v>
      </c>
      <c r="N49" s="116"/>
      <c r="O49" s="116">
        <f>IFERROR(VLOOKUP(A49,$A:$H,8,0),0)+IFERROR(VLOOKUP(A49,[1]모바일!$A:$S,19,0),0)</f>
        <v>125000</v>
      </c>
      <c r="P49" s="124"/>
      <c r="Q49" s="193">
        <f>IFERROR(VLOOKUP(A49,[1]유통플랫폼!$A:$C,3,0),)</f>
        <v>0</v>
      </c>
    </row>
    <row r="50" spans="1:17" x14ac:dyDescent="0.25">
      <c r="A50" s="181" t="s">
        <v>53</v>
      </c>
      <c r="B50" s="122">
        <v>6450000</v>
      </c>
      <c r="C50" s="122">
        <v>6450000</v>
      </c>
      <c r="D50" s="122"/>
      <c r="E50" s="122">
        <v>0</v>
      </c>
      <c r="F50" s="122">
        <v>0</v>
      </c>
      <c r="G50" s="122">
        <v>0</v>
      </c>
      <c r="H50" s="122">
        <v>0</v>
      </c>
      <c r="I50" s="124"/>
      <c r="J50" s="125">
        <f t="shared" si="0"/>
        <v>0</v>
      </c>
      <c r="K50" s="124"/>
      <c r="L50" s="116">
        <f t="shared" si="1"/>
        <v>3225000</v>
      </c>
      <c r="M50" s="116">
        <f t="shared" si="2"/>
        <v>0</v>
      </c>
      <c r="N50" s="116"/>
      <c r="O50" s="116">
        <f>IFERROR(VLOOKUP(A50,$A:$H,8,0),0)+IFERROR(VLOOKUP(A50,[1]모바일!$A:$S,19,0),0)</f>
        <v>8858333.3333333321</v>
      </c>
      <c r="P50" s="124"/>
      <c r="Q50" s="193">
        <f>IFERROR(VLOOKUP(A50,[1]유통플랫폼!$A:$C,3,0),)</f>
        <v>0</v>
      </c>
    </row>
    <row r="51" spans="1:17" x14ac:dyDescent="0.25">
      <c r="A51" s="181" t="s">
        <v>54</v>
      </c>
      <c r="B51" s="122">
        <v>228600</v>
      </c>
      <c r="C51" s="122">
        <v>228600</v>
      </c>
      <c r="D51" s="122"/>
      <c r="E51" s="122">
        <v>0</v>
      </c>
      <c r="F51" s="122">
        <v>0</v>
      </c>
      <c r="G51" s="122">
        <v>0</v>
      </c>
      <c r="H51" s="122">
        <v>0</v>
      </c>
      <c r="I51" s="124"/>
      <c r="J51" s="125">
        <f t="shared" si="0"/>
        <v>0</v>
      </c>
      <c r="K51" s="124"/>
      <c r="L51" s="116">
        <f t="shared" si="1"/>
        <v>114300</v>
      </c>
      <c r="M51" s="116">
        <f t="shared" si="2"/>
        <v>0</v>
      </c>
      <c r="N51" s="116"/>
      <c r="O51" s="116">
        <f>IFERROR(VLOOKUP(A51,$A:$H,8,0),0)+IFERROR(VLOOKUP(A51,[1]모바일!$A:$S,19,0),0)</f>
        <v>128333.33333333334</v>
      </c>
      <c r="P51" s="124"/>
      <c r="Q51" s="193">
        <f>IFERROR(VLOOKUP(A51,[1]유통플랫폼!$A:$C,3,0),)</f>
        <v>0</v>
      </c>
    </row>
    <row r="52" spans="1:17" x14ac:dyDescent="0.25">
      <c r="A52" s="181" t="s">
        <v>56</v>
      </c>
      <c r="B52" s="122">
        <v>50000</v>
      </c>
      <c r="C52" s="122">
        <v>50000</v>
      </c>
      <c r="D52" s="122"/>
      <c r="E52" s="122">
        <v>0</v>
      </c>
      <c r="F52" s="122">
        <v>0</v>
      </c>
      <c r="G52" s="122">
        <v>0</v>
      </c>
      <c r="H52" s="122">
        <v>0</v>
      </c>
      <c r="I52" s="124"/>
      <c r="J52" s="125">
        <f t="shared" si="0"/>
        <v>0</v>
      </c>
      <c r="K52" s="124"/>
      <c r="L52" s="116">
        <f t="shared" si="1"/>
        <v>25000</v>
      </c>
      <c r="M52" s="116">
        <f t="shared" si="2"/>
        <v>0</v>
      </c>
      <c r="N52" s="116"/>
      <c r="O52" s="116">
        <f>IFERROR(VLOOKUP(A52,$A:$H,8,0),0)+IFERROR(VLOOKUP(A52,[1]모바일!$A:$S,19,0),0)</f>
        <v>20000</v>
      </c>
      <c r="P52" s="124"/>
      <c r="Q52" s="193">
        <f>IFERROR(VLOOKUP(A52,[1]유통플랫폼!$A:$C,3,0),)</f>
        <v>0</v>
      </c>
    </row>
    <row r="53" spans="1:17" x14ac:dyDescent="0.25">
      <c r="A53" s="181" t="s">
        <v>57</v>
      </c>
      <c r="B53" s="122">
        <v>8649876</v>
      </c>
      <c r="C53" s="122">
        <v>8649876</v>
      </c>
      <c r="D53" s="122"/>
      <c r="E53" s="122">
        <v>0</v>
      </c>
      <c r="F53" s="122">
        <v>0</v>
      </c>
      <c r="G53" s="122">
        <v>0</v>
      </c>
      <c r="H53" s="122">
        <v>0</v>
      </c>
      <c r="I53" s="124"/>
      <c r="J53" s="125">
        <f t="shared" si="0"/>
        <v>0</v>
      </c>
      <c r="K53" s="124"/>
      <c r="L53" s="116">
        <f t="shared" si="1"/>
        <v>4324938</v>
      </c>
      <c r="M53" s="116">
        <f t="shared" si="2"/>
        <v>0</v>
      </c>
      <c r="N53" s="116"/>
      <c r="O53" s="116">
        <f>IFERROR(VLOOKUP(A53,$A:$H,8,0),0)+IFERROR(VLOOKUP(A53,[1]모바일!$A:$S,19,0),0)</f>
        <v>9349023.333333334</v>
      </c>
      <c r="P53" s="124"/>
      <c r="Q53" s="193">
        <f>IFERROR(VLOOKUP(A53,[1]유통플랫폼!$A:$C,3,0),)</f>
        <v>0</v>
      </c>
    </row>
    <row r="54" spans="1:17" x14ac:dyDescent="0.25">
      <c r="A54" s="181" t="s">
        <v>266</v>
      </c>
      <c r="B54" s="122">
        <v>492000</v>
      </c>
      <c r="C54" s="122">
        <v>492000</v>
      </c>
      <c r="D54" s="122"/>
      <c r="E54" s="122">
        <v>0</v>
      </c>
      <c r="F54" s="122">
        <v>0</v>
      </c>
      <c r="G54" s="122">
        <v>0</v>
      </c>
      <c r="H54" s="122">
        <v>0</v>
      </c>
      <c r="I54" s="124"/>
      <c r="J54" s="125">
        <f t="shared" si="0"/>
        <v>0</v>
      </c>
      <c r="K54" s="124"/>
      <c r="L54" s="116">
        <f t="shared" si="1"/>
        <v>246000</v>
      </c>
      <c r="M54" s="116">
        <f t="shared" si="2"/>
        <v>0</v>
      </c>
      <c r="N54" s="116"/>
      <c r="O54" s="116">
        <f>IFERROR(VLOOKUP(A54,$A:$H,8,0),0)+IFERROR(VLOOKUP(A54,[1]모바일!$A:$S,19,0),0)</f>
        <v>0</v>
      </c>
      <c r="P54" s="124"/>
      <c r="Q54" s="193">
        <f>IFERROR(VLOOKUP(A54,[1]유통플랫폼!$A:$C,3,0),)</f>
        <v>0</v>
      </c>
    </row>
    <row r="55" spans="1:17" x14ac:dyDescent="0.25">
      <c r="A55" s="181" t="s">
        <v>58</v>
      </c>
      <c r="B55" s="122">
        <v>1421900</v>
      </c>
      <c r="C55" s="122">
        <v>1421900</v>
      </c>
      <c r="D55" s="122"/>
      <c r="E55" s="122">
        <v>0</v>
      </c>
      <c r="F55" s="122">
        <v>0</v>
      </c>
      <c r="G55" s="122">
        <v>0</v>
      </c>
      <c r="H55" s="122">
        <v>0</v>
      </c>
      <c r="I55" s="124"/>
      <c r="J55" s="125">
        <f t="shared" si="0"/>
        <v>0</v>
      </c>
      <c r="K55" s="124"/>
      <c r="L55" s="116">
        <f t="shared" si="1"/>
        <v>710950</v>
      </c>
      <c r="M55" s="116">
        <f t="shared" si="2"/>
        <v>0</v>
      </c>
      <c r="N55" s="116"/>
      <c r="O55" s="116">
        <f>IFERROR(VLOOKUP(A55,$A:$H,8,0),0)+IFERROR(VLOOKUP(A55,[1]모바일!$A:$S,19,0),0)</f>
        <v>6107190</v>
      </c>
      <c r="P55" s="124"/>
      <c r="Q55" s="193">
        <f>IFERROR(VLOOKUP(A55,[1]유통플랫폼!$A:$C,3,0),)</f>
        <v>0</v>
      </c>
    </row>
    <row r="56" spans="1:17" x14ac:dyDescent="0.25">
      <c r="A56" s="181" t="s">
        <v>270</v>
      </c>
      <c r="B56" s="122">
        <v>1045976</v>
      </c>
      <c r="C56" s="122">
        <v>1045976</v>
      </c>
      <c r="D56" s="122"/>
      <c r="E56" s="122">
        <v>0</v>
      </c>
      <c r="F56" s="122">
        <v>0</v>
      </c>
      <c r="G56" s="122">
        <v>0</v>
      </c>
      <c r="H56" s="122">
        <v>0</v>
      </c>
      <c r="I56" s="124"/>
      <c r="J56" s="125">
        <f t="shared" si="0"/>
        <v>0</v>
      </c>
      <c r="K56" s="124"/>
      <c r="L56" s="116">
        <f t="shared" si="1"/>
        <v>522988</v>
      </c>
      <c r="M56" s="116">
        <f t="shared" si="2"/>
        <v>0</v>
      </c>
      <c r="N56" s="116"/>
      <c r="O56" s="116">
        <f>IFERROR(VLOOKUP(A56,$A:$H,8,0),0)+IFERROR(VLOOKUP(A56,[1]모바일!$A:$S,19,0),0)</f>
        <v>0</v>
      </c>
      <c r="P56" s="124"/>
      <c r="Q56" s="193">
        <f>IFERROR(VLOOKUP(A56,[1]유통플랫폼!$A:$C,3,0),)</f>
        <v>0</v>
      </c>
    </row>
    <row r="57" spans="1:17" x14ac:dyDescent="0.25">
      <c r="A57" s="181" t="s">
        <v>297</v>
      </c>
      <c r="B57" s="122">
        <v>5690000</v>
      </c>
      <c r="C57" s="122">
        <v>5690000</v>
      </c>
      <c r="D57" s="122"/>
      <c r="E57" s="122">
        <v>0</v>
      </c>
      <c r="F57" s="122">
        <v>0</v>
      </c>
      <c r="G57" s="122">
        <v>0</v>
      </c>
      <c r="H57" s="122">
        <v>0</v>
      </c>
      <c r="I57" s="124"/>
      <c r="J57" s="125">
        <f t="shared" si="0"/>
        <v>0</v>
      </c>
      <c r="K57" s="124"/>
      <c r="L57" s="116">
        <f t="shared" si="1"/>
        <v>2845000</v>
      </c>
      <c r="M57" s="116">
        <f t="shared" si="2"/>
        <v>0</v>
      </c>
      <c r="N57" s="116"/>
      <c r="O57" s="116">
        <f>IFERROR(VLOOKUP(A57,$A:$H,8,0),0)+IFERROR(VLOOKUP(A57,[1]모바일!$A:$S,19,0),0)</f>
        <v>3241833.333333333</v>
      </c>
      <c r="P57" s="124"/>
      <c r="Q57" s="193">
        <f>IFERROR(VLOOKUP(A57,[1]유통플랫폼!$A:$C,3,0),)</f>
        <v>0</v>
      </c>
    </row>
    <row r="58" spans="1:17" x14ac:dyDescent="0.25">
      <c r="A58" s="181" t="s">
        <v>59</v>
      </c>
      <c r="B58" s="122">
        <v>2986620</v>
      </c>
      <c r="C58" s="122">
        <v>67733</v>
      </c>
      <c r="D58" s="122"/>
      <c r="E58" s="122">
        <v>0</v>
      </c>
      <c r="F58" s="122">
        <v>2588967</v>
      </c>
      <c r="G58" s="122">
        <v>329920</v>
      </c>
      <c r="H58" s="122">
        <v>0</v>
      </c>
      <c r="I58" s="124"/>
      <c r="J58" s="125">
        <f t="shared" si="0"/>
        <v>2918887</v>
      </c>
      <c r="K58" s="124"/>
      <c r="L58" s="116">
        <f t="shared" si="1"/>
        <v>33866.5</v>
      </c>
      <c r="M58" s="116">
        <f t="shared" si="2"/>
        <v>2588967</v>
      </c>
      <c r="N58" s="116"/>
      <c r="O58" s="116">
        <f>IFERROR(VLOOKUP(A58,$A:$H,8,0),0)+IFERROR(VLOOKUP(A58,[1]모바일!$A:$S,19,0),0)</f>
        <v>674821</v>
      </c>
      <c r="P58" s="124"/>
      <c r="Q58" s="193">
        <f>IFERROR(VLOOKUP(A58,[1]유통플랫폼!$A:$C,3,0),)</f>
        <v>0</v>
      </c>
    </row>
    <row r="59" spans="1:17" x14ac:dyDescent="0.25">
      <c r="A59" s="181" t="s">
        <v>60</v>
      </c>
      <c r="B59" s="122">
        <v>67733</v>
      </c>
      <c r="C59" s="122">
        <v>67733</v>
      </c>
      <c r="D59" s="122"/>
      <c r="E59" s="122">
        <v>0</v>
      </c>
      <c r="F59" s="122">
        <v>0</v>
      </c>
      <c r="G59" s="122">
        <v>0</v>
      </c>
      <c r="H59" s="122">
        <v>0</v>
      </c>
      <c r="I59" s="124"/>
      <c r="J59" s="125">
        <f t="shared" si="0"/>
        <v>0</v>
      </c>
      <c r="K59" s="124"/>
      <c r="L59" s="116">
        <f t="shared" si="1"/>
        <v>33866.5</v>
      </c>
      <c r="M59" s="116">
        <f t="shared" si="2"/>
        <v>0</v>
      </c>
      <c r="N59" s="116"/>
      <c r="O59" s="116">
        <f>IFERROR(VLOOKUP(A59,$A:$H,8,0),0)+IFERROR(VLOOKUP(A59,[1]모바일!$A:$S,19,0),0)</f>
        <v>485041</v>
      </c>
      <c r="P59" s="124"/>
      <c r="Q59" s="193">
        <f>IFERROR(VLOOKUP(A59,[1]유통플랫폼!$A:$C,3,0),)</f>
        <v>0</v>
      </c>
    </row>
    <row r="60" spans="1:17" x14ac:dyDescent="0.25">
      <c r="A60" s="181" t="s">
        <v>61</v>
      </c>
      <c r="B60" s="122">
        <v>2918887</v>
      </c>
      <c r="C60" s="122">
        <v>0</v>
      </c>
      <c r="D60" s="122"/>
      <c r="E60" s="122">
        <v>0</v>
      </c>
      <c r="F60" s="122">
        <v>2588967</v>
      </c>
      <c r="G60" s="122">
        <v>329920</v>
      </c>
      <c r="H60" s="122">
        <v>0</v>
      </c>
      <c r="I60" s="124"/>
      <c r="J60" s="125">
        <f t="shared" si="0"/>
        <v>2918887</v>
      </c>
      <c r="K60" s="124"/>
      <c r="L60" s="116">
        <f t="shared" si="1"/>
        <v>0</v>
      </c>
      <c r="M60" s="116">
        <f t="shared" si="2"/>
        <v>2588967</v>
      </c>
      <c r="N60" s="116"/>
      <c r="O60" s="116">
        <f>IFERROR(VLOOKUP(A60,$A:$H,8,0),0)+IFERROR(VLOOKUP(A60,[1]모바일!$A:$S,19,0),0)</f>
        <v>0</v>
      </c>
      <c r="P60" s="124"/>
      <c r="Q60" s="193">
        <f>IFERROR(VLOOKUP(A60,[1]유통플랫폼!$A:$C,3,0),)</f>
        <v>0</v>
      </c>
    </row>
    <row r="61" spans="1:17" x14ac:dyDescent="0.25">
      <c r="A61" s="181" t="s">
        <v>66</v>
      </c>
      <c r="B61" s="122">
        <v>310199989</v>
      </c>
      <c r="C61" s="122">
        <v>0</v>
      </c>
      <c r="D61" s="122"/>
      <c r="E61" s="122">
        <v>0</v>
      </c>
      <c r="F61" s="122">
        <v>310199989</v>
      </c>
      <c r="G61" s="122">
        <v>0</v>
      </c>
      <c r="H61" s="122">
        <v>0</v>
      </c>
      <c r="I61" s="124"/>
      <c r="J61" s="125">
        <f t="shared" si="0"/>
        <v>310199989</v>
      </c>
      <c r="K61" s="124"/>
      <c r="L61" s="116">
        <f t="shared" si="1"/>
        <v>0</v>
      </c>
      <c r="M61" s="116">
        <f t="shared" si="2"/>
        <v>319799989</v>
      </c>
      <c r="N61" s="116"/>
      <c r="O61" s="116">
        <f>IFERROR(VLOOKUP(A61,$A:$H,8,0),0)+IFERROR(VLOOKUP(A61,[1]모바일!$A:$S,19,0),0)</f>
        <v>0</v>
      </c>
      <c r="P61" s="124"/>
      <c r="Q61" s="193">
        <f>IFERROR(VLOOKUP(A61,[1]유통플랫폼!$A:$C,3,0),)</f>
        <v>9600000</v>
      </c>
    </row>
    <row r="62" spans="1:17" x14ac:dyDescent="0.25">
      <c r="A62" s="181" t="s">
        <v>67</v>
      </c>
      <c r="B62" s="122">
        <v>50298537</v>
      </c>
      <c r="C62" s="122">
        <v>1400000</v>
      </c>
      <c r="D62" s="122"/>
      <c r="E62" s="122">
        <v>17229443</v>
      </c>
      <c r="F62" s="122">
        <v>0</v>
      </c>
      <c r="G62" s="122">
        <v>31669094</v>
      </c>
      <c r="H62" s="122">
        <v>0</v>
      </c>
      <c r="I62" s="124"/>
      <c r="J62" s="125">
        <f t="shared" si="0"/>
        <v>48898537</v>
      </c>
      <c r="K62" s="124"/>
      <c r="L62" s="116">
        <f t="shared" si="1"/>
        <v>700000</v>
      </c>
      <c r="M62" s="116">
        <f t="shared" si="2"/>
        <v>17229443</v>
      </c>
      <c r="N62" s="116"/>
      <c r="O62" s="116">
        <f>IFERROR(VLOOKUP(A62,$A:$H,8,0),0)+IFERROR(VLOOKUP(A62,[1]모바일!$A:$S,19,0),0)</f>
        <v>72310000</v>
      </c>
      <c r="P62" s="124"/>
      <c r="Q62" s="193">
        <f>IFERROR(VLOOKUP(A62,[1]유통플랫폼!$A:$C,3,0),)</f>
        <v>0</v>
      </c>
    </row>
    <row r="63" spans="1:17" x14ac:dyDescent="0.25">
      <c r="A63" s="181" t="s">
        <v>69</v>
      </c>
      <c r="B63" s="122">
        <v>38600000</v>
      </c>
      <c r="C63" s="122">
        <v>1400000</v>
      </c>
      <c r="D63" s="122"/>
      <c r="E63" s="122">
        <v>13200000</v>
      </c>
      <c r="F63" s="122">
        <v>0</v>
      </c>
      <c r="G63" s="122">
        <v>24000000</v>
      </c>
      <c r="H63" s="122">
        <v>0</v>
      </c>
      <c r="I63" s="124"/>
      <c r="J63" s="125">
        <f t="shared" si="0"/>
        <v>37200000</v>
      </c>
      <c r="K63" s="124"/>
      <c r="L63" s="116">
        <f t="shared" si="1"/>
        <v>700000</v>
      </c>
      <c r="M63" s="116">
        <f t="shared" si="2"/>
        <v>13200000</v>
      </c>
      <c r="N63" s="116"/>
      <c r="O63" s="116">
        <f>IFERROR(VLOOKUP(A63,$A:$H,8,0),0)+IFERROR(VLOOKUP(A63,[1]모바일!$A:$S,19,0),0)</f>
        <v>71110000</v>
      </c>
      <c r="P63" s="124"/>
      <c r="Q63" s="193">
        <f>IFERROR(VLOOKUP(A63,[1]유통플랫폼!$A:$C,3,0),)</f>
        <v>0</v>
      </c>
    </row>
    <row r="64" spans="1:17" x14ac:dyDescent="0.25">
      <c r="A64" s="181" t="s">
        <v>70</v>
      </c>
      <c r="B64" s="122">
        <v>11698537</v>
      </c>
      <c r="C64" s="122">
        <v>0</v>
      </c>
      <c r="D64" s="122"/>
      <c r="E64" s="122">
        <v>4029443</v>
      </c>
      <c r="F64" s="122">
        <v>0</v>
      </c>
      <c r="G64" s="122">
        <v>7669094</v>
      </c>
      <c r="H64" s="122">
        <v>0</v>
      </c>
      <c r="I64" s="124"/>
      <c r="J64" s="125">
        <f t="shared" si="0"/>
        <v>11698537</v>
      </c>
      <c r="K64" s="124"/>
      <c r="L64" s="116">
        <f t="shared" si="1"/>
        <v>0</v>
      </c>
      <c r="M64" s="116">
        <f t="shared" si="2"/>
        <v>4029443</v>
      </c>
      <c r="N64" s="116"/>
      <c r="O64" s="116">
        <f>IFERROR(VLOOKUP(A64,$A:$H,8,0),0)+IFERROR(VLOOKUP(A64,[1]모바일!$A:$S,19,0),0)</f>
        <v>1200000</v>
      </c>
      <c r="P64" s="124"/>
      <c r="Q64" s="193">
        <f>IFERROR(VLOOKUP(A64,[1]유통플랫폼!$A:$C,3,0),)</f>
        <v>0</v>
      </c>
    </row>
    <row r="65" spans="1:17" x14ac:dyDescent="0.25">
      <c r="A65" s="181" t="s">
        <v>71</v>
      </c>
      <c r="B65" s="122">
        <v>1519973</v>
      </c>
      <c r="C65" s="122">
        <v>1519973</v>
      </c>
      <c r="D65" s="122"/>
      <c r="E65" s="122">
        <v>0</v>
      </c>
      <c r="F65" s="122">
        <v>0</v>
      </c>
      <c r="G65" s="122">
        <v>0</v>
      </c>
      <c r="H65" s="122">
        <v>0</v>
      </c>
      <c r="I65" s="124"/>
      <c r="J65" s="125">
        <f t="shared" si="0"/>
        <v>0</v>
      </c>
      <c r="K65" s="124"/>
      <c r="L65" s="116">
        <f t="shared" si="1"/>
        <v>759986.5</v>
      </c>
      <c r="M65" s="116">
        <f t="shared" si="2"/>
        <v>0</v>
      </c>
      <c r="N65" s="116"/>
      <c r="O65" s="116">
        <f>IFERROR(VLOOKUP(A65,$A:$H,8,0),0)+IFERROR(VLOOKUP(A65,[1]모바일!$A:$S,19,0),0)</f>
        <v>196193</v>
      </c>
      <c r="P65" s="124"/>
      <c r="Q65" s="193">
        <f>IFERROR(VLOOKUP(A65,[1]유통플랫폼!$A:$C,3,0),)</f>
        <v>0</v>
      </c>
    </row>
    <row r="66" spans="1:17" x14ac:dyDescent="0.25">
      <c r="A66" s="181" t="s">
        <v>72</v>
      </c>
      <c r="B66" s="122">
        <v>1519973</v>
      </c>
      <c r="C66" s="122">
        <v>1519973</v>
      </c>
      <c r="D66" s="121"/>
      <c r="E66" s="122">
        <v>0</v>
      </c>
      <c r="F66" s="122">
        <v>0</v>
      </c>
      <c r="G66" s="122">
        <v>0</v>
      </c>
      <c r="H66" s="122">
        <v>0</v>
      </c>
      <c r="I66" s="124"/>
      <c r="J66" s="125">
        <f t="shared" si="0"/>
        <v>0</v>
      </c>
      <c r="K66" s="124"/>
      <c r="L66" s="116">
        <f t="shared" si="1"/>
        <v>759986.5</v>
      </c>
      <c r="M66" s="116">
        <f t="shared" si="2"/>
        <v>0</v>
      </c>
      <c r="N66" s="116"/>
      <c r="O66" s="116">
        <f>IFERROR(VLOOKUP(A66,$A:$H,8,0),0)+IFERROR(VLOOKUP(A66,[1]모바일!$A:$S,19,0),0)</f>
        <v>196193</v>
      </c>
      <c r="P66" s="124"/>
      <c r="Q66" s="193">
        <f>IFERROR(VLOOKUP(A66,[1]유통플랫폼!$A:$C,3,0),)</f>
        <v>0</v>
      </c>
    </row>
    <row r="67" spans="1:17" x14ac:dyDescent="0.25">
      <c r="A67" s="181" t="s">
        <v>73</v>
      </c>
      <c r="B67" s="122">
        <v>423270</v>
      </c>
      <c r="C67" s="122">
        <v>423270</v>
      </c>
      <c r="D67" s="121"/>
      <c r="E67" s="122">
        <v>0</v>
      </c>
      <c r="F67" s="122">
        <v>0</v>
      </c>
      <c r="G67" s="122">
        <v>0</v>
      </c>
      <c r="H67" s="122">
        <v>0</v>
      </c>
      <c r="I67" s="124"/>
      <c r="J67" s="125">
        <f t="shared" si="0"/>
        <v>0</v>
      </c>
      <c r="K67" s="124"/>
      <c r="L67" s="116">
        <f t="shared" si="1"/>
        <v>211635</v>
      </c>
      <c r="M67" s="116">
        <f t="shared" si="2"/>
        <v>0</v>
      </c>
      <c r="N67" s="116"/>
      <c r="O67" s="116">
        <f>IFERROR(VLOOKUP(A67,$A:$H,8,0),0)+IFERROR(VLOOKUP(A67,[1]모바일!$A:$S,19,0),0)</f>
        <v>647083.33333333337</v>
      </c>
      <c r="P67" s="124"/>
      <c r="Q67" s="193">
        <f>IFERROR(VLOOKUP(A67,[1]유통플랫폼!$A:$C,3,0),)</f>
        <v>0</v>
      </c>
    </row>
    <row r="68" spans="1:17" x14ac:dyDescent="0.25">
      <c r="A68" s="181" t="s">
        <v>74</v>
      </c>
      <c r="B68" s="122">
        <v>343270</v>
      </c>
      <c r="C68" s="122">
        <v>343270</v>
      </c>
      <c r="D68" s="121"/>
      <c r="E68" s="122">
        <v>0</v>
      </c>
      <c r="F68" s="122">
        <v>0</v>
      </c>
      <c r="G68" s="122">
        <v>0</v>
      </c>
      <c r="H68" s="122">
        <v>0</v>
      </c>
      <c r="I68" s="124"/>
      <c r="J68" s="125">
        <f t="shared" ref="J68:J100" si="3">SUM(E68:G68)</f>
        <v>0</v>
      </c>
      <c r="K68" s="124"/>
      <c r="L68" s="116">
        <f t="shared" ref="L68:L105" si="4">C68/2</f>
        <v>171635</v>
      </c>
      <c r="M68" s="116">
        <f t="shared" ref="M68:M105" si="5">E68+F68+Q68</f>
        <v>0</v>
      </c>
      <c r="N68" s="116"/>
      <c r="O68" s="116">
        <f>IFERROR(VLOOKUP(A68,$A:$H,8,0),0)+IFERROR(VLOOKUP(A68,[1]모바일!$A:$S,19,0),0)</f>
        <v>647083.33333333337</v>
      </c>
      <c r="P68" s="124"/>
      <c r="Q68" s="193">
        <f>IFERROR(VLOOKUP(A68,[1]유통플랫폼!$A:$C,3,0),)</f>
        <v>0</v>
      </c>
    </row>
    <row r="69" spans="1:17" x14ac:dyDescent="0.25">
      <c r="A69" s="181" t="s">
        <v>75</v>
      </c>
      <c r="B69" s="122">
        <v>80000</v>
      </c>
      <c r="C69" s="122">
        <v>80000</v>
      </c>
      <c r="D69" s="121"/>
      <c r="E69" s="122">
        <v>0</v>
      </c>
      <c r="F69" s="122">
        <v>0</v>
      </c>
      <c r="G69" s="122">
        <v>0</v>
      </c>
      <c r="H69" s="122">
        <v>0</v>
      </c>
      <c r="I69" s="124"/>
      <c r="J69" s="125">
        <f t="shared" si="3"/>
        <v>0</v>
      </c>
      <c r="K69" s="124"/>
      <c r="L69" s="116">
        <f t="shared" si="4"/>
        <v>40000</v>
      </c>
      <c r="M69" s="116">
        <f t="shared" si="5"/>
        <v>0</v>
      </c>
      <c r="N69" s="116"/>
      <c r="O69" s="116">
        <f>IFERROR(VLOOKUP(A69,$A:$H,8,0),0)+IFERROR(VLOOKUP(A69,[1]모바일!$A:$S,19,0),0)</f>
        <v>0</v>
      </c>
      <c r="P69" s="124"/>
      <c r="Q69" s="193">
        <f>IFERROR(VLOOKUP(A69,[1]유통플랫폼!$A:$C,3,0),)</f>
        <v>0</v>
      </c>
    </row>
    <row r="70" spans="1:17" x14ac:dyDescent="0.25">
      <c r="A70" s="181" t="s">
        <v>78</v>
      </c>
      <c r="B70" s="122">
        <v>62155934</v>
      </c>
      <c r="C70" s="122">
        <v>0</v>
      </c>
      <c r="D70" s="121"/>
      <c r="E70" s="122">
        <v>20000</v>
      </c>
      <c r="F70" s="122">
        <v>0</v>
      </c>
      <c r="G70" s="122">
        <v>62135934</v>
      </c>
      <c r="H70" s="122">
        <v>0</v>
      </c>
      <c r="I70" s="124"/>
      <c r="J70" s="125">
        <f>SUM(E70:G70)</f>
        <v>62155934</v>
      </c>
      <c r="K70" s="124"/>
      <c r="L70" s="116">
        <f t="shared" si="4"/>
        <v>0</v>
      </c>
      <c r="M70" s="116">
        <f t="shared" si="5"/>
        <v>20000</v>
      </c>
      <c r="N70" s="116"/>
      <c r="O70" s="116">
        <f>IFERROR(VLOOKUP(A70,$A:$H,8,0),0)+IFERROR(VLOOKUP(A70,[1]모바일!$A:$S,19,0),0)</f>
        <v>1058000</v>
      </c>
      <c r="P70" s="124"/>
      <c r="Q70" s="193">
        <f>IFERROR(VLOOKUP(A70,[1]유통플랫폼!$A:$C,3,0),)</f>
        <v>0</v>
      </c>
    </row>
    <row r="71" spans="1:17" x14ac:dyDescent="0.25">
      <c r="A71" s="181" t="s">
        <v>79</v>
      </c>
      <c r="B71" s="122">
        <v>62155934</v>
      </c>
      <c r="C71" s="122">
        <v>0</v>
      </c>
      <c r="D71" s="121"/>
      <c r="E71" s="122">
        <v>20000</v>
      </c>
      <c r="F71" s="122">
        <v>0</v>
      </c>
      <c r="G71" s="122">
        <v>62135934</v>
      </c>
      <c r="H71" s="122">
        <v>0</v>
      </c>
      <c r="I71" s="124"/>
      <c r="J71" s="125">
        <f t="shared" si="3"/>
        <v>62155934</v>
      </c>
      <c r="K71" s="124"/>
      <c r="L71" s="116">
        <f t="shared" si="4"/>
        <v>0</v>
      </c>
      <c r="M71" s="116">
        <f t="shared" si="5"/>
        <v>20000</v>
      </c>
      <c r="N71" s="116"/>
      <c r="O71" s="116">
        <f>IFERROR(VLOOKUP(A71,$A:$H,8,0),0)+IFERROR(VLOOKUP(A71,[1]모바일!$A:$S,19,0),0)</f>
        <v>1058000</v>
      </c>
      <c r="P71" s="124"/>
      <c r="Q71" s="193">
        <f>IFERROR(VLOOKUP(A71,[1]유통플랫폼!$A:$C,3,0),)</f>
        <v>0</v>
      </c>
    </row>
    <row r="72" spans="1:17" x14ac:dyDescent="0.25">
      <c r="A72" s="181" t="s">
        <v>80</v>
      </c>
      <c r="B72" s="122">
        <v>4000000</v>
      </c>
      <c r="C72" s="122">
        <v>4000000</v>
      </c>
      <c r="D72" s="121"/>
      <c r="E72" s="122">
        <v>0</v>
      </c>
      <c r="F72" s="122">
        <v>0</v>
      </c>
      <c r="G72" s="122">
        <v>0</v>
      </c>
      <c r="H72" s="122">
        <v>0</v>
      </c>
      <c r="I72" s="124"/>
      <c r="J72" s="125">
        <f t="shared" si="3"/>
        <v>0</v>
      </c>
      <c r="K72" s="124"/>
      <c r="L72" s="116">
        <f t="shared" si="4"/>
        <v>2000000</v>
      </c>
      <c r="M72" s="116">
        <f t="shared" si="5"/>
        <v>0</v>
      </c>
      <c r="N72" s="116"/>
      <c r="O72" s="116">
        <f>IFERROR(VLOOKUP(A72,$A:$H,8,0),0)+IFERROR(VLOOKUP(A72,[1]모바일!$A:$S,19,0),0)</f>
        <v>356728</v>
      </c>
      <c r="P72" s="124"/>
      <c r="Q72" s="193">
        <f>IFERROR(VLOOKUP(A72,[1]유통플랫폼!$A:$C,3,0),)</f>
        <v>0</v>
      </c>
    </row>
    <row r="73" spans="1:17" x14ac:dyDescent="0.25">
      <c r="A73" s="181" t="s">
        <v>208</v>
      </c>
      <c r="B73" s="122">
        <v>4000000</v>
      </c>
      <c r="C73" s="122">
        <v>4000000</v>
      </c>
      <c r="D73" s="121"/>
      <c r="E73" s="122">
        <v>0</v>
      </c>
      <c r="F73" s="122">
        <v>0</v>
      </c>
      <c r="G73" s="122">
        <v>0</v>
      </c>
      <c r="H73" s="122">
        <v>0</v>
      </c>
      <c r="I73" s="124"/>
      <c r="J73" s="125">
        <f t="shared" si="3"/>
        <v>0</v>
      </c>
      <c r="K73" s="124"/>
      <c r="L73" s="116">
        <f t="shared" si="4"/>
        <v>2000000</v>
      </c>
      <c r="M73" s="116">
        <f t="shared" si="5"/>
        <v>0</v>
      </c>
      <c r="N73" s="116"/>
      <c r="O73" s="116">
        <f>IFERROR(VLOOKUP(A73,$A:$H,8,0),0)+IFERROR(VLOOKUP(A73,[1]모바일!$A:$S,19,0),0)</f>
        <v>0</v>
      </c>
      <c r="P73" s="124"/>
      <c r="Q73" s="193">
        <f>IFERROR(VLOOKUP(A73,[1]유통플랫폼!$A:$C,3,0),)</f>
        <v>0</v>
      </c>
    </row>
    <row r="74" spans="1:17" x14ac:dyDescent="0.25">
      <c r="A74" s="181" t="s">
        <v>83</v>
      </c>
      <c r="B74" s="122">
        <v>46760909</v>
      </c>
      <c r="C74" s="122">
        <v>44687036</v>
      </c>
      <c r="D74" s="121"/>
      <c r="E74" s="122">
        <v>0</v>
      </c>
      <c r="F74" s="122">
        <v>0</v>
      </c>
      <c r="G74" s="122">
        <v>2073873</v>
      </c>
      <c r="H74" s="122">
        <v>0</v>
      </c>
      <c r="I74" s="124"/>
      <c r="J74" s="125">
        <f t="shared" si="3"/>
        <v>2073873</v>
      </c>
      <c r="K74" s="124"/>
      <c r="L74" s="116">
        <f t="shared" si="4"/>
        <v>22343518</v>
      </c>
      <c r="M74" s="116">
        <f t="shared" si="5"/>
        <v>0</v>
      </c>
      <c r="N74" s="116"/>
      <c r="O74" s="116">
        <f>IFERROR(VLOOKUP(A74,$A:$H,8,0),0)+IFERROR(VLOOKUP(A74,[1]모바일!$A:$S,19,0),0)</f>
        <v>18607248</v>
      </c>
      <c r="P74" s="124"/>
      <c r="Q74" s="193">
        <f>IFERROR(VLOOKUP(A74,[1]유통플랫폼!$A:$C,3,0),)</f>
        <v>0</v>
      </c>
    </row>
    <row r="75" spans="1:17" x14ac:dyDescent="0.25">
      <c r="A75" s="181" t="s">
        <v>85</v>
      </c>
      <c r="B75" s="122">
        <v>2239718</v>
      </c>
      <c r="C75" s="122">
        <v>2239718</v>
      </c>
      <c r="D75" s="124"/>
      <c r="E75" s="122">
        <v>0</v>
      </c>
      <c r="F75" s="122">
        <v>0</v>
      </c>
      <c r="G75" s="122">
        <v>0</v>
      </c>
      <c r="H75" s="122">
        <v>0</v>
      </c>
      <c r="I75" s="124"/>
      <c r="J75" s="125">
        <f t="shared" si="3"/>
        <v>0</v>
      </c>
      <c r="K75" s="124"/>
      <c r="L75" s="116">
        <f t="shared" si="4"/>
        <v>1119859</v>
      </c>
      <c r="M75" s="116">
        <f t="shared" si="5"/>
        <v>0</v>
      </c>
      <c r="N75" s="116"/>
      <c r="O75" s="116">
        <f>IFERROR(VLOOKUP(A75,$A:$H,8,0),0)+IFERROR(VLOOKUP(A75,[1]모바일!$A:$S,19,0),0)</f>
        <v>1520190</v>
      </c>
      <c r="P75" s="124"/>
      <c r="Q75" s="193">
        <f>IFERROR(VLOOKUP(A75,[1]유통플랫폼!$A:$C,3,0),)</f>
        <v>0</v>
      </c>
    </row>
    <row r="76" spans="1:17" x14ac:dyDescent="0.25">
      <c r="A76" s="181" t="s">
        <v>150</v>
      </c>
      <c r="B76" s="122">
        <v>1920636</v>
      </c>
      <c r="C76" s="122">
        <v>1920636</v>
      </c>
      <c r="D76" s="124"/>
      <c r="E76" s="122">
        <v>0</v>
      </c>
      <c r="F76" s="122">
        <v>0</v>
      </c>
      <c r="G76" s="122">
        <v>0</v>
      </c>
      <c r="H76" s="122">
        <v>0</v>
      </c>
      <c r="I76" s="124"/>
      <c r="J76" s="125">
        <f t="shared" si="3"/>
        <v>0</v>
      </c>
      <c r="K76" s="124"/>
      <c r="L76" s="116">
        <f t="shared" si="4"/>
        <v>960318</v>
      </c>
      <c r="M76" s="116">
        <f t="shared" si="5"/>
        <v>0</v>
      </c>
      <c r="N76" s="116"/>
      <c r="O76" s="116">
        <f>IFERROR(VLOOKUP(A76,$A:$H,8,0),0)+IFERROR(VLOOKUP(A76,[1]모바일!$A:$S,19,0),0)</f>
        <v>577186.5</v>
      </c>
      <c r="P76" s="124"/>
      <c r="Q76" s="193">
        <f>IFERROR(VLOOKUP(A76,[1]유통플랫폼!$A:$C,3,0),)</f>
        <v>0</v>
      </c>
    </row>
    <row r="77" spans="1:17" x14ac:dyDescent="0.25">
      <c r="A77" s="181" t="s">
        <v>87</v>
      </c>
      <c r="B77" s="122">
        <v>936370</v>
      </c>
      <c r="C77" s="122">
        <v>936370</v>
      </c>
      <c r="D77" s="124"/>
      <c r="E77" s="122">
        <v>0</v>
      </c>
      <c r="F77" s="122">
        <v>0</v>
      </c>
      <c r="G77" s="122">
        <v>0</v>
      </c>
      <c r="H77" s="122">
        <v>0</v>
      </c>
      <c r="I77" s="124"/>
      <c r="J77" s="125">
        <f t="shared" si="3"/>
        <v>0</v>
      </c>
      <c r="K77" s="124"/>
      <c r="L77" s="116">
        <f t="shared" si="4"/>
        <v>468185</v>
      </c>
      <c r="M77" s="116">
        <f t="shared" si="5"/>
        <v>0</v>
      </c>
      <c r="N77" s="116"/>
      <c r="O77" s="116">
        <f>IFERROR(VLOOKUP(A77,$A:$H,8,0),0)+IFERROR(VLOOKUP(A77,[1]모바일!$A:$S,19,0),0)</f>
        <v>244465.83333333331</v>
      </c>
      <c r="P77" s="124"/>
      <c r="Q77" s="193">
        <f>IFERROR(VLOOKUP(A77,[1]유통플랫폼!$A:$C,3,0),)</f>
        <v>0</v>
      </c>
    </row>
    <row r="78" spans="1:17" x14ac:dyDescent="0.25">
      <c r="A78" s="181" t="s">
        <v>88</v>
      </c>
      <c r="B78" s="122">
        <v>41573730</v>
      </c>
      <c r="C78" s="122">
        <v>39499857</v>
      </c>
      <c r="D78" s="124"/>
      <c r="E78" s="122">
        <v>0</v>
      </c>
      <c r="F78" s="122">
        <v>0</v>
      </c>
      <c r="G78" s="122">
        <v>2073873</v>
      </c>
      <c r="H78" s="122">
        <v>0</v>
      </c>
      <c r="I78" s="124"/>
      <c r="J78" s="125">
        <f t="shared" si="3"/>
        <v>2073873</v>
      </c>
      <c r="K78" s="124"/>
      <c r="L78" s="116">
        <f t="shared" si="4"/>
        <v>19749928.5</v>
      </c>
      <c r="M78" s="116">
        <f t="shared" si="5"/>
        <v>0</v>
      </c>
      <c r="N78" s="116"/>
      <c r="O78" s="116">
        <f>IFERROR(VLOOKUP(A78,$A:$H,8,0),0)+IFERROR(VLOOKUP(A78,[1]모바일!$A:$S,19,0),0)</f>
        <v>12388472.666666668</v>
      </c>
      <c r="P78" s="124"/>
      <c r="Q78" s="193">
        <f>IFERROR(VLOOKUP(A78,[1]유통플랫폼!$A:$C,3,0),)</f>
        <v>0</v>
      </c>
    </row>
    <row r="79" spans="1:17" x14ac:dyDescent="0.25">
      <c r="A79" s="181" t="s">
        <v>89</v>
      </c>
      <c r="B79" s="122">
        <v>90455</v>
      </c>
      <c r="C79" s="122">
        <v>90455</v>
      </c>
      <c r="D79" s="124"/>
      <c r="E79" s="122">
        <v>0</v>
      </c>
      <c r="F79" s="122">
        <v>0</v>
      </c>
      <c r="G79" s="122">
        <v>0</v>
      </c>
      <c r="H79" s="122">
        <v>0</v>
      </c>
      <c r="I79" s="124"/>
      <c r="J79" s="125">
        <f t="shared" si="3"/>
        <v>0</v>
      </c>
      <c r="K79" s="124"/>
      <c r="L79" s="116">
        <f t="shared" si="4"/>
        <v>45227.5</v>
      </c>
      <c r="M79" s="116">
        <f t="shared" si="5"/>
        <v>0</v>
      </c>
      <c r="N79" s="116"/>
      <c r="O79" s="116">
        <f>IFERROR(VLOOKUP(A79,$A:$H,8,0),0)+IFERROR(VLOOKUP(A79,[1]모바일!$A:$S,19,0),0)</f>
        <v>2305389</v>
      </c>
      <c r="P79" s="124"/>
      <c r="Q79" s="193">
        <f>IFERROR(VLOOKUP(A79,[1]유통플랫폼!$A:$C,3,0),)</f>
        <v>0</v>
      </c>
    </row>
    <row r="80" spans="1:17" x14ac:dyDescent="0.25">
      <c r="A80" s="181" t="s">
        <v>91</v>
      </c>
      <c r="B80" s="122">
        <v>6118840</v>
      </c>
      <c r="C80" s="122">
        <v>120000</v>
      </c>
      <c r="D80" s="124"/>
      <c r="E80" s="122">
        <v>0</v>
      </c>
      <c r="F80" s="122">
        <v>0</v>
      </c>
      <c r="G80" s="122">
        <v>5998840</v>
      </c>
      <c r="H80" s="122">
        <v>0</v>
      </c>
      <c r="I80" s="124"/>
      <c r="J80" s="125">
        <f t="shared" si="3"/>
        <v>5998840</v>
      </c>
      <c r="K80" s="124"/>
      <c r="L80" s="116">
        <f t="shared" si="4"/>
        <v>60000</v>
      </c>
      <c r="M80" s="116">
        <f t="shared" si="5"/>
        <v>0</v>
      </c>
      <c r="N80" s="116"/>
      <c r="O80" s="116">
        <f>IFERROR(VLOOKUP(A80,$A:$H,8,0),0)+IFERROR(VLOOKUP(A80,[1]모바일!$A:$S,19,0),0)</f>
        <v>21993605.166666668</v>
      </c>
      <c r="P80" s="124"/>
      <c r="Q80" s="193">
        <f>IFERROR(VLOOKUP(A80,[1]유통플랫폼!$A:$C,3,0),)</f>
        <v>0</v>
      </c>
    </row>
    <row r="81" spans="1:17" x14ac:dyDescent="0.25">
      <c r="A81" s="181" t="s">
        <v>94</v>
      </c>
      <c r="B81" s="122">
        <v>6118840</v>
      </c>
      <c r="C81" s="122">
        <v>120000</v>
      </c>
      <c r="D81" s="124"/>
      <c r="E81" s="122">
        <v>0</v>
      </c>
      <c r="F81" s="122">
        <v>0</v>
      </c>
      <c r="G81" s="122">
        <v>5998840</v>
      </c>
      <c r="H81" s="122">
        <v>0</v>
      </c>
      <c r="I81" s="124"/>
      <c r="J81" s="125">
        <f t="shared" si="3"/>
        <v>5998840</v>
      </c>
      <c r="K81" s="124"/>
      <c r="L81" s="116">
        <f t="shared" si="4"/>
        <v>60000</v>
      </c>
      <c r="M81" s="116">
        <f t="shared" si="5"/>
        <v>0</v>
      </c>
      <c r="N81" s="116"/>
      <c r="O81" s="116">
        <f>IFERROR(VLOOKUP(A81,$A:$H,8,0),0)+IFERROR(VLOOKUP(A81,[1]모바일!$A:$S,19,0),0)</f>
        <v>2667650.1666666665</v>
      </c>
      <c r="P81" s="124"/>
      <c r="Q81" s="193">
        <f>IFERROR(VLOOKUP(A81,[1]유통플랫폼!$A:$C,3,0),)</f>
        <v>0</v>
      </c>
    </row>
    <row r="82" spans="1:17" x14ac:dyDescent="0.25">
      <c r="A82" s="181" t="s">
        <v>95</v>
      </c>
      <c r="B82" s="122">
        <v>2270048021</v>
      </c>
      <c r="C82" s="122">
        <v>42536080</v>
      </c>
      <c r="D82" s="124"/>
      <c r="E82" s="122">
        <v>376236870</v>
      </c>
      <c r="F82" s="122">
        <v>696996214</v>
      </c>
      <c r="G82" s="122">
        <v>805625076</v>
      </c>
      <c r="H82" s="122">
        <v>348653781</v>
      </c>
      <c r="I82" s="124"/>
      <c r="J82" s="125">
        <f t="shared" si="3"/>
        <v>1878858160</v>
      </c>
      <c r="K82" s="124"/>
      <c r="L82" s="116">
        <f t="shared" si="4"/>
        <v>21268040</v>
      </c>
      <c r="M82" s="116">
        <f t="shared" si="5"/>
        <v>1073233084</v>
      </c>
      <c r="N82" s="116"/>
      <c r="O82" s="116">
        <f>IFERROR(VLOOKUP(A82,$A:$H,8,0),0)+IFERROR(VLOOKUP(A82,[1]모바일!$A:$S,19,0),0)</f>
        <v>447040121</v>
      </c>
      <c r="P82" s="124"/>
      <c r="Q82" s="193">
        <f>IFERROR(VLOOKUP(A82,[1]유통플랫폼!$A:$C,3,0),)</f>
        <v>0</v>
      </c>
    </row>
    <row r="83" spans="1:17" x14ac:dyDescent="0.25">
      <c r="A83" s="181" t="s">
        <v>152</v>
      </c>
      <c r="B83" s="122">
        <v>316162119</v>
      </c>
      <c r="C83" s="122">
        <v>162119</v>
      </c>
      <c r="D83" s="124"/>
      <c r="E83" s="122">
        <v>0</v>
      </c>
      <c r="F83" s="122">
        <v>5500000</v>
      </c>
      <c r="G83" s="122">
        <v>0</v>
      </c>
      <c r="H83" s="122">
        <v>310500000</v>
      </c>
      <c r="I83" s="124"/>
      <c r="J83" s="125">
        <f t="shared" si="3"/>
        <v>5500000</v>
      </c>
      <c r="K83" s="124"/>
      <c r="L83" s="116">
        <f t="shared" si="4"/>
        <v>81059.5</v>
      </c>
      <c r="M83" s="116">
        <f t="shared" si="5"/>
        <v>5500000</v>
      </c>
      <c r="N83" s="116"/>
      <c r="O83" s="116">
        <f>IFERROR(VLOOKUP(A83,$A:$H,8,0),0)+IFERROR(VLOOKUP(A83,[1]모바일!$A:$S,19,0),0)</f>
        <v>310806589.16666669</v>
      </c>
      <c r="P83" s="124"/>
      <c r="Q83" s="193">
        <f>IFERROR(VLOOKUP(A83,[1]유통플랫폼!$A:$C,3,0),)</f>
        <v>0</v>
      </c>
    </row>
    <row r="84" spans="1:17" x14ac:dyDescent="0.25">
      <c r="A84" s="181" t="s">
        <v>153</v>
      </c>
      <c r="B84" s="122">
        <v>1641136786</v>
      </c>
      <c r="C84" s="122">
        <v>23266880</v>
      </c>
      <c r="D84" s="124"/>
      <c r="E84" s="122">
        <v>341078370</v>
      </c>
      <c r="F84" s="122">
        <v>433082679</v>
      </c>
      <c r="G84" s="122">
        <v>805555076</v>
      </c>
      <c r="H84" s="122">
        <v>38153781</v>
      </c>
      <c r="I84" s="124"/>
      <c r="J84" s="125">
        <f t="shared" si="3"/>
        <v>1579716125</v>
      </c>
      <c r="K84" s="124"/>
      <c r="L84" s="116">
        <f t="shared" si="4"/>
        <v>11633440</v>
      </c>
      <c r="M84" s="116">
        <f t="shared" si="5"/>
        <v>774161049</v>
      </c>
      <c r="N84" s="116"/>
      <c r="O84" s="116">
        <f>IFERROR(VLOOKUP(A84,$A:$H,8,0),0)+IFERROR(VLOOKUP(A84,[1]모바일!$A:$S,19,0),0)</f>
        <v>53631981.166666672</v>
      </c>
      <c r="P84" s="124"/>
      <c r="Q84" s="193">
        <f>IFERROR(VLOOKUP(A84,[1]유통플랫폼!$A:$C,3,0),)</f>
        <v>0</v>
      </c>
    </row>
    <row r="85" spans="1:17" x14ac:dyDescent="0.25">
      <c r="A85" s="181" t="s">
        <v>98</v>
      </c>
      <c r="B85" s="122">
        <v>1100000</v>
      </c>
      <c r="C85" s="122">
        <v>1100000</v>
      </c>
      <c r="D85" s="124"/>
      <c r="E85" s="122">
        <v>0</v>
      </c>
      <c r="F85" s="122">
        <v>0</v>
      </c>
      <c r="G85" s="122">
        <v>0</v>
      </c>
      <c r="H85" s="122">
        <v>0</v>
      </c>
      <c r="I85" s="124"/>
      <c r="J85" s="125">
        <f t="shared" si="3"/>
        <v>0</v>
      </c>
      <c r="K85" s="124"/>
      <c r="L85" s="116">
        <f t="shared" si="4"/>
        <v>550000</v>
      </c>
      <c r="M85" s="116">
        <f t="shared" si="5"/>
        <v>0</v>
      </c>
      <c r="N85" s="116"/>
      <c r="O85" s="116">
        <f>IFERROR(VLOOKUP(A85,$A:$H,8,0),0)+IFERROR(VLOOKUP(A85,[1]모바일!$A:$S,19,0),0)</f>
        <v>80726666.666666672</v>
      </c>
      <c r="P85" s="124"/>
      <c r="Q85" s="193">
        <f>IFERROR(VLOOKUP(A85,[1]유통플랫폼!$A:$C,3,0),)</f>
        <v>0</v>
      </c>
    </row>
    <row r="86" spans="1:17" x14ac:dyDescent="0.25">
      <c r="A86" s="181" t="s">
        <v>99</v>
      </c>
      <c r="B86" s="122">
        <v>294931386</v>
      </c>
      <c r="C86" s="122">
        <v>1289351</v>
      </c>
      <c r="D86" s="124"/>
      <c r="E86" s="122">
        <v>35158500</v>
      </c>
      <c r="F86" s="122">
        <v>258413535</v>
      </c>
      <c r="G86" s="122">
        <v>70000</v>
      </c>
      <c r="H86" s="122">
        <v>0</v>
      </c>
      <c r="I86" s="124"/>
      <c r="J86" s="125">
        <f t="shared" si="3"/>
        <v>293642035</v>
      </c>
      <c r="K86" s="124"/>
      <c r="L86" s="116">
        <f t="shared" si="4"/>
        <v>644675.5</v>
      </c>
      <c r="M86" s="116">
        <f t="shared" si="5"/>
        <v>293572035</v>
      </c>
      <c r="N86" s="116"/>
      <c r="O86" s="116">
        <f>IFERROR(VLOOKUP(A86,$A:$H,8,0),0)+IFERROR(VLOOKUP(A86,[1]모바일!$A:$S,19,0),0)</f>
        <v>299100</v>
      </c>
      <c r="P86" s="124"/>
      <c r="Q86" s="193">
        <f>IFERROR(VLOOKUP(A86,[1]유통플랫폼!$A:$C,3,0),)</f>
        <v>0</v>
      </c>
    </row>
    <row r="87" spans="1:17" x14ac:dyDescent="0.25">
      <c r="A87" s="181" t="s">
        <v>100</v>
      </c>
      <c r="B87" s="122">
        <v>16717730</v>
      </c>
      <c r="C87" s="122">
        <v>16717730</v>
      </c>
      <c r="D87" s="124"/>
      <c r="E87" s="122">
        <v>0</v>
      </c>
      <c r="F87" s="122">
        <v>0</v>
      </c>
      <c r="G87" s="122">
        <v>0</v>
      </c>
      <c r="H87" s="122">
        <v>0</v>
      </c>
      <c r="I87" s="124"/>
      <c r="J87" s="125">
        <f t="shared" si="3"/>
        <v>0</v>
      </c>
      <c r="K87" s="124"/>
      <c r="L87" s="116">
        <f t="shared" si="4"/>
        <v>8358865</v>
      </c>
      <c r="M87" s="116">
        <f t="shared" si="5"/>
        <v>0</v>
      </c>
      <c r="N87" s="116"/>
      <c r="O87" s="116">
        <f>IFERROR(VLOOKUP(A87,$A:$H,8,0),0)+IFERROR(VLOOKUP(A87,[1]모바일!$A:$S,19,0),0)</f>
        <v>0</v>
      </c>
      <c r="P87" s="124"/>
      <c r="Q87" s="193">
        <f>IFERROR(VLOOKUP(A87,[1]유통플랫폼!$A:$C,3,0),)</f>
        <v>0</v>
      </c>
    </row>
    <row r="88" spans="1:17" x14ac:dyDescent="0.25">
      <c r="A88" s="181" t="s">
        <v>101</v>
      </c>
      <c r="B88" s="122">
        <v>280918831</v>
      </c>
      <c r="C88" s="122">
        <v>97849861</v>
      </c>
      <c r="D88" s="124"/>
      <c r="E88" s="122">
        <v>220910</v>
      </c>
      <c r="F88" s="122">
        <v>88877710</v>
      </c>
      <c r="G88" s="122">
        <v>92255000</v>
      </c>
      <c r="H88" s="122">
        <v>1715350</v>
      </c>
      <c r="I88" s="124"/>
      <c r="J88" s="125">
        <f t="shared" si="3"/>
        <v>181353620</v>
      </c>
      <c r="K88" s="124"/>
      <c r="L88" s="116">
        <f t="shared" si="4"/>
        <v>48924930.5</v>
      </c>
      <c r="M88" s="116">
        <f t="shared" si="5"/>
        <v>89098620</v>
      </c>
      <c r="N88" s="116"/>
      <c r="O88" s="116">
        <f>IFERROR(VLOOKUP(A88,$A:$H,8,0),0)+IFERROR(VLOOKUP(A88,[1]모바일!$A:$S,19,0),0)</f>
        <v>27148037</v>
      </c>
      <c r="P88" s="124"/>
      <c r="Q88" s="193">
        <f>IFERROR(VLOOKUP(A88,[1]유통플랫폼!$A:$C,3,0),)</f>
        <v>0</v>
      </c>
    </row>
    <row r="89" spans="1:17" x14ac:dyDescent="0.25">
      <c r="A89" s="181" t="s">
        <v>116</v>
      </c>
      <c r="B89" s="122">
        <v>200201790</v>
      </c>
      <c r="C89" s="122">
        <v>37771861</v>
      </c>
      <c r="D89" s="185"/>
      <c r="E89" s="122">
        <v>220910</v>
      </c>
      <c r="F89" s="122">
        <v>71304619</v>
      </c>
      <c r="G89" s="122">
        <v>89555000</v>
      </c>
      <c r="H89" s="122">
        <v>1349400</v>
      </c>
      <c r="I89" s="124"/>
      <c r="J89" s="194">
        <f t="shared" si="3"/>
        <v>161080529</v>
      </c>
      <c r="K89" s="185"/>
      <c r="L89" s="186">
        <f t="shared" si="4"/>
        <v>18885930.5</v>
      </c>
      <c r="M89" s="186">
        <f t="shared" si="5"/>
        <v>71525529</v>
      </c>
      <c r="N89" s="186"/>
      <c r="O89" s="186">
        <f>IFERROR(VLOOKUP(A89,$A:$H,8,0),0)+IFERROR(VLOOKUP(A89,[1]모바일!$A:$S,19,0),0)</f>
        <v>26382087</v>
      </c>
      <c r="P89" s="124"/>
      <c r="Q89" s="193">
        <f>IFERROR(VLOOKUP(A89,[1]유통플랫폼!$A:$C,3,0),)</f>
        <v>0</v>
      </c>
    </row>
    <row r="90" spans="1:17" x14ac:dyDescent="0.25">
      <c r="A90" s="181" t="s">
        <v>105</v>
      </c>
      <c r="B90" s="122">
        <v>80717041</v>
      </c>
      <c r="C90" s="122">
        <v>60078000</v>
      </c>
      <c r="D90" s="124"/>
      <c r="E90" s="122">
        <v>0</v>
      </c>
      <c r="F90" s="122">
        <v>17573091</v>
      </c>
      <c r="G90" s="122">
        <v>2700000</v>
      </c>
      <c r="H90" s="122">
        <v>365950</v>
      </c>
      <c r="I90" s="124"/>
      <c r="J90" s="125">
        <f t="shared" si="3"/>
        <v>20273091</v>
      </c>
      <c r="K90" s="124"/>
      <c r="L90" s="116">
        <f t="shared" si="4"/>
        <v>30039000</v>
      </c>
      <c r="M90" s="116">
        <f t="shared" si="5"/>
        <v>17573091</v>
      </c>
      <c r="N90" s="116"/>
      <c r="O90" s="116">
        <f>IFERROR(VLOOKUP(A90,$A:$H,8,0),0)+IFERROR(VLOOKUP(A90,[1]모바일!$A:$S,19,0),0)</f>
        <v>765950</v>
      </c>
      <c r="P90" s="124"/>
      <c r="Q90" s="193">
        <f>IFERROR(VLOOKUP(A90,[1]유통플랫폼!$A:$C,3,0),)</f>
        <v>0</v>
      </c>
    </row>
    <row r="91" spans="1:17" x14ac:dyDescent="0.25">
      <c r="A91" s="181" t="s">
        <v>308</v>
      </c>
      <c r="B91" s="122">
        <v>5934410602</v>
      </c>
      <c r="C91" s="122">
        <v>-386135094</v>
      </c>
      <c r="D91" s="124"/>
      <c r="E91" s="122">
        <v>-171252189</v>
      </c>
      <c r="F91" s="122">
        <v>780942113</v>
      </c>
      <c r="G91" s="122">
        <v>6054866663</v>
      </c>
      <c r="H91" s="122">
        <v>-344010891</v>
      </c>
      <c r="I91" s="124"/>
      <c r="J91" s="125">
        <f t="shared" si="3"/>
        <v>6664556587</v>
      </c>
      <c r="K91" s="124"/>
      <c r="L91" s="116">
        <f t="shared" si="4"/>
        <v>-193067547</v>
      </c>
      <c r="M91" s="116">
        <f t="shared" si="5"/>
        <v>600089924</v>
      </c>
      <c r="N91" s="116"/>
      <c r="O91" s="116">
        <f>IFERROR(VLOOKUP(A91,$A:$H,8,0),0)+IFERROR(VLOOKUP(A91,[1]모바일!$A:$S,19,0),0)</f>
        <v>-690720704.33333337</v>
      </c>
      <c r="P91" s="124"/>
      <c r="Q91" s="193">
        <f>IFERROR(VLOOKUP(A91,[1]유통플랫폼!$A:$C,3,0),)</f>
        <v>-9600000</v>
      </c>
    </row>
    <row r="92" spans="1:17" x14ac:dyDescent="0.25">
      <c r="A92" s="181" t="s">
        <v>309</v>
      </c>
      <c r="B92" s="122">
        <v>20</v>
      </c>
      <c r="C92" s="122">
        <v>0</v>
      </c>
      <c r="D92" s="124"/>
      <c r="E92" s="122">
        <v>0</v>
      </c>
      <c r="F92" s="122">
        <v>20</v>
      </c>
      <c r="G92" s="122">
        <v>0</v>
      </c>
      <c r="H92" s="122">
        <v>0</v>
      </c>
      <c r="I92" s="124"/>
      <c r="J92" s="125">
        <f t="shared" si="3"/>
        <v>20</v>
      </c>
      <c r="K92" s="124"/>
      <c r="L92" s="116">
        <f t="shared" si="4"/>
        <v>0</v>
      </c>
      <c r="M92" s="116">
        <f t="shared" si="5"/>
        <v>20</v>
      </c>
      <c r="N92" s="116"/>
      <c r="O92" s="116">
        <f>IFERROR(VLOOKUP(A92,$A:$H,8,0),0)+IFERROR(VLOOKUP(A92,[1]모바일!$A:$S,19,0),0)</f>
        <v>0</v>
      </c>
      <c r="P92" s="124"/>
      <c r="Q92" s="193">
        <f>IFERROR(VLOOKUP(A92,[1]유통플랫폼!$A:$C,3,0),)</f>
        <v>0</v>
      </c>
    </row>
    <row r="93" spans="1:17" x14ac:dyDescent="0.25">
      <c r="A93" s="181" t="s">
        <v>161</v>
      </c>
      <c r="B93" s="122">
        <v>20</v>
      </c>
      <c r="C93" s="122">
        <v>0</v>
      </c>
      <c r="D93" s="124"/>
      <c r="E93" s="122">
        <v>0</v>
      </c>
      <c r="F93" s="122">
        <v>20</v>
      </c>
      <c r="G93" s="122">
        <v>0</v>
      </c>
      <c r="H93" s="122">
        <v>0</v>
      </c>
      <c r="I93" s="124"/>
      <c r="J93" s="125">
        <f t="shared" si="3"/>
        <v>20</v>
      </c>
      <c r="K93" s="124"/>
      <c r="L93" s="116">
        <f t="shared" si="4"/>
        <v>0</v>
      </c>
      <c r="M93" s="116">
        <f t="shared" si="5"/>
        <v>20</v>
      </c>
      <c r="N93" s="116"/>
      <c r="O93" s="116">
        <f>IFERROR(VLOOKUP(A93,$A:$H,8,0),0)+IFERROR(VLOOKUP(A93,[1]모바일!$A:$S,19,0),0)</f>
        <v>0</v>
      </c>
      <c r="P93" s="124"/>
      <c r="Q93" s="193">
        <f>IFERROR(VLOOKUP(A93,[1]유통플랫폼!$A:$C,3,0),)</f>
        <v>0</v>
      </c>
    </row>
    <row r="94" spans="1:17" x14ac:dyDescent="0.25">
      <c r="A94" s="181" t="s">
        <v>376</v>
      </c>
      <c r="B94" s="122">
        <v>20</v>
      </c>
      <c r="C94" s="122">
        <v>0</v>
      </c>
      <c r="D94" s="124"/>
      <c r="E94" s="122">
        <v>0</v>
      </c>
      <c r="F94" s="122">
        <v>20</v>
      </c>
      <c r="G94" s="122">
        <v>0</v>
      </c>
      <c r="H94" s="122">
        <v>0</v>
      </c>
      <c r="I94" s="124"/>
      <c r="J94" s="125"/>
      <c r="K94" s="124"/>
      <c r="L94" s="116">
        <f t="shared" si="4"/>
        <v>0</v>
      </c>
      <c r="M94" s="116">
        <f t="shared" si="5"/>
        <v>20</v>
      </c>
      <c r="N94" s="116"/>
      <c r="O94" s="116">
        <f>IFERROR(VLOOKUP(A94,$A:$H,8,0),0)+IFERROR(VLOOKUP(A94,[1]모바일!$A:$S,19,0),0)</f>
        <v>0</v>
      </c>
      <c r="P94" s="124"/>
      <c r="Q94" s="193">
        <f>IFERROR(VLOOKUP(A94,[1]유통플랫폼!$A:$C,3,0),)</f>
        <v>0</v>
      </c>
    </row>
    <row r="95" spans="1:17" x14ac:dyDescent="0.25">
      <c r="A95" s="181" t="s">
        <v>111</v>
      </c>
      <c r="B95" s="122">
        <v>0</v>
      </c>
      <c r="C95" s="122">
        <v>0</v>
      </c>
      <c r="D95" s="124"/>
      <c r="E95" s="122">
        <v>0</v>
      </c>
      <c r="F95" s="122">
        <v>0</v>
      </c>
      <c r="G95" s="122">
        <v>0</v>
      </c>
      <c r="H95" s="122">
        <v>0</v>
      </c>
      <c r="I95" s="124"/>
      <c r="J95" s="125">
        <f t="shared" si="3"/>
        <v>0</v>
      </c>
      <c r="K95" s="124"/>
      <c r="L95" s="116">
        <f t="shared" si="4"/>
        <v>0</v>
      </c>
      <c r="M95" s="116">
        <f t="shared" si="5"/>
        <v>0</v>
      </c>
      <c r="N95" s="116"/>
      <c r="O95" s="116">
        <f>IFERROR(VLOOKUP(A95,$A:$H,8,0),0)+IFERROR(VLOOKUP(A95,[1]모바일!$A:$S,19,0),0)</f>
        <v>0</v>
      </c>
      <c r="P95" s="124"/>
      <c r="Q95" s="193">
        <f>IFERROR(VLOOKUP(A95,[1]유통플랫폼!$A:$C,3,0),)</f>
        <v>0</v>
      </c>
    </row>
    <row r="96" spans="1:17" x14ac:dyDescent="0.25">
      <c r="A96" s="181" t="s">
        <v>332</v>
      </c>
      <c r="B96" s="122">
        <v>5934410622</v>
      </c>
      <c r="C96" s="122">
        <v>-386135094</v>
      </c>
      <c r="D96" s="124"/>
      <c r="E96" s="122">
        <v>-171252189</v>
      </c>
      <c r="F96" s="122">
        <v>780942133</v>
      </c>
      <c r="G96" s="122">
        <v>6054866663</v>
      </c>
      <c r="H96" s="122">
        <v>-344010891</v>
      </c>
      <c r="I96" s="124"/>
      <c r="J96" s="125">
        <f t="shared" si="3"/>
        <v>6664556607</v>
      </c>
      <c r="K96" s="124"/>
      <c r="L96" s="116">
        <f t="shared" si="4"/>
        <v>-193067547</v>
      </c>
      <c r="M96" s="116">
        <f t="shared" si="5"/>
        <v>600089944</v>
      </c>
      <c r="N96" s="116"/>
      <c r="O96" s="116">
        <f>IFERROR(VLOOKUP(A96,$A:$H,8,0),0)+IFERROR(VLOOKUP(A96,[1]모바일!$A:$S,19,0),0)</f>
        <v>-690720704.33333337</v>
      </c>
      <c r="P96" s="124"/>
      <c r="Q96" s="193">
        <f>IFERROR(VLOOKUP(A96,[1]유통플랫폼!$A:$C,3,0),)</f>
        <v>-9600000</v>
      </c>
    </row>
    <row r="97" spans="1:17" x14ac:dyDescent="0.25">
      <c r="A97" s="181" t="s">
        <v>333</v>
      </c>
      <c r="B97" s="122">
        <v>5934410622</v>
      </c>
      <c r="C97" s="122">
        <v>-386135094</v>
      </c>
      <c r="D97" s="124"/>
      <c r="E97" s="122">
        <v>-171252189</v>
      </c>
      <c r="F97" s="122">
        <v>780942133</v>
      </c>
      <c r="G97" s="122">
        <v>6054866663</v>
      </c>
      <c r="H97" s="122">
        <v>-344010891</v>
      </c>
      <c r="I97" s="124"/>
      <c r="J97" s="125">
        <f t="shared" si="3"/>
        <v>6664556607</v>
      </c>
      <c r="K97" s="124"/>
      <c r="L97" s="116">
        <f t="shared" si="4"/>
        <v>-193067547</v>
      </c>
      <c r="M97" s="116">
        <f t="shared" si="5"/>
        <v>600089944</v>
      </c>
      <c r="N97" s="116"/>
      <c r="O97" s="116">
        <f>IFERROR(VLOOKUP(A97,$A:$H,8,0),0)+IFERROR(VLOOKUP(A97,[1]모바일!$A:$S,19,0),0)</f>
        <v>-690720704.33333337</v>
      </c>
      <c r="P97" s="124"/>
      <c r="Q97" s="193">
        <f>IFERROR(VLOOKUP(A97,[1]유통플랫폼!$A:$C,3,0),)</f>
        <v>-9600000</v>
      </c>
    </row>
    <row r="98" spans="1:17" x14ac:dyDescent="0.25">
      <c r="A98" s="181" t="s">
        <v>112</v>
      </c>
      <c r="B98" s="122">
        <v>0</v>
      </c>
      <c r="C98" s="122">
        <v>0</v>
      </c>
      <c r="D98" s="124"/>
      <c r="E98" s="122">
        <v>0</v>
      </c>
      <c r="F98" s="122">
        <v>0</v>
      </c>
      <c r="G98" s="122">
        <v>0</v>
      </c>
      <c r="H98" s="122">
        <v>0</v>
      </c>
      <c r="I98" s="124"/>
      <c r="J98" s="125">
        <f t="shared" si="3"/>
        <v>0</v>
      </c>
      <c r="K98" s="124"/>
      <c r="L98" s="116">
        <f t="shared" si="4"/>
        <v>0</v>
      </c>
      <c r="M98" s="116">
        <f t="shared" si="5"/>
        <v>0</v>
      </c>
      <c r="N98" s="116"/>
      <c r="O98" s="116">
        <f>IFERROR(VLOOKUP(A98,$A:$H,8,0),0)+IFERROR(VLOOKUP(A98,[1]모바일!$A:$S,19,0),0)</f>
        <v>0</v>
      </c>
      <c r="P98" s="124"/>
      <c r="Q98" s="193">
        <f>IFERROR(VLOOKUP(A98,[1]유통플랫폼!$A:$C,3,0),)</f>
        <v>0</v>
      </c>
    </row>
    <row r="99" spans="1:17" x14ac:dyDescent="0.25">
      <c r="A99" s="181" t="s">
        <v>334</v>
      </c>
      <c r="B99" s="122">
        <v>5934410622</v>
      </c>
      <c r="C99" s="122">
        <v>-386135094</v>
      </c>
      <c r="D99" s="124"/>
      <c r="E99" s="122">
        <v>-171252189</v>
      </c>
      <c r="F99" s="122">
        <v>780942133</v>
      </c>
      <c r="G99" s="122">
        <v>6054866663</v>
      </c>
      <c r="H99" s="122">
        <v>-344010891</v>
      </c>
      <c r="I99" s="124"/>
      <c r="J99" s="125">
        <f t="shared" si="3"/>
        <v>6664556607</v>
      </c>
      <c r="K99" s="124"/>
      <c r="L99" s="116">
        <f t="shared" si="4"/>
        <v>-193067547</v>
      </c>
      <c r="M99" s="116">
        <f t="shared" si="5"/>
        <v>600089944</v>
      </c>
      <c r="N99" s="116"/>
      <c r="O99" s="116">
        <f>IFERROR(VLOOKUP(A99,$A:$H,8,0),0)+IFERROR(VLOOKUP(A99,[1]모바일!$A:$S,19,0),0)</f>
        <v>-344010891</v>
      </c>
      <c r="P99" s="124"/>
      <c r="Q99" s="193">
        <f>IFERROR(VLOOKUP(A99,[1]유통플랫폼!$A:$C,3,0),)</f>
        <v>-9600000</v>
      </c>
    </row>
    <row r="100" spans="1:17" x14ac:dyDescent="0.25">
      <c r="A100" s="181" t="s">
        <v>335</v>
      </c>
      <c r="B100" s="122">
        <v>0</v>
      </c>
      <c r="C100" s="122">
        <v>0</v>
      </c>
      <c r="D100" s="124"/>
      <c r="E100" s="122">
        <v>0</v>
      </c>
      <c r="F100" s="122">
        <v>0</v>
      </c>
      <c r="G100" s="122">
        <v>0</v>
      </c>
      <c r="H100" s="122">
        <v>0</v>
      </c>
      <c r="I100" s="124"/>
      <c r="J100" s="125">
        <f t="shared" si="3"/>
        <v>0</v>
      </c>
      <c r="K100" s="124"/>
      <c r="L100" s="116">
        <f t="shared" si="4"/>
        <v>0</v>
      </c>
      <c r="M100" s="116">
        <f t="shared" si="5"/>
        <v>0</v>
      </c>
      <c r="N100" s="116"/>
      <c r="O100" s="116">
        <f>IFERROR(VLOOKUP(A100,$A:$H,8,0),0)+IFERROR(VLOOKUP(A100,[1]모바일!$A:$S,19,0),0)</f>
        <v>0</v>
      </c>
      <c r="P100" s="124"/>
      <c r="Q100" s="193">
        <f>IFERROR(VLOOKUP(A100,[1]유통플랫폼!$A:$C,3,0),)</f>
        <v>0</v>
      </c>
    </row>
    <row r="101" spans="1:17" x14ac:dyDescent="0.25">
      <c r="A101" s="181" t="s">
        <v>311</v>
      </c>
      <c r="B101" s="122">
        <v>5934410622</v>
      </c>
      <c r="C101" s="122">
        <v>-386135094</v>
      </c>
      <c r="D101" s="124"/>
      <c r="E101" s="122">
        <v>-171252189</v>
      </c>
      <c r="F101" s="122">
        <v>780942133</v>
      </c>
      <c r="G101" s="122">
        <v>6054866663</v>
      </c>
      <c r="H101" s="122">
        <v>-344010891</v>
      </c>
      <c r="I101" s="124"/>
      <c r="J101" s="125"/>
      <c r="K101" s="124"/>
      <c r="L101" s="116">
        <f t="shared" si="4"/>
        <v>-193067547</v>
      </c>
      <c r="M101" s="116">
        <f t="shared" si="5"/>
        <v>600089944</v>
      </c>
      <c r="N101" s="116"/>
      <c r="O101" s="116">
        <f>IFERROR(VLOOKUP(A101,$A:$H,8,0),0)+IFERROR(VLOOKUP(A101,[1]모바일!$A:$S,19,0),0)</f>
        <v>-690720704.33333337</v>
      </c>
      <c r="P101" s="124"/>
      <c r="Q101" s="193">
        <f>IFERROR(VLOOKUP(A101,[1]유통플랫폼!$A:$C,3,0),)</f>
        <v>-9600000</v>
      </c>
    </row>
    <row r="102" spans="1:17" x14ac:dyDescent="0.25">
      <c r="A102" s="181" t="s">
        <v>336</v>
      </c>
      <c r="B102" s="122">
        <v>0</v>
      </c>
      <c r="C102" s="122">
        <v>0</v>
      </c>
      <c r="D102" s="124"/>
      <c r="E102" s="122">
        <v>0</v>
      </c>
      <c r="F102" s="122">
        <v>0</v>
      </c>
      <c r="G102" s="122">
        <v>0</v>
      </c>
      <c r="H102" s="122">
        <v>0</v>
      </c>
      <c r="I102" s="124"/>
      <c r="J102" s="125"/>
      <c r="K102" s="124"/>
      <c r="L102" s="116">
        <f t="shared" si="4"/>
        <v>0</v>
      </c>
      <c r="M102" s="116">
        <f t="shared" si="5"/>
        <v>0</v>
      </c>
      <c r="N102" s="116"/>
      <c r="O102" s="116">
        <f>IFERROR(VLOOKUP(A102,$A:$H,8,0),0)+IFERROR(VLOOKUP(A102,[1]모바일!$A:$S,19,0),0)</f>
        <v>0</v>
      </c>
      <c r="P102" s="124"/>
      <c r="Q102" s="193">
        <f>IFERROR(VLOOKUP(A102,[1]유통플랫폼!$A:$C,3,0),)</f>
        <v>0</v>
      </c>
    </row>
    <row r="103" spans="1:17" x14ac:dyDescent="0.25">
      <c r="A103" s="181" t="s">
        <v>337</v>
      </c>
      <c r="B103" s="122">
        <v>0</v>
      </c>
      <c r="C103" s="122">
        <v>0</v>
      </c>
      <c r="D103" s="124"/>
      <c r="E103" s="122">
        <v>0</v>
      </c>
      <c r="F103" s="122">
        <v>0</v>
      </c>
      <c r="G103" s="122">
        <v>0</v>
      </c>
      <c r="H103" s="122">
        <v>0</v>
      </c>
      <c r="I103" s="124"/>
      <c r="J103" s="125"/>
      <c r="K103" s="124"/>
      <c r="L103" s="116">
        <f t="shared" si="4"/>
        <v>0</v>
      </c>
      <c r="M103" s="116">
        <f t="shared" si="5"/>
        <v>0</v>
      </c>
      <c r="N103" s="116"/>
      <c r="O103" s="116">
        <f>IFERROR(VLOOKUP(A103,$A:$H,8,0),0)+IFERROR(VLOOKUP(A103,[1]모바일!$A:$S,19,0),0)</f>
        <v>0</v>
      </c>
      <c r="P103" s="124"/>
      <c r="Q103" s="193">
        <f>IFERROR(VLOOKUP(A103,[1]유통플랫폼!$A:$C,3,0),)</f>
        <v>0</v>
      </c>
    </row>
    <row r="104" spans="1:17" x14ac:dyDescent="0.25">
      <c r="A104" s="181" t="s">
        <v>338</v>
      </c>
      <c r="B104" s="122">
        <v>0</v>
      </c>
      <c r="C104" s="122">
        <v>0</v>
      </c>
      <c r="D104" s="124"/>
      <c r="E104" s="122">
        <v>0</v>
      </c>
      <c r="F104" s="122">
        <v>0</v>
      </c>
      <c r="G104" s="122">
        <v>0</v>
      </c>
      <c r="H104" s="122">
        <v>0</v>
      </c>
      <c r="I104" s="124"/>
      <c r="J104" s="125"/>
      <c r="K104" s="124"/>
      <c r="L104" s="116">
        <f t="shared" si="4"/>
        <v>0</v>
      </c>
      <c r="M104" s="116">
        <f t="shared" si="5"/>
        <v>0</v>
      </c>
      <c r="N104" s="116"/>
      <c r="O104" s="116">
        <f>IFERROR(VLOOKUP(A104,$A:$H,8,0),0)+IFERROR(VLOOKUP(A104,[1]모바일!$A:$S,19,0),0)</f>
        <v>0</v>
      </c>
      <c r="P104" s="124"/>
      <c r="Q104" s="193">
        <f>IFERROR(VLOOKUP(A104,[1]유통플랫폼!$A:$C,3,0),)</f>
        <v>0</v>
      </c>
    </row>
    <row r="105" spans="1:17" x14ac:dyDescent="0.25">
      <c r="A105" s="181" t="s">
        <v>339</v>
      </c>
      <c r="B105" s="122">
        <v>0</v>
      </c>
      <c r="C105" s="122">
        <v>0</v>
      </c>
      <c r="D105" s="124"/>
      <c r="E105" s="122">
        <v>0</v>
      </c>
      <c r="F105" s="122">
        <v>0</v>
      </c>
      <c r="G105" s="122">
        <v>0</v>
      </c>
      <c r="H105" s="122">
        <v>0</v>
      </c>
      <c r="I105" s="124"/>
      <c r="J105" s="125"/>
      <c r="K105" s="124"/>
      <c r="L105" s="116">
        <f t="shared" si="4"/>
        <v>0</v>
      </c>
      <c r="M105" s="116">
        <f t="shared" si="5"/>
        <v>0</v>
      </c>
      <c r="N105" s="116"/>
      <c r="O105" s="116">
        <f>IFERROR(VLOOKUP(A105,$A:$H,8,0),0)+IFERROR(VLOOKUP(A105,[1]모바일!$A:$S,19,0),0)</f>
        <v>0</v>
      </c>
      <c r="P105" s="124"/>
      <c r="Q105" s="193">
        <f>IFERROR(VLOOKUP(A105,[1]유통플랫폼!$A:$C,3,0),)</f>
        <v>0</v>
      </c>
    </row>
    <row r="106" spans="1:17" x14ac:dyDescent="0.25">
      <c r="A106" s="181" t="s">
        <v>340</v>
      </c>
      <c r="B106" s="122">
        <v>0</v>
      </c>
      <c r="C106" s="122">
        <v>0</v>
      </c>
      <c r="D106" s="124"/>
      <c r="E106" s="122">
        <v>0</v>
      </c>
      <c r="F106" s="122">
        <v>0</v>
      </c>
      <c r="G106" s="122">
        <v>0</v>
      </c>
      <c r="H106" s="122">
        <v>0</v>
      </c>
      <c r="I106" s="124"/>
      <c r="J106" s="124"/>
      <c r="K106" s="124"/>
      <c r="L106" s="124"/>
      <c r="M106" s="124"/>
      <c r="N106" s="124"/>
      <c r="O106" s="124"/>
      <c r="P106" s="124"/>
      <c r="Q106" s="124"/>
    </row>
  </sheetData>
  <autoFilter ref="N1:N105" xr:uid="{075C0F4B-92C7-4AEB-8AAA-1F37C41DF9C9}"/>
  <mergeCells count="6">
    <mergeCell ref="O1:O2"/>
    <mergeCell ref="L1:L2"/>
    <mergeCell ref="A1:A2"/>
    <mergeCell ref="B1:B2"/>
    <mergeCell ref="J1:J2"/>
    <mergeCell ref="M1:M2"/>
  </mergeCells>
  <phoneticPr fontId="2" type="noConversion"/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43F6B-3FE3-48A7-9AB6-DC4DDB86E6E4}">
  <sheetPr>
    <tabColor theme="4" tint="0.79998168889431442"/>
  </sheetPr>
  <dimension ref="A1:T109"/>
  <sheetViews>
    <sheetView workbookViewId="0">
      <selection sqref="A1:A2"/>
    </sheetView>
  </sheetViews>
  <sheetFormatPr defaultRowHeight="12.5" x14ac:dyDescent="0.25"/>
  <cols>
    <col min="1" max="1" width="28.1796875" bestFit="1" customWidth="1"/>
    <col min="2" max="3" width="22.6328125" customWidth="1"/>
    <col min="4" max="4" width="3.6328125" style="107" customWidth="1"/>
    <col min="5" max="7" width="22.6328125" customWidth="1"/>
    <col min="8" max="8" width="18" customWidth="1"/>
    <col min="11" max="11" width="12.7265625" bestFit="1" customWidth="1"/>
    <col min="12" max="13" width="11.7265625" bestFit="1" customWidth="1"/>
    <col min="14" max="14" width="12.7265625" bestFit="1" customWidth="1"/>
    <col min="17" max="18" width="12.08984375" bestFit="1" customWidth="1"/>
    <col min="19" max="19" width="12.7265625" bestFit="1" customWidth="1"/>
  </cols>
  <sheetData>
    <row r="1" spans="1:20" ht="14" x14ac:dyDescent="0.35">
      <c r="A1" s="216" t="s">
        <v>313</v>
      </c>
      <c r="B1" s="216" t="s">
        <v>322</v>
      </c>
      <c r="C1" s="174" t="s">
        <v>351</v>
      </c>
      <c r="D1" s="121"/>
      <c r="E1" s="174" t="s">
        <v>352</v>
      </c>
      <c r="F1" s="174" t="s">
        <v>353</v>
      </c>
      <c r="G1" s="174" t="s">
        <v>354</v>
      </c>
      <c r="H1" s="222" t="s">
        <v>361</v>
      </c>
      <c r="I1" s="124"/>
      <c r="J1" s="177" t="s">
        <v>424</v>
      </c>
      <c r="K1" s="224" t="s">
        <v>425</v>
      </c>
      <c r="L1" s="221" t="s">
        <v>426</v>
      </c>
      <c r="M1" s="221"/>
      <c r="N1" s="178" t="s">
        <v>427</v>
      </c>
      <c r="O1" s="124"/>
      <c r="P1" s="124"/>
      <c r="Q1" s="221" t="s">
        <v>426</v>
      </c>
      <c r="R1" s="221"/>
      <c r="S1" s="178" t="s">
        <v>427</v>
      </c>
      <c r="T1" s="124"/>
    </row>
    <row r="2" spans="1:20" ht="14" x14ac:dyDescent="0.35">
      <c r="A2" s="216" t="s">
        <v>313</v>
      </c>
      <c r="B2" s="216" t="s">
        <v>322</v>
      </c>
      <c r="C2" s="174" t="s">
        <v>330</v>
      </c>
      <c r="D2" s="121"/>
      <c r="E2" s="174" t="s">
        <v>355</v>
      </c>
      <c r="F2" s="174" t="s">
        <v>356</v>
      </c>
      <c r="G2" s="174" t="s">
        <v>357</v>
      </c>
      <c r="H2" s="223"/>
      <c r="I2" s="124"/>
      <c r="J2" s="124"/>
      <c r="K2" s="225"/>
      <c r="L2" s="221" t="s">
        <v>428</v>
      </c>
      <c r="M2" s="221"/>
      <c r="N2" s="179" t="s">
        <v>429</v>
      </c>
      <c r="O2" s="124"/>
      <c r="P2" s="124"/>
      <c r="Q2" s="178" t="s">
        <v>430</v>
      </c>
      <c r="R2" s="180" t="s">
        <v>431</v>
      </c>
      <c r="S2" s="179" t="s">
        <v>429</v>
      </c>
      <c r="T2" s="124"/>
    </row>
    <row r="3" spans="1:20" x14ac:dyDescent="0.25">
      <c r="A3" s="181" t="s">
        <v>331</v>
      </c>
      <c r="B3" s="122">
        <v>-31686035</v>
      </c>
      <c r="C3" s="122">
        <v>-650992078</v>
      </c>
      <c r="D3" s="122"/>
      <c r="E3" s="122">
        <v>99730369</v>
      </c>
      <c r="F3" s="122">
        <v>323792089</v>
      </c>
      <c r="G3" s="122">
        <v>195783585</v>
      </c>
      <c r="H3" s="123">
        <f>SUM(E3:F3)</f>
        <v>423522458</v>
      </c>
      <c r="I3" s="124"/>
      <c r="J3" s="124"/>
      <c r="K3" s="116">
        <f>C3/6</f>
        <v>-108498679.66666667</v>
      </c>
      <c r="L3" s="116">
        <f>K3/2</f>
        <v>-54249339.833333336</v>
      </c>
      <c r="M3" s="116">
        <f>K3/2</f>
        <v>-54249339.833333336</v>
      </c>
      <c r="N3" s="116">
        <f>K3*5</f>
        <v>-542493398.33333337</v>
      </c>
      <c r="O3" s="124" t="b">
        <f t="shared" ref="O3:O13" si="0">C3=L3+M3+N3</f>
        <v>1</v>
      </c>
      <c r="P3" s="124"/>
      <c r="Q3" s="116">
        <f>L3+E3</f>
        <v>45481029.166666664</v>
      </c>
      <c r="R3" s="116">
        <f>M3+F3</f>
        <v>269542749.16666669</v>
      </c>
      <c r="S3" s="116">
        <f>N3+G3</f>
        <v>-346709813.33333337</v>
      </c>
      <c r="T3" s="124" t="b">
        <f>B3=Q3+R3+S3</f>
        <v>1</v>
      </c>
    </row>
    <row r="4" spans="1:20" x14ac:dyDescent="0.25">
      <c r="A4" s="181" t="s">
        <v>0</v>
      </c>
      <c r="B4" s="122">
        <v>1605514381</v>
      </c>
      <c r="C4" s="122">
        <v>0</v>
      </c>
      <c r="D4" s="122"/>
      <c r="E4" s="122">
        <v>357710000</v>
      </c>
      <c r="F4" s="122">
        <v>441954966</v>
      </c>
      <c r="G4" s="122">
        <v>805849415</v>
      </c>
      <c r="H4" s="123">
        <f t="shared" ref="H4:H67" si="1">SUM(E4:F4)</f>
        <v>799664966</v>
      </c>
      <c r="I4" s="124"/>
      <c r="J4" s="124"/>
      <c r="K4" s="116">
        <f t="shared" ref="K4:K13" si="2">C4/6</f>
        <v>0</v>
      </c>
      <c r="L4" s="116">
        <f t="shared" ref="L4:L13" si="3">K4/2</f>
        <v>0</v>
      </c>
      <c r="M4" s="116">
        <f t="shared" ref="M4:M13" si="4">K4/2</f>
        <v>0</v>
      </c>
      <c r="N4" s="116">
        <f t="shared" ref="N4:N13" si="5">K4*5</f>
        <v>0</v>
      </c>
      <c r="O4" s="124" t="b">
        <f t="shared" si="0"/>
        <v>1</v>
      </c>
      <c r="P4" s="124"/>
      <c r="Q4" s="116">
        <f t="shared" ref="Q4:S19" si="6">L4+E4</f>
        <v>357710000</v>
      </c>
      <c r="R4" s="116">
        <f t="shared" si="6"/>
        <v>441954966</v>
      </c>
      <c r="S4" s="116">
        <f t="shared" si="6"/>
        <v>805849415</v>
      </c>
      <c r="T4" s="124" t="b">
        <f t="shared" ref="T4:T67" si="7">B4=Q4+R4+S4</f>
        <v>1</v>
      </c>
    </row>
    <row r="5" spans="1:20" x14ac:dyDescent="0.25">
      <c r="A5" s="181" t="s">
        <v>1</v>
      </c>
      <c r="B5" s="122">
        <v>487667597</v>
      </c>
      <c r="C5" s="122">
        <v>0</v>
      </c>
      <c r="D5" s="122"/>
      <c r="E5" s="122">
        <v>0</v>
      </c>
      <c r="F5" s="122">
        <v>0</v>
      </c>
      <c r="G5" s="122">
        <v>487667597</v>
      </c>
      <c r="H5" s="123">
        <f t="shared" si="1"/>
        <v>0</v>
      </c>
      <c r="I5" s="124"/>
      <c r="J5" s="124"/>
      <c r="K5" s="116">
        <f t="shared" si="2"/>
        <v>0</v>
      </c>
      <c r="L5" s="116">
        <f t="shared" si="3"/>
        <v>0</v>
      </c>
      <c r="M5" s="116">
        <f t="shared" si="4"/>
        <v>0</v>
      </c>
      <c r="N5" s="116">
        <f t="shared" si="5"/>
        <v>0</v>
      </c>
      <c r="O5" s="124" t="b">
        <f t="shared" si="0"/>
        <v>1</v>
      </c>
      <c r="P5" s="124"/>
      <c r="Q5" s="116">
        <f t="shared" si="6"/>
        <v>0</v>
      </c>
      <c r="R5" s="116">
        <f t="shared" si="6"/>
        <v>0</v>
      </c>
      <c r="S5" s="116">
        <f t="shared" si="6"/>
        <v>487667597</v>
      </c>
      <c r="T5" s="124" t="b">
        <f t="shared" si="7"/>
        <v>1</v>
      </c>
    </row>
    <row r="6" spans="1:20" x14ac:dyDescent="0.25">
      <c r="A6" s="181" t="s">
        <v>2</v>
      </c>
      <c r="B6" s="122">
        <v>80444305</v>
      </c>
      <c r="C6" s="122">
        <v>0</v>
      </c>
      <c r="D6" s="122"/>
      <c r="E6" s="122">
        <v>0</v>
      </c>
      <c r="F6" s="122">
        <v>0</v>
      </c>
      <c r="G6" s="122">
        <v>80444305</v>
      </c>
      <c r="H6" s="123">
        <f t="shared" si="1"/>
        <v>0</v>
      </c>
      <c r="I6" s="124"/>
      <c r="J6" s="124"/>
      <c r="K6" s="116">
        <f t="shared" si="2"/>
        <v>0</v>
      </c>
      <c r="L6" s="116">
        <f t="shared" si="3"/>
        <v>0</v>
      </c>
      <c r="M6" s="116">
        <f t="shared" si="4"/>
        <v>0</v>
      </c>
      <c r="N6" s="116">
        <f t="shared" si="5"/>
        <v>0</v>
      </c>
      <c r="O6" s="124" t="b">
        <f t="shared" si="0"/>
        <v>1</v>
      </c>
      <c r="P6" s="124"/>
      <c r="Q6" s="116">
        <f t="shared" si="6"/>
        <v>0</v>
      </c>
      <c r="R6" s="116">
        <f t="shared" si="6"/>
        <v>0</v>
      </c>
      <c r="S6" s="116">
        <f t="shared" si="6"/>
        <v>80444305</v>
      </c>
      <c r="T6" s="124" t="b">
        <f t="shared" si="7"/>
        <v>1</v>
      </c>
    </row>
    <row r="7" spans="1:20" x14ac:dyDescent="0.25">
      <c r="A7" s="181" t="s">
        <v>5</v>
      </c>
      <c r="B7" s="122">
        <v>407223292</v>
      </c>
      <c r="C7" s="122">
        <v>0</v>
      </c>
      <c r="D7" s="122"/>
      <c r="E7" s="122">
        <v>0</v>
      </c>
      <c r="F7" s="122">
        <v>0</v>
      </c>
      <c r="G7" s="122">
        <v>407223292</v>
      </c>
      <c r="H7" s="123">
        <f t="shared" si="1"/>
        <v>0</v>
      </c>
      <c r="I7" s="124"/>
      <c r="J7" s="124"/>
      <c r="K7" s="116">
        <f t="shared" si="2"/>
        <v>0</v>
      </c>
      <c r="L7" s="116">
        <f t="shared" si="3"/>
        <v>0</v>
      </c>
      <c r="M7" s="116">
        <f t="shared" si="4"/>
        <v>0</v>
      </c>
      <c r="N7" s="116">
        <f t="shared" si="5"/>
        <v>0</v>
      </c>
      <c r="O7" s="124" t="b">
        <f t="shared" si="0"/>
        <v>1</v>
      </c>
      <c r="P7" s="124"/>
      <c r="Q7" s="116">
        <f t="shared" si="6"/>
        <v>0</v>
      </c>
      <c r="R7" s="116">
        <f t="shared" si="6"/>
        <v>0</v>
      </c>
      <c r="S7" s="116">
        <f t="shared" si="6"/>
        <v>407223292</v>
      </c>
      <c r="T7" s="124" t="b">
        <f t="shared" si="7"/>
        <v>1</v>
      </c>
    </row>
    <row r="8" spans="1:20" x14ac:dyDescent="0.25">
      <c r="A8" s="181" t="s">
        <v>7</v>
      </c>
      <c r="B8" s="122">
        <v>1117846784</v>
      </c>
      <c r="C8" s="122">
        <v>0</v>
      </c>
      <c r="D8" s="121"/>
      <c r="E8" s="122">
        <v>357710000</v>
      </c>
      <c r="F8" s="122">
        <v>441954966</v>
      </c>
      <c r="G8" s="122">
        <v>318181818</v>
      </c>
      <c r="H8" s="123">
        <f t="shared" si="1"/>
        <v>799664966</v>
      </c>
      <c r="I8" s="124"/>
      <c r="J8" s="124"/>
      <c r="K8" s="116">
        <f t="shared" si="2"/>
        <v>0</v>
      </c>
      <c r="L8" s="116">
        <f t="shared" si="3"/>
        <v>0</v>
      </c>
      <c r="M8" s="116">
        <f t="shared" si="4"/>
        <v>0</v>
      </c>
      <c r="N8" s="116">
        <f t="shared" si="5"/>
        <v>0</v>
      </c>
      <c r="O8" s="124" t="b">
        <f t="shared" si="0"/>
        <v>1</v>
      </c>
      <c r="P8" s="124"/>
      <c r="Q8" s="116">
        <f t="shared" si="6"/>
        <v>357710000</v>
      </c>
      <c r="R8" s="116">
        <f t="shared" si="6"/>
        <v>441954966</v>
      </c>
      <c r="S8" s="116">
        <f t="shared" si="6"/>
        <v>318181818</v>
      </c>
      <c r="T8" s="124" t="b">
        <f t="shared" si="7"/>
        <v>1</v>
      </c>
    </row>
    <row r="9" spans="1:20" x14ac:dyDescent="0.25">
      <c r="A9" s="181" t="s">
        <v>8</v>
      </c>
      <c r="B9" s="122">
        <v>318181818</v>
      </c>
      <c r="C9" s="122">
        <v>0</v>
      </c>
      <c r="D9" s="122"/>
      <c r="E9" s="122">
        <v>0</v>
      </c>
      <c r="F9" s="122">
        <v>0</v>
      </c>
      <c r="G9" s="122">
        <v>318181818</v>
      </c>
      <c r="H9" s="123">
        <f t="shared" si="1"/>
        <v>0</v>
      </c>
      <c r="I9" s="124"/>
      <c r="J9" s="124"/>
      <c r="K9" s="116">
        <f t="shared" si="2"/>
        <v>0</v>
      </c>
      <c r="L9" s="116">
        <f t="shared" si="3"/>
        <v>0</v>
      </c>
      <c r="M9" s="116">
        <f t="shared" si="4"/>
        <v>0</v>
      </c>
      <c r="N9" s="116">
        <f t="shared" si="5"/>
        <v>0</v>
      </c>
      <c r="O9" s="124" t="b">
        <f t="shared" si="0"/>
        <v>1</v>
      </c>
      <c r="P9" s="124"/>
      <c r="Q9" s="116">
        <f t="shared" si="6"/>
        <v>0</v>
      </c>
      <c r="R9" s="116">
        <f t="shared" si="6"/>
        <v>0</v>
      </c>
      <c r="S9" s="116">
        <f t="shared" si="6"/>
        <v>318181818</v>
      </c>
      <c r="T9" s="124" t="b">
        <f t="shared" si="7"/>
        <v>1</v>
      </c>
    </row>
    <row r="10" spans="1:20" x14ac:dyDescent="0.25">
      <c r="A10" s="181" t="s">
        <v>121</v>
      </c>
      <c r="B10" s="122">
        <v>799664966</v>
      </c>
      <c r="C10" s="122">
        <v>0</v>
      </c>
      <c r="D10" s="121"/>
      <c r="E10" s="122">
        <v>357710000</v>
      </c>
      <c r="F10" s="122">
        <v>441954966</v>
      </c>
      <c r="G10" s="122">
        <v>0</v>
      </c>
      <c r="H10" s="123">
        <f t="shared" si="1"/>
        <v>799664966</v>
      </c>
      <c r="I10" s="124"/>
      <c r="J10" s="124"/>
      <c r="K10" s="116">
        <f t="shared" si="2"/>
        <v>0</v>
      </c>
      <c r="L10" s="116">
        <f t="shared" si="3"/>
        <v>0</v>
      </c>
      <c r="M10" s="116">
        <f t="shared" si="4"/>
        <v>0</v>
      </c>
      <c r="N10" s="116">
        <f t="shared" si="5"/>
        <v>0</v>
      </c>
      <c r="O10" s="124" t="b">
        <f t="shared" si="0"/>
        <v>1</v>
      </c>
      <c r="P10" s="124"/>
      <c r="Q10" s="116">
        <f t="shared" si="6"/>
        <v>357710000</v>
      </c>
      <c r="R10" s="116">
        <f t="shared" si="6"/>
        <v>441954966</v>
      </c>
      <c r="S10" s="116">
        <f t="shared" si="6"/>
        <v>0</v>
      </c>
      <c r="T10" s="124" t="b">
        <f t="shared" si="7"/>
        <v>1</v>
      </c>
    </row>
    <row r="11" spans="1:20" x14ac:dyDescent="0.25">
      <c r="A11" s="181" t="s">
        <v>14</v>
      </c>
      <c r="B11" s="122">
        <v>369196965</v>
      </c>
      <c r="C11" s="122">
        <v>8740000</v>
      </c>
      <c r="D11" s="121"/>
      <c r="E11" s="122">
        <v>0</v>
      </c>
      <c r="F11" s="122">
        <v>0</v>
      </c>
      <c r="G11" s="122">
        <v>360456965</v>
      </c>
      <c r="H11" s="123">
        <f t="shared" si="1"/>
        <v>0</v>
      </c>
      <c r="I11" s="124"/>
      <c r="J11" s="124"/>
      <c r="K11" s="116">
        <f t="shared" si="2"/>
        <v>1456666.6666666667</v>
      </c>
      <c r="L11" s="116">
        <f t="shared" si="3"/>
        <v>728333.33333333337</v>
      </c>
      <c r="M11" s="116">
        <f t="shared" si="4"/>
        <v>728333.33333333337</v>
      </c>
      <c r="N11" s="116">
        <f t="shared" si="5"/>
        <v>7283333.333333334</v>
      </c>
      <c r="O11" s="124" t="b">
        <f t="shared" si="0"/>
        <v>1</v>
      </c>
      <c r="P11" s="124"/>
      <c r="Q11" s="116">
        <f t="shared" si="6"/>
        <v>728333.33333333337</v>
      </c>
      <c r="R11" s="116">
        <f t="shared" si="6"/>
        <v>728333.33333333337</v>
      </c>
      <c r="S11" s="116">
        <f t="shared" si="6"/>
        <v>367740298.33333331</v>
      </c>
      <c r="T11" s="124" t="b">
        <f t="shared" si="7"/>
        <v>1</v>
      </c>
    </row>
    <row r="12" spans="1:20" x14ac:dyDescent="0.25">
      <c r="A12" s="181" t="s">
        <v>15</v>
      </c>
      <c r="B12" s="122">
        <v>369196965</v>
      </c>
      <c r="C12" s="122">
        <v>8740000</v>
      </c>
      <c r="D12" s="122"/>
      <c r="E12" s="122">
        <v>0</v>
      </c>
      <c r="F12" s="122">
        <v>0</v>
      </c>
      <c r="G12" s="122">
        <v>360456965</v>
      </c>
      <c r="H12" s="123">
        <f t="shared" si="1"/>
        <v>0</v>
      </c>
      <c r="I12" s="124"/>
      <c r="J12" s="124"/>
      <c r="K12" s="116">
        <f t="shared" si="2"/>
        <v>1456666.6666666667</v>
      </c>
      <c r="L12" s="116">
        <f t="shared" si="3"/>
        <v>728333.33333333337</v>
      </c>
      <c r="M12" s="116">
        <f t="shared" si="4"/>
        <v>728333.33333333337</v>
      </c>
      <c r="N12" s="116">
        <f t="shared" si="5"/>
        <v>7283333.333333334</v>
      </c>
      <c r="O12" s="124" t="b">
        <f t="shared" si="0"/>
        <v>1</v>
      </c>
      <c r="P12" s="124"/>
      <c r="Q12" s="116">
        <f t="shared" si="6"/>
        <v>728333.33333333337</v>
      </c>
      <c r="R12" s="116">
        <f t="shared" si="6"/>
        <v>728333.33333333337</v>
      </c>
      <c r="S12" s="116">
        <f t="shared" si="6"/>
        <v>367740298.33333331</v>
      </c>
      <c r="T12" s="124" t="b">
        <f t="shared" si="7"/>
        <v>1</v>
      </c>
    </row>
    <row r="13" spans="1:20" x14ac:dyDescent="0.25">
      <c r="A13" s="182" t="s">
        <v>16</v>
      </c>
      <c r="B13" s="183">
        <v>1236317416</v>
      </c>
      <c r="C13" s="183">
        <v>-8740000</v>
      </c>
      <c r="D13" s="183"/>
      <c r="E13" s="183">
        <v>357710000</v>
      </c>
      <c r="F13" s="183">
        <v>441954966</v>
      </c>
      <c r="G13" s="183">
        <v>445392450</v>
      </c>
      <c r="H13" s="184">
        <f t="shared" si="1"/>
        <v>799664966</v>
      </c>
      <c r="I13" s="185"/>
      <c r="J13" s="185"/>
      <c r="K13" s="186">
        <f t="shared" si="2"/>
        <v>-1456666.6666666667</v>
      </c>
      <c r="L13" s="186">
        <f t="shared" si="3"/>
        <v>-728333.33333333337</v>
      </c>
      <c r="M13" s="186">
        <f t="shared" si="4"/>
        <v>-728333.33333333337</v>
      </c>
      <c r="N13" s="186">
        <f t="shared" si="5"/>
        <v>-7283333.333333334</v>
      </c>
      <c r="O13" s="185" t="b">
        <f t="shared" si="0"/>
        <v>1</v>
      </c>
      <c r="P13" s="185"/>
      <c r="Q13" s="186">
        <f t="shared" si="6"/>
        <v>356981666.66666669</v>
      </c>
      <c r="R13" s="186">
        <f t="shared" si="6"/>
        <v>441226632.66666669</v>
      </c>
      <c r="S13" s="186">
        <f t="shared" si="6"/>
        <v>438109116.66666669</v>
      </c>
      <c r="T13" s="124" t="b">
        <f t="shared" si="7"/>
        <v>1</v>
      </c>
    </row>
    <row r="14" spans="1:20" x14ac:dyDescent="0.25">
      <c r="A14" s="187" t="s">
        <v>17</v>
      </c>
      <c r="B14" s="188">
        <v>1268003451</v>
      </c>
      <c r="C14" s="188">
        <v>642252078</v>
      </c>
      <c r="D14" s="188"/>
      <c r="E14" s="188">
        <v>257979631</v>
      </c>
      <c r="F14" s="188">
        <v>118162877</v>
      </c>
      <c r="G14" s="188">
        <v>249608865</v>
      </c>
      <c r="H14" s="189">
        <f t="shared" si="1"/>
        <v>376142508</v>
      </c>
      <c r="I14" s="137"/>
      <c r="J14" s="137"/>
      <c r="K14" s="190">
        <f>C14/6</f>
        <v>107042013</v>
      </c>
      <c r="L14" s="190">
        <f>K14/2</f>
        <v>53521006.5</v>
      </c>
      <c r="M14" s="190">
        <f>K14/2</f>
        <v>53521006.5</v>
      </c>
      <c r="N14" s="190">
        <f>K14*5</f>
        <v>535210065</v>
      </c>
      <c r="O14" s="137" t="b">
        <f>C14=L14+M14+N14</f>
        <v>1</v>
      </c>
      <c r="P14" s="137"/>
      <c r="Q14" s="190">
        <f>L14+E14</f>
        <v>311500637.5</v>
      </c>
      <c r="R14" s="190">
        <f t="shared" si="6"/>
        <v>171683883.5</v>
      </c>
      <c r="S14" s="190">
        <f t="shared" si="6"/>
        <v>784818930</v>
      </c>
      <c r="T14" s="124" t="b">
        <f t="shared" si="7"/>
        <v>1</v>
      </c>
    </row>
    <row r="15" spans="1:20" x14ac:dyDescent="0.25">
      <c r="A15" s="181" t="s">
        <v>19</v>
      </c>
      <c r="B15" s="122">
        <v>416958560</v>
      </c>
      <c r="C15" s="122">
        <v>300169290</v>
      </c>
      <c r="D15" s="122"/>
      <c r="E15" s="122">
        <v>0</v>
      </c>
      <c r="F15" s="122">
        <v>0</v>
      </c>
      <c r="G15" s="122">
        <v>116789270</v>
      </c>
      <c r="H15" s="123">
        <f t="shared" si="1"/>
        <v>0</v>
      </c>
      <c r="I15" s="124"/>
      <c r="J15" s="124"/>
      <c r="K15" s="116">
        <f t="shared" ref="K15:K78" si="8">C15/6</f>
        <v>50028215</v>
      </c>
      <c r="L15" s="116">
        <f t="shared" ref="L15:L78" si="9">K15/2</f>
        <v>25014107.5</v>
      </c>
      <c r="M15" s="116">
        <f t="shared" ref="M15:M78" si="10">K15/2</f>
        <v>25014107.5</v>
      </c>
      <c r="N15" s="116">
        <f t="shared" ref="N15:N78" si="11">K15*5</f>
        <v>250141075</v>
      </c>
      <c r="O15" s="124" t="b">
        <f t="shared" ref="O15:O78" si="12">C15=L15+M15+N15</f>
        <v>1</v>
      </c>
      <c r="P15" s="124"/>
      <c r="Q15" s="186">
        <f t="shared" ref="Q15:S78" si="13">L15+E15</f>
        <v>25014107.5</v>
      </c>
      <c r="R15" s="186">
        <f t="shared" si="6"/>
        <v>25014107.5</v>
      </c>
      <c r="S15" s="186">
        <f t="shared" si="6"/>
        <v>366930345</v>
      </c>
      <c r="T15" s="124" t="b">
        <f t="shared" si="7"/>
        <v>1</v>
      </c>
    </row>
    <row r="16" spans="1:20" x14ac:dyDescent="0.25">
      <c r="A16" s="181" t="s">
        <v>20</v>
      </c>
      <c r="B16" s="122">
        <v>167561150</v>
      </c>
      <c r="C16" s="122">
        <v>167561150</v>
      </c>
      <c r="D16" s="122"/>
      <c r="E16" s="122">
        <v>0</v>
      </c>
      <c r="F16" s="122">
        <v>0</v>
      </c>
      <c r="G16" s="122">
        <v>0</v>
      </c>
      <c r="H16" s="123">
        <f t="shared" si="1"/>
        <v>0</v>
      </c>
      <c r="I16" s="124"/>
      <c r="J16" s="124"/>
      <c r="K16" s="116">
        <f t="shared" si="8"/>
        <v>27926858.333333332</v>
      </c>
      <c r="L16" s="116">
        <f t="shared" si="9"/>
        <v>13963429.166666666</v>
      </c>
      <c r="M16" s="116">
        <f t="shared" si="10"/>
        <v>13963429.166666666</v>
      </c>
      <c r="N16" s="116">
        <f t="shared" si="11"/>
        <v>139634291.66666666</v>
      </c>
      <c r="O16" s="124" t="b">
        <f t="shared" si="12"/>
        <v>1</v>
      </c>
      <c r="P16" s="124"/>
      <c r="Q16" s="186">
        <f t="shared" si="13"/>
        <v>13963429.166666666</v>
      </c>
      <c r="R16" s="186">
        <f t="shared" si="6"/>
        <v>13963429.166666666</v>
      </c>
      <c r="S16" s="186">
        <f t="shared" si="6"/>
        <v>139634291.66666666</v>
      </c>
      <c r="T16" s="124" t="b">
        <f t="shared" si="7"/>
        <v>1</v>
      </c>
    </row>
    <row r="17" spans="1:20" x14ac:dyDescent="0.25">
      <c r="A17" s="181" t="s">
        <v>21</v>
      </c>
      <c r="B17" s="122">
        <v>29964470</v>
      </c>
      <c r="C17" s="122">
        <v>29964470</v>
      </c>
      <c r="D17" s="122"/>
      <c r="E17" s="122">
        <v>0</v>
      </c>
      <c r="F17" s="122">
        <v>0</v>
      </c>
      <c r="G17" s="122">
        <v>0</v>
      </c>
      <c r="H17" s="123">
        <f t="shared" si="1"/>
        <v>0</v>
      </c>
      <c r="I17" s="124"/>
      <c r="J17" s="124"/>
      <c r="K17" s="116">
        <f t="shared" si="8"/>
        <v>4994078.333333333</v>
      </c>
      <c r="L17" s="116">
        <f t="shared" si="9"/>
        <v>2497039.1666666665</v>
      </c>
      <c r="M17" s="116">
        <f t="shared" si="10"/>
        <v>2497039.1666666665</v>
      </c>
      <c r="N17" s="116">
        <f t="shared" si="11"/>
        <v>24970391.666666664</v>
      </c>
      <c r="O17" s="124" t="b">
        <f t="shared" si="12"/>
        <v>1</v>
      </c>
      <c r="P17" s="124"/>
      <c r="Q17" s="186">
        <f t="shared" si="13"/>
        <v>2497039.1666666665</v>
      </c>
      <c r="R17" s="186">
        <f t="shared" si="6"/>
        <v>2497039.1666666665</v>
      </c>
      <c r="S17" s="186">
        <f t="shared" si="6"/>
        <v>24970391.666666664</v>
      </c>
      <c r="T17" s="124" t="b">
        <f t="shared" si="7"/>
        <v>1</v>
      </c>
    </row>
    <row r="18" spans="1:20" x14ac:dyDescent="0.25">
      <c r="A18" s="181" t="s">
        <v>22</v>
      </c>
      <c r="B18" s="122">
        <v>3600000</v>
      </c>
      <c r="C18" s="122">
        <v>3600000</v>
      </c>
      <c r="D18" s="122"/>
      <c r="E18" s="122">
        <v>0</v>
      </c>
      <c r="F18" s="122">
        <v>0</v>
      </c>
      <c r="G18" s="122">
        <v>0</v>
      </c>
      <c r="H18" s="123">
        <f t="shared" si="1"/>
        <v>0</v>
      </c>
      <c r="I18" s="124"/>
      <c r="J18" s="124"/>
      <c r="K18" s="116">
        <f t="shared" si="8"/>
        <v>600000</v>
      </c>
      <c r="L18" s="116">
        <f t="shared" si="9"/>
        <v>300000</v>
      </c>
      <c r="M18" s="116">
        <f t="shared" si="10"/>
        <v>300000</v>
      </c>
      <c r="N18" s="116">
        <f t="shared" si="11"/>
        <v>3000000</v>
      </c>
      <c r="O18" s="124" t="b">
        <f t="shared" si="12"/>
        <v>1</v>
      </c>
      <c r="P18" s="124"/>
      <c r="Q18" s="186">
        <f t="shared" si="13"/>
        <v>300000</v>
      </c>
      <c r="R18" s="186">
        <f t="shared" si="6"/>
        <v>300000</v>
      </c>
      <c r="S18" s="186">
        <f t="shared" si="6"/>
        <v>3000000</v>
      </c>
      <c r="T18" s="124" t="b">
        <f t="shared" si="7"/>
        <v>1</v>
      </c>
    </row>
    <row r="19" spans="1:20" x14ac:dyDescent="0.25">
      <c r="A19" s="181" t="s">
        <v>23</v>
      </c>
      <c r="B19" s="122">
        <v>1310690</v>
      </c>
      <c r="C19" s="122">
        <v>1310690</v>
      </c>
      <c r="D19" s="122"/>
      <c r="E19" s="122">
        <v>0</v>
      </c>
      <c r="F19" s="122">
        <v>0</v>
      </c>
      <c r="G19" s="122">
        <v>0</v>
      </c>
      <c r="H19" s="123">
        <f t="shared" si="1"/>
        <v>0</v>
      </c>
      <c r="I19" s="124"/>
      <c r="J19" s="124"/>
      <c r="K19" s="116">
        <f t="shared" si="8"/>
        <v>218448.33333333334</v>
      </c>
      <c r="L19" s="116">
        <f t="shared" si="9"/>
        <v>109224.16666666667</v>
      </c>
      <c r="M19" s="116">
        <f t="shared" si="10"/>
        <v>109224.16666666667</v>
      </c>
      <c r="N19" s="116">
        <f t="shared" si="11"/>
        <v>1092241.6666666667</v>
      </c>
      <c r="O19" s="124" t="b">
        <f t="shared" si="12"/>
        <v>1</v>
      </c>
      <c r="P19" s="124"/>
      <c r="Q19" s="186">
        <f t="shared" si="13"/>
        <v>109224.16666666667</v>
      </c>
      <c r="R19" s="186">
        <f t="shared" si="6"/>
        <v>109224.16666666667</v>
      </c>
      <c r="S19" s="186">
        <f t="shared" si="6"/>
        <v>1092241.6666666667</v>
      </c>
      <c r="T19" s="124" t="b">
        <f t="shared" si="7"/>
        <v>1</v>
      </c>
    </row>
    <row r="20" spans="1:20" x14ac:dyDescent="0.25">
      <c r="A20" s="181" t="s">
        <v>24</v>
      </c>
      <c r="B20" s="122">
        <v>7102510</v>
      </c>
      <c r="C20" s="122">
        <v>7102510</v>
      </c>
      <c r="D20" s="122"/>
      <c r="E20" s="122">
        <v>0</v>
      </c>
      <c r="F20" s="122">
        <v>0</v>
      </c>
      <c r="G20" s="122">
        <v>0</v>
      </c>
      <c r="H20" s="123">
        <f t="shared" si="1"/>
        <v>0</v>
      </c>
      <c r="I20" s="124"/>
      <c r="J20" s="124"/>
      <c r="K20" s="116">
        <f t="shared" si="8"/>
        <v>1183751.6666666667</v>
      </c>
      <c r="L20" s="116">
        <f t="shared" si="9"/>
        <v>591875.83333333337</v>
      </c>
      <c r="M20" s="116">
        <f t="shared" si="10"/>
        <v>591875.83333333337</v>
      </c>
      <c r="N20" s="116">
        <f t="shared" si="11"/>
        <v>5918758.333333334</v>
      </c>
      <c r="O20" s="124" t="b">
        <f t="shared" si="12"/>
        <v>1</v>
      </c>
      <c r="P20" s="124"/>
      <c r="Q20" s="186">
        <f t="shared" si="13"/>
        <v>591875.83333333337</v>
      </c>
      <c r="R20" s="186">
        <f t="shared" si="13"/>
        <v>591875.83333333337</v>
      </c>
      <c r="S20" s="186">
        <f t="shared" si="13"/>
        <v>5918758.333333334</v>
      </c>
      <c r="T20" s="124" t="b">
        <f t="shared" si="7"/>
        <v>1</v>
      </c>
    </row>
    <row r="21" spans="1:20" x14ac:dyDescent="0.25">
      <c r="A21" s="181" t="s">
        <v>25</v>
      </c>
      <c r="B21" s="122">
        <v>4650000</v>
      </c>
      <c r="C21" s="122">
        <v>4650000</v>
      </c>
      <c r="D21" s="122"/>
      <c r="E21" s="122">
        <v>0</v>
      </c>
      <c r="F21" s="122">
        <v>0</v>
      </c>
      <c r="G21" s="122">
        <v>0</v>
      </c>
      <c r="H21" s="123">
        <f t="shared" si="1"/>
        <v>0</v>
      </c>
      <c r="I21" s="124"/>
      <c r="J21" s="124"/>
      <c r="K21" s="116">
        <f t="shared" si="8"/>
        <v>775000</v>
      </c>
      <c r="L21" s="116">
        <f t="shared" si="9"/>
        <v>387500</v>
      </c>
      <c r="M21" s="116">
        <f t="shared" si="10"/>
        <v>387500</v>
      </c>
      <c r="N21" s="116">
        <f t="shared" si="11"/>
        <v>3875000</v>
      </c>
      <c r="O21" s="124" t="b">
        <f t="shared" si="12"/>
        <v>1</v>
      </c>
      <c r="P21" s="124"/>
      <c r="Q21" s="186">
        <f t="shared" si="13"/>
        <v>387500</v>
      </c>
      <c r="R21" s="186">
        <f t="shared" si="13"/>
        <v>387500</v>
      </c>
      <c r="S21" s="186">
        <f t="shared" si="13"/>
        <v>3875000</v>
      </c>
      <c r="T21" s="124" t="b">
        <f t="shared" si="7"/>
        <v>1</v>
      </c>
    </row>
    <row r="22" spans="1:20" x14ac:dyDescent="0.25">
      <c r="A22" s="181" t="s">
        <v>26</v>
      </c>
      <c r="B22" s="122">
        <v>150329560</v>
      </c>
      <c r="C22" s="122">
        <v>59979130</v>
      </c>
      <c r="D22" s="122"/>
      <c r="E22" s="122">
        <v>0</v>
      </c>
      <c r="F22" s="122">
        <v>0</v>
      </c>
      <c r="G22" s="122">
        <v>90350430</v>
      </c>
      <c r="H22" s="123">
        <f t="shared" si="1"/>
        <v>0</v>
      </c>
      <c r="I22" s="124"/>
      <c r="J22" s="124"/>
      <c r="K22" s="116">
        <f t="shared" si="8"/>
        <v>9996521.666666666</v>
      </c>
      <c r="L22" s="116">
        <f t="shared" si="9"/>
        <v>4998260.833333333</v>
      </c>
      <c r="M22" s="116">
        <f t="shared" si="10"/>
        <v>4998260.833333333</v>
      </c>
      <c r="N22" s="116">
        <f t="shared" si="11"/>
        <v>49982608.333333328</v>
      </c>
      <c r="O22" s="124" t="b">
        <f t="shared" si="12"/>
        <v>1</v>
      </c>
      <c r="P22" s="124"/>
      <c r="Q22" s="186">
        <f t="shared" si="13"/>
        <v>4998260.833333333</v>
      </c>
      <c r="R22" s="186">
        <f t="shared" si="13"/>
        <v>4998260.833333333</v>
      </c>
      <c r="S22" s="186">
        <f t="shared" si="13"/>
        <v>140333038.33333331</v>
      </c>
      <c r="T22" s="124" t="b">
        <f t="shared" si="7"/>
        <v>1</v>
      </c>
    </row>
    <row r="23" spans="1:20" x14ac:dyDescent="0.25">
      <c r="A23" s="181" t="s">
        <v>27</v>
      </c>
      <c r="B23" s="122">
        <v>25359610</v>
      </c>
      <c r="C23" s="122">
        <v>10047270</v>
      </c>
      <c r="D23" s="122"/>
      <c r="E23" s="122">
        <v>0</v>
      </c>
      <c r="F23" s="122">
        <v>0</v>
      </c>
      <c r="G23" s="122">
        <v>15312340</v>
      </c>
      <c r="H23" s="123">
        <f t="shared" si="1"/>
        <v>0</v>
      </c>
      <c r="I23" s="124"/>
      <c r="J23" s="124"/>
      <c r="K23" s="116">
        <f t="shared" si="8"/>
        <v>1674545</v>
      </c>
      <c r="L23" s="116">
        <f t="shared" si="9"/>
        <v>837272.5</v>
      </c>
      <c r="M23" s="116">
        <f t="shared" si="10"/>
        <v>837272.5</v>
      </c>
      <c r="N23" s="116">
        <f t="shared" si="11"/>
        <v>8372725</v>
      </c>
      <c r="O23" s="124" t="b">
        <f t="shared" si="12"/>
        <v>1</v>
      </c>
      <c r="P23" s="124"/>
      <c r="Q23" s="186">
        <f t="shared" si="13"/>
        <v>837272.5</v>
      </c>
      <c r="R23" s="186">
        <f t="shared" si="13"/>
        <v>837272.5</v>
      </c>
      <c r="S23" s="186">
        <f t="shared" si="13"/>
        <v>23685065</v>
      </c>
      <c r="T23" s="124" t="b">
        <f t="shared" si="7"/>
        <v>1</v>
      </c>
    </row>
    <row r="24" spans="1:20" x14ac:dyDescent="0.25">
      <c r="A24" s="181" t="s">
        <v>28</v>
      </c>
      <c r="B24" s="122">
        <v>150000</v>
      </c>
      <c r="C24" s="122">
        <v>0</v>
      </c>
      <c r="D24" s="122"/>
      <c r="E24" s="122">
        <v>0</v>
      </c>
      <c r="F24" s="122">
        <v>0</v>
      </c>
      <c r="G24" s="122">
        <v>150000</v>
      </c>
      <c r="H24" s="123">
        <f t="shared" si="1"/>
        <v>0</v>
      </c>
      <c r="I24" s="124"/>
      <c r="J24" s="124"/>
      <c r="K24" s="116">
        <f t="shared" si="8"/>
        <v>0</v>
      </c>
      <c r="L24" s="116">
        <f t="shared" si="9"/>
        <v>0</v>
      </c>
      <c r="M24" s="116">
        <f t="shared" si="10"/>
        <v>0</v>
      </c>
      <c r="N24" s="116">
        <f t="shared" si="11"/>
        <v>0</v>
      </c>
      <c r="O24" s="124" t="b">
        <f t="shared" si="12"/>
        <v>1</v>
      </c>
      <c r="P24" s="124"/>
      <c r="Q24" s="186">
        <f t="shared" si="13"/>
        <v>0</v>
      </c>
      <c r="R24" s="186">
        <f t="shared" si="13"/>
        <v>0</v>
      </c>
      <c r="S24" s="186">
        <f t="shared" si="13"/>
        <v>150000</v>
      </c>
      <c r="T24" s="124" t="b">
        <f t="shared" si="7"/>
        <v>1</v>
      </c>
    </row>
    <row r="25" spans="1:20" x14ac:dyDescent="0.25">
      <c r="A25" s="181" t="s">
        <v>29</v>
      </c>
      <c r="B25" s="122">
        <v>10196500</v>
      </c>
      <c r="C25" s="122">
        <v>3720000</v>
      </c>
      <c r="D25" s="122"/>
      <c r="E25" s="122">
        <v>0</v>
      </c>
      <c r="F25" s="122">
        <v>0</v>
      </c>
      <c r="G25" s="122">
        <v>6476500</v>
      </c>
      <c r="H25" s="123">
        <f t="shared" si="1"/>
        <v>0</v>
      </c>
      <c r="I25" s="124"/>
      <c r="J25" s="124"/>
      <c r="K25" s="116">
        <f t="shared" si="8"/>
        <v>620000</v>
      </c>
      <c r="L25" s="116">
        <f t="shared" si="9"/>
        <v>310000</v>
      </c>
      <c r="M25" s="116">
        <f t="shared" si="10"/>
        <v>310000</v>
      </c>
      <c r="N25" s="116">
        <f t="shared" si="11"/>
        <v>3100000</v>
      </c>
      <c r="O25" s="124" t="b">
        <f t="shared" si="12"/>
        <v>1</v>
      </c>
      <c r="P25" s="124"/>
      <c r="Q25" s="186">
        <f t="shared" si="13"/>
        <v>310000</v>
      </c>
      <c r="R25" s="186">
        <f t="shared" si="13"/>
        <v>310000</v>
      </c>
      <c r="S25" s="186">
        <f t="shared" si="13"/>
        <v>9576500</v>
      </c>
      <c r="T25" s="124" t="b">
        <f t="shared" si="7"/>
        <v>1</v>
      </c>
    </row>
    <row r="26" spans="1:20" x14ac:dyDescent="0.25">
      <c r="A26" s="181" t="s">
        <v>31</v>
      </c>
      <c r="B26" s="122">
        <v>234070</v>
      </c>
      <c r="C26" s="122">
        <v>234070</v>
      </c>
      <c r="D26" s="122"/>
      <c r="E26" s="122">
        <v>0</v>
      </c>
      <c r="F26" s="122">
        <v>0</v>
      </c>
      <c r="G26" s="122">
        <v>0</v>
      </c>
      <c r="H26" s="123">
        <f t="shared" si="1"/>
        <v>0</v>
      </c>
      <c r="I26" s="124"/>
      <c r="J26" s="124"/>
      <c r="K26" s="116">
        <f t="shared" si="8"/>
        <v>39011.666666666664</v>
      </c>
      <c r="L26" s="116">
        <f t="shared" si="9"/>
        <v>19505.833333333332</v>
      </c>
      <c r="M26" s="116">
        <f t="shared" si="10"/>
        <v>19505.833333333332</v>
      </c>
      <c r="N26" s="116">
        <f t="shared" si="11"/>
        <v>195058.33333333331</v>
      </c>
      <c r="O26" s="124" t="b">
        <f t="shared" si="12"/>
        <v>1</v>
      </c>
      <c r="P26" s="124"/>
      <c r="Q26" s="186">
        <f t="shared" si="13"/>
        <v>19505.833333333332</v>
      </c>
      <c r="R26" s="186">
        <f t="shared" si="13"/>
        <v>19505.833333333332</v>
      </c>
      <c r="S26" s="186">
        <f t="shared" si="13"/>
        <v>195058.33333333331</v>
      </c>
      <c r="T26" s="124" t="b">
        <f t="shared" si="7"/>
        <v>1</v>
      </c>
    </row>
    <row r="27" spans="1:20" x14ac:dyDescent="0.25">
      <c r="A27" s="181" t="s">
        <v>32</v>
      </c>
      <c r="B27" s="122">
        <v>6000000</v>
      </c>
      <c r="C27" s="122">
        <v>6000000</v>
      </c>
      <c r="D27" s="122"/>
      <c r="E27" s="122">
        <v>0</v>
      </c>
      <c r="F27" s="122">
        <v>0</v>
      </c>
      <c r="G27" s="122">
        <v>0</v>
      </c>
      <c r="H27" s="123">
        <f t="shared" si="1"/>
        <v>0</v>
      </c>
      <c r="I27" s="124"/>
      <c r="J27" s="124"/>
      <c r="K27" s="116">
        <f t="shared" si="8"/>
        <v>1000000</v>
      </c>
      <c r="L27" s="116">
        <f t="shared" si="9"/>
        <v>500000</v>
      </c>
      <c r="M27" s="116">
        <f t="shared" si="10"/>
        <v>500000</v>
      </c>
      <c r="N27" s="116">
        <f t="shared" si="11"/>
        <v>5000000</v>
      </c>
      <c r="O27" s="124" t="b">
        <f t="shared" si="12"/>
        <v>1</v>
      </c>
      <c r="P27" s="124"/>
      <c r="Q27" s="186">
        <f t="shared" si="13"/>
        <v>500000</v>
      </c>
      <c r="R27" s="186">
        <f t="shared" si="13"/>
        <v>500000</v>
      </c>
      <c r="S27" s="186">
        <f t="shared" si="13"/>
        <v>5000000</v>
      </c>
      <c r="T27" s="124" t="b">
        <f t="shared" si="7"/>
        <v>1</v>
      </c>
    </row>
    <row r="28" spans="1:20" x14ac:dyDescent="0.25">
      <c r="A28" s="181" t="s">
        <v>302</v>
      </c>
      <c r="B28" s="122">
        <v>10500000</v>
      </c>
      <c r="C28" s="122">
        <v>6000000</v>
      </c>
      <c r="D28" s="122"/>
      <c r="E28" s="122">
        <v>0</v>
      </c>
      <c r="F28" s="122">
        <v>0</v>
      </c>
      <c r="G28" s="122">
        <v>4500000</v>
      </c>
      <c r="H28" s="123">
        <f t="shared" si="1"/>
        <v>0</v>
      </c>
      <c r="I28" s="124"/>
      <c r="J28" s="124"/>
      <c r="K28" s="116">
        <f t="shared" si="8"/>
        <v>1000000</v>
      </c>
      <c r="L28" s="116">
        <f t="shared" si="9"/>
        <v>500000</v>
      </c>
      <c r="M28" s="116">
        <f t="shared" si="10"/>
        <v>500000</v>
      </c>
      <c r="N28" s="116">
        <f t="shared" si="11"/>
        <v>5000000</v>
      </c>
      <c r="O28" s="124" t="b">
        <f t="shared" si="12"/>
        <v>1</v>
      </c>
      <c r="P28" s="124"/>
      <c r="Q28" s="186">
        <f t="shared" si="13"/>
        <v>500000</v>
      </c>
      <c r="R28" s="186">
        <f t="shared" si="13"/>
        <v>500000</v>
      </c>
      <c r="S28" s="186">
        <f t="shared" si="13"/>
        <v>9500000</v>
      </c>
      <c r="T28" s="124" t="b">
        <f t="shared" si="7"/>
        <v>1</v>
      </c>
    </row>
    <row r="29" spans="1:20" x14ac:dyDescent="0.25">
      <c r="A29" s="181" t="s">
        <v>33</v>
      </c>
      <c r="B29" s="122">
        <v>68037780</v>
      </c>
      <c r="C29" s="122">
        <v>64794000</v>
      </c>
      <c r="D29" s="122"/>
      <c r="E29" s="122">
        <v>0</v>
      </c>
      <c r="F29" s="122">
        <v>0</v>
      </c>
      <c r="G29" s="122">
        <v>3243780</v>
      </c>
      <c r="H29" s="123">
        <f t="shared" si="1"/>
        <v>0</v>
      </c>
      <c r="I29" s="124"/>
      <c r="J29" s="124"/>
      <c r="K29" s="116">
        <f t="shared" si="8"/>
        <v>10799000</v>
      </c>
      <c r="L29" s="116">
        <f t="shared" si="9"/>
        <v>5399500</v>
      </c>
      <c r="M29" s="116">
        <f t="shared" si="10"/>
        <v>5399500</v>
      </c>
      <c r="N29" s="116">
        <f t="shared" si="11"/>
        <v>53995000</v>
      </c>
      <c r="O29" s="124" t="b">
        <f t="shared" si="12"/>
        <v>1</v>
      </c>
      <c r="P29" s="124"/>
      <c r="Q29" s="186">
        <f t="shared" si="13"/>
        <v>5399500</v>
      </c>
      <c r="R29" s="186">
        <f t="shared" si="13"/>
        <v>5399500</v>
      </c>
      <c r="S29" s="186">
        <f t="shared" si="13"/>
        <v>57238780</v>
      </c>
      <c r="T29" s="124" t="b">
        <f t="shared" si="7"/>
        <v>1</v>
      </c>
    </row>
    <row r="30" spans="1:20" x14ac:dyDescent="0.25">
      <c r="A30" s="181" t="s">
        <v>34</v>
      </c>
      <c r="B30" s="122">
        <v>23580630</v>
      </c>
      <c r="C30" s="122">
        <v>23580630</v>
      </c>
      <c r="D30" s="122"/>
      <c r="E30" s="122">
        <v>0</v>
      </c>
      <c r="F30" s="122">
        <v>0</v>
      </c>
      <c r="G30" s="122">
        <v>0</v>
      </c>
      <c r="H30" s="123">
        <f t="shared" si="1"/>
        <v>0</v>
      </c>
      <c r="I30" s="124"/>
      <c r="J30" s="124"/>
      <c r="K30" s="116">
        <f t="shared" si="8"/>
        <v>3930105</v>
      </c>
      <c r="L30" s="116">
        <f t="shared" si="9"/>
        <v>1965052.5</v>
      </c>
      <c r="M30" s="116">
        <f t="shared" si="10"/>
        <v>1965052.5</v>
      </c>
      <c r="N30" s="116">
        <f t="shared" si="11"/>
        <v>19650525</v>
      </c>
      <c r="O30" s="124" t="b">
        <f t="shared" si="12"/>
        <v>1</v>
      </c>
      <c r="P30" s="124"/>
      <c r="Q30" s="186">
        <f t="shared" si="13"/>
        <v>1965052.5</v>
      </c>
      <c r="R30" s="186">
        <f t="shared" si="13"/>
        <v>1965052.5</v>
      </c>
      <c r="S30" s="186">
        <f t="shared" si="13"/>
        <v>19650525</v>
      </c>
      <c r="T30" s="124" t="b">
        <f t="shared" si="7"/>
        <v>1</v>
      </c>
    </row>
    <row r="31" spans="1:20" x14ac:dyDescent="0.25">
      <c r="A31" s="181" t="s">
        <v>179</v>
      </c>
      <c r="B31" s="122">
        <v>34810100</v>
      </c>
      <c r="C31" s="122">
        <v>34810100</v>
      </c>
      <c r="D31" s="122"/>
      <c r="E31" s="122">
        <v>0</v>
      </c>
      <c r="F31" s="122">
        <v>0</v>
      </c>
      <c r="G31" s="122">
        <v>0</v>
      </c>
      <c r="H31" s="123">
        <f t="shared" si="1"/>
        <v>0</v>
      </c>
      <c r="I31" s="124"/>
      <c r="J31" s="124"/>
      <c r="K31" s="116">
        <f t="shared" si="8"/>
        <v>5801683.333333333</v>
      </c>
      <c r="L31" s="116">
        <f t="shared" si="9"/>
        <v>2900841.6666666665</v>
      </c>
      <c r="M31" s="116">
        <f t="shared" si="10"/>
        <v>2900841.6666666665</v>
      </c>
      <c r="N31" s="116">
        <f t="shared" si="11"/>
        <v>29008416.666666664</v>
      </c>
      <c r="O31" s="124" t="b">
        <f t="shared" si="12"/>
        <v>1</v>
      </c>
      <c r="P31" s="124"/>
      <c r="Q31" s="186">
        <f t="shared" si="13"/>
        <v>2900841.6666666665</v>
      </c>
      <c r="R31" s="186">
        <f t="shared" si="13"/>
        <v>2900841.6666666665</v>
      </c>
      <c r="S31" s="186">
        <f t="shared" si="13"/>
        <v>29008416.666666664</v>
      </c>
      <c r="T31" s="124" t="b">
        <f t="shared" si="7"/>
        <v>1</v>
      </c>
    </row>
    <row r="32" spans="1:20" x14ac:dyDescent="0.25">
      <c r="A32" s="181" t="s">
        <v>35</v>
      </c>
      <c r="B32" s="122">
        <v>9647050</v>
      </c>
      <c r="C32" s="122">
        <v>6403270</v>
      </c>
      <c r="D32" s="122"/>
      <c r="E32" s="122">
        <v>0</v>
      </c>
      <c r="F32" s="122">
        <v>0</v>
      </c>
      <c r="G32" s="122">
        <v>3243780</v>
      </c>
      <c r="H32" s="123">
        <f t="shared" si="1"/>
        <v>0</v>
      </c>
      <c r="I32" s="124"/>
      <c r="J32" s="124"/>
      <c r="K32" s="116">
        <f t="shared" si="8"/>
        <v>1067211.6666666667</v>
      </c>
      <c r="L32" s="116">
        <f t="shared" si="9"/>
        <v>533605.83333333337</v>
      </c>
      <c r="M32" s="116">
        <f t="shared" si="10"/>
        <v>533605.83333333337</v>
      </c>
      <c r="N32" s="116">
        <f t="shared" si="11"/>
        <v>5336058.333333334</v>
      </c>
      <c r="O32" s="124" t="b">
        <f t="shared" si="12"/>
        <v>1</v>
      </c>
      <c r="P32" s="124"/>
      <c r="Q32" s="186">
        <f t="shared" si="13"/>
        <v>533605.83333333337</v>
      </c>
      <c r="R32" s="186">
        <f t="shared" si="13"/>
        <v>533605.83333333337</v>
      </c>
      <c r="S32" s="186">
        <f t="shared" si="13"/>
        <v>8579838.333333334</v>
      </c>
      <c r="T32" s="124" t="b">
        <f t="shared" si="7"/>
        <v>1</v>
      </c>
    </row>
    <row r="33" spans="1:20" x14ac:dyDescent="0.25">
      <c r="A33" s="181" t="s">
        <v>133</v>
      </c>
      <c r="B33" s="122">
        <v>770000</v>
      </c>
      <c r="C33" s="122">
        <v>0</v>
      </c>
      <c r="D33" s="122"/>
      <c r="E33" s="122">
        <v>0</v>
      </c>
      <c r="F33" s="122">
        <v>0</v>
      </c>
      <c r="G33" s="122">
        <v>770000</v>
      </c>
      <c r="H33" s="123">
        <f t="shared" si="1"/>
        <v>0</v>
      </c>
      <c r="I33" s="124"/>
      <c r="J33" s="124"/>
      <c r="K33" s="116">
        <f t="shared" si="8"/>
        <v>0</v>
      </c>
      <c r="L33" s="116">
        <f t="shared" si="9"/>
        <v>0</v>
      </c>
      <c r="M33" s="116">
        <f t="shared" si="10"/>
        <v>0</v>
      </c>
      <c r="N33" s="116">
        <f t="shared" si="11"/>
        <v>0</v>
      </c>
      <c r="O33" s="124" t="b">
        <f t="shared" si="12"/>
        <v>1</v>
      </c>
      <c r="P33" s="124"/>
      <c r="Q33" s="186">
        <f t="shared" si="13"/>
        <v>0</v>
      </c>
      <c r="R33" s="186">
        <f t="shared" si="13"/>
        <v>0</v>
      </c>
      <c r="S33" s="186">
        <f t="shared" si="13"/>
        <v>770000</v>
      </c>
      <c r="T33" s="124" t="b">
        <f t="shared" si="7"/>
        <v>1</v>
      </c>
    </row>
    <row r="34" spans="1:20" x14ac:dyDescent="0.25">
      <c r="A34" s="181" t="s">
        <v>36</v>
      </c>
      <c r="B34" s="122">
        <v>39691927</v>
      </c>
      <c r="C34" s="122">
        <v>30636877</v>
      </c>
      <c r="D34" s="122"/>
      <c r="E34" s="122">
        <v>0</v>
      </c>
      <c r="F34" s="122">
        <v>0</v>
      </c>
      <c r="G34" s="122">
        <v>9055050</v>
      </c>
      <c r="H34" s="123">
        <f t="shared" si="1"/>
        <v>0</v>
      </c>
      <c r="I34" s="124"/>
      <c r="J34" s="124"/>
      <c r="K34" s="116">
        <f t="shared" si="8"/>
        <v>5106146.166666667</v>
      </c>
      <c r="L34" s="116">
        <f t="shared" si="9"/>
        <v>2553073.0833333335</v>
      </c>
      <c r="M34" s="116">
        <f t="shared" si="10"/>
        <v>2553073.0833333335</v>
      </c>
      <c r="N34" s="116">
        <f t="shared" si="11"/>
        <v>25530730.833333336</v>
      </c>
      <c r="O34" s="124" t="b">
        <f t="shared" si="12"/>
        <v>1</v>
      </c>
      <c r="P34" s="124"/>
      <c r="Q34" s="186">
        <f t="shared" si="13"/>
        <v>2553073.0833333335</v>
      </c>
      <c r="R34" s="186">
        <f t="shared" si="13"/>
        <v>2553073.0833333335</v>
      </c>
      <c r="S34" s="186">
        <f t="shared" si="13"/>
        <v>34585780.833333336</v>
      </c>
      <c r="T34" s="124" t="b">
        <f t="shared" si="7"/>
        <v>1</v>
      </c>
    </row>
    <row r="35" spans="1:20" x14ac:dyDescent="0.25">
      <c r="A35" s="181" t="s">
        <v>37</v>
      </c>
      <c r="B35" s="122">
        <v>39691927</v>
      </c>
      <c r="C35" s="122">
        <v>30636877</v>
      </c>
      <c r="D35" s="122"/>
      <c r="E35" s="122">
        <v>0</v>
      </c>
      <c r="F35" s="122">
        <v>0</v>
      </c>
      <c r="G35" s="122">
        <v>9055050</v>
      </c>
      <c r="H35" s="123">
        <f t="shared" si="1"/>
        <v>0</v>
      </c>
      <c r="I35" s="124"/>
      <c r="J35" s="124"/>
      <c r="K35" s="116">
        <f t="shared" si="8"/>
        <v>5106146.166666667</v>
      </c>
      <c r="L35" s="116">
        <f t="shared" si="9"/>
        <v>2553073.0833333335</v>
      </c>
      <c r="M35" s="116">
        <f t="shared" si="10"/>
        <v>2553073.0833333335</v>
      </c>
      <c r="N35" s="116">
        <f t="shared" si="11"/>
        <v>25530730.833333336</v>
      </c>
      <c r="O35" s="124" t="b">
        <f t="shared" si="12"/>
        <v>1</v>
      </c>
      <c r="P35" s="124"/>
      <c r="Q35" s="186">
        <f t="shared" si="13"/>
        <v>2553073.0833333335</v>
      </c>
      <c r="R35" s="186">
        <f t="shared" si="13"/>
        <v>2553073.0833333335</v>
      </c>
      <c r="S35" s="186">
        <f t="shared" si="13"/>
        <v>34585780.833333336</v>
      </c>
      <c r="T35" s="124" t="b">
        <f t="shared" si="7"/>
        <v>1</v>
      </c>
    </row>
    <row r="36" spans="1:20" x14ac:dyDescent="0.25">
      <c r="A36" s="181" t="s">
        <v>181</v>
      </c>
      <c r="B36" s="122">
        <v>1000000</v>
      </c>
      <c r="C36" s="122">
        <v>1000000</v>
      </c>
      <c r="D36" s="122"/>
      <c r="E36" s="122">
        <v>0</v>
      </c>
      <c r="F36" s="122">
        <v>0</v>
      </c>
      <c r="G36" s="122">
        <v>0</v>
      </c>
      <c r="H36" s="123">
        <f t="shared" si="1"/>
        <v>0</v>
      </c>
      <c r="I36" s="124"/>
      <c r="J36" s="124"/>
      <c r="K36" s="116">
        <f t="shared" si="8"/>
        <v>166666.66666666666</v>
      </c>
      <c r="L36" s="116">
        <f t="shared" si="9"/>
        <v>83333.333333333328</v>
      </c>
      <c r="M36" s="116">
        <f t="shared" si="10"/>
        <v>83333.333333333328</v>
      </c>
      <c r="N36" s="116">
        <f t="shared" si="11"/>
        <v>833333.33333333326</v>
      </c>
      <c r="O36" s="124" t="b">
        <f t="shared" si="12"/>
        <v>1</v>
      </c>
      <c r="P36" s="124"/>
      <c r="Q36" s="186">
        <f t="shared" si="13"/>
        <v>83333.333333333328</v>
      </c>
      <c r="R36" s="186">
        <f t="shared" si="13"/>
        <v>83333.333333333328</v>
      </c>
      <c r="S36" s="186">
        <f t="shared" si="13"/>
        <v>833333.33333333326</v>
      </c>
      <c r="T36" s="124" t="b">
        <f t="shared" si="7"/>
        <v>1</v>
      </c>
    </row>
    <row r="37" spans="1:20" x14ac:dyDescent="0.25">
      <c r="A37" s="181" t="s">
        <v>372</v>
      </c>
      <c r="B37" s="122">
        <v>1000000</v>
      </c>
      <c r="C37" s="122">
        <v>1000000</v>
      </c>
      <c r="D37" s="122"/>
      <c r="E37" s="122">
        <v>0</v>
      </c>
      <c r="F37" s="122">
        <v>0</v>
      </c>
      <c r="G37" s="122">
        <v>0</v>
      </c>
      <c r="H37" s="123">
        <f t="shared" si="1"/>
        <v>0</v>
      </c>
      <c r="I37" s="124"/>
      <c r="J37" s="124"/>
      <c r="K37" s="116">
        <f t="shared" si="8"/>
        <v>166666.66666666666</v>
      </c>
      <c r="L37" s="116">
        <f t="shared" si="9"/>
        <v>83333.333333333328</v>
      </c>
      <c r="M37" s="116">
        <f t="shared" si="10"/>
        <v>83333.333333333328</v>
      </c>
      <c r="N37" s="116">
        <f t="shared" si="11"/>
        <v>833333.33333333326</v>
      </c>
      <c r="O37" s="124" t="b">
        <f t="shared" si="12"/>
        <v>1</v>
      </c>
      <c r="P37" s="124"/>
      <c r="Q37" s="186">
        <f t="shared" si="13"/>
        <v>83333.333333333328</v>
      </c>
      <c r="R37" s="186">
        <f t="shared" si="13"/>
        <v>83333.333333333328</v>
      </c>
      <c r="S37" s="186">
        <f t="shared" si="13"/>
        <v>833333.33333333326</v>
      </c>
      <c r="T37" s="124" t="b">
        <f t="shared" si="7"/>
        <v>1</v>
      </c>
    </row>
    <row r="38" spans="1:20" x14ac:dyDescent="0.25">
      <c r="A38" s="181" t="s">
        <v>38</v>
      </c>
      <c r="B38" s="122">
        <v>79820285</v>
      </c>
      <c r="C38" s="122">
        <v>51005328</v>
      </c>
      <c r="D38" s="122"/>
      <c r="E38" s="122">
        <v>0</v>
      </c>
      <c r="F38" s="122">
        <v>0</v>
      </c>
      <c r="G38" s="122">
        <v>28814957</v>
      </c>
      <c r="H38" s="123">
        <f t="shared" si="1"/>
        <v>0</v>
      </c>
      <c r="I38" s="124"/>
      <c r="J38" s="124"/>
      <c r="K38" s="116">
        <f t="shared" si="8"/>
        <v>8500888</v>
      </c>
      <c r="L38" s="116">
        <f t="shared" si="9"/>
        <v>4250444</v>
      </c>
      <c r="M38" s="116">
        <f t="shared" si="10"/>
        <v>4250444</v>
      </c>
      <c r="N38" s="116">
        <f t="shared" si="11"/>
        <v>42504440</v>
      </c>
      <c r="O38" s="124" t="b">
        <f t="shared" si="12"/>
        <v>1</v>
      </c>
      <c r="P38" s="124"/>
      <c r="Q38" s="186">
        <f t="shared" si="13"/>
        <v>4250444</v>
      </c>
      <c r="R38" s="186">
        <f t="shared" si="13"/>
        <v>4250444</v>
      </c>
      <c r="S38" s="186">
        <f t="shared" si="13"/>
        <v>71319397</v>
      </c>
      <c r="T38" s="124" t="b">
        <f t="shared" si="7"/>
        <v>1</v>
      </c>
    </row>
    <row r="39" spans="1:20" x14ac:dyDescent="0.25">
      <c r="A39" s="181" t="s">
        <v>40</v>
      </c>
      <c r="B39" s="122">
        <v>3750001</v>
      </c>
      <c r="C39" s="122">
        <v>2771763</v>
      </c>
      <c r="D39" s="122"/>
      <c r="E39" s="122">
        <v>0</v>
      </c>
      <c r="F39" s="122">
        <v>0</v>
      </c>
      <c r="G39" s="122">
        <v>978238</v>
      </c>
      <c r="H39" s="123">
        <f t="shared" si="1"/>
        <v>0</v>
      </c>
      <c r="I39" s="124"/>
      <c r="J39" s="124"/>
      <c r="K39" s="116">
        <f t="shared" si="8"/>
        <v>461960.5</v>
      </c>
      <c r="L39" s="116">
        <f t="shared" si="9"/>
        <v>230980.25</v>
      </c>
      <c r="M39" s="116">
        <f t="shared" si="10"/>
        <v>230980.25</v>
      </c>
      <c r="N39" s="116">
        <f t="shared" si="11"/>
        <v>2309802.5</v>
      </c>
      <c r="O39" s="124" t="b">
        <f t="shared" si="12"/>
        <v>1</v>
      </c>
      <c r="P39" s="124"/>
      <c r="Q39" s="186">
        <f t="shared" si="13"/>
        <v>230980.25</v>
      </c>
      <c r="R39" s="186">
        <f t="shared" si="13"/>
        <v>230980.25</v>
      </c>
      <c r="S39" s="186">
        <f t="shared" si="13"/>
        <v>3288040.5</v>
      </c>
      <c r="T39" s="124" t="b">
        <f t="shared" si="7"/>
        <v>1</v>
      </c>
    </row>
    <row r="40" spans="1:20" x14ac:dyDescent="0.25">
      <c r="A40" s="181" t="s">
        <v>41</v>
      </c>
      <c r="B40" s="122">
        <v>19076880</v>
      </c>
      <c r="C40" s="122">
        <v>14742750</v>
      </c>
      <c r="D40" s="122"/>
      <c r="E40" s="122">
        <v>0</v>
      </c>
      <c r="F40" s="122">
        <v>0</v>
      </c>
      <c r="G40" s="122">
        <v>4334130</v>
      </c>
      <c r="H40" s="123">
        <f t="shared" si="1"/>
        <v>0</v>
      </c>
      <c r="I40" s="124"/>
      <c r="J40" s="124"/>
      <c r="K40" s="116">
        <f t="shared" si="8"/>
        <v>2457125</v>
      </c>
      <c r="L40" s="116">
        <f t="shared" si="9"/>
        <v>1228562.5</v>
      </c>
      <c r="M40" s="116">
        <f t="shared" si="10"/>
        <v>1228562.5</v>
      </c>
      <c r="N40" s="116">
        <f t="shared" si="11"/>
        <v>12285625</v>
      </c>
      <c r="O40" s="124" t="b">
        <f t="shared" si="12"/>
        <v>1</v>
      </c>
      <c r="P40" s="124"/>
      <c r="Q40" s="186">
        <f t="shared" si="13"/>
        <v>1228562.5</v>
      </c>
      <c r="R40" s="186">
        <f t="shared" si="13"/>
        <v>1228562.5</v>
      </c>
      <c r="S40" s="186">
        <f t="shared" si="13"/>
        <v>16619755</v>
      </c>
      <c r="T40" s="124" t="b">
        <f t="shared" si="7"/>
        <v>1</v>
      </c>
    </row>
    <row r="41" spans="1:20" x14ac:dyDescent="0.25">
      <c r="A41" s="181" t="s">
        <v>42</v>
      </c>
      <c r="B41" s="122">
        <v>16516870</v>
      </c>
      <c r="C41" s="122">
        <v>11581920</v>
      </c>
      <c r="D41" s="122"/>
      <c r="E41" s="122">
        <v>0</v>
      </c>
      <c r="F41" s="122">
        <v>0</v>
      </c>
      <c r="G41" s="122">
        <v>4934950</v>
      </c>
      <c r="H41" s="123">
        <f t="shared" si="1"/>
        <v>0</v>
      </c>
      <c r="I41" s="124"/>
      <c r="J41" s="124"/>
      <c r="K41" s="116">
        <f t="shared" si="8"/>
        <v>1930320</v>
      </c>
      <c r="L41" s="116">
        <f t="shared" si="9"/>
        <v>965160</v>
      </c>
      <c r="M41" s="116">
        <f t="shared" si="10"/>
        <v>965160</v>
      </c>
      <c r="N41" s="116">
        <f t="shared" si="11"/>
        <v>9651600</v>
      </c>
      <c r="O41" s="124" t="b">
        <f t="shared" si="12"/>
        <v>1</v>
      </c>
      <c r="P41" s="124"/>
      <c r="Q41" s="186">
        <f t="shared" si="13"/>
        <v>965160</v>
      </c>
      <c r="R41" s="186">
        <f t="shared" si="13"/>
        <v>965160</v>
      </c>
      <c r="S41" s="186">
        <f t="shared" si="13"/>
        <v>14586550</v>
      </c>
      <c r="T41" s="124" t="b">
        <f t="shared" si="7"/>
        <v>1</v>
      </c>
    </row>
    <row r="42" spans="1:20" x14ac:dyDescent="0.25">
      <c r="A42" s="181" t="s">
        <v>43</v>
      </c>
      <c r="B42" s="122">
        <v>8319713</v>
      </c>
      <c r="C42" s="122">
        <v>6113595</v>
      </c>
      <c r="D42" s="122"/>
      <c r="E42" s="122">
        <v>0</v>
      </c>
      <c r="F42" s="122">
        <v>0</v>
      </c>
      <c r="G42" s="122">
        <v>2206118</v>
      </c>
      <c r="H42" s="123">
        <f t="shared" si="1"/>
        <v>0</v>
      </c>
      <c r="I42" s="124"/>
      <c r="J42" s="124"/>
      <c r="K42" s="116">
        <f t="shared" si="8"/>
        <v>1018932.5</v>
      </c>
      <c r="L42" s="116">
        <f t="shared" si="9"/>
        <v>509466.25</v>
      </c>
      <c r="M42" s="116">
        <f t="shared" si="10"/>
        <v>509466.25</v>
      </c>
      <c r="N42" s="116">
        <f t="shared" si="11"/>
        <v>5094662.5</v>
      </c>
      <c r="O42" s="124" t="b">
        <f t="shared" si="12"/>
        <v>1</v>
      </c>
      <c r="P42" s="124"/>
      <c r="Q42" s="186">
        <f t="shared" si="13"/>
        <v>509466.25</v>
      </c>
      <c r="R42" s="186">
        <f t="shared" si="13"/>
        <v>509466.25</v>
      </c>
      <c r="S42" s="186">
        <f t="shared" si="13"/>
        <v>7300780.5</v>
      </c>
      <c r="T42" s="124" t="b">
        <f t="shared" si="7"/>
        <v>1</v>
      </c>
    </row>
    <row r="43" spans="1:20" x14ac:dyDescent="0.25">
      <c r="A43" s="181" t="s">
        <v>44</v>
      </c>
      <c r="B43" s="122">
        <v>12753000</v>
      </c>
      <c r="C43" s="122">
        <v>1150000</v>
      </c>
      <c r="D43" s="122"/>
      <c r="E43" s="122">
        <v>0</v>
      </c>
      <c r="F43" s="122">
        <v>0</v>
      </c>
      <c r="G43" s="122">
        <v>11603000</v>
      </c>
      <c r="H43" s="123">
        <f t="shared" si="1"/>
        <v>0</v>
      </c>
      <c r="I43" s="124"/>
      <c r="J43" s="124"/>
      <c r="K43" s="116">
        <f t="shared" si="8"/>
        <v>191666.66666666666</v>
      </c>
      <c r="L43" s="116">
        <f t="shared" si="9"/>
        <v>95833.333333333328</v>
      </c>
      <c r="M43" s="116">
        <f t="shared" si="10"/>
        <v>95833.333333333328</v>
      </c>
      <c r="N43" s="116">
        <f t="shared" si="11"/>
        <v>958333.33333333326</v>
      </c>
      <c r="O43" s="124" t="b">
        <f t="shared" si="12"/>
        <v>1</v>
      </c>
      <c r="P43" s="124"/>
      <c r="Q43" s="186">
        <f t="shared" si="13"/>
        <v>95833.333333333328</v>
      </c>
      <c r="R43" s="186">
        <f t="shared" si="13"/>
        <v>95833.333333333328</v>
      </c>
      <c r="S43" s="186">
        <f t="shared" si="13"/>
        <v>12561333.333333334</v>
      </c>
      <c r="T43" s="124" t="b">
        <f t="shared" si="7"/>
        <v>1</v>
      </c>
    </row>
    <row r="44" spans="1:20" x14ac:dyDescent="0.25">
      <c r="A44" s="181" t="s">
        <v>45</v>
      </c>
      <c r="B44" s="122">
        <v>4900000</v>
      </c>
      <c r="C44" s="122">
        <v>4900000</v>
      </c>
      <c r="D44" s="122"/>
      <c r="E44" s="122">
        <v>0</v>
      </c>
      <c r="F44" s="122">
        <v>0</v>
      </c>
      <c r="G44" s="122">
        <v>0</v>
      </c>
      <c r="H44" s="123">
        <f t="shared" si="1"/>
        <v>0</v>
      </c>
      <c r="I44" s="124"/>
      <c r="J44" s="124"/>
      <c r="K44" s="116">
        <f t="shared" si="8"/>
        <v>816666.66666666663</v>
      </c>
      <c r="L44" s="116">
        <f t="shared" si="9"/>
        <v>408333.33333333331</v>
      </c>
      <c r="M44" s="116">
        <f t="shared" si="10"/>
        <v>408333.33333333331</v>
      </c>
      <c r="N44" s="116">
        <f t="shared" si="11"/>
        <v>4083333.333333333</v>
      </c>
      <c r="O44" s="124" t="b">
        <f t="shared" si="12"/>
        <v>1</v>
      </c>
      <c r="P44" s="124"/>
      <c r="Q44" s="186">
        <f t="shared" si="13"/>
        <v>408333.33333333331</v>
      </c>
      <c r="R44" s="186">
        <f t="shared" si="13"/>
        <v>408333.33333333331</v>
      </c>
      <c r="S44" s="186">
        <f t="shared" si="13"/>
        <v>4083333.333333333</v>
      </c>
      <c r="T44" s="124" t="b">
        <f t="shared" si="7"/>
        <v>1</v>
      </c>
    </row>
    <row r="45" spans="1:20" x14ac:dyDescent="0.25">
      <c r="A45" s="181" t="s">
        <v>47</v>
      </c>
      <c r="B45" s="122">
        <v>186551</v>
      </c>
      <c r="C45" s="122">
        <v>0</v>
      </c>
      <c r="D45" s="122"/>
      <c r="E45" s="122">
        <v>0</v>
      </c>
      <c r="F45" s="122">
        <v>0</v>
      </c>
      <c r="G45" s="122">
        <v>186551</v>
      </c>
      <c r="H45" s="123">
        <f t="shared" si="1"/>
        <v>0</v>
      </c>
      <c r="I45" s="124"/>
      <c r="J45" s="124"/>
      <c r="K45" s="116">
        <f t="shared" si="8"/>
        <v>0</v>
      </c>
      <c r="L45" s="116">
        <f t="shared" si="9"/>
        <v>0</v>
      </c>
      <c r="M45" s="116">
        <f t="shared" si="10"/>
        <v>0</v>
      </c>
      <c r="N45" s="116">
        <f t="shared" si="11"/>
        <v>0</v>
      </c>
      <c r="O45" s="124" t="b">
        <f t="shared" si="12"/>
        <v>1</v>
      </c>
      <c r="P45" s="124"/>
      <c r="Q45" s="186">
        <f t="shared" si="13"/>
        <v>0</v>
      </c>
      <c r="R45" s="186">
        <f t="shared" si="13"/>
        <v>0</v>
      </c>
      <c r="S45" s="186">
        <f t="shared" si="13"/>
        <v>186551</v>
      </c>
      <c r="T45" s="124" t="b">
        <f t="shared" si="7"/>
        <v>1</v>
      </c>
    </row>
    <row r="46" spans="1:20" x14ac:dyDescent="0.25">
      <c r="A46" s="181" t="s">
        <v>48</v>
      </c>
      <c r="B46" s="122">
        <v>3634070</v>
      </c>
      <c r="C46" s="122">
        <v>3332100</v>
      </c>
      <c r="D46" s="122"/>
      <c r="E46" s="122">
        <v>0</v>
      </c>
      <c r="F46" s="122">
        <v>0</v>
      </c>
      <c r="G46" s="122">
        <v>301970</v>
      </c>
      <c r="H46" s="123">
        <f t="shared" si="1"/>
        <v>0</v>
      </c>
      <c r="I46" s="124"/>
      <c r="J46" s="124"/>
      <c r="K46" s="116">
        <f t="shared" si="8"/>
        <v>555350</v>
      </c>
      <c r="L46" s="116">
        <f t="shared" si="9"/>
        <v>277675</v>
      </c>
      <c r="M46" s="116">
        <f t="shared" si="10"/>
        <v>277675</v>
      </c>
      <c r="N46" s="116">
        <f t="shared" si="11"/>
        <v>2776750</v>
      </c>
      <c r="O46" s="124" t="b">
        <f t="shared" si="12"/>
        <v>1</v>
      </c>
      <c r="P46" s="124"/>
      <c r="Q46" s="186">
        <f t="shared" si="13"/>
        <v>277675</v>
      </c>
      <c r="R46" s="186">
        <f t="shared" si="13"/>
        <v>277675</v>
      </c>
      <c r="S46" s="186">
        <f t="shared" si="13"/>
        <v>3078720</v>
      </c>
      <c r="T46" s="124" t="b">
        <f t="shared" si="7"/>
        <v>1</v>
      </c>
    </row>
    <row r="47" spans="1:20" x14ac:dyDescent="0.25">
      <c r="A47" s="181" t="s">
        <v>49</v>
      </c>
      <c r="B47" s="122">
        <v>49200</v>
      </c>
      <c r="C47" s="122">
        <v>49200</v>
      </c>
      <c r="D47" s="122"/>
      <c r="E47" s="122">
        <v>0</v>
      </c>
      <c r="F47" s="122">
        <v>0</v>
      </c>
      <c r="G47" s="122">
        <v>0</v>
      </c>
      <c r="H47" s="123">
        <f t="shared" si="1"/>
        <v>0</v>
      </c>
      <c r="I47" s="124"/>
      <c r="J47" s="124"/>
      <c r="K47" s="116">
        <f t="shared" si="8"/>
        <v>8200</v>
      </c>
      <c r="L47" s="116">
        <f t="shared" si="9"/>
        <v>4100</v>
      </c>
      <c r="M47" s="116">
        <f t="shared" si="10"/>
        <v>4100</v>
      </c>
      <c r="N47" s="116">
        <f t="shared" si="11"/>
        <v>41000</v>
      </c>
      <c r="O47" s="124" t="b">
        <f t="shared" si="12"/>
        <v>1</v>
      </c>
      <c r="P47" s="124"/>
      <c r="Q47" s="186">
        <f t="shared" si="13"/>
        <v>4100</v>
      </c>
      <c r="R47" s="186">
        <f t="shared" si="13"/>
        <v>4100</v>
      </c>
      <c r="S47" s="186">
        <f t="shared" si="13"/>
        <v>41000</v>
      </c>
      <c r="T47" s="124" t="b">
        <f t="shared" si="7"/>
        <v>1</v>
      </c>
    </row>
    <row r="48" spans="1:20" x14ac:dyDescent="0.25">
      <c r="A48" s="181" t="s">
        <v>50</v>
      </c>
      <c r="B48" s="122">
        <v>100000</v>
      </c>
      <c r="C48" s="122">
        <v>100000</v>
      </c>
      <c r="D48" s="122"/>
      <c r="E48" s="122">
        <v>0</v>
      </c>
      <c r="F48" s="122">
        <v>0</v>
      </c>
      <c r="G48" s="122">
        <v>0</v>
      </c>
      <c r="H48" s="123">
        <f t="shared" si="1"/>
        <v>0</v>
      </c>
      <c r="I48" s="124"/>
      <c r="J48" s="124"/>
      <c r="K48" s="116">
        <f t="shared" si="8"/>
        <v>16666.666666666668</v>
      </c>
      <c r="L48" s="116">
        <f t="shared" si="9"/>
        <v>8333.3333333333339</v>
      </c>
      <c r="M48" s="116">
        <f t="shared" si="10"/>
        <v>8333.3333333333339</v>
      </c>
      <c r="N48" s="116">
        <f t="shared" si="11"/>
        <v>83333.333333333343</v>
      </c>
      <c r="O48" s="124" t="b">
        <f t="shared" si="12"/>
        <v>1</v>
      </c>
      <c r="P48" s="124"/>
      <c r="Q48" s="186">
        <f t="shared" si="13"/>
        <v>8333.3333333333339</v>
      </c>
      <c r="R48" s="186">
        <f t="shared" si="13"/>
        <v>8333.3333333333339</v>
      </c>
      <c r="S48" s="186">
        <f t="shared" si="13"/>
        <v>83333.333333333343</v>
      </c>
      <c r="T48" s="124" t="b">
        <f t="shared" si="7"/>
        <v>1</v>
      </c>
    </row>
    <row r="49" spans="1:20" x14ac:dyDescent="0.25">
      <c r="A49" s="181" t="s">
        <v>51</v>
      </c>
      <c r="B49" s="122">
        <v>200000</v>
      </c>
      <c r="C49" s="122">
        <v>100000</v>
      </c>
      <c r="D49" s="122"/>
      <c r="E49" s="122">
        <v>0</v>
      </c>
      <c r="F49" s="122">
        <v>0</v>
      </c>
      <c r="G49" s="122">
        <v>100000</v>
      </c>
      <c r="H49" s="123">
        <f t="shared" si="1"/>
        <v>0</v>
      </c>
      <c r="I49" s="124"/>
      <c r="J49" s="124"/>
      <c r="K49" s="116">
        <f t="shared" si="8"/>
        <v>16666.666666666668</v>
      </c>
      <c r="L49" s="116">
        <f t="shared" si="9"/>
        <v>8333.3333333333339</v>
      </c>
      <c r="M49" s="116">
        <f t="shared" si="10"/>
        <v>8333.3333333333339</v>
      </c>
      <c r="N49" s="116">
        <f t="shared" si="11"/>
        <v>83333.333333333343</v>
      </c>
      <c r="O49" s="124" t="b">
        <f t="shared" si="12"/>
        <v>1</v>
      </c>
      <c r="P49" s="124"/>
      <c r="Q49" s="186">
        <f t="shared" si="13"/>
        <v>8333.3333333333339</v>
      </c>
      <c r="R49" s="186">
        <f t="shared" si="13"/>
        <v>8333.3333333333339</v>
      </c>
      <c r="S49" s="186">
        <f t="shared" si="13"/>
        <v>183333.33333333334</v>
      </c>
      <c r="T49" s="124" t="b">
        <f t="shared" si="7"/>
        <v>1</v>
      </c>
    </row>
    <row r="50" spans="1:20" x14ac:dyDescent="0.25">
      <c r="A50" s="181" t="s">
        <v>184</v>
      </c>
      <c r="B50" s="122">
        <v>150000</v>
      </c>
      <c r="C50" s="122">
        <v>150000</v>
      </c>
      <c r="D50" s="122"/>
      <c r="E50" s="122">
        <v>0</v>
      </c>
      <c r="F50" s="122">
        <v>0</v>
      </c>
      <c r="G50" s="122">
        <v>0</v>
      </c>
      <c r="H50" s="123">
        <f t="shared" si="1"/>
        <v>0</v>
      </c>
      <c r="I50" s="124"/>
      <c r="J50" s="124"/>
      <c r="K50" s="116">
        <f t="shared" si="8"/>
        <v>25000</v>
      </c>
      <c r="L50" s="116">
        <f t="shared" si="9"/>
        <v>12500</v>
      </c>
      <c r="M50" s="116">
        <f t="shared" si="10"/>
        <v>12500</v>
      </c>
      <c r="N50" s="116">
        <f t="shared" si="11"/>
        <v>125000</v>
      </c>
      <c r="O50" s="124" t="b">
        <f t="shared" si="12"/>
        <v>1</v>
      </c>
      <c r="P50" s="124"/>
      <c r="Q50" s="186">
        <f t="shared" si="13"/>
        <v>12500</v>
      </c>
      <c r="R50" s="186">
        <f t="shared" si="13"/>
        <v>12500</v>
      </c>
      <c r="S50" s="186">
        <f t="shared" si="13"/>
        <v>125000</v>
      </c>
      <c r="T50" s="124" t="b">
        <f t="shared" si="7"/>
        <v>1</v>
      </c>
    </row>
    <row r="51" spans="1:20" x14ac:dyDescent="0.25">
      <c r="A51" s="181" t="s">
        <v>53</v>
      </c>
      <c r="B51" s="122">
        <v>9800000</v>
      </c>
      <c r="C51" s="122">
        <v>5650000</v>
      </c>
      <c r="D51" s="122"/>
      <c r="E51" s="122">
        <v>0</v>
      </c>
      <c r="F51" s="122">
        <v>0</v>
      </c>
      <c r="G51" s="122">
        <v>4150000</v>
      </c>
      <c r="H51" s="123">
        <f t="shared" si="1"/>
        <v>0</v>
      </c>
      <c r="I51" s="124"/>
      <c r="J51" s="124"/>
      <c r="K51" s="116">
        <f t="shared" si="8"/>
        <v>941666.66666666663</v>
      </c>
      <c r="L51" s="116">
        <f t="shared" si="9"/>
        <v>470833.33333333331</v>
      </c>
      <c r="M51" s="116">
        <f t="shared" si="10"/>
        <v>470833.33333333331</v>
      </c>
      <c r="N51" s="116">
        <f t="shared" si="11"/>
        <v>4708333.333333333</v>
      </c>
      <c r="O51" s="124" t="b">
        <f t="shared" si="12"/>
        <v>1</v>
      </c>
      <c r="P51" s="124"/>
      <c r="Q51" s="186">
        <f t="shared" si="13"/>
        <v>470833.33333333331</v>
      </c>
      <c r="R51" s="186">
        <f t="shared" si="13"/>
        <v>470833.33333333331</v>
      </c>
      <c r="S51" s="186">
        <f t="shared" si="13"/>
        <v>8858333.3333333321</v>
      </c>
      <c r="T51" s="124" t="b">
        <f t="shared" si="7"/>
        <v>1</v>
      </c>
    </row>
    <row r="52" spans="1:20" x14ac:dyDescent="0.25">
      <c r="A52" s="181" t="s">
        <v>54</v>
      </c>
      <c r="B52" s="122">
        <v>154000</v>
      </c>
      <c r="C52" s="122">
        <v>154000</v>
      </c>
      <c r="D52" s="122"/>
      <c r="E52" s="122">
        <v>0</v>
      </c>
      <c r="F52" s="122">
        <v>0</v>
      </c>
      <c r="G52" s="122">
        <v>0</v>
      </c>
      <c r="H52" s="123">
        <f t="shared" si="1"/>
        <v>0</v>
      </c>
      <c r="I52" s="124"/>
      <c r="J52" s="124"/>
      <c r="K52" s="116">
        <f t="shared" si="8"/>
        <v>25666.666666666668</v>
      </c>
      <c r="L52" s="116">
        <f t="shared" si="9"/>
        <v>12833.333333333334</v>
      </c>
      <c r="M52" s="116">
        <f t="shared" si="10"/>
        <v>12833.333333333334</v>
      </c>
      <c r="N52" s="116">
        <f t="shared" si="11"/>
        <v>128333.33333333334</v>
      </c>
      <c r="O52" s="124" t="b">
        <f t="shared" si="12"/>
        <v>1</v>
      </c>
      <c r="P52" s="124"/>
      <c r="Q52" s="186">
        <f t="shared" si="13"/>
        <v>12833.333333333334</v>
      </c>
      <c r="R52" s="186">
        <f t="shared" si="13"/>
        <v>12833.333333333334</v>
      </c>
      <c r="S52" s="186">
        <f t="shared" si="13"/>
        <v>128333.33333333334</v>
      </c>
      <c r="T52" s="124" t="b">
        <f t="shared" si="7"/>
        <v>1</v>
      </c>
    </row>
    <row r="53" spans="1:20" x14ac:dyDescent="0.25">
      <c r="A53" s="181" t="s">
        <v>55</v>
      </c>
      <c r="B53" s="122">
        <v>210000</v>
      </c>
      <c r="C53" s="122">
        <v>210000</v>
      </c>
      <c r="D53" s="122"/>
      <c r="E53" s="122">
        <v>0</v>
      </c>
      <c r="F53" s="122">
        <v>0</v>
      </c>
      <c r="G53" s="122">
        <v>0</v>
      </c>
      <c r="H53" s="123">
        <f t="shared" si="1"/>
        <v>0</v>
      </c>
      <c r="I53" s="124"/>
      <c r="J53" s="124"/>
      <c r="K53" s="116">
        <f t="shared" si="8"/>
        <v>35000</v>
      </c>
      <c r="L53" s="116">
        <f t="shared" si="9"/>
        <v>17500</v>
      </c>
      <c r="M53" s="116">
        <f t="shared" si="10"/>
        <v>17500</v>
      </c>
      <c r="N53" s="116">
        <f t="shared" si="11"/>
        <v>175000</v>
      </c>
      <c r="O53" s="124" t="b">
        <f t="shared" si="12"/>
        <v>1</v>
      </c>
      <c r="P53" s="124"/>
      <c r="Q53" s="186">
        <f t="shared" si="13"/>
        <v>17500</v>
      </c>
      <c r="R53" s="186">
        <f t="shared" si="13"/>
        <v>17500</v>
      </c>
      <c r="S53" s="186">
        <f t="shared" si="13"/>
        <v>175000</v>
      </c>
      <c r="T53" s="124" t="b">
        <f t="shared" si="7"/>
        <v>1</v>
      </c>
    </row>
    <row r="54" spans="1:20" x14ac:dyDescent="0.25">
      <c r="A54" s="181" t="s">
        <v>56</v>
      </c>
      <c r="B54" s="122">
        <v>20000</v>
      </c>
      <c r="C54" s="122">
        <v>0</v>
      </c>
      <c r="D54" s="122"/>
      <c r="E54" s="122">
        <v>0</v>
      </c>
      <c r="F54" s="122">
        <v>0</v>
      </c>
      <c r="G54" s="122">
        <v>20000</v>
      </c>
      <c r="H54" s="123">
        <f t="shared" si="1"/>
        <v>0</v>
      </c>
      <c r="I54" s="124"/>
      <c r="J54" s="124"/>
      <c r="K54" s="116">
        <f t="shared" si="8"/>
        <v>0</v>
      </c>
      <c r="L54" s="116">
        <f t="shared" si="9"/>
        <v>0</v>
      </c>
      <c r="M54" s="116">
        <f t="shared" si="10"/>
        <v>0</v>
      </c>
      <c r="N54" s="116">
        <f t="shared" si="11"/>
        <v>0</v>
      </c>
      <c r="O54" s="124" t="b">
        <f t="shared" si="12"/>
        <v>1</v>
      </c>
      <c r="P54" s="124"/>
      <c r="Q54" s="186">
        <f t="shared" si="13"/>
        <v>0</v>
      </c>
      <c r="R54" s="186">
        <f t="shared" si="13"/>
        <v>0</v>
      </c>
      <c r="S54" s="186">
        <f t="shared" si="13"/>
        <v>20000</v>
      </c>
      <c r="T54" s="124" t="b">
        <f t="shared" si="7"/>
        <v>1</v>
      </c>
    </row>
    <row r="55" spans="1:20" x14ac:dyDescent="0.25">
      <c r="A55" s="181" t="s">
        <v>57</v>
      </c>
      <c r="B55" s="122">
        <v>11218828</v>
      </c>
      <c r="C55" s="122">
        <v>11218828</v>
      </c>
      <c r="D55" s="122"/>
      <c r="E55" s="122">
        <v>0</v>
      </c>
      <c r="F55" s="122">
        <v>0</v>
      </c>
      <c r="G55" s="122">
        <v>0</v>
      </c>
      <c r="H55" s="123">
        <f t="shared" si="1"/>
        <v>0</v>
      </c>
      <c r="I55" s="124"/>
      <c r="J55" s="124"/>
      <c r="K55" s="116">
        <f t="shared" si="8"/>
        <v>1869804.6666666667</v>
      </c>
      <c r="L55" s="116">
        <f t="shared" si="9"/>
        <v>934902.33333333337</v>
      </c>
      <c r="M55" s="116">
        <f t="shared" si="10"/>
        <v>934902.33333333337</v>
      </c>
      <c r="N55" s="116">
        <f t="shared" si="11"/>
        <v>9349023.333333334</v>
      </c>
      <c r="O55" s="124" t="b">
        <f t="shared" si="12"/>
        <v>1</v>
      </c>
      <c r="P55" s="124"/>
      <c r="Q55" s="186">
        <f t="shared" si="13"/>
        <v>934902.33333333337</v>
      </c>
      <c r="R55" s="186">
        <f t="shared" si="13"/>
        <v>934902.33333333337</v>
      </c>
      <c r="S55" s="186">
        <f t="shared" si="13"/>
        <v>9349023.333333334</v>
      </c>
      <c r="T55" s="124" t="b">
        <f t="shared" si="7"/>
        <v>1</v>
      </c>
    </row>
    <row r="56" spans="1:20" x14ac:dyDescent="0.25">
      <c r="A56" s="181" t="s">
        <v>58</v>
      </c>
      <c r="B56" s="122">
        <v>7328628</v>
      </c>
      <c r="C56" s="122">
        <v>7328628</v>
      </c>
      <c r="D56" s="122"/>
      <c r="E56" s="122">
        <v>0</v>
      </c>
      <c r="F56" s="122">
        <v>0</v>
      </c>
      <c r="G56" s="122">
        <v>0</v>
      </c>
      <c r="H56" s="123">
        <f t="shared" si="1"/>
        <v>0</v>
      </c>
      <c r="I56" s="124"/>
      <c r="J56" s="124"/>
      <c r="K56" s="116">
        <f t="shared" si="8"/>
        <v>1221438</v>
      </c>
      <c r="L56" s="116">
        <f t="shared" si="9"/>
        <v>610719</v>
      </c>
      <c r="M56" s="116">
        <f t="shared" si="10"/>
        <v>610719</v>
      </c>
      <c r="N56" s="116">
        <f t="shared" si="11"/>
        <v>6107190</v>
      </c>
      <c r="O56" s="124" t="b">
        <f t="shared" si="12"/>
        <v>1</v>
      </c>
      <c r="P56" s="124"/>
      <c r="Q56" s="186">
        <f t="shared" si="13"/>
        <v>610719</v>
      </c>
      <c r="R56" s="186">
        <f t="shared" si="13"/>
        <v>610719</v>
      </c>
      <c r="S56" s="186">
        <f t="shared" si="13"/>
        <v>6107190</v>
      </c>
      <c r="T56" s="124" t="b">
        <f t="shared" si="7"/>
        <v>1</v>
      </c>
    </row>
    <row r="57" spans="1:20" x14ac:dyDescent="0.25">
      <c r="A57" s="181" t="s">
        <v>297</v>
      </c>
      <c r="B57" s="122">
        <v>3890200</v>
      </c>
      <c r="C57" s="122">
        <v>3890200</v>
      </c>
      <c r="D57" s="122"/>
      <c r="E57" s="122">
        <v>0</v>
      </c>
      <c r="F57" s="122">
        <v>0</v>
      </c>
      <c r="G57" s="122">
        <v>0</v>
      </c>
      <c r="H57" s="123">
        <f t="shared" si="1"/>
        <v>0</v>
      </c>
      <c r="I57" s="124"/>
      <c r="J57" s="124"/>
      <c r="K57" s="116">
        <f t="shared" si="8"/>
        <v>648366.66666666663</v>
      </c>
      <c r="L57" s="116">
        <f t="shared" si="9"/>
        <v>324183.33333333331</v>
      </c>
      <c r="M57" s="116">
        <f t="shared" si="10"/>
        <v>324183.33333333331</v>
      </c>
      <c r="N57" s="116">
        <f t="shared" si="11"/>
        <v>3241833.333333333</v>
      </c>
      <c r="O57" s="124" t="b">
        <f t="shared" si="12"/>
        <v>1</v>
      </c>
      <c r="P57" s="124"/>
      <c r="Q57" s="186">
        <f t="shared" si="13"/>
        <v>324183.33333333331</v>
      </c>
      <c r="R57" s="186">
        <f t="shared" si="13"/>
        <v>324183.33333333331</v>
      </c>
      <c r="S57" s="186">
        <f t="shared" si="13"/>
        <v>3241833.333333333</v>
      </c>
      <c r="T57" s="124" t="b">
        <f t="shared" si="7"/>
        <v>1</v>
      </c>
    </row>
    <row r="58" spans="1:20" x14ac:dyDescent="0.25">
      <c r="A58" s="181" t="s">
        <v>59</v>
      </c>
      <c r="B58" s="122">
        <v>4368782</v>
      </c>
      <c r="C58" s="122">
        <v>6600</v>
      </c>
      <c r="D58" s="122"/>
      <c r="E58" s="122">
        <v>2548683</v>
      </c>
      <c r="F58" s="122">
        <v>1144178</v>
      </c>
      <c r="G58" s="122">
        <v>669321</v>
      </c>
      <c r="H58" s="123">
        <f t="shared" si="1"/>
        <v>3692861</v>
      </c>
      <c r="I58" s="124"/>
      <c r="J58" s="124"/>
      <c r="K58" s="116">
        <f t="shared" si="8"/>
        <v>1100</v>
      </c>
      <c r="L58" s="116">
        <f t="shared" si="9"/>
        <v>550</v>
      </c>
      <c r="M58" s="116">
        <f t="shared" si="10"/>
        <v>550</v>
      </c>
      <c r="N58" s="116">
        <f t="shared" si="11"/>
        <v>5500</v>
      </c>
      <c r="O58" s="124" t="b">
        <f t="shared" si="12"/>
        <v>1</v>
      </c>
      <c r="P58" s="124"/>
      <c r="Q58" s="186">
        <f t="shared" si="13"/>
        <v>2549233</v>
      </c>
      <c r="R58" s="186">
        <f t="shared" si="13"/>
        <v>1144728</v>
      </c>
      <c r="S58" s="186">
        <f t="shared" si="13"/>
        <v>674821</v>
      </c>
      <c r="T58" s="124" t="b">
        <f t="shared" si="7"/>
        <v>1</v>
      </c>
    </row>
    <row r="59" spans="1:20" x14ac:dyDescent="0.25">
      <c r="A59" s="181" t="s">
        <v>60</v>
      </c>
      <c r="B59" s="122">
        <v>485041</v>
      </c>
      <c r="C59" s="122">
        <v>0</v>
      </c>
      <c r="D59" s="122"/>
      <c r="E59" s="122">
        <v>0</v>
      </c>
      <c r="F59" s="122">
        <v>0</v>
      </c>
      <c r="G59" s="122">
        <v>485041</v>
      </c>
      <c r="H59" s="123">
        <f t="shared" si="1"/>
        <v>0</v>
      </c>
      <c r="I59" s="124"/>
      <c r="J59" s="124"/>
      <c r="K59" s="116">
        <f t="shared" si="8"/>
        <v>0</v>
      </c>
      <c r="L59" s="116">
        <f t="shared" si="9"/>
        <v>0</v>
      </c>
      <c r="M59" s="116">
        <f t="shared" si="10"/>
        <v>0</v>
      </c>
      <c r="N59" s="116">
        <f t="shared" si="11"/>
        <v>0</v>
      </c>
      <c r="O59" s="124" t="b">
        <f t="shared" si="12"/>
        <v>1</v>
      </c>
      <c r="P59" s="124"/>
      <c r="Q59" s="186">
        <f t="shared" si="13"/>
        <v>0</v>
      </c>
      <c r="R59" s="186">
        <f t="shared" si="13"/>
        <v>0</v>
      </c>
      <c r="S59" s="186">
        <f t="shared" si="13"/>
        <v>485041</v>
      </c>
      <c r="T59" s="124" t="b">
        <f t="shared" si="7"/>
        <v>1</v>
      </c>
    </row>
    <row r="60" spans="1:20" x14ac:dyDescent="0.25">
      <c r="A60" s="181" t="s">
        <v>61</v>
      </c>
      <c r="B60" s="122">
        <v>3692861</v>
      </c>
      <c r="C60" s="122">
        <v>0</v>
      </c>
      <c r="D60" s="122"/>
      <c r="E60" s="122">
        <v>2548683</v>
      </c>
      <c r="F60" s="122">
        <v>1144178</v>
      </c>
      <c r="G60" s="122">
        <v>0</v>
      </c>
      <c r="H60" s="123">
        <f t="shared" si="1"/>
        <v>3692861</v>
      </c>
      <c r="I60" s="124"/>
      <c r="J60" s="124"/>
      <c r="K60" s="116">
        <f t="shared" si="8"/>
        <v>0</v>
      </c>
      <c r="L60" s="116">
        <f t="shared" si="9"/>
        <v>0</v>
      </c>
      <c r="M60" s="116">
        <f t="shared" si="10"/>
        <v>0</v>
      </c>
      <c r="N60" s="116">
        <f t="shared" si="11"/>
        <v>0</v>
      </c>
      <c r="O60" s="124" t="b">
        <f t="shared" si="12"/>
        <v>1</v>
      </c>
      <c r="P60" s="124"/>
      <c r="Q60" s="186">
        <f t="shared" si="13"/>
        <v>2548683</v>
      </c>
      <c r="R60" s="186">
        <f t="shared" si="13"/>
        <v>1144178</v>
      </c>
      <c r="S60" s="186">
        <f t="shared" si="13"/>
        <v>0</v>
      </c>
      <c r="T60" s="124" t="b">
        <f t="shared" si="7"/>
        <v>1</v>
      </c>
    </row>
    <row r="61" spans="1:20" x14ac:dyDescent="0.25">
      <c r="A61" s="181" t="s">
        <v>63</v>
      </c>
      <c r="B61" s="122">
        <v>190880</v>
      </c>
      <c r="C61" s="122">
        <v>6600</v>
      </c>
      <c r="D61" s="122"/>
      <c r="E61" s="122">
        <v>0</v>
      </c>
      <c r="F61" s="122">
        <v>0</v>
      </c>
      <c r="G61" s="122">
        <v>184280</v>
      </c>
      <c r="H61" s="123">
        <f t="shared" si="1"/>
        <v>0</v>
      </c>
      <c r="I61" s="124"/>
      <c r="J61" s="124"/>
      <c r="K61" s="116">
        <f t="shared" si="8"/>
        <v>1100</v>
      </c>
      <c r="L61" s="116">
        <f t="shared" si="9"/>
        <v>550</v>
      </c>
      <c r="M61" s="116">
        <f t="shared" si="10"/>
        <v>550</v>
      </c>
      <c r="N61" s="116">
        <f t="shared" si="11"/>
        <v>5500</v>
      </c>
      <c r="O61" s="124" t="b">
        <f t="shared" si="12"/>
        <v>1</v>
      </c>
      <c r="P61" s="124"/>
      <c r="Q61" s="186">
        <f t="shared" si="13"/>
        <v>550</v>
      </c>
      <c r="R61" s="186">
        <f t="shared" si="13"/>
        <v>550</v>
      </c>
      <c r="S61" s="186">
        <f t="shared" si="13"/>
        <v>189780</v>
      </c>
      <c r="T61" s="124" t="b">
        <f t="shared" si="7"/>
        <v>1</v>
      </c>
    </row>
    <row r="62" spans="1:20" x14ac:dyDescent="0.25">
      <c r="A62" s="181" t="s">
        <v>64</v>
      </c>
      <c r="B62" s="122">
        <v>4129565</v>
      </c>
      <c r="C62" s="122">
        <v>0</v>
      </c>
      <c r="D62" s="122"/>
      <c r="E62" s="122">
        <v>0</v>
      </c>
      <c r="F62" s="122">
        <v>0</v>
      </c>
      <c r="G62" s="122">
        <v>4129565</v>
      </c>
      <c r="H62" s="123">
        <f t="shared" si="1"/>
        <v>0</v>
      </c>
      <c r="I62" s="124"/>
      <c r="J62" s="124"/>
      <c r="K62" s="116">
        <f t="shared" si="8"/>
        <v>0</v>
      </c>
      <c r="L62" s="116">
        <f t="shared" si="9"/>
        <v>0</v>
      </c>
      <c r="M62" s="116">
        <f t="shared" si="10"/>
        <v>0</v>
      </c>
      <c r="N62" s="116">
        <f t="shared" si="11"/>
        <v>0</v>
      </c>
      <c r="O62" s="124" t="b">
        <f t="shared" si="12"/>
        <v>1</v>
      </c>
      <c r="P62" s="124"/>
      <c r="Q62" s="186">
        <f t="shared" si="13"/>
        <v>0</v>
      </c>
      <c r="R62" s="186">
        <f t="shared" si="13"/>
        <v>0</v>
      </c>
      <c r="S62" s="186">
        <f t="shared" si="13"/>
        <v>4129565</v>
      </c>
      <c r="T62" s="124" t="b">
        <f t="shared" si="7"/>
        <v>1</v>
      </c>
    </row>
    <row r="63" spans="1:20" x14ac:dyDescent="0.25">
      <c r="A63" s="181" t="s">
        <v>65</v>
      </c>
      <c r="B63" s="122">
        <v>4129565</v>
      </c>
      <c r="C63" s="122">
        <v>0</v>
      </c>
      <c r="D63" s="122"/>
      <c r="E63" s="122">
        <v>0</v>
      </c>
      <c r="F63" s="122">
        <v>0</v>
      </c>
      <c r="G63" s="122">
        <v>4129565</v>
      </c>
      <c r="H63" s="123">
        <f t="shared" si="1"/>
        <v>0</v>
      </c>
      <c r="I63" s="124"/>
      <c r="J63" s="124"/>
      <c r="K63" s="116">
        <f t="shared" si="8"/>
        <v>0</v>
      </c>
      <c r="L63" s="116">
        <f t="shared" si="9"/>
        <v>0</v>
      </c>
      <c r="M63" s="116">
        <f t="shared" si="10"/>
        <v>0</v>
      </c>
      <c r="N63" s="116">
        <f t="shared" si="11"/>
        <v>0</v>
      </c>
      <c r="O63" s="124" t="b">
        <f t="shared" si="12"/>
        <v>1</v>
      </c>
      <c r="P63" s="124"/>
      <c r="Q63" s="186">
        <f t="shared" si="13"/>
        <v>0</v>
      </c>
      <c r="R63" s="186">
        <f t="shared" si="13"/>
        <v>0</v>
      </c>
      <c r="S63" s="186">
        <f t="shared" si="13"/>
        <v>4129565</v>
      </c>
      <c r="T63" s="124" t="b">
        <f t="shared" si="7"/>
        <v>1</v>
      </c>
    </row>
    <row r="64" spans="1:20" x14ac:dyDescent="0.25">
      <c r="A64" s="181" t="s">
        <v>67</v>
      </c>
      <c r="B64" s="122">
        <v>117733053</v>
      </c>
      <c r="C64" s="122">
        <v>0</v>
      </c>
      <c r="D64" s="122"/>
      <c r="E64" s="122">
        <v>18795740</v>
      </c>
      <c r="F64" s="122">
        <v>26627313</v>
      </c>
      <c r="G64" s="122">
        <v>72310000</v>
      </c>
      <c r="H64" s="123">
        <f t="shared" si="1"/>
        <v>45423053</v>
      </c>
      <c r="I64" s="124"/>
      <c r="J64" s="124"/>
      <c r="K64" s="116">
        <f t="shared" si="8"/>
        <v>0</v>
      </c>
      <c r="L64" s="116">
        <f t="shared" si="9"/>
        <v>0</v>
      </c>
      <c r="M64" s="116">
        <f t="shared" si="10"/>
        <v>0</v>
      </c>
      <c r="N64" s="116">
        <f t="shared" si="11"/>
        <v>0</v>
      </c>
      <c r="O64" s="124" t="b">
        <f t="shared" si="12"/>
        <v>1</v>
      </c>
      <c r="P64" s="124"/>
      <c r="Q64" s="186">
        <f t="shared" si="13"/>
        <v>18795740</v>
      </c>
      <c r="R64" s="186">
        <f t="shared" si="13"/>
        <v>26627313</v>
      </c>
      <c r="S64" s="186">
        <f t="shared" si="13"/>
        <v>72310000</v>
      </c>
      <c r="T64" s="124" t="b">
        <f t="shared" si="7"/>
        <v>1</v>
      </c>
    </row>
    <row r="65" spans="1:20" x14ac:dyDescent="0.25">
      <c r="A65" s="181" t="s">
        <v>69</v>
      </c>
      <c r="B65" s="122">
        <v>105910000</v>
      </c>
      <c r="C65" s="122">
        <v>0</v>
      </c>
      <c r="D65" s="122"/>
      <c r="E65" s="122">
        <v>14400000</v>
      </c>
      <c r="F65" s="122">
        <v>20400000</v>
      </c>
      <c r="G65" s="122">
        <v>71110000</v>
      </c>
      <c r="H65" s="123">
        <f t="shared" si="1"/>
        <v>34800000</v>
      </c>
      <c r="I65" s="124"/>
      <c r="J65" s="124"/>
      <c r="K65" s="116">
        <f t="shared" si="8"/>
        <v>0</v>
      </c>
      <c r="L65" s="116">
        <f t="shared" si="9"/>
        <v>0</v>
      </c>
      <c r="M65" s="116">
        <f t="shared" si="10"/>
        <v>0</v>
      </c>
      <c r="N65" s="116">
        <f t="shared" si="11"/>
        <v>0</v>
      </c>
      <c r="O65" s="124" t="b">
        <f t="shared" si="12"/>
        <v>1</v>
      </c>
      <c r="P65" s="124"/>
      <c r="Q65" s="186">
        <f t="shared" si="13"/>
        <v>14400000</v>
      </c>
      <c r="R65" s="186">
        <f t="shared" si="13"/>
        <v>20400000</v>
      </c>
      <c r="S65" s="186">
        <f t="shared" si="13"/>
        <v>71110000</v>
      </c>
      <c r="T65" s="124" t="b">
        <f t="shared" si="7"/>
        <v>1</v>
      </c>
    </row>
    <row r="66" spans="1:20" x14ac:dyDescent="0.25">
      <c r="A66" s="181" t="s">
        <v>70</v>
      </c>
      <c r="B66" s="122">
        <v>11823053</v>
      </c>
      <c r="C66" s="122">
        <v>0</v>
      </c>
      <c r="D66" s="122"/>
      <c r="E66" s="122">
        <v>4395740</v>
      </c>
      <c r="F66" s="122">
        <v>6227313</v>
      </c>
      <c r="G66" s="122">
        <v>1200000</v>
      </c>
      <c r="H66" s="123">
        <f t="shared" si="1"/>
        <v>10623053</v>
      </c>
      <c r="I66" s="124"/>
      <c r="J66" s="124"/>
      <c r="K66" s="116">
        <f t="shared" si="8"/>
        <v>0</v>
      </c>
      <c r="L66" s="116">
        <f t="shared" si="9"/>
        <v>0</v>
      </c>
      <c r="M66" s="116">
        <f t="shared" si="10"/>
        <v>0</v>
      </c>
      <c r="N66" s="116">
        <f t="shared" si="11"/>
        <v>0</v>
      </c>
      <c r="O66" s="124" t="b">
        <f t="shared" si="12"/>
        <v>1</v>
      </c>
      <c r="P66" s="124"/>
      <c r="Q66" s="186">
        <f t="shared" si="13"/>
        <v>4395740</v>
      </c>
      <c r="R66" s="186">
        <f t="shared" si="13"/>
        <v>6227313</v>
      </c>
      <c r="S66" s="186">
        <f t="shared" si="13"/>
        <v>1200000</v>
      </c>
      <c r="T66" s="124" t="b">
        <f t="shared" si="7"/>
        <v>1</v>
      </c>
    </row>
    <row r="67" spans="1:20" x14ac:dyDescent="0.25">
      <c r="A67" s="181" t="s">
        <v>71</v>
      </c>
      <c r="B67" s="122">
        <v>196193</v>
      </c>
      <c r="C67" s="122">
        <v>0</v>
      </c>
      <c r="D67" s="122"/>
      <c r="E67" s="122">
        <v>0</v>
      </c>
      <c r="F67" s="122">
        <v>0</v>
      </c>
      <c r="G67" s="122">
        <v>196193</v>
      </c>
      <c r="H67" s="123">
        <f t="shared" si="1"/>
        <v>0</v>
      </c>
      <c r="I67" s="124"/>
      <c r="J67" s="124"/>
      <c r="K67" s="116">
        <f t="shared" si="8"/>
        <v>0</v>
      </c>
      <c r="L67" s="116">
        <f t="shared" si="9"/>
        <v>0</v>
      </c>
      <c r="M67" s="116">
        <f t="shared" si="10"/>
        <v>0</v>
      </c>
      <c r="N67" s="116">
        <f t="shared" si="11"/>
        <v>0</v>
      </c>
      <c r="O67" s="124" t="b">
        <f t="shared" si="12"/>
        <v>1</v>
      </c>
      <c r="P67" s="124"/>
      <c r="Q67" s="186">
        <f t="shared" si="13"/>
        <v>0</v>
      </c>
      <c r="R67" s="186">
        <f t="shared" si="13"/>
        <v>0</v>
      </c>
      <c r="S67" s="186">
        <f t="shared" si="13"/>
        <v>196193</v>
      </c>
      <c r="T67" s="124" t="b">
        <f t="shared" si="7"/>
        <v>1</v>
      </c>
    </row>
    <row r="68" spans="1:20" x14ac:dyDescent="0.25">
      <c r="A68" s="181" t="s">
        <v>72</v>
      </c>
      <c r="B68" s="122">
        <v>196193</v>
      </c>
      <c r="C68" s="122">
        <v>0</v>
      </c>
      <c r="D68" s="122"/>
      <c r="E68" s="122">
        <v>0</v>
      </c>
      <c r="F68" s="122">
        <v>0</v>
      </c>
      <c r="G68" s="122">
        <v>196193</v>
      </c>
      <c r="H68" s="123">
        <f t="shared" ref="H68:H99" si="14">SUM(E68:F68)</f>
        <v>0</v>
      </c>
      <c r="I68" s="124"/>
      <c r="J68" s="124"/>
      <c r="K68" s="116">
        <f t="shared" si="8"/>
        <v>0</v>
      </c>
      <c r="L68" s="116">
        <f t="shared" si="9"/>
        <v>0</v>
      </c>
      <c r="M68" s="116">
        <f t="shared" si="10"/>
        <v>0</v>
      </c>
      <c r="N68" s="116">
        <f t="shared" si="11"/>
        <v>0</v>
      </c>
      <c r="O68" s="124" t="b">
        <f t="shared" si="12"/>
        <v>1</v>
      </c>
      <c r="P68" s="124"/>
      <c r="Q68" s="186">
        <f t="shared" si="13"/>
        <v>0</v>
      </c>
      <c r="R68" s="186">
        <f t="shared" si="13"/>
        <v>0</v>
      </c>
      <c r="S68" s="186">
        <f t="shared" si="13"/>
        <v>196193</v>
      </c>
      <c r="T68" s="124" t="b">
        <f t="shared" ref="T68:T104" si="15">B68=Q68+R68+S68</f>
        <v>1</v>
      </c>
    </row>
    <row r="69" spans="1:20" x14ac:dyDescent="0.25">
      <c r="A69" s="181" t="s">
        <v>73</v>
      </c>
      <c r="B69" s="122">
        <v>661400</v>
      </c>
      <c r="C69" s="122">
        <v>85900</v>
      </c>
      <c r="D69" s="122"/>
      <c r="E69" s="122">
        <v>0</v>
      </c>
      <c r="F69" s="122">
        <v>0</v>
      </c>
      <c r="G69" s="122">
        <v>575500</v>
      </c>
      <c r="H69" s="123">
        <f t="shared" si="14"/>
        <v>0</v>
      </c>
      <c r="I69" s="124"/>
      <c r="J69" s="124"/>
      <c r="K69" s="116">
        <f t="shared" si="8"/>
        <v>14316.666666666666</v>
      </c>
      <c r="L69" s="116">
        <f t="shared" si="9"/>
        <v>7158.333333333333</v>
      </c>
      <c r="M69" s="116">
        <f t="shared" si="10"/>
        <v>7158.333333333333</v>
      </c>
      <c r="N69" s="116">
        <f t="shared" si="11"/>
        <v>71583.333333333328</v>
      </c>
      <c r="O69" s="124" t="b">
        <f t="shared" si="12"/>
        <v>1</v>
      </c>
      <c r="P69" s="124"/>
      <c r="Q69" s="186">
        <f t="shared" si="13"/>
        <v>7158.333333333333</v>
      </c>
      <c r="R69" s="186">
        <f t="shared" si="13"/>
        <v>7158.333333333333</v>
      </c>
      <c r="S69" s="186">
        <f t="shared" si="13"/>
        <v>647083.33333333337</v>
      </c>
      <c r="T69" s="124" t="b">
        <f t="shared" si="15"/>
        <v>1</v>
      </c>
    </row>
    <row r="70" spans="1:20" x14ac:dyDescent="0.25">
      <c r="A70" s="181" t="s">
        <v>74</v>
      </c>
      <c r="B70" s="122">
        <v>661400</v>
      </c>
      <c r="C70" s="122">
        <v>85900</v>
      </c>
      <c r="D70" s="122"/>
      <c r="E70" s="122">
        <v>0</v>
      </c>
      <c r="F70" s="122">
        <v>0</v>
      </c>
      <c r="G70" s="122">
        <v>575500</v>
      </c>
      <c r="H70" s="123">
        <f t="shared" si="14"/>
        <v>0</v>
      </c>
      <c r="I70" s="124"/>
      <c r="J70" s="124"/>
      <c r="K70" s="116">
        <f t="shared" si="8"/>
        <v>14316.666666666666</v>
      </c>
      <c r="L70" s="116">
        <f t="shared" si="9"/>
        <v>7158.333333333333</v>
      </c>
      <c r="M70" s="116">
        <f t="shared" si="10"/>
        <v>7158.333333333333</v>
      </c>
      <c r="N70" s="116">
        <f t="shared" si="11"/>
        <v>71583.333333333328</v>
      </c>
      <c r="O70" s="124" t="b">
        <f t="shared" si="12"/>
        <v>1</v>
      </c>
      <c r="P70" s="124"/>
      <c r="Q70" s="186">
        <f t="shared" si="13"/>
        <v>7158.333333333333</v>
      </c>
      <c r="R70" s="186">
        <f t="shared" si="13"/>
        <v>7158.333333333333</v>
      </c>
      <c r="S70" s="186">
        <f t="shared" si="13"/>
        <v>647083.33333333337</v>
      </c>
      <c r="T70" s="124" t="b">
        <f t="shared" si="15"/>
        <v>1</v>
      </c>
    </row>
    <row r="71" spans="1:20" x14ac:dyDescent="0.25">
      <c r="A71" s="181" t="s">
        <v>78</v>
      </c>
      <c r="B71" s="122">
        <v>16928251</v>
      </c>
      <c r="C71" s="122">
        <v>0</v>
      </c>
      <c r="D71" s="122"/>
      <c r="E71" s="122">
        <v>11502138</v>
      </c>
      <c r="F71" s="122">
        <v>4368113</v>
      </c>
      <c r="G71" s="122">
        <v>1058000</v>
      </c>
      <c r="H71" s="123">
        <f t="shared" si="14"/>
        <v>15870251</v>
      </c>
      <c r="I71" s="124"/>
      <c r="J71" s="124"/>
      <c r="K71" s="116">
        <f t="shared" si="8"/>
        <v>0</v>
      </c>
      <c r="L71" s="116">
        <f t="shared" si="9"/>
        <v>0</v>
      </c>
      <c r="M71" s="116">
        <f t="shared" si="10"/>
        <v>0</v>
      </c>
      <c r="N71" s="116">
        <f t="shared" si="11"/>
        <v>0</v>
      </c>
      <c r="O71" s="124" t="b">
        <f t="shared" si="12"/>
        <v>1</v>
      </c>
      <c r="P71" s="124"/>
      <c r="Q71" s="186">
        <f t="shared" si="13"/>
        <v>11502138</v>
      </c>
      <c r="R71" s="186">
        <f t="shared" si="13"/>
        <v>4368113</v>
      </c>
      <c r="S71" s="186">
        <f t="shared" si="13"/>
        <v>1058000</v>
      </c>
      <c r="T71" s="124" t="b">
        <f t="shared" si="15"/>
        <v>1</v>
      </c>
    </row>
    <row r="72" spans="1:20" x14ac:dyDescent="0.25">
      <c r="A72" s="181" t="s">
        <v>79</v>
      </c>
      <c r="B72" s="122">
        <v>16928251</v>
      </c>
      <c r="C72" s="122">
        <v>0</v>
      </c>
      <c r="D72" s="122"/>
      <c r="E72" s="122">
        <v>11502138</v>
      </c>
      <c r="F72" s="122">
        <v>4368113</v>
      </c>
      <c r="G72" s="122">
        <v>1058000</v>
      </c>
      <c r="H72" s="123">
        <f t="shared" si="14"/>
        <v>15870251</v>
      </c>
      <c r="I72" s="124"/>
      <c r="J72" s="124"/>
      <c r="K72" s="116">
        <f t="shared" si="8"/>
        <v>0</v>
      </c>
      <c r="L72" s="116">
        <f t="shared" si="9"/>
        <v>0</v>
      </c>
      <c r="M72" s="116">
        <f t="shared" si="10"/>
        <v>0</v>
      </c>
      <c r="N72" s="116">
        <f t="shared" si="11"/>
        <v>0</v>
      </c>
      <c r="O72" s="124" t="b">
        <f t="shared" si="12"/>
        <v>1</v>
      </c>
      <c r="P72" s="124"/>
      <c r="Q72" s="186">
        <f t="shared" si="13"/>
        <v>11502138</v>
      </c>
      <c r="R72" s="186">
        <f t="shared" si="13"/>
        <v>4368113</v>
      </c>
      <c r="S72" s="186">
        <f t="shared" si="13"/>
        <v>1058000</v>
      </c>
      <c r="T72" s="124" t="b">
        <f t="shared" si="15"/>
        <v>1</v>
      </c>
    </row>
    <row r="73" spans="1:20" x14ac:dyDescent="0.25">
      <c r="A73" s="181" t="s">
        <v>80</v>
      </c>
      <c r="B73" s="122">
        <v>356728</v>
      </c>
      <c r="C73" s="122">
        <v>0</v>
      </c>
      <c r="D73" s="122"/>
      <c r="E73" s="122">
        <v>0</v>
      </c>
      <c r="F73" s="122">
        <v>0</v>
      </c>
      <c r="G73" s="122">
        <v>356728</v>
      </c>
      <c r="H73" s="123">
        <f t="shared" si="14"/>
        <v>0</v>
      </c>
      <c r="I73" s="124"/>
      <c r="J73" s="124"/>
      <c r="K73" s="116">
        <f t="shared" si="8"/>
        <v>0</v>
      </c>
      <c r="L73" s="116">
        <f t="shared" si="9"/>
        <v>0</v>
      </c>
      <c r="M73" s="116">
        <f t="shared" si="10"/>
        <v>0</v>
      </c>
      <c r="N73" s="116">
        <f t="shared" si="11"/>
        <v>0</v>
      </c>
      <c r="O73" s="124" t="b">
        <f t="shared" si="12"/>
        <v>1</v>
      </c>
      <c r="P73" s="124"/>
      <c r="Q73" s="186">
        <f t="shared" si="13"/>
        <v>0</v>
      </c>
      <c r="R73" s="186">
        <f t="shared" si="13"/>
        <v>0</v>
      </c>
      <c r="S73" s="186">
        <f t="shared" si="13"/>
        <v>356728</v>
      </c>
      <c r="T73" s="124" t="b">
        <f t="shared" si="15"/>
        <v>1</v>
      </c>
    </row>
    <row r="74" spans="1:20" x14ac:dyDescent="0.25">
      <c r="A74" s="181" t="s">
        <v>82</v>
      </c>
      <c r="B74" s="122">
        <v>356728</v>
      </c>
      <c r="C74" s="122">
        <v>0</v>
      </c>
      <c r="D74" s="122"/>
      <c r="E74" s="122">
        <v>0</v>
      </c>
      <c r="F74" s="122">
        <v>0</v>
      </c>
      <c r="G74" s="122">
        <v>356728</v>
      </c>
      <c r="H74" s="123">
        <f t="shared" si="14"/>
        <v>0</v>
      </c>
      <c r="I74" s="124"/>
      <c r="J74" s="124"/>
      <c r="K74" s="116">
        <f t="shared" si="8"/>
        <v>0</v>
      </c>
      <c r="L74" s="116">
        <f t="shared" si="9"/>
        <v>0</v>
      </c>
      <c r="M74" s="116">
        <f t="shared" si="10"/>
        <v>0</v>
      </c>
      <c r="N74" s="116">
        <f t="shared" si="11"/>
        <v>0</v>
      </c>
      <c r="O74" s="124" t="b">
        <f t="shared" si="12"/>
        <v>1</v>
      </c>
      <c r="P74" s="124"/>
      <c r="Q74" s="186">
        <f t="shared" si="13"/>
        <v>0</v>
      </c>
      <c r="R74" s="186">
        <f t="shared" si="13"/>
        <v>0</v>
      </c>
      <c r="S74" s="186">
        <f t="shared" si="13"/>
        <v>356728</v>
      </c>
      <c r="T74" s="124" t="b">
        <f t="shared" si="15"/>
        <v>1</v>
      </c>
    </row>
    <row r="75" spans="1:20" x14ac:dyDescent="0.25">
      <c r="A75" s="181" t="s">
        <v>83</v>
      </c>
      <c r="B75" s="122">
        <v>21461523</v>
      </c>
      <c r="C75" s="122">
        <v>17125650</v>
      </c>
      <c r="D75" s="122"/>
      <c r="E75" s="122">
        <v>0</v>
      </c>
      <c r="F75" s="122">
        <v>0</v>
      </c>
      <c r="G75" s="122">
        <v>4335873</v>
      </c>
      <c r="H75" s="123">
        <f t="shared" si="14"/>
        <v>0</v>
      </c>
      <c r="I75" s="124"/>
      <c r="J75" s="124"/>
      <c r="K75" s="116">
        <f t="shared" si="8"/>
        <v>2854275</v>
      </c>
      <c r="L75" s="116">
        <f t="shared" si="9"/>
        <v>1427137.5</v>
      </c>
      <c r="M75" s="116">
        <f t="shared" si="10"/>
        <v>1427137.5</v>
      </c>
      <c r="N75" s="116">
        <f t="shared" si="11"/>
        <v>14271375</v>
      </c>
      <c r="O75" s="124" t="b">
        <f t="shared" si="12"/>
        <v>1</v>
      </c>
      <c r="P75" s="124"/>
      <c r="Q75" s="186">
        <f t="shared" si="13"/>
        <v>1427137.5</v>
      </c>
      <c r="R75" s="186">
        <f t="shared" si="13"/>
        <v>1427137.5</v>
      </c>
      <c r="S75" s="186">
        <f t="shared" si="13"/>
        <v>18607248</v>
      </c>
      <c r="T75" s="124" t="b">
        <f t="shared" si="15"/>
        <v>1</v>
      </c>
    </row>
    <row r="76" spans="1:20" x14ac:dyDescent="0.25">
      <c r="A76" s="181" t="s">
        <v>84</v>
      </c>
      <c r="B76" s="122">
        <v>1571544</v>
      </c>
      <c r="C76" s="122">
        <v>0</v>
      </c>
      <c r="D76" s="122"/>
      <c r="E76" s="122">
        <v>0</v>
      </c>
      <c r="F76" s="122">
        <v>0</v>
      </c>
      <c r="G76" s="122">
        <v>1571544</v>
      </c>
      <c r="H76" s="123">
        <f t="shared" si="14"/>
        <v>0</v>
      </c>
      <c r="I76" s="124"/>
      <c r="J76" s="124"/>
      <c r="K76" s="116">
        <f t="shared" si="8"/>
        <v>0</v>
      </c>
      <c r="L76" s="116">
        <f t="shared" si="9"/>
        <v>0</v>
      </c>
      <c r="M76" s="116">
        <f t="shared" si="10"/>
        <v>0</v>
      </c>
      <c r="N76" s="116">
        <f t="shared" si="11"/>
        <v>0</v>
      </c>
      <c r="O76" s="124" t="b">
        <f t="shared" si="12"/>
        <v>1</v>
      </c>
      <c r="P76" s="124"/>
      <c r="Q76" s="186">
        <f t="shared" si="13"/>
        <v>0</v>
      </c>
      <c r="R76" s="186">
        <f t="shared" si="13"/>
        <v>0</v>
      </c>
      <c r="S76" s="186">
        <f t="shared" si="13"/>
        <v>1571544</v>
      </c>
      <c r="T76" s="124" t="b">
        <f t="shared" si="15"/>
        <v>1</v>
      </c>
    </row>
    <row r="77" spans="1:20" x14ac:dyDescent="0.25">
      <c r="A77" s="181" t="s">
        <v>85</v>
      </c>
      <c r="B77" s="122">
        <v>1824228</v>
      </c>
      <c r="C77" s="122">
        <v>1824228</v>
      </c>
      <c r="D77" s="124"/>
      <c r="E77" s="122">
        <v>0</v>
      </c>
      <c r="F77" s="122">
        <v>0</v>
      </c>
      <c r="G77" s="122">
        <v>0</v>
      </c>
      <c r="H77" s="123">
        <f t="shared" si="14"/>
        <v>0</v>
      </c>
      <c r="I77" s="124"/>
      <c r="J77" s="124"/>
      <c r="K77" s="116">
        <f t="shared" si="8"/>
        <v>304038</v>
      </c>
      <c r="L77" s="116">
        <f t="shared" si="9"/>
        <v>152019</v>
      </c>
      <c r="M77" s="116">
        <f t="shared" si="10"/>
        <v>152019</v>
      </c>
      <c r="N77" s="116">
        <f t="shared" si="11"/>
        <v>1520190</v>
      </c>
      <c r="O77" s="124" t="b">
        <f t="shared" si="12"/>
        <v>1</v>
      </c>
      <c r="P77" s="124"/>
      <c r="Q77" s="186">
        <f t="shared" si="13"/>
        <v>152019</v>
      </c>
      <c r="R77" s="186">
        <f t="shared" si="13"/>
        <v>152019</v>
      </c>
      <c r="S77" s="186">
        <f t="shared" si="13"/>
        <v>1520190</v>
      </c>
      <c r="T77" s="124" t="b">
        <f t="shared" si="15"/>
        <v>1</v>
      </c>
    </row>
    <row r="78" spans="1:20" x14ac:dyDescent="0.25">
      <c r="A78" s="181" t="s">
        <v>150</v>
      </c>
      <c r="B78" s="122">
        <v>622641</v>
      </c>
      <c r="C78" s="122">
        <v>272727</v>
      </c>
      <c r="D78" s="124"/>
      <c r="E78" s="122">
        <v>0</v>
      </c>
      <c r="F78" s="122">
        <v>0</v>
      </c>
      <c r="G78" s="122">
        <v>349914</v>
      </c>
      <c r="H78" s="123">
        <f t="shared" si="14"/>
        <v>0</v>
      </c>
      <c r="I78" s="124"/>
      <c r="J78" s="124"/>
      <c r="K78" s="116">
        <f t="shared" si="8"/>
        <v>45454.5</v>
      </c>
      <c r="L78" s="116">
        <f t="shared" si="9"/>
        <v>22727.25</v>
      </c>
      <c r="M78" s="116">
        <f t="shared" si="10"/>
        <v>22727.25</v>
      </c>
      <c r="N78" s="116">
        <f t="shared" si="11"/>
        <v>227272.5</v>
      </c>
      <c r="O78" s="124" t="b">
        <f t="shared" si="12"/>
        <v>1</v>
      </c>
      <c r="P78" s="124"/>
      <c r="Q78" s="186">
        <f t="shared" si="13"/>
        <v>22727.25</v>
      </c>
      <c r="R78" s="186">
        <f t="shared" si="13"/>
        <v>22727.25</v>
      </c>
      <c r="S78" s="186">
        <f t="shared" si="13"/>
        <v>577186.5</v>
      </c>
      <c r="T78" s="124" t="b">
        <f t="shared" si="15"/>
        <v>1</v>
      </c>
    </row>
    <row r="79" spans="1:20" x14ac:dyDescent="0.25">
      <c r="A79" s="181" t="s">
        <v>87</v>
      </c>
      <c r="B79" s="122">
        <v>293359</v>
      </c>
      <c r="C79" s="122">
        <v>293359</v>
      </c>
      <c r="D79" s="124"/>
      <c r="E79" s="122">
        <v>0</v>
      </c>
      <c r="F79" s="122">
        <v>0</v>
      </c>
      <c r="G79" s="122">
        <v>0</v>
      </c>
      <c r="H79" s="123">
        <f t="shared" si="14"/>
        <v>0</v>
      </c>
      <c r="I79" s="124"/>
      <c r="J79" s="124"/>
      <c r="K79" s="116">
        <f t="shared" ref="K79:K104" si="16">C79/6</f>
        <v>48893.166666666664</v>
      </c>
      <c r="L79" s="116">
        <f t="shared" ref="L79:L104" si="17">K79/2</f>
        <v>24446.583333333332</v>
      </c>
      <c r="M79" s="116">
        <f t="shared" ref="M79:M104" si="18">K79/2</f>
        <v>24446.583333333332</v>
      </c>
      <c r="N79" s="116">
        <f t="shared" ref="N79:N104" si="19">K79*5</f>
        <v>244465.83333333331</v>
      </c>
      <c r="O79" s="124" t="b">
        <f t="shared" ref="O79:O104" si="20">C79=L79+M79+N79</f>
        <v>1</v>
      </c>
      <c r="P79" s="124"/>
      <c r="Q79" s="186">
        <f t="shared" ref="Q79:S90" si="21">L79+E79</f>
        <v>24446.583333333332</v>
      </c>
      <c r="R79" s="186">
        <f t="shared" si="21"/>
        <v>24446.583333333332</v>
      </c>
      <c r="S79" s="186">
        <f t="shared" si="21"/>
        <v>244465.83333333331</v>
      </c>
      <c r="T79" s="124" t="b">
        <f t="shared" si="15"/>
        <v>1</v>
      </c>
    </row>
    <row r="80" spans="1:20" x14ac:dyDescent="0.25">
      <c r="A80" s="181" t="s">
        <v>88</v>
      </c>
      <c r="B80" s="122">
        <v>14844362</v>
      </c>
      <c r="C80" s="122">
        <v>14735336</v>
      </c>
      <c r="D80" s="124"/>
      <c r="E80" s="122">
        <v>0</v>
      </c>
      <c r="F80" s="122">
        <v>0</v>
      </c>
      <c r="G80" s="122">
        <v>109026</v>
      </c>
      <c r="H80" s="123">
        <f t="shared" si="14"/>
        <v>0</v>
      </c>
      <c r="I80" s="124"/>
      <c r="J80" s="124"/>
      <c r="K80" s="116">
        <f t="shared" si="16"/>
        <v>2455889.3333333335</v>
      </c>
      <c r="L80" s="116">
        <f t="shared" si="17"/>
        <v>1227944.6666666667</v>
      </c>
      <c r="M80" s="116">
        <f t="shared" si="18"/>
        <v>1227944.6666666667</v>
      </c>
      <c r="N80" s="116">
        <f t="shared" si="19"/>
        <v>12279446.666666668</v>
      </c>
      <c r="O80" s="124" t="b">
        <f t="shared" si="20"/>
        <v>1</v>
      </c>
      <c r="P80" s="124"/>
      <c r="Q80" s="186">
        <f t="shared" si="21"/>
        <v>1227944.6666666667</v>
      </c>
      <c r="R80" s="186">
        <f t="shared" si="21"/>
        <v>1227944.6666666667</v>
      </c>
      <c r="S80" s="186">
        <f t="shared" si="21"/>
        <v>12388472.666666668</v>
      </c>
      <c r="T80" s="124" t="b">
        <f t="shared" si="15"/>
        <v>1</v>
      </c>
    </row>
    <row r="81" spans="1:20" x14ac:dyDescent="0.25">
      <c r="A81" s="181" t="s">
        <v>89</v>
      </c>
      <c r="B81" s="122">
        <v>2305389</v>
      </c>
      <c r="C81" s="122">
        <v>0</v>
      </c>
      <c r="D81" s="124"/>
      <c r="E81" s="122">
        <v>0</v>
      </c>
      <c r="F81" s="122">
        <v>0</v>
      </c>
      <c r="G81" s="122">
        <v>2305389</v>
      </c>
      <c r="H81" s="123">
        <f t="shared" si="14"/>
        <v>0</v>
      </c>
      <c r="I81" s="124"/>
      <c r="J81" s="124"/>
      <c r="K81" s="116">
        <f t="shared" si="16"/>
        <v>0</v>
      </c>
      <c r="L81" s="116">
        <f t="shared" si="17"/>
        <v>0</v>
      </c>
      <c r="M81" s="116">
        <f t="shared" si="18"/>
        <v>0</v>
      </c>
      <c r="N81" s="116">
        <f t="shared" si="19"/>
        <v>0</v>
      </c>
      <c r="O81" s="124" t="b">
        <f t="shared" si="20"/>
        <v>1</v>
      </c>
      <c r="P81" s="124"/>
      <c r="Q81" s="186">
        <f t="shared" si="21"/>
        <v>0</v>
      </c>
      <c r="R81" s="186">
        <f t="shared" si="21"/>
        <v>0</v>
      </c>
      <c r="S81" s="186">
        <f t="shared" si="21"/>
        <v>2305389</v>
      </c>
      <c r="T81" s="124" t="b">
        <f t="shared" si="15"/>
        <v>1</v>
      </c>
    </row>
    <row r="82" spans="1:20" x14ac:dyDescent="0.25">
      <c r="A82" s="181" t="s">
        <v>91</v>
      </c>
      <c r="B82" s="122">
        <v>26059459</v>
      </c>
      <c r="C82" s="122">
        <v>24395123</v>
      </c>
      <c r="D82" s="124"/>
      <c r="E82" s="122">
        <v>0</v>
      </c>
      <c r="F82" s="122">
        <v>0</v>
      </c>
      <c r="G82" s="122">
        <v>1664336</v>
      </c>
      <c r="H82" s="123">
        <f t="shared" si="14"/>
        <v>0</v>
      </c>
      <c r="I82" s="124"/>
      <c r="J82" s="124"/>
      <c r="K82" s="116">
        <f t="shared" si="16"/>
        <v>4065853.8333333335</v>
      </c>
      <c r="L82" s="116">
        <f t="shared" si="17"/>
        <v>2032926.9166666667</v>
      </c>
      <c r="M82" s="116">
        <f t="shared" si="18"/>
        <v>2032926.9166666667</v>
      </c>
      <c r="N82" s="116">
        <f t="shared" si="19"/>
        <v>20329269.166666668</v>
      </c>
      <c r="O82" s="124" t="b">
        <f t="shared" si="20"/>
        <v>1</v>
      </c>
      <c r="P82" s="124"/>
      <c r="Q82" s="186">
        <f t="shared" si="21"/>
        <v>2032926.9166666667</v>
      </c>
      <c r="R82" s="186">
        <f t="shared" si="21"/>
        <v>2032926.9166666667</v>
      </c>
      <c r="S82" s="186">
        <f t="shared" si="21"/>
        <v>21993605.166666668</v>
      </c>
      <c r="T82" s="124" t="b">
        <f t="shared" si="15"/>
        <v>1</v>
      </c>
    </row>
    <row r="83" spans="1:20" x14ac:dyDescent="0.25">
      <c r="A83" s="181" t="s">
        <v>92</v>
      </c>
      <c r="B83" s="122">
        <v>925970</v>
      </c>
      <c r="C83" s="122">
        <v>0</v>
      </c>
      <c r="D83" s="124"/>
      <c r="E83" s="122">
        <v>0</v>
      </c>
      <c r="F83" s="122">
        <v>0</v>
      </c>
      <c r="G83" s="122">
        <v>925970</v>
      </c>
      <c r="H83" s="123">
        <f t="shared" si="14"/>
        <v>0</v>
      </c>
      <c r="I83" s="124"/>
      <c r="J83" s="124"/>
      <c r="K83" s="116">
        <f t="shared" si="16"/>
        <v>0</v>
      </c>
      <c r="L83" s="116">
        <f t="shared" si="17"/>
        <v>0</v>
      </c>
      <c r="M83" s="116">
        <f t="shared" si="18"/>
        <v>0</v>
      </c>
      <c r="N83" s="116">
        <f t="shared" si="19"/>
        <v>0</v>
      </c>
      <c r="O83" s="124" t="b">
        <f t="shared" si="20"/>
        <v>1</v>
      </c>
      <c r="P83" s="124"/>
      <c r="Q83" s="186">
        <f t="shared" si="21"/>
        <v>0</v>
      </c>
      <c r="R83" s="186">
        <f t="shared" si="21"/>
        <v>0</v>
      </c>
      <c r="S83" s="186">
        <f t="shared" si="21"/>
        <v>925970</v>
      </c>
      <c r="T83" s="124" t="b">
        <f t="shared" si="15"/>
        <v>1</v>
      </c>
    </row>
    <row r="84" spans="1:20" x14ac:dyDescent="0.25">
      <c r="A84" s="181" t="s">
        <v>93</v>
      </c>
      <c r="B84" s="122">
        <v>22029182</v>
      </c>
      <c r="C84" s="122">
        <v>21775182</v>
      </c>
      <c r="D84" s="124"/>
      <c r="E84" s="122">
        <v>0</v>
      </c>
      <c r="F84" s="122">
        <v>0</v>
      </c>
      <c r="G84" s="122">
        <v>254000</v>
      </c>
      <c r="H84" s="123">
        <f t="shared" si="14"/>
        <v>0</v>
      </c>
      <c r="I84" s="124"/>
      <c r="J84" s="124"/>
      <c r="K84" s="116">
        <f t="shared" si="16"/>
        <v>3629197</v>
      </c>
      <c r="L84" s="116">
        <f t="shared" si="17"/>
        <v>1814598.5</v>
      </c>
      <c r="M84" s="116">
        <f t="shared" si="18"/>
        <v>1814598.5</v>
      </c>
      <c r="N84" s="116">
        <f t="shared" si="19"/>
        <v>18145985</v>
      </c>
      <c r="O84" s="124" t="b">
        <f t="shared" si="20"/>
        <v>1</v>
      </c>
      <c r="P84" s="124"/>
      <c r="Q84" s="186">
        <f t="shared" si="21"/>
        <v>1814598.5</v>
      </c>
      <c r="R84" s="186">
        <f t="shared" si="21"/>
        <v>1814598.5</v>
      </c>
      <c r="S84" s="186">
        <f t="shared" si="21"/>
        <v>18399985</v>
      </c>
      <c r="T84" s="124" t="b">
        <f t="shared" si="15"/>
        <v>1</v>
      </c>
    </row>
    <row r="85" spans="1:20" x14ac:dyDescent="0.25">
      <c r="A85" s="181" t="s">
        <v>94</v>
      </c>
      <c r="B85" s="122">
        <v>3104307</v>
      </c>
      <c r="C85" s="122">
        <v>2619941</v>
      </c>
      <c r="D85" s="124"/>
      <c r="E85" s="122">
        <v>0</v>
      </c>
      <c r="F85" s="122">
        <v>0</v>
      </c>
      <c r="G85" s="122">
        <v>484366</v>
      </c>
      <c r="H85" s="123">
        <f t="shared" si="14"/>
        <v>0</v>
      </c>
      <c r="I85" s="124"/>
      <c r="J85" s="124"/>
      <c r="K85" s="116">
        <f t="shared" si="16"/>
        <v>436656.83333333331</v>
      </c>
      <c r="L85" s="116">
        <f t="shared" si="17"/>
        <v>218328.41666666666</v>
      </c>
      <c r="M85" s="116">
        <f t="shared" si="18"/>
        <v>218328.41666666666</v>
      </c>
      <c r="N85" s="116">
        <f t="shared" si="19"/>
        <v>2183284.1666666665</v>
      </c>
      <c r="O85" s="124" t="b">
        <f t="shared" si="20"/>
        <v>1</v>
      </c>
      <c r="P85" s="124"/>
      <c r="Q85" s="186">
        <f t="shared" si="21"/>
        <v>218328.41666666666</v>
      </c>
      <c r="R85" s="186">
        <f t="shared" si="21"/>
        <v>218328.41666666666</v>
      </c>
      <c r="S85" s="186">
        <f t="shared" si="21"/>
        <v>2667650.1666666665</v>
      </c>
      <c r="T85" s="124" t="b">
        <f t="shared" si="15"/>
        <v>1</v>
      </c>
    </row>
    <row r="86" spans="1:20" x14ac:dyDescent="0.25">
      <c r="A86" s="181" t="s">
        <v>95</v>
      </c>
      <c r="B86" s="122">
        <v>428842956</v>
      </c>
      <c r="C86" s="122">
        <v>115801638</v>
      </c>
      <c r="D86" s="124"/>
      <c r="E86" s="122">
        <v>225133070</v>
      </c>
      <c r="F86" s="122">
        <v>86023273</v>
      </c>
      <c r="G86" s="122">
        <v>1884975</v>
      </c>
      <c r="H86" s="123">
        <f t="shared" si="14"/>
        <v>311156343</v>
      </c>
      <c r="I86" s="124"/>
      <c r="J86" s="124"/>
      <c r="K86" s="116">
        <f t="shared" si="16"/>
        <v>19300273</v>
      </c>
      <c r="L86" s="116">
        <f t="shared" si="17"/>
        <v>9650136.5</v>
      </c>
      <c r="M86" s="116">
        <f t="shared" si="18"/>
        <v>9650136.5</v>
      </c>
      <c r="N86" s="116">
        <f t="shared" si="19"/>
        <v>96501365</v>
      </c>
      <c r="O86" s="124" t="b">
        <f t="shared" si="20"/>
        <v>1</v>
      </c>
      <c r="P86" s="124"/>
      <c r="Q86" s="186">
        <f t="shared" si="21"/>
        <v>234783206.5</v>
      </c>
      <c r="R86" s="186">
        <f t="shared" si="21"/>
        <v>95673409.5</v>
      </c>
      <c r="S86" s="186">
        <f t="shared" si="21"/>
        <v>98386340</v>
      </c>
      <c r="T86" s="124" t="b">
        <f t="shared" si="15"/>
        <v>1</v>
      </c>
    </row>
    <row r="87" spans="1:20" x14ac:dyDescent="0.25">
      <c r="A87" s="181" t="s">
        <v>152</v>
      </c>
      <c r="B87" s="122">
        <v>367907</v>
      </c>
      <c r="C87" s="122">
        <v>367907</v>
      </c>
      <c r="D87" s="124"/>
      <c r="E87" s="122">
        <v>0</v>
      </c>
      <c r="F87" s="122">
        <v>0</v>
      </c>
      <c r="G87" s="122">
        <v>0</v>
      </c>
      <c r="H87" s="123">
        <f t="shared" si="14"/>
        <v>0</v>
      </c>
      <c r="I87" s="124"/>
      <c r="J87" s="124"/>
      <c r="K87" s="116">
        <f t="shared" si="16"/>
        <v>61317.833333333336</v>
      </c>
      <c r="L87" s="116">
        <f t="shared" si="17"/>
        <v>30658.916666666668</v>
      </c>
      <c r="M87" s="116">
        <f t="shared" si="18"/>
        <v>30658.916666666668</v>
      </c>
      <c r="N87" s="116">
        <f t="shared" si="19"/>
        <v>306589.16666666669</v>
      </c>
      <c r="O87" s="124" t="b">
        <f t="shared" si="20"/>
        <v>1</v>
      </c>
      <c r="P87" s="124"/>
      <c r="Q87" s="186">
        <f t="shared" si="21"/>
        <v>30658.916666666668</v>
      </c>
      <c r="R87" s="186">
        <f t="shared" si="21"/>
        <v>30658.916666666668</v>
      </c>
      <c r="S87" s="186">
        <f t="shared" si="21"/>
        <v>306589.16666666669</v>
      </c>
      <c r="T87" s="124" t="b">
        <f t="shared" si="15"/>
        <v>1</v>
      </c>
    </row>
    <row r="88" spans="1:20" x14ac:dyDescent="0.25">
      <c r="A88" s="181" t="s">
        <v>153</v>
      </c>
      <c r="B88" s="122">
        <v>328913165</v>
      </c>
      <c r="C88" s="122">
        <v>18471731</v>
      </c>
      <c r="D88" s="124"/>
      <c r="E88" s="122">
        <v>225133070</v>
      </c>
      <c r="F88" s="122">
        <v>85223273</v>
      </c>
      <c r="G88" s="122">
        <v>85091</v>
      </c>
      <c r="H88" s="123">
        <f t="shared" si="14"/>
        <v>310356343</v>
      </c>
      <c r="I88" s="124"/>
      <c r="J88" s="124"/>
      <c r="K88" s="116">
        <f t="shared" si="16"/>
        <v>3078621.8333333335</v>
      </c>
      <c r="L88" s="116">
        <f t="shared" si="17"/>
        <v>1539310.9166666667</v>
      </c>
      <c r="M88" s="116">
        <f t="shared" si="18"/>
        <v>1539310.9166666667</v>
      </c>
      <c r="N88" s="116">
        <f t="shared" si="19"/>
        <v>15393109.166666668</v>
      </c>
      <c r="O88" s="124" t="b">
        <f t="shared" si="20"/>
        <v>1</v>
      </c>
      <c r="P88" s="124"/>
      <c r="Q88" s="186">
        <f t="shared" si="21"/>
        <v>226672380.91666666</v>
      </c>
      <c r="R88" s="186">
        <f t="shared" si="21"/>
        <v>86762583.916666672</v>
      </c>
      <c r="S88" s="186">
        <f t="shared" si="21"/>
        <v>15478200.166666668</v>
      </c>
      <c r="T88" s="124" t="b">
        <f t="shared" si="15"/>
        <v>1</v>
      </c>
    </row>
    <row r="89" spans="1:20" x14ac:dyDescent="0.25">
      <c r="A89" s="181" t="s">
        <v>117</v>
      </c>
      <c r="B89" s="122">
        <v>751590</v>
      </c>
      <c r="C89" s="122">
        <v>0</v>
      </c>
      <c r="D89" s="124"/>
      <c r="E89" s="122">
        <v>0</v>
      </c>
      <c r="F89" s="122">
        <v>0</v>
      </c>
      <c r="G89" s="122">
        <v>751590</v>
      </c>
      <c r="H89" s="123">
        <f t="shared" si="14"/>
        <v>0</v>
      </c>
      <c r="I89" s="124"/>
      <c r="J89" s="124"/>
      <c r="K89" s="116">
        <f t="shared" si="16"/>
        <v>0</v>
      </c>
      <c r="L89" s="116">
        <f t="shared" si="17"/>
        <v>0</v>
      </c>
      <c r="M89" s="116">
        <f t="shared" si="18"/>
        <v>0</v>
      </c>
      <c r="N89" s="116">
        <f t="shared" si="19"/>
        <v>0</v>
      </c>
      <c r="O89" s="124" t="b">
        <f t="shared" si="20"/>
        <v>1</v>
      </c>
      <c r="P89" s="124"/>
      <c r="Q89" s="186">
        <f t="shared" si="21"/>
        <v>0</v>
      </c>
      <c r="R89" s="186">
        <f t="shared" si="21"/>
        <v>0</v>
      </c>
      <c r="S89" s="186">
        <f t="shared" si="21"/>
        <v>751590</v>
      </c>
      <c r="T89" s="124" t="b">
        <f t="shared" si="15"/>
        <v>1</v>
      </c>
    </row>
    <row r="90" spans="1:20" x14ac:dyDescent="0.25">
      <c r="A90" s="181" t="s">
        <v>96</v>
      </c>
      <c r="B90" s="122">
        <v>824194</v>
      </c>
      <c r="C90" s="122">
        <v>0</v>
      </c>
      <c r="D90" s="124"/>
      <c r="E90" s="122">
        <v>0</v>
      </c>
      <c r="F90" s="122">
        <v>0</v>
      </c>
      <c r="G90" s="122">
        <v>824194</v>
      </c>
      <c r="H90" s="123">
        <f t="shared" si="14"/>
        <v>0</v>
      </c>
      <c r="I90" s="124"/>
      <c r="J90" s="124"/>
      <c r="K90" s="116">
        <f t="shared" si="16"/>
        <v>0</v>
      </c>
      <c r="L90" s="116">
        <f t="shared" si="17"/>
        <v>0</v>
      </c>
      <c r="M90" s="116">
        <f t="shared" si="18"/>
        <v>0</v>
      </c>
      <c r="N90" s="116">
        <f t="shared" si="19"/>
        <v>0</v>
      </c>
      <c r="O90" s="124" t="b">
        <f t="shared" si="20"/>
        <v>1</v>
      </c>
      <c r="P90" s="124"/>
      <c r="Q90" s="186">
        <f t="shared" si="21"/>
        <v>0</v>
      </c>
      <c r="R90" s="186">
        <f t="shared" si="21"/>
        <v>0</v>
      </c>
      <c r="S90" s="186">
        <f t="shared" si="21"/>
        <v>824194</v>
      </c>
      <c r="T90" s="124" t="b">
        <f t="shared" si="15"/>
        <v>1</v>
      </c>
    </row>
    <row r="91" spans="1:20" x14ac:dyDescent="0.25">
      <c r="A91" s="181" t="s">
        <v>98</v>
      </c>
      <c r="B91" s="122">
        <v>96872000</v>
      </c>
      <c r="C91" s="122">
        <v>96872000</v>
      </c>
      <c r="D91" s="124"/>
      <c r="E91" s="122">
        <v>0</v>
      </c>
      <c r="F91" s="122">
        <v>0</v>
      </c>
      <c r="G91" s="122">
        <v>0</v>
      </c>
      <c r="H91" s="123">
        <f t="shared" si="14"/>
        <v>0</v>
      </c>
      <c r="I91" s="124"/>
      <c r="J91" s="124"/>
      <c r="K91" s="116">
        <f t="shared" si="16"/>
        <v>16145333.333333334</v>
      </c>
      <c r="L91" s="116">
        <f t="shared" si="17"/>
        <v>8072666.666666667</v>
      </c>
      <c r="M91" s="116">
        <f t="shared" si="18"/>
        <v>8072666.666666667</v>
      </c>
      <c r="N91" s="116">
        <f t="shared" si="19"/>
        <v>80726666.666666672</v>
      </c>
      <c r="O91" s="124" t="b">
        <f t="shared" si="20"/>
        <v>1</v>
      </c>
      <c r="P91" s="124"/>
      <c r="Q91" s="116">
        <f>E91+L91</f>
        <v>8072666.666666667</v>
      </c>
      <c r="R91" s="116">
        <f>F91+M91</f>
        <v>8072666.666666667</v>
      </c>
      <c r="S91" s="116">
        <f>G91+N91</f>
        <v>80726666.666666672</v>
      </c>
      <c r="T91" s="124" t="b">
        <f t="shared" si="15"/>
        <v>1</v>
      </c>
    </row>
    <row r="92" spans="1:20" x14ac:dyDescent="0.25">
      <c r="A92" s="181" t="s">
        <v>99</v>
      </c>
      <c r="B92" s="122">
        <v>1114100</v>
      </c>
      <c r="C92" s="122">
        <v>90000</v>
      </c>
      <c r="D92" s="124"/>
      <c r="E92" s="122">
        <v>0</v>
      </c>
      <c r="F92" s="122">
        <v>800000</v>
      </c>
      <c r="G92" s="122">
        <v>224100</v>
      </c>
      <c r="H92" s="123">
        <f t="shared" si="14"/>
        <v>800000</v>
      </c>
      <c r="I92" s="124"/>
      <c r="J92" s="124"/>
      <c r="K92" s="116">
        <f t="shared" si="16"/>
        <v>15000</v>
      </c>
      <c r="L92" s="116">
        <f t="shared" si="17"/>
        <v>7500</v>
      </c>
      <c r="M92" s="116">
        <f t="shared" si="18"/>
        <v>7500</v>
      </c>
      <c r="N92" s="116">
        <f t="shared" si="19"/>
        <v>75000</v>
      </c>
      <c r="O92" s="124" t="b">
        <f t="shared" si="20"/>
        <v>1</v>
      </c>
      <c r="P92" s="124"/>
      <c r="Q92" s="116">
        <f t="shared" ref="Q92:S104" si="22">E92+L92</f>
        <v>7500</v>
      </c>
      <c r="R92" s="116">
        <f t="shared" si="22"/>
        <v>807500</v>
      </c>
      <c r="S92" s="116">
        <f t="shared" si="22"/>
        <v>299100</v>
      </c>
      <c r="T92" s="124" t="b">
        <f t="shared" si="15"/>
        <v>1</v>
      </c>
    </row>
    <row r="93" spans="1:20" x14ac:dyDescent="0.25">
      <c r="A93" s="181" t="s">
        <v>101</v>
      </c>
      <c r="B93" s="122">
        <v>29768161</v>
      </c>
      <c r="C93" s="122">
        <v>26012844</v>
      </c>
      <c r="D93" s="124"/>
      <c r="E93" s="122">
        <v>0</v>
      </c>
      <c r="F93" s="122">
        <v>0</v>
      </c>
      <c r="G93" s="122">
        <v>3755317</v>
      </c>
      <c r="H93" s="123">
        <f t="shared" si="14"/>
        <v>0</v>
      </c>
      <c r="I93" s="124"/>
      <c r="J93" s="124"/>
      <c r="K93" s="116">
        <f t="shared" si="16"/>
        <v>4335474</v>
      </c>
      <c r="L93" s="116">
        <f t="shared" si="17"/>
        <v>2167737</v>
      </c>
      <c r="M93" s="116">
        <f t="shared" si="18"/>
        <v>2167737</v>
      </c>
      <c r="N93" s="116">
        <f t="shared" si="19"/>
        <v>21677370</v>
      </c>
      <c r="O93" s="124" t="b">
        <f t="shared" si="20"/>
        <v>1</v>
      </c>
      <c r="P93" s="124"/>
      <c r="Q93" s="116">
        <f t="shared" si="22"/>
        <v>2167737</v>
      </c>
      <c r="R93" s="116">
        <f t="shared" si="22"/>
        <v>2167737</v>
      </c>
      <c r="S93" s="116">
        <f t="shared" si="22"/>
        <v>25432687</v>
      </c>
      <c r="T93" s="124" t="b">
        <f t="shared" si="15"/>
        <v>1</v>
      </c>
    </row>
    <row r="94" spans="1:20" x14ac:dyDescent="0.25">
      <c r="A94" s="181" t="s">
        <v>116</v>
      </c>
      <c r="B94" s="122">
        <v>29368161</v>
      </c>
      <c r="C94" s="122">
        <v>26012844</v>
      </c>
      <c r="D94" s="124"/>
      <c r="E94" s="122">
        <v>0</v>
      </c>
      <c r="F94" s="122">
        <v>0</v>
      </c>
      <c r="G94" s="122">
        <v>3355317</v>
      </c>
      <c r="H94" s="123">
        <f t="shared" si="14"/>
        <v>0</v>
      </c>
      <c r="I94" s="124"/>
      <c r="J94" s="124"/>
      <c r="K94" s="116">
        <f t="shared" si="16"/>
        <v>4335474</v>
      </c>
      <c r="L94" s="116">
        <f t="shared" si="17"/>
        <v>2167737</v>
      </c>
      <c r="M94" s="116">
        <f t="shared" si="18"/>
        <v>2167737</v>
      </c>
      <c r="N94" s="116">
        <f t="shared" si="19"/>
        <v>21677370</v>
      </c>
      <c r="O94" s="124" t="b">
        <f t="shared" si="20"/>
        <v>1</v>
      </c>
      <c r="P94" s="124"/>
      <c r="Q94" s="116">
        <f t="shared" si="22"/>
        <v>2167737</v>
      </c>
      <c r="R94" s="116">
        <f t="shared" si="22"/>
        <v>2167737</v>
      </c>
      <c r="S94" s="116">
        <f t="shared" si="22"/>
        <v>25032687</v>
      </c>
      <c r="T94" s="124" t="b">
        <f t="shared" si="15"/>
        <v>1</v>
      </c>
    </row>
    <row r="95" spans="1:20" x14ac:dyDescent="0.25">
      <c r="A95" s="181" t="s">
        <v>105</v>
      </c>
      <c r="B95" s="122">
        <v>400000</v>
      </c>
      <c r="C95" s="122">
        <v>0</v>
      </c>
      <c r="D95" s="124"/>
      <c r="E95" s="122">
        <v>0</v>
      </c>
      <c r="F95" s="122">
        <v>0</v>
      </c>
      <c r="G95" s="122">
        <v>400000</v>
      </c>
      <c r="H95" s="123">
        <f t="shared" si="14"/>
        <v>0</v>
      </c>
      <c r="I95" s="124"/>
      <c r="J95" s="124"/>
      <c r="K95" s="116">
        <f t="shared" si="16"/>
        <v>0</v>
      </c>
      <c r="L95" s="116">
        <f t="shared" si="17"/>
        <v>0</v>
      </c>
      <c r="M95" s="116">
        <f t="shared" si="18"/>
        <v>0</v>
      </c>
      <c r="N95" s="116">
        <f t="shared" si="19"/>
        <v>0</v>
      </c>
      <c r="O95" s="124" t="b">
        <f t="shared" si="20"/>
        <v>1</v>
      </c>
      <c r="P95" s="124"/>
      <c r="Q95" s="116">
        <f t="shared" si="22"/>
        <v>0</v>
      </c>
      <c r="R95" s="116">
        <f t="shared" si="22"/>
        <v>0</v>
      </c>
      <c r="S95" s="116">
        <f t="shared" si="22"/>
        <v>400000</v>
      </c>
      <c r="T95" s="124" t="b">
        <f t="shared" si="15"/>
        <v>1</v>
      </c>
    </row>
    <row r="96" spans="1:20" x14ac:dyDescent="0.25">
      <c r="A96" s="181" t="s">
        <v>231</v>
      </c>
      <c r="B96" s="122">
        <v>-31686035</v>
      </c>
      <c r="C96" s="122">
        <v>-650992078</v>
      </c>
      <c r="D96" s="124"/>
      <c r="E96" s="122">
        <v>99730369</v>
      </c>
      <c r="F96" s="122">
        <v>323792089</v>
      </c>
      <c r="G96" s="122">
        <v>195783585</v>
      </c>
      <c r="H96" s="123">
        <f t="shared" si="14"/>
        <v>423522458</v>
      </c>
      <c r="I96" s="124"/>
      <c r="J96" s="124"/>
      <c r="K96" s="116">
        <f t="shared" si="16"/>
        <v>-108498679.66666667</v>
      </c>
      <c r="L96" s="116">
        <f t="shared" si="17"/>
        <v>-54249339.833333336</v>
      </c>
      <c r="M96" s="116">
        <f t="shared" si="18"/>
        <v>-54249339.833333336</v>
      </c>
      <c r="N96" s="116">
        <f t="shared" si="19"/>
        <v>-542493398.33333337</v>
      </c>
      <c r="O96" s="124" t="b">
        <f t="shared" si="20"/>
        <v>1</v>
      </c>
      <c r="P96" s="124"/>
      <c r="Q96" s="116">
        <f t="shared" si="22"/>
        <v>45481029.166666664</v>
      </c>
      <c r="R96" s="116">
        <f t="shared" si="22"/>
        <v>269542749.16666669</v>
      </c>
      <c r="S96" s="116">
        <f t="shared" si="22"/>
        <v>-346709813.33333337</v>
      </c>
      <c r="T96" s="124" t="b">
        <f t="shared" si="15"/>
        <v>1</v>
      </c>
    </row>
    <row r="97" spans="1:20" x14ac:dyDescent="0.25">
      <c r="A97" s="181" t="s">
        <v>309</v>
      </c>
      <c r="B97" s="122">
        <v>0</v>
      </c>
      <c r="C97" s="122">
        <v>0</v>
      </c>
      <c r="D97" s="124"/>
      <c r="E97" s="122">
        <v>0</v>
      </c>
      <c r="F97" s="122">
        <v>0</v>
      </c>
      <c r="G97" s="122">
        <v>0</v>
      </c>
      <c r="H97" s="123">
        <f t="shared" si="14"/>
        <v>0</v>
      </c>
      <c r="I97" s="124"/>
      <c r="J97" s="124"/>
      <c r="K97" s="116">
        <f t="shared" si="16"/>
        <v>0</v>
      </c>
      <c r="L97" s="116">
        <f t="shared" si="17"/>
        <v>0</v>
      </c>
      <c r="M97" s="116">
        <f t="shared" si="18"/>
        <v>0</v>
      </c>
      <c r="N97" s="116">
        <f t="shared" si="19"/>
        <v>0</v>
      </c>
      <c r="O97" s="124" t="b">
        <f t="shared" si="20"/>
        <v>1</v>
      </c>
      <c r="P97" s="124"/>
      <c r="Q97" s="116">
        <f t="shared" si="22"/>
        <v>0</v>
      </c>
      <c r="R97" s="116">
        <f t="shared" si="22"/>
        <v>0</v>
      </c>
      <c r="S97" s="116">
        <f t="shared" si="22"/>
        <v>0</v>
      </c>
      <c r="T97" s="124" t="b">
        <f t="shared" si="15"/>
        <v>1</v>
      </c>
    </row>
    <row r="98" spans="1:20" x14ac:dyDescent="0.25">
      <c r="A98" s="181" t="s">
        <v>111</v>
      </c>
      <c r="B98" s="122">
        <v>0</v>
      </c>
      <c r="C98" s="122">
        <v>0</v>
      </c>
      <c r="D98" s="124"/>
      <c r="E98" s="122">
        <v>0</v>
      </c>
      <c r="F98" s="122">
        <v>0</v>
      </c>
      <c r="G98" s="122">
        <v>0</v>
      </c>
      <c r="H98" s="123">
        <f t="shared" si="14"/>
        <v>0</v>
      </c>
      <c r="I98" s="124"/>
      <c r="J98" s="124"/>
      <c r="K98" s="116">
        <f t="shared" si="16"/>
        <v>0</v>
      </c>
      <c r="L98" s="116">
        <f t="shared" si="17"/>
        <v>0</v>
      </c>
      <c r="M98" s="116">
        <f t="shared" si="18"/>
        <v>0</v>
      </c>
      <c r="N98" s="116">
        <f t="shared" si="19"/>
        <v>0</v>
      </c>
      <c r="O98" s="124" t="b">
        <f t="shared" si="20"/>
        <v>1</v>
      </c>
      <c r="P98" s="124"/>
      <c r="Q98" s="116">
        <f t="shared" si="22"/>
        <v>0</v>
      </c>
      <c r="R98" s="116">
        <f t="shared" si="22"/>
        <v>0</v>
      </c>
      <c r="S98" s="116">
        <f t="shared" si="22"/>
        <v>0</v>
      </c>
      <c r="T98" s="124" t="b">
        <f t="shared" si="15"/>
        <v>1</v>
      </c>
    </row>
    <row r="99" spans="1:20" x14ac:dyDescent="0.25">
      <c r="A99" s="181" t="s">
        <v>358</v>
      </c>
      <c r="B99" s="122">
        <v>-31686035</v>
      </c>
      <c r="C99" s="122">
        <v>-650992078</v>
      </c>
      <c r="D99" s="124"/>
      <c r="E99" s="122">
        <v>99730369</v>
      </c>
      <c r="F99" s="122">
        <v>323792089</v>
      </c>
      <c r="G99" s="122">
        <v>195783585</v>
      </c>
      <c r="H99" s="123">
        <f t="shared" si="14"/>
        <v>423522458</v>
      </c>
      <c r="I99" s="124"/>
      <c r="J99" s="124"/>
      <c r="K99" s="116">
        <f t="shared" si="16"/>
        <v>-108498679.66666667</v>
      </c>
      <c r="L99" s="116">
        <f t="shared" si="17"/>
        <v>-54249339.833333336</v>
      </c>
      <c r="M99" s="116">
        <f t="shared" si="18"/>
        <v>-54249339.833333336</v>
      </c>
      <c r="N99" s="116">
        <f t="shared" si="19"/>
        <v>-542493398.33333337</v>
      </c>
      <c r="O99" s="124" t="b">
        <f t="shared" si="20"/>
        <v>1</v>
      </c>
      <c r="P99" s="124"/>
      <c r="Q99" s="116">
        <f t="shared" si="22"/>
        <v>45481029.166666664</v>
      </c>
      <c r="R99" s="116">
        <f t="shared" si="22"/>
        <v>269542749.16666669</v>
      </c>
      <c r="S99" s="116">
        <f t="shared" si="22"/>
        <v>-346709813.33333337</v>
      </c>
      <c r="T99" s="124" t="b">
        <f t="shared" si="15"/>
        <v>1</v>
      </c>
    </row>
    <row r="100" spans="1:20" x14ac:dyDescent="0.25">
      <c r="A100" s="181" t="s">
        <v>359</v>
      </c>
      <c r="B100" s="122">
        <v>-31686035</v>
      </c>
      <c r="C100" s="122">
        <v>-650992078</v>
      </c>
      <c r="D100" s="124"/>
      <c r="E100" s="122">
        <v>99730369</v>
      </c>
      <c r="F100" s="122">
        <v>323792089</v>
      </c>
      <c r="G100" s="122">
        <v>195783585</v>
      </c>
      <c r="H100" s="124"/>
      <c r="I100" s="124"/>
      <c r="J100" s="124"/>
      <c r="K100" s="116">
        <f t="shared" si="16"/>
        <v>-108498679.66666667</v>
      </c>
      <c r="L100" s="116">
        <f t="shared" si="17"/>
        <v>-54249339.833333336</v>
      </c>
      <c r="M100" s="116">
        <f t="shared" si="18"/>
        <v>-54249339.833333336</v>
      </c>
      <c r="N100" s="116">
        <f t="shared" si="19"/>
        <v>-542493398.33333337</v>
      </c>
      <c r="O100" s="124" t="b">
        <f t="shared" si="20"/>
        <v>1</v>
      </c>
      <c r="P100" s="124"/>
      <c r="Q100" s="116">
        <f t="shared" si="22"/>
        <v>45481029.166666664</v>
      </c>
      <c r="R100" s="116">
        <f t="shared" si="22"/>
        <v>269542749.16666669</v>
      </c>
      <c r="S100" s="116">
        <f t="shared" si="22"/>
        <v>-346709813.33333337</v>
      </c>
      <c r="T100" s="124" t="b">
        <f t="shared" si="15"/>
        <v>1</v>
      </c>
    </row>
    <row r="101" spans="1:20" x14ac:dyDescent="0.25">
      <c r="A101" s="181" t="s">
        <v>112</v>
      </c>
      <c r="B101" s="122">
        <v>0</v>
      </c>
      <c r="C101" s="122">
        <v>0</v>
      </c>
      <c r="D101" s="124"/>
      <c r="E101" s="122">
        <v>0</v>
      </c>
      <c r="F101" s="122">
        <v>0</v>
      </c>
      <c r="G101" s="122">
        <v>0</v>
      </c>
      <c r="H101" s="124"/>
      <c r="I101" s="124"/>
      <c r="J101" s="124"/>
      <c r="K101" s="116">
        <f t="shared" si="16"/>
        <v>0</v>
      </c>
      <c r="L101" s="116">
        <f t="shared" si="17"/>
        <v>0</v>
      </c>
      <c r="M101" s="116">
        <f t="shared" si="18"/>
        <v>0</v>
      </c>
      <c r="N101" s="116">
        <f t="shared" si="19"/>
        <v>0</v>
      </c>
      <c r="O101" s="124" t="b">
        <f t="shared" si="20"/>
        <v>1</v>
      </c>
      <c r="P101" s="124"/>
      <c r="Q101" s="116">
        <f t="shared" si="22"/>
        <v>0</v>
      </c>
      <c r="R101" s="116">
        <f t="shared" si="22"/>
        <v>0</v>
      </c>
      <c r="S101" s="116">
        <f t="shared" si="22"/>
        <v>0</v>
      </c>
      <c r="T101" s="124" t="b">
        <f t="shared" si="15"/>
        <v>1</v>
      </c>
    </row>
    <row r="102" spans="1:20" x14ac:dyDescent="0.25">
      <c r="A102" s="181" t="s">
        <v>360</v>
      </c>
      <c r="B102" s="122">
        <v>-31686035</v>
      </c>
      <c r="C102" s="122">
        <v>-650992078</v>
      </c>
      <c r="D102" s="124"/>
      <c r="E102" s="122">
        <v>99730369</v>
      </c>
      <c r="F102" s="122">
        <v>323792089</v>
      </c>
      <c r="G102" s="122">
        <v>195783585</v>
      </c>
      <c r="H102" s="124"/>
      <c r="I102" s="124"/>
      <c r="J102" s="124"/>
      <c r="K102" s="116">
        <f t="shared" si="16"/>
        <v>-108498679.66666667</v>
      </c>
      <c r="L102" s="116">
        <f t="shared" si="17"/>
        <v>-54249339.833333336</v>
      </c>
      <c r="M102" s="116">
        <f t="shared" si="18"/>
        <v>-54249339.833333336</v>
      </c>
      <c r="N102" s="116">
        <f t="shared" si="19"/>
        <v>-542493398.33333337</v>
      </c>
      <c r="O102" s="124" t="b">
        <f t="shared" si="20"/>
        <v>1</v>
      </c>
      <c r="P102" s="124"/>
      <c r="Q102" s="116">
        <f t="shared" si="22"/>
        <v>45481029.166666664</v>
      </c>
      <c r="R102" s="116">
        <f t="shared" si="22"/>
        <v>269542749.16666669</v>
      </c>
      <c r="S102" s="116">
        <f t="shared" si="22"/>
        <v>-346709813.33333337</v>
      </c>
      <c r="T102" s="124" t="b">
        <f t="shared" si="15"/>
        <v>1</v>
      </c>
    </row>
    <row r="103" spans="1:20" x14ac:dyDescent="0.25">
      <c r="A103" s="181" t="s">
        <v>335</v>
      </c>
      <c r="B103" s="122">
        <v>0</v>
      </c>
      <c r="C103" s="122">
        <v>0</v>
      </c>
      <c r="D103" s="124"/>
      <c r="E103" s="122">
        <v>0</v>
      </c>
      <c r="F103" s="122">
        <v>0</v>
      </c>
      <c r="G103" s="122">
        <v>0</v>
      </c>
      <c r="H103" s="124"/>
      <c r="I103" s="124"/>
      <c r="J103" s="124"/>
      <c r="K103" s="116">
        <f t="shared" si="16"/>
        <v>0</v>
      </c>
      <c r="L103" s="116">
        <f t="shared" si="17"/>
        <v>0</v>
      </c>
      <c r="M103" s="116">
        <f t="shared" si="18"/>
        <v>0</v>
      </c>
      <c r="N103" s="116">
        <f t="shared" si="19"/>
        <v>0</v>
      </c>
      <c r="O103" s="124" t="b">
        <f t="shared" si="20"/>
        <v>1</v>
      </c>
      <c r="P103" s="124"/>
      <c r="Q103" s="116">
        <f t="shared" si="22"/>
        <v>0</v>
      </c>
      <c r="R103" s="116">
        <f t="shared" si="22"/>
        <v>0</v>
      </c>
      <c r="S103" s="116">
        <f t="shared" si="22"/>
        <v>0</v>
      </c>
      <c r="T103" s="124" t="b">
        <f t="shared" si="15"/>
        <v>1</v>
      </c>
    </row>
    <row r="104" spans="1:20" x14ac:dyDescent="0.25">
      <c r="A104" s="181" t="s">
        <v>232</v>
      </c>
      <c r="B104" s="122">
        <v>-31686035</v>
      </c>
      <c r="C104" s="122">
        <v>-650992078</v>
      </c>
      <c r="D104" s="124"/>
      <c r="E104" s="122">
        <v>99730369</v>
      </c>
      <c r="F104" s="122">
        <v>323792089</v>
      </c>
      <c r="G104" s="122">
        <v>195783585</v>
      </c>
      <c r="H104" s="124"/>
      <c r="I104" s="124"/>
      <c r="J104" s="124"/>
      <c r="K104" s="116">
        <f t="shared" si="16"/>
        <v>-108498679.66666667</v>
      </c>
      <c r="L104" s="116">
        <f t="shared" si="17"/>
        <v>-54249339.833333336</v>
      </c>
      <c r="M104" s="116">
        <f t="shared" si="18"/>
        <v>-54249339.833333336</v>
      </c>
      <c r="N104" s="116">
        <f t="shared" si="19"/>
        <v>-542493398.33333337</v>
      </c>
      <c r="O104" s="124" t="b">
        <f t="shared" si="20"/>
        <v>1</v>
      </c>
      <c r="P104" s="124"/>
      <c r="Q104" s="116">
        <f t="shared" si="22"/>
        <v>45481029.166666664</v>
      </c>
      <c r="R104" s="116">
        <f t="shared" si="22"/>
        <v>269542749.16666669</v>
      </c>
      <c r="S104" s="116">
        <f t="shared" si="22"/>
        <v>-346709813.33333337</v>
      </c>
      <c r="T104" s="124" t="b">
        <f t="shared" si="15"/>
        <v>1</v>
      </c>
    </row>
    <row r="105" spans="1:20" x14ac:dyDescent="0.25">
      <c r="A105" s="181" t="s">
        <v>336</v>
      </c>
      <c r="B105" s="122">
        <v>0</v>
      </c>
      <c r="C105" s="122">
        <v>0</v>
      </c>
      <c r="D105" s="124"/>
      <c r="E105" s="122">
        <v>0</v>
      </c>
      <c r="F105" s="122">
        <v>0</v>
      </c>
      <c r="G105" s="122">
        <v>0</v>
      </c>
      <c r="H105" s="124"/>
      <c r="I105" s="124"/>
      <c r="J105" s="124"/>
      <c r="K105" s="116"/>
      <c r="L105" s="116"/>
      <c r="M105" s="116"/>
      <c r="N105" s="116"/>
      <c r="O105" s="124"/>
      <c r="P105" s="124"/>
      <c r="Q105" s="116"/>
      <c r="R105" s="116"/>
      <c r="S105" s="124"/>
      <c r="T105" s="124"/>
    </row>
    <row r="106" spans="1:20" x14ac:dyDescent="0.25">
      <c r="A106" s="181" t="s">
        <v>337</v>
      </c>
      <c r="B106" s="122">
        <v>0</v>
      </c>
      <c r="C106" s="122">
        <v>0</v>
      </c>
      <c r="D106" s="124"/>
      <c r="E106" s="122">
        <v>0</v>
      </c>
      <c r="F106" s="122">
        <v>0</v>
      </c>
      <c r="G106" s="122">
        <v>0</v>
      </c>
      <c r="H106" s="124"/>
      <c r="I106" s="124"/>
      <c r="J106" s="124"/>
      <c r="K106" s="116"/>
      <c r="L106" s="116"/>
      <c r="M106" s="116"/>
      <c r="N106" s="116"/>
      <c r="O106" s="124"/>
      <c r="P106" s="124"/>
      <c r="Q106" s="116"/>
      <c r="R106" s="116"/>
      <c r="S106" s="124"/>
      <c r="T106" s="124"/>
    </row>
    <row r="107" spans="1:20" x14ac:dyDescent="0.25">
      <c r="A107" s="181" t="s">
        <v>338</v>
      </c>
      <c r="B107" s="122">
        <v>0</v>
      </c>
      <c r="C107" s="122">
        <v>0</v>
      </c>
      <c r="D107" s="124"/>
      <c r="E107" s="122">
        <v>0</v>
      </c>
      <c r="F107" s="122">
        <v>0</v>
      </c>
      <c r="G107" s="122">
        <v>0</v>
      </c>
      <c r="H107" s="124"/>
      <c r="I107" s="124"/>
      <c r="J107" s="124"/>
      <c r="K107" s="116"/>
      <c r="L107" s="116"/>
      <c r="M107" s="116"/>
      <c r="N107" s="116"/>
      <c r="O107" s="124"/>
      <c r="P107" s="124"/>
      <c r="Q107" s="116"/>
      <c r="R107" s="116"/>
      <c r="S107" s="124"/>
      <c r="T107" s="124"/>
    </row>
    <row r="108" spans="1:20" x14ac:dyDescent="0.25">
      <c r="A108" s="181" t="s">
        <v>339</v>
      </c>
      <c r="B108" s="122">
        <v>0</v>
      </c>
      <c r="C108" s="122">
        <v>0</v>
      </c>
      <c r="D108" s="124"/>
      <c r="E108" s="122">
        <v>0</v>
      </c>
      <c r="F108" s="122">
        <v>0</v>
      </c>
      <c r="G108" s="122">
        <v>0</v>
      </c>
      <c r="H108" s="124"/>
      <c r="I108" s="124"/>
      <c r="J108" s="124"/>
      <c r="K108" s="116"/>
      <c r="L108" s="116"/>
      <c r="M108" s="116"/>
      <c r="N108" s="116"/>
      <c r="O108" s="124"/>
      <c r="P108" s="124"/>
      <c r="Q108" s="116"/>
      <c r="R108" s="116"/>
      <c r="S108" s="124"/>
      <c r="T108" s="124"/>
    </row>
    <row r="109" spans="1:20" x14ac:dyDescent="0.25">
      <c r="A109" s="181" t="s">
        <v>340</v>
      </c>
      <c r="B109" s="122">
        <v>0</v>
      </c>
      <c r="C109" s="122">
        <v>0</v>
      </c>
      <c r="D109" s="124"/>
      <c r="E109" s="122">
        <v>0</v>
      </c>
      <c r="F109" s="122">
        <v>0</v>
      </c>
      <c r="G109" s="122">
        <v>0</v>
      </c>
      <c r="H109" s="124"/>
      <c r="I109" s="124"/>
      <c r="J109" s="124"/>
      <c r="K109" s="116"/>
      <c r="L109" s="116"/>
      <c r="M109" s="116"/>
      <c r="N109" s="116"/>
      <c r="O109" s="124"/>
      <c r="P109" s="124"/>
      <c r="Q109" s="116"/>
      <c r="R109" s="116"/>
      <c r="S109" s="124"/>
      <c r="T109" s="124"/>
    </row>
  </sheetData>
  <autoFilter ref="A1:C76" xr:uid="{2DB43F6B-3FE3-48A7-9AB6-DC4DDB86E6E4}"/>
  <mergeCells count="7">
    <mergeCell ref="Q1:R1"/>
    <mergeCell ref="L2:M2"/>
    <mergeCell ref="H1:H2"/>
    <mergeCell ref="A1:A2"/>
    <mergeCell ref="B1:B2"/>
    <mergeCell ref="K1:K2"/>
    <mergeCell ref="L1:M1"/>
  </mergeCells>
  <phoneticPr fontId="2" type="noConversion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EDD26-8550-46F9-A2D7-94C8CAE43E12}">
  <sheetPr>
    <tabColor theme="9" tint="0.79998168889431442"/>
  </sheetPr>
  <dimension ref="B1:AC24"/>
  <sheetViews>
    <sheetView showGridLines="0" zoomScale="115" zoomScaleNormal="115" workbookViewId="0"/>
  </sheetViews>
  <sheetFormatPr defaultRowHeight="12.5" outlineLevelCol="1" x14ac:dyDescent="0.25"/>
  <cols>
    <col min="1" max="1" width="5.7265625" customWidth="1"/>
    <col min="4" max="4" width="9.90625" bestFit="1" customWidth="1"/>
    <col min="5" max="16" width="0" hidden="1" customWidth="1" outlineLevel="1"/>
    <col min="17" max="17" width="9.90625" bestFit="1" customWidth="1" collapsed="1"/>
  </cols>
  <sheetData>
    <row r="1" spans="2:29" ht="25" customHeight="1" x14ac:dyDescent="0.25"/>
    <row r="2" spans="2:29" ht="26" x14ac:dyDescent="0.25">
      <c r="B2" s="229" t="s">
        <v>405</v>
      </c>
      <c r="C2" s="229"/>
      <c r="D2" s="229"/>
      <c r="E2" s="229"/>
      <c r="F2" s="229"/>
      <c r="G2" s="229"/>
      <c r="H2" s="229"/>
      <c r="I2" s="229"/>
      <c r="J2" s="229"/>
      <c r="K2" s="229"/>
      <c r="L2" s="229"/>
      <c r="M2" s="229"/>
      <c r="N2" s="229"/>
      <c r="O2" s="229"/>
      <c r="P2" s="229"/>
      <c r="Q2" s="229"/>
      <c r="R2" s="229"/>
      <c r="S2" s="229"/>
      <c r="T2" s="229"/>
      <c r="U2" s="229"/>
      <c r="V2" s="229"/>
      <c r="W2" s="229"/>
      <c r="X2" s="229"/>
      <c r="Y2" s="229"/>
      <c r="Z2" s="229"/>
      <c r="AA2" s="229"/>
      <c r="AB2" s="229"/>
      <c r="AC2" s="229"/>
    </row>
    <row r="4" spans="2:29" ht="21.5" customHeight="1" x14ac:dyDescent="0.25">
      <c r="B4" s="140" t="s">
        <v>404</v>
      </c>
      <c r="C4" s="141"/>
      <c r="D4" s="142"/>
      <c r="E4" s="142"/>
      <c r="F4" s="142"/>
      <c r="G4" s="142"/>
      <c r="H4" s="142"/>
      <c r="I4" s="142"/>
      <c r="J4" s="142"/>
      <c r="K4" s="142"/>
      <c r="L4" s="142"/>
      <c r="M4" s="142"/>
      <c r="N4" s="142"/>
      <c r="O4" s="142"/>
      <c r="P4" s="142"/>
      <c r="Q4" s="142"/>
      <c r="R4" s="142"/>
      <c r="S4" s="142"/>
      <c r="T4" s="142"/>
      <c r="U4" s="142"/>
      <c r="V4" s="142"/>
      <c r="W4" s="142"/>
      <c r="X4" s="142"/>
      <c r="Y4" s="142"/>
      <c r="Z4" s="142"/>
      <c r="AA4" s="142"/>
      <c r="AB4" s="142"/>
      <c r="AC4" s="142"/>
    </row>
    <row r="5" spans="2:29" ht="16" x14ac:dyDescent="0.25">
      <c r="B5" s="143"/>
      <c r="C5" s="144"/>
      <c r="D5" s="145" t="s">
        <v>381</v>
      </c>
      <c r="E5" s="146"/>
      <c r="F5" s="146"/>
      <c r="G5" s="146"/>
      <c r="H5" s="146"/>
      <c r="I5" s="146"/>
      <c r="J5" s="146"/>
      <c r="K5" s="146"/>
      <c r="L5" s="146"/>
      <c r="M5" s="146"/>
      <c r="N5" s="146"/>
      <c r="O5" s="146"/>
      <c r="P5" s="146"/>
      <c r="Q5" s="145" t="s">
        <v>382</v>
      </c>
      <c r="R5" s="146"/>
      <c r="S5" s="146"/>
      <c r="T5" s="146"/>
      <c r="U5" s="146"/>
      <c r="V5" s="146"/>
      <c r="W5" s="146"/>
      <c r="X5" s="146"/>
      <c r="Y5" s="146"/>
      <c r="Z5" s="146"/>
      <c r="AA5" s="146"/>
      <c r="AB5" s="146"/>
      <c r="AC5" s="146"/>
    </row>
    <row r="6" spans="2:29" ht="16" x14ac:dyDescent="0.25">
      <c r="B6" s="147"/>
      <c r="C6" s="148"/>
      <c r="D6" s="149" t="s">
        <v>383</v>
      </c>
      <c r="E6" s="149" t="s">
        <v>384</v>
      </c>
      <c r="F6" s="149" t="s">
        <v>385</v>
      </c>
      <c r="G6" s="149" t="s">
        <v>386</v>
      </c>
      <c r="H6" s="149" t="s">
        <v>415</v>
      </c>
      <c r="I6" s="149" t="s">
        <v>416</v>
      </c>
      <c r="J6" s="149" t="s">
        <v>417</v>
      </c>
      <c r="K6" s="149" t="s">
        <v>418</v>
      </c>
      <c r="L6" s="149" t="s">
        <v>419</v>
      </c>
      <c r="M6" s="149" t="s">
        <v>420</v>
      </c>
      <c r="N6" s="149" t="s">
        <v>421</v>
      </c>
      <c r="O6" s="149" t="s">
        <v>422</v>
      </c>
      <c r="P6" s="149" t="s">
        <v>423</v>
      </c>
      <c r="Q6" s="149" t="s">
        <v>383</v>
      </c>
      <c r="R6" s="149" t="s">
        <v>384</v>
      </c>
      <c r="S6" s="149" t="s">
        <v>385</v>
      </c>
      <c r="T6" s="149" t="s">
        <v>386</v>
      </c>
      <c r="U6" s="149" t="s">
        <v>387</v>
      </c>
      <c r="V6" s="149" t="s">
        <v>388</v>
      </c>
      <c r="W6" s="149" t="s">
        <v>389</v>
      </c>
      <c r="X6" s="149" t="s">
        <v>390</v>
      </c>
      <c r="Y6" s="149" t="s">
        <v>391</v>
      </c>
      <c r="Z6" s="149" t="s">
        <v>392</v>
      </c>
      <c r="AA6" s="149" t="s">
        <v>393</v>
      </c>
      <c r="AB6" s="149" t="s">
        <v>394</v>
      </c>
      <c r="AC6" s="150" t="s">
        <v>395</v>
      </c>
    </row>
    <row r="7" spans="2:29" ht="16" x14ac:dyDescent="0.25">
      <c r="B7" s="226" t="s">
        <v>383</v>
      </c>
      <c r="C7" s="151" t="s">
        <v>396</v>
      </c>
      <c r="D7" s="152">
        <f>SUM(E7:P7)</f>
        <v>367380</v>
      </c>
      <c r="E7" s="152">
        <f>E10+E13+E16+E19+E22</f>
        <v>38866</v>
      </c>
      <c r="F7" s="152">
        <f t="shared" ref="F7:P9" si="0">F10+F13+F16+F19+F22</f>
        <v>36316</v>
      </c>
      <c r="G7" s="152">
        <f t="shared" si="0"/>
        <v>30211</v>
      </c>
      <c r="H7" s="152">
        <f t="shared" si="0"/>
        <v>28739</v>
      </c>
      <c r="I7" s="152">
        <f t="shared" si="0"/>
        <v>29748</v>
      </c>
      <c r="J7" s="152">
        <f t="shared" si="0"/>
        <v>27939</v>
      </c>
      <c r="K7" s="152">
        <f t="shared" si="0"/>
        <v>36466</v>
      </c>
      <c r="L7" s="152">
        <f t="shared" si="0"/>
        <v>33652</v>
      </c>
      <c r="M7" s="152">
        <f t="shared" si="0"/>
        <v>32511</v>
      </c>
      <c r="N7" s="152">
        <f t="shared" si="0"/>
        <v>25215</v>
      </c>
      <c r="O7" s="152">
        <f t="shared" si="0"/>
        <v>29887</v>
      </c>
      <c r="P7" s="152">
        <f t="shared" si="0"/>
        <v>17830</v>
      </c>
      <c r="Q7" s="152">
        <f>SUM(R7:AC7)</f>
        <v>625463</v>
      </c>
      <c r="R7" s="153">
        <f>R10+R13+R16+R19+R22</f>
        <v>51041</v>
      </c>
      <c r="S7" s="153">
        <f t="shared" ref="S7:X9" si="1">S10+S13+S16+S19+S22</f>
        <v>56016</v>
      </c>
      <c r="T7" s="153">
        <f t="shared" si="1"/>
        <v>44344</v>
      </c>
      <c r="U7" s="153">
        <f t="shared" si="1"/>
        <v>52912</v>
      </c>
      <c r="V7" s="153">
        <f t="shared" si="1"/>
        <v>113606</v>
      </c>
      <c r="W7" s="153">
        <f t="shared" si="1"/>
        <v>49072</v>
      </c>
      <c r="X7" s="153">
        <f t="shared" si="1"/>
        <v>69329</v>
      </c>
      <c r="Y7" s="154">
        <v>39267</v>
      </c>
      <c r="Z7" s="153">
        <f t="shared" ref="Z7:Z9" si="2">Z10+Z13+Z16+Z19+Z22</f>
        <v>35027</v>
      </c>
      <c r="AA7" s="153">
        <v>39165</v>
      </c>
      <c r="AB7" s="154">
        <v>45583</v>
      </c>
      <c r="AC7" s="155">
        <v>30101</v>
      </c>
    </row>
    <row r="8" spans="2:29" ht="16" x14ac:dyDescent="0.25">
      <c r="B8" s="227"/>
      <c r="C8" s="156" t="s">
        <v>397</v>
      </c>
      <c r="D8" s="157">
        <f t="shared" ref="D8:D24" si="3">SUM(E8:P8)</f>
        <v>28.288260000000005</v>
      </c>
      <c r="E8" s="157">
        <f t="shared" ref="E8:I9" si="4">E11+E14+E17+E20+E23</f>
        <v>2.9926819999999998</v>
      </c>
      <c r="F8" s="157">
        <f t="shared" si="4"/>
        <v>2.796332</v>
      </c>
      <c r="G8" s="157">
        <f t="shared" si="4"/>
        <v>2.326247</v>
      </c>
      <c r="H8" s="157">
        <f t="shared" si="4"/>
        <v>2.2129029999999998</v>
      </c>
      <c r="I8" s="157">
        <f t="shared" si="4"/>
        <v>2.2905959999999999</v>
      </c>
      <c r="J8" s="157">
        <f t="shared" si="0"/>
        <v>2.1513030000000004</v>
      </c>
      <c r="K8" s="157">
        <f t="shared" si="0"/>
        <v>2.8078819999999998</v>
      </c>
      <c r="L8" s="157">
        <f t="shared" si="0"/>
        <v>2.5912040000000003</v>
      </c>
      <c r="M8" s="157">
        <f t="shared" si="0"/>
        <v>2.5033469999999998</v>
      </c>
      <c r="N8" s="157">
        <f t="shared" si="0"/>
        <v>1.9415550000000001</v>
      </c>
      <c r="O8" s="157">
        <f t="shared" si="0"/>
        <v>2.3012989999999998</v>
      </c>
      <c r="P8" s="157">
        <f t="shared" si="0"/>
        <v>1.3729100000000001</v>
      </c>
      <c r="Q8" s="157">
        <f t="shared" ref="Q8:Q24" si="5">SUM(R8:AC8)</f>
        <v>47.183994550000001</v>
      </c>
      <c r="R8" s="158">
        <f t="shared" ref="R8:V9" si="6">R11+R14+R17+R20+R23</f>
        <v>3.8531569999999999</v>
      </c>
      <c r="S8" s="158">
        <f t="shared" si="6"/>
        <v>4.23285555</v>
      </c>
      <c r="T8" s="158">
        <f t="shared" si="6"/>
        <v>3.3617430000000001</v>
      </c>
      <c r="U8" s="158">
        <f t="shared" si="6"/>
        <v>4.0016514999999995</v>
      </c>
      <c r="V8" s="158">
        <f t="shared" si="6"/>
        <v>8.5347570000000008</v>
      </c>
      <c r="W8" s="158">
        <f t="shared" si="1"/>
        <v>3.7023139999999994</v>
      </c>
      <c r="X8" s="158">
        <f t="shared" si="1"/>
        <v>5.224180500000001</v>
      </c>
      <c r="Y8" s="159">
        <v>2.9392439999999995</v>
      </c>
      <c r="Z8" s="158">
        <f t="shared" si="2"/>
        <v>2.6266240000000005</v>
      </c>
      <c r="AA8" s="158">
        <v>2.9290799999999999</v>
      </c>
      <c r="AB8" s="159">
        <v>3.4606109999999997</v>
      </c>
      <c r="AC8" s="160">
        <v>2.317777</v>
      </c>
    </row>
    <row r="9" spans="2:29" ht="17" x14ac:dyDescent="0.25">
      <c r="B9" s="227"/>
      <c r="C9" s="161" t="s">
        <v>398</v>
      </c>
      <c r="D9" s="162">
        <f t="shared" si="3"/>
        <v>18.369</v>
      </c>
      <c r="E9" s="162">
        <f t="shared" si="4"/>
        <v>1.9432999999999998</v>
      </c>
      <c r="F9" s="162">
        <f t="shared" si="4"/>
        <v>1.8158000000000001</v>
      </c>
      <c r="G9" s="162">
        <f t="shared" si="4"/>
        <v>1.5105499999999998</v>
      </c>
      <c r="H9" s="162">
        <f t="shared" si="4"/>
        <v>1.4369499999999999</v>
      </c>
      <c r="I9" s="162">
        <f t="shared" si="4"/>
        <v>1.4873999999999998</v>
      </c>
      <c r="J9" s="162">
        <f t="shared" si="0"/>
        <v>1.3969500000000001</v>
      </c>
      <c r="K9" s="162">
        <f t="shared" si="0"/>
        <v>1.8232999999999999</v>
      </c>
      <c r="L9" s="162">
        <f t="shared" si="0"/>
        <v>1.6825999999999999</v>
      </c>
      <c r="M9" s="162">
        <f t="shared" si="0"/>
        <v>1.6255500000000001</v>
      </c>
      <c r="N9" s="162">
        <f t="shared" si="0"/>
        <v>1.26075</v>
      </c>
      <c r="O9" s="162">
        <f t="shared" si="0"/>
        <v>1.4943500000000001</v>
      </c>
      <c r="P9" s="162">
        <f t="shared" si="0"/>
        <v>0.89150000000000007</v>
      </c>
      <c r="Q9" s="162">
        <f t="shared" si="5"/>
        <v>30.296493550000001</v>
      </c>
      <c r="R9" s="163">
        <f t="shared" si="6"/>
        <v>2.47505</v>
      </c>
      <c r="S9" s="163">
        <f t="shared" si="6"/>
        <v>2.72042355</v>
      </c>
      <c r="T9" s="163">
        <f t="shared" si="6"/>
        <v>2.1644550000000002</v>
      </c>
      <c r="U9" s="163">
        <f t="shared" si="6"/>
        <v>2.5730275000000002</v>
      </c>
      <c r="V9" s="163">
        <f t="shared" si="6"/>
        <v>5.4673949999999998</v>
      </c>
      <c r="W9" s="163">
        <f t="shared" si="1"/>
        <v>2.3773699999999995</v>
      </c>
      <c r="X9" s="163">
        <f t="shared" si="1"/>
        <v>3.3522975000000002</v>
      </c>
      <c r="Y9" s="164">
        <v>1.879035</v>
      </c>
      <c r="Z9" s="163">
        <f t="shared" si="2"/>
        <v>1.680895</v>
      </c>
      <c r="AA9" s="163">
        <v>1.8716250000000001</v>
      </c>
      <c r="AB9" s="164">
        <v>2.2298700000000005</v>
      </c>
      <c r="AC9" s="165">
        <v>1.5050499999999998</v>
      </c>
    </row>
    <row r="10" spans="2:29" ht="16" x14ac:dyDescent="0.25">
      <c r="B10" s="226" t="s">
        <v>399</v>
      </c>
      <c r="C10" s="151" t="s">
        <v>396</v>
      </c>
      <c r="D10" s="152">
        <f t="shared" si="3"/>
        <v>98829</v>
      </c>
      <c r="E10" s="152">
        <v>11472</v>
      </c>
      <c r="F10" s="152">
        <v>8008</v>
      </c>
      <c r="G10" s="152">
        <v>8743</v>
      </c>
      <c r="H10" s="152">
        <v>8242</v>
      </c>
      <c r="I10" s="152">
        <v>8149</v>
      </c>
      <c r="J10" s="152">
        <v>7179</v>
      </c>
      <c r="K10" s="152">
        <v>11323</v>
      </c>
      <c r="L10" s="152">
        <v>8033</v>
      </c>
      <c r="M10" s="152">
        <v>7262</v>
      </c>
      <c r="N10" s="152">
        <v>7138</v>
      </c>
      <c r="O10" s="152">
        <v>6832</v>
      </c>
      <c r="P10" s="152">
        <v>6448</v>
      </c>
      <c r="Q10" s="152">
        <f t="shared" si="5"/>
        <v>163320</v>
      </c>
      <c r="R10" s="153">
        <v>8138</v>
      </c>
      <c r="S10" s="153">
        <v>11694</v>
      </c>
      <c r="T10" s="153">
        <v>8769</v>
      </c>
      <c r="U10" s="153">
        <v>14632</v>
      </c>
      <c r="V10" s="153">
        <v>23955</v>
      </c>
      <c r="W10" s="153">
        <v>10786</v>
      </c>
      <c r="X10" s="153">
        <v>17558</v>
      </c>
      <c r="Y10" s="154">
        <v>9261</v>
      </c>
      <c r="Z10" s="153">
        <v>8072</v>
      </c>
      <c r="AA10" s="153">
        <v>6699</v>
      </c>
      <c r="AB10" s="154">
        <v>22115</v>
      </c>
      <c r="AC10" s="155">
        <v>21641</v>
      </c>
    </row>
    <row r="11" spans="2:29" ht="16" x14ac:dyDescent="0.25">
      <c r="B11" s="227"/>
      <c r="C11" s="156" t="s">
        <v>397</v>
      </c>
      <c r="D11" s="157">
        <f t="shared" si="3"/>
        <v>7.6098329999999983</v>
      </c>
      <c r="E11" s="157">
        <v>0.88334400000000002</v>
      </c>
      <c r="F11" s="157">
        <v>0.61661600000000005</v>
      </c>
      <c r="G11" s="157">
        <v>0.673211</v>
      </c>
      <c r="H11" s="157">
        <v>0.63463400000000003</v>
      </c>
      <c r="I11" s="157">
        <v>0.62747299999999995</v>
      </c>
      <c r="J11" s="157">
        <v>0.55278300000000002</v>
      </c>
      <c r="K11" s="157">
        <v>0.87187099999999995</v>
      </c>
      <c r="L11" s="157">
        <v>0.61854100000000001</v>
      </c>
      <c r="M11" s="157">
        <v>0.55917399999999995</v>
      </c>
      <c r="N11" s="157">
        <v>0.54962599999999995</v>
      </c>
      <c r="O11" s="157">
        <v>0.52606399999999998</v>
      </c>
      <c r="P11" s="157">
        <v>0.49649599999999999</v>
      </c>
      <c r="Q11" s="157">
        <f t="shared" si="5"/>
        <v>12.575639999999998</v>
      </c>
      <c r="R11" s="158">
        <v>0.62662600000000002</v>
      </c>
      <c r="S11" s="158">
        <v>0.90043800000000007</v>
      </c>
      <c r="T11" s="158">
        <v>0.67521299999999995</v>
      </c>
      <c r="U11" s="158">
        <v>1.1266639999999999</v>
      </c>
      <c r="V11" s="158">
        <v>1.8445349999999998</v>
      </c>
      <c r="W11" s="158">
        <v>0.83052199999999998</v>
      </c>
      <c r="X11" s="158">
        <v>1.351966</v>
      </c>
      <c r="Y11" s="159">
        <v>0.71309699999999998</v>
      </c>
      <c r="Z11" s="158">
        <v>0.62154399999999999</v>
      </c>
      <c r="AA11" s="158">
        <v>0.51582300000000003</v>
      </c>
      <c r="AB11" s="159">
        <v>1.702855</v>
      </c>
      <c r="AC11" s="160">
        <v>1.6663570000000001</v>
      </c>
    </row>
    <row r="12" spans="2:29" ht="17" x14ac:dyDescent="0.25">
      <c r="B12" s="228"/>
      <c r="C12" s="161" t="s">
        <v>398</v>
      </c>
      <c r="D12" s="166">
        <f t="shared" si="3"/>
        <v>4.9414499999999997</v>
      </c>
      <c r="E12" s="166">
        <v>0.5736</v>
      </c>
      <c r="F12" s="166">
        <v>0.40039999999999998</v>
      </c>
      <c r="G12" s="166">
        <v>0.43714999999999998</v>
      </c>
      <c r="H12" s="166">
        <v>0.41210000000000002</v>
      </c>
      <c r="I12" s="166">
        <v>0.40744999999999998</v>
      </c>
      <c r="J12" s="166">
        <v>0.35894999999999999</v>
      </c>
      <c r="K12" s="166">
        <v>0.56615000000000004</v>
      </c>
      <c r="L12" s="166">
        <v>0.40165000000000001</v>
      </c>
      <c r="M12" s="166">
        <v>0.36309999999999998</v>
      </c>
      <c r="N12" s="166">
        <v>0.3569</v>
      </c>
      <c r="O12" s="166">
        <v>0.34160000000000001</v>
      </c>
      <c r="P12" s="166">
        <v>0.32240000000000002</v>
      </c>
      <c r="Q12" s="166">
        <f t="shared" si="5"/>
        <v>8.1660000000000004</v>
      </c>
      <c r="R12" s="167">
        <v>0.40689999999999998</v>
      </c>
      <c r="S12" s="167">
        <v>0.5847</v>
      </c>
      <c r="T12" s="167">
        <v>0.43845000000000001</v>
      </c>
      <c r="U12" s="167">
        <v>0.73159999999999992</v>
      </c>
      <c r="V12" s="167">
        <v>1.1977500000000001</v>
      </c>
      <c r="W12" s="167">
        <v>0.5393</v>
      </c>
      <c r="X12" s="167">
        <v>0.87790000000000001</v>
      </c>
      <c r="Y12" s="168">
        <v>0.46305000000000002</v>
      </c>
      <c r="Z12" s="163">
        <v>0.40360000000000001</v>
      </c>
      <c r="AA12" s="163">
        <v>0.33495000000000003</v>
      </c>
      <c r="AB12" s="168">
        <v>1.10575</v>
      </c>
      <c r="AC12" s="169">
        <v>1.08205</v>
      </c>
    </row>
    <row r="13" spans="2:29" ht="16" x14ac:dyDescent="0.25">
      <c r="B13" s="226" t="s">
        <v>400</v>
      </c>
      <c r="C13" s="151" t="s">
        <v>396</v>
      </c>
      <c r="D13" s="152">
        <f t="shared" si="3"/>
        <v>117482</v>
      </c>
      <c r="E13" s="152">
        <v>19163</v>
      </c>
      <c r="F13" s="152">
        <v>15726</v>
      </c>
      <c r="G13" s="152">
        <v>12410</v>
      </c>
      <c r="H13" s="152">
        <v>13191</v>
      </c>
      <c r="I13" s="152">
        <v>14726</v>
      </c>
      <c r="J13" s="152">
        <v>13040</v>
      </c>
      <c r="K13" s="152">
        <v>12900</v>
      </c>
      <c r="L13" s="152">
        <v>8132</v>
      </c>
      <c r="M13" s="152">
        <v>3002</v>
      </c>
      <c r="N13" s="152">
        <v>2999</v>
      </c>
      <c r="O13" s="152">
        <v>1217</v>
      </c>
      <c r="P13" s="152">
        <v>976</v>
      </c>
      <c r="Q13" s="152">
        <f t="shared" si="5"/>
        <v>253677</v>
      </c>
      <c r="R13" s="153">
        <v>20000</v>
      </c>
      <c r="S13" s="153">
        <v>20877</v>
      </c>
      <c r="T13" s="153">
        <v>13700</v>
      </c>
      <c r="U13" s="153">
        <v>18850</v>
      </c>
      <c r="V13" s="153">
        <v>55300</v>
      </c>
      <c r="W13" s="153">
        <v>19800</v>
      </c>
      <c r="X13" s="153">
        <v>29650</v>
      </c>
      <c r="Y13" s="154">
        <v>21900</v>
      </c>
      <c r="Z13" s="153">
        <v>18300</v>
      </c>
      <c r="AA13" s="153">
        <v>22500</v>
      </c>
      <c r="AB13" s="154">
        <v>12800</v>
      </c>
      <c r="AC13" s="155">
        <v>0</v>
      </c>
    </row>
    <row r="14" spans="2:29" ht="16" x14ac:dyDescent="0.25">
      <c r="B14" s="227"/>
      <c r="C14" s="156" t="s">
        <v>397</v>
      </c>
      <c r="D14" s="157">
        <f t="shared" si="3"/>
        <v>9.0461139999999993</v>
      </c>
      <c r="E14" s="157">
        <v>1.4755510000000001</v>
      </c>
      <c r="F14" s="157">
        <v>1.2109019999999999</v>
      </c>
      <c r="G14" s="157">
        <v>0.95557000000000003</v>
      </c>
      <c r="H14" s="157">
        <v>1.0157069999999999</v>
      </c>
      <c r="I14" s="157">
        <v>1.133902</v>
      </c>
      <c r="J14" s="157">
        <v>1.0040800000000001</v>
      </c>
      <c r="K14" s="157">
        <v>0.99329999999999996</v>
      </c>
      <c r="L14" s="157">
        <v>0.62616400000000005</v>
      </c>
      <c r="M14" s="157">
        <v>0.231154</v>
      </c>
      <c r="N14" s="157">
        <v>0.23092299999999999</v>
      </c>
      <c r="O14" s="157">
        <v>9.3709000000000001E-2</v>
      </c>
      <c r="P14" s="157">
        <v>7.5151999999999997E-2</v>
      </c>
      <c r="Q14" s="157">
        <f t="shared" si="5"/>
        <v>18.556472549999999</v>
      </c>
      <c r="R14" s="158">
        <v>1.4630000000000001</v>
      </c>
      <c r="S14" s="158">
        <v>1.5271525500000001</v>
      </c>
      <c r="T14" s="158">
        <v>1.0021550000000001</v>
      </c>
      <c r="U14" s="158">
        <v>1.3788775000000002</v>
      </c>
      <c r="V14" s="158">
        <v>4.0451949999999997</v>
      </c>
      <c r="W14" s="158">
        <v>1.4483699999999999</v>
      </c>
      <c r="X14" s="158">
        <v>2.1688974999999999</v>
      </c>
      <c r="Y14" s="159">
        <v>1.601985</v>
      </c>
      <c r="Z14" s="158">
        <v>1.3386450000000001</v>
      </c>
      <c r="AA14" s="158">
        <v>1.645875</v>
      </c>
      <c r="AB14" s="159">
        <v>0.93632000000000004</v>
      </c>
      <c r="AC14" s="160">
        <v>0</v>
      </c>
    </row>
    <row r="15" spans="2:29" ht="17" x14ac:dyDescent="0.25">
      <c r="B15" s="228"/>
      <c r="C15" s="161" t="s">
        <v>398</v>
      </c>
      <c r="D15" s="166">
        <f t="shared" si="3"/>
        <v>5.8741000000000003</v>
      </c>
      <c r="E15" s="166">
        <v>0.95814999999999995</v>
      </c>
      <c r="F15" s="166">
        <v>0.7863</v>
      </c>
      <c r="G15" s="166">
        <v>0.62050000000000005</v>
      </c>
      <c r="H15" s="166">
        <v>0.65954999999999997</v>
      </c>
      <c r="I15" s="166">
        <v>0.73629999999999995</v>
      </c>
      <c r="J15" s="166">
        <v>0.65200000000000002</v>
      </c>
      <c r="K15" s="166">
        <v>0.64500000000000002</v>
      </c>
      <c r="L15" s="166">
        <v>0.40660000000000002</v>
      </c>
      <c r="M15" s="166">
        <v>0.15010000000000001</v>
      </c>
      <c r="N15" s="166">
        <v>0.14995</v>
      </c>
      <c r="O15" s="166">
        <v>6.0850000000000001E-2</v>
      </c>
      <c r="P15" s="166">
        <v>4.8800000000000003E-2</v>
      </c>
      <c r="Q15" s="166">
        <f t="shared" si="5"/>
        <v>11.70719355</v>
      </c>
      <c r="R15" s="167">
        <v>0.92299999999999993</v>
      </c>
      <c r="S15" s="167">
        <v>0.9634735499999999</v>
      </c>
      <c r="T15" s="167">
        <v>0.63225500000000001</v>
      </c>
      <c r="U15" s="167">
        <v>0.86992749999999996</v>
      </c>
      <c r="V15" s="167">
        <v>2.552095</v>
      </c>
      <c r="W15" s="167">
        <v>0.91376999999999997</v>
      </c>
      <c r="X15" s="167">
        <v>1.3683475</v>
      </c>
      <c r="Y15" s="168">
        <v>1.0106850000000001</v>
      </c>
      <c r="Z15" s="163">
        <v>0.84454499999999999</v>
      </c>
      <c r="AA15" s="163">
        <v>1.038375</v>
      </c>
      <c r="AB15" s="168">
        <v>0.59072000000000002</v>
      </c>
      <c r="AC15" s="169">
        <v>0</v>
      </c>
    </row>
    <row r="16" spans="2:29" ht="16" x14ac:dyDescent="0.25">
      <c r="B16" s="226" t="s">
        <v>401</v>
      </c>
      <c r="C16" s="151" t="s">
        <v>396</v>
      </c>
      <c r="D16" s="152">
        <f t="shared" si="3"/>
        <v>70146</v>
      </c>
      <c r="E16" s="152">
        <v>5589</v>
      </c>
      <c r="F16" s="152">
        <v>9344</v>
      </c>
      <c r="G16" s="152">
        <v>6100</v>
      </c>
      <c r="H16" s="152">
        <v>4209</v>
      </c>
      <c r="I16" s="152">
        <v>4806</v>
      </c>
      <c r="J16" s="152">
        <v>5247</v>
      </c>
      <c r="K16" s="152">
        <v>5683</v>
      </c>
      <c r="L16" s="152">
        <v>6646</v>
      </c>
      <c r="M16" s="152">
        <v>4923</v>
      </c>
      <c r="N16" s="152">
        <v>7675</v>
      </c>
      <c r="O16" s="152">
        <v>7181</v>
      </c>
      <c r="P16" s="152">
        <v>2743</v>
      </c>
      <c r="Q16" s="152">
        <f t="shared" si="5"/>
        <v>92658</v>
      </c>
      <c r="R16" s="153">
        <v>5211</v>
      </c>
      <c r="S16" s="153">
        <v>7996</v>
      </c>
      <c r="T16" s="153">
        <v>6227</v>
      </c>
      <c r="U16" s="153">
        <v>12014</v>
      </c>
      <c r="V16" s="153">
        <v>26042</v>
      </c>
      <c r="W16" s="153">
        <v>3705</v>
      </c>
      <c r="X16" s="153">
        <v>13916</v>
      </c>
      <c r="Y16" s="154">
        <v>2508</v>
      </c>
      <c r="Z16" s="153">
        <v>3532</v>
      </c>
      <c r="AA16" s="153">
        <v>5705</v>
      </c>
      <c r="AB16" s="154">
        <v>2688</v>
      </c>
      <c r="AC16" s="155">
        <v>3114</v>
      </c>
    </row>
    <row r="17" spans="2:29" ht="16" x14ac:dyDescent="0.25">
      <c r="B17" s="227"/>
      <c r="C17" s="156" t="s">
        <v>397</v>
      </c>
      <c r="D17" s="157">
        <f t="shared" si="3"/>
        <v>5.401241999999999</v>
      </c>
      <c r="E17" s="157">
        <v>0.43035299999999999</v>
      </c>
      <c r="F17" s="157">
        <v>0.71948800000000002</v>
      </c>
      <c r="G17" s="157">
        <v>0.46970000000000001</v>
      </c>
      <c r="H17" s="157">
        <v>0.32409300000000002</v>
      </c>
      <c r="I17" s="157">
        <v>0.370062</v>
      </c>
      <c r="J17" s="157">
        <v>0.40401900000000002</v>
      </c>
      <c r="K17" s="157">
        <v>0.43759100000000001</v>
      </c>
      <c r="L17" s="157">
        <v>0.51174200000000003</v>
      </c>
      <c r="M17" s="157">
        <v>0.37907099999999999</v>
      </c>
      <c r="N17" s="157">
        <v>0.59097500000000003</v>
      </c>
      <c r="O17" s="157">
        <v>0.55293700000000001</v>
      </c>
      <c r="P17" s="157">
        <v>0.21121100000000001</v>
      </c>
      <c r="Q17" s="157">
        <f t="shared" si="5"/>
        <v>7.1346660000000002</v>
      </c>
      <c r="R17" s="158">
        <v>0.40124699999999996</v>
      </c>
      <c r="S17" s="158">
        <v>0.61569200000000002</v>
      </c>
      <c r="T17" s="158">
        <v>0.47947899999999999</v>
      </c>
      <c r="U17" s="158">
        <v>0.92507800000000007</v>
      </c>
      <c r="V17" s="158">
        <v>2.0052340000000002</v>
      </c>
      <c r="W17" s="158">
        <v>0.28528500000000001</v>
      </c>
      <c r="X17" s="158">
        <v>1.0715319999999999</v>
      </c>
      <c r="Y17" s="159">
        <v>0.19311600000000001</v>
      </c>
      <c r="Z17" s="158">
        <v>0.27196399999999998</v>
      </c>
      <c r="AA17" s="158">
        <v>0.43928499999999998</v>
      </c>
      <c r="AB17" s="159">
        <v>0.20697599999999999</v>
      </c>
      <c r="AC17" s="160">
        <v>0.23977799999999999</v>
      </c>
    </row>
    <row r="18" spans="2:29" ht="17" x14ac:dyDescent="0.25">
      <c r="B18" s="228"/>
      <c r="C18" s="161" t="s">
        <v>398</v>
      </c>
      <c r="D18" s="166">
        <f t="shared" si="3"/>
        <v>3.5073000000000003</v>
      </c>
      <c r="E18" s="166">
        <v>0.27944999999999998</v>
      </c>
      <c r="F18" s="166">
        <v>0.4672</v>
      </c>
      <c r="G18" s="166">
        <v>0.30499999999999999</v>
      </c>
      <c r="H18" s="166">
        <v>0.21045</v>
      </c>
      <c r="I18" s="166">
        <v>0.24030000000000001</v>
      </c>
      <c r="J18" s="166">
        <v>0.26235000000000003</v>
      </c>
      <c r="K18" s="166">
        <v>0.28415000000000001</v>
      </c>
      <c r="L18" s="166">
        <v>0.33229999999999998</v>
      </c>
      <c r="M18" s="166">
        <v>0.24615000000000001</v>
      </c>
      <c r="N18" s="166">
        <v>0.38374999999999998</v>
      </c>
      <c r="O18" s="166">
        <v>0.35904999999999998</v>
      </c>
      <c r="P18" s="166">
        <v>0.13714999999999999</v>
      </c>
      <c r="Q18" s="166">
        <f t="shared" si="5"/>
        <v>4.6329000000000011</v>
      </c>
      <c r="R18" s="167">
        <v>0.26055</v>
      </c>
      <c r="S18" s="167">
        <v>0.39979999999999999</v>
      </c>
      <c r="T18" s="167">
        <v>0.31135000000000002</v>
      </c>
      <c r="U18" s="167">
        <v>0.60070000000000001</v>
      </c>
      <c r="V18" s="167">
        <v>1.3021</v>
      </c>
      <c r="W18" s="167">
        <v>0.18525</v>
      </c>
      <c r="X18" s="167">
        <v>0.69579999999999997</v>
      </c>
      <c r="Y18" s="168">
        <v>0.12540000000000001</v>
      </c>
      <c r="Z18" s="163">
        <v>0.17660000000000001</v>
      </c>
      <c r="AA18" s="163">
        <v>0.28525</v>
      </c>
      <c r="AB18" s="168">
        <v>0.13439999999999999</v>
      </c>
      <c r="AC18" s="169">
        <v>0.15570000000000001</v>
      </c>
    </row>
    <row r="19" spans="2:29" ht="16" x14ac:dyDescent="0.25">
      <c r="B19" s="226" t="s">
        <v>402</v>
      </c>
      <c r="C19" s="151" t="s">
        <v>396</v>
      </c>
      <c r="D19" s="152">
        <f t="shared" si="3"/>
        <v>34923</v>
      </c>
      <c r="E19" s="152">
        <v>2642</v>
      </c>
      <c r="F19" s="152">
        <v>3238</v>
      </c>
      <c r="G19" s="152">
        <v>2958</v>
      </c>
      <c r="H19" s="152">
        <v>3097</v>
      </c>
      <c r="I19" s="152">
        <v>2067</v>
      </c>
      <c r="J19" s="152">
        <v>2473</v>
      </c>
      <c r="K19" s="152">
        <v>3190</v>
      </c>
      <c r="L19" s="152">
        <v>3571</v>
      </c>
      <c r="M19" s="152">
        <v>4374</v>
      </c>
      <c r="N19" s="152">
        <v>2243</v>
      </c>
      <c r="O19" s="152">
        <v>2407</v>
      </c>
      <c r="P19" s="152">
        <v>2663</v>
      </c>
      <c r="Q19" s="152">
        <f t="shared" si="5"/>
        <v>52013</v>
      </c>
      <c r="R19" s="153">
        <v>2707</v>
      </c>
      <c r="S19" s="153">
        <v>4229</v>
      </c>
      <c r="T19" s="153">
        <v>4978</v>
      </c>
      <c r="U19" s="153">
        <v>3656</v>
      </c>
      <c r="V19" s="153">
        <v>3539</v>
      </c>
      <c r="W19" s="153">
        <v>7501</v>
      </c>
      <c r="X19" s="153">
        <v>5565</v>
      </c>
      <c r="Y19" s="154">
        <v>3348</v>
      </c>
      <c r="Z19" s="153">
        <v>3303</v>
      </c>
      <c r="AA19" s="153">
        <v>2591</v>
      </c>
      <c r="AB19" s="154">
        <v>5950</v>
      </c>
      <c r="AC19" s="155">
        <v>4646</v>
      </c>
    </row>
    <row r="20" spans="2:29" ht="16" x14ac:dyDescent="0.25">
      <c r="B20" s="227"/>
      <c r="C20" s="156" t="s">
        <v>397</v>
      </c>
      <c r="D20" s="157">
        <f t="shared" si="3"/>
        <v>2.6890710000000002</v>
      </c>
      <c r="E20" s="157">
        <v>0.203434</v>
      </c>
      <c r="F20" s="157">
        <v>0.24932599999999999</v>
      </c>
      <c r="G20" s="157">
        <v>0.227766</v>
      </c>
      <c r="H20" s="157">
        <v>0.23846899999999999</v>
      </c>
      <c r="I20" s="157">
        <v>0.15915899999999999</v>
      </c>
      <c r="J20" s="157">
        <v>0.19042100000000001</v>
      </c>
      <c r="K20" s="157">
        <v>0.24562999999999999</v>
      </c>
      <c r="L20" s="157">
        <v>0.27496700000000002</v>
      </c>
      <c r="M20" s="157">
        <v>0.33679799999999999</v>
      </c>
      <c r="N20" s="157">
        <v>0.172711</v>
      </c>
      <c r="O20" s="157">
        <v>0.185339</v>
      </c>
      <c r="P20" s="157">
        <v>0.20505100000000001</v>
      </c>
      <c r="Q20" s="157">
        <f t="shared" si="5"/>
        <v>4.005001</v>
      </c>
      <c r="R20" s="158">
        <v>0.20843900000000001</v>
      </c>
      <c r="S20" s="158">
        <v>0.32563300000000001</v>
      </c>
      <c r="T20" s="158">
        <v>0.38330599999999998</v>
      </c>
      <c r="U20" s="158">
        <v>0.28151199999999998</v>
      </c>
      <c r="V20" s="158">
        <v>0.272503</v>
      </c>
      <c r="W20" s="158">
        <v>0.57757700000000001</v>
      </c>
      <c r="X20" s="158">
        <v>0.42850500000000002</v>
      </c>
      <c r="Y20" s="159">
        <v>0.25779600000000003</v>
      </c>
      <c r="Z20" s="158">
        <v>0.25433099999999997</v>
      </c>
      <c r="AA20" s="158">
        <v>0.19950699999999999</v>
      </c>
      <c r="AB20" s="159">
        <v>0.45815</v>
      </c>
      <c r="AC20" s="160">
        <v>0.357742</v>
      </c>
    </row>
    <row r="21" spans="2:29" ht="17" x14ac:dyDescent="0.25">
      <c r="B21" s="228"/>
      <c r="C21" s="161" t="s">
        <v>398</v>
      </c>
      <c r="D21" s="166">
        <f t="shared" si="3"/>
        <v>1.7461500000000001</v>
      </c>
      <c r="E21" s="166">
        <v>0.1321</v>
      </c>
      <c r="F21" s="166">
        <v>0.16189999999999999</v>
      </c>
      <c r="G21" s="166">
        <v>0.1479</v>
      </c>
      <c r="H21" s="166">
        <v>0.15484999999999999</v>
      </c>
      <c r="I21" s="166">
        <v>0.10335</v>
      </c>
      <c r="J21" s="166">
        <v>0.12365</v>
      </c>
      <c r="K21" s="166">
        <v>0.1595</v>
      </c>
      <c r="L21" s="166">
        <v>0.17854999999999999</v>
      </c>
      <c r="M21" s="166">
        <v>0.21870000000000001</v>
      </c>
      <c r="N21" s="166">
        <v>0.11215</v>
      </c>
      <c r="O21" s="166">
        <v>0.12035</v>
      </c>
      <c r="P21" s="166">
        <v>0.13314999999999999</v>
      </c>
      <c r="Q21" s="166">
        <f t="shared" si="5"/>
        <v>2.6006499999999999</v>
      </c>
      <c r="R21" s="167">
        <v>0.13535</v>
      </c>
      <c r="S21" s="167">
        <v>0.21145</v>
      </c>
      <c r="T21" s="167">
        <v>0.24890000000000001</v>
      </c>
      <c r="U21" s="167">
        <v>0.18280000000000002</v>
      </c>
      <c r="V21" s="167">
        <v>0.17695</v>
      </c>
      <c r="W21" s="167">
        <v>0.37505000000000005</v>
      </c>
      <c r="X21" s="167">
        <v>0.27825</v>
      </c>
      <c r="Y21" s="168">
        <v>0.16739999999999999</v>
      </c>
      <c r="Z21" s="163">
        <v>0.16514999999999999</v>
      </c>
      <c r="AA21" s="163">
        <v>0.12955</v>
      </c>
      <c r="AB21" s="168">
        <v>0.29749999999999999</v>
      </c>
      <c r="AC21" s="169">
        <v>0.23230000000000001</v>
      </c>
    </row>
    <row r="22" spans="2:29" ht="16" x14ac:dyDescent="0.25">
      <c r="B22" s="226" t="s">
        <v>403</v>
      </c>
      <c r="C22" s="151" t="s">
        <v>396</v>
      </c>
      <c r="D22" s="152">
        <f t="shared" si="3"/>
        <v>46000</v>
      </c>
      <c r="E22" s="152"/>
      <c r="F22" s="152"/>
      <c r="G22" s="152"/>
      <c r="H22" s="152"/>
      <c r="I22" s="152"/>
      <c r="J22" s="152"/>
      <c r="K22" s="152">
        <v>3370</v>
      </c>
      <c r="L22" s="152">
        <v>7270</v>
      </c>
      <c r="M22" s="152">
        <v>12950</v>
      </c>
      <c r="N22" s="152">
        <v>5160</v>
      </c>
      <c r="O22" s="152">
        <v>12250</v>
      </c>
      <c r="P22" s="152">
        <v>5000</v>
      </c>
      <c r="Q22" s="152">
        <f t="shared" si="5"/>
        <v>63795</v>
      </c>
      <c r="R22" s="153">
        <v>14985</v>
      </c>
      <c r="S22" s="153">
        <v>11220</v>
      </c>
      <c r="T22" s="153">
        <v>10670</v>
      </c>
      <c r="U22" s="153">
        <v>3760</v>
      </c>
      <c r="V22" s="153">
        <v>4770</v>
      </c>
      <c r="W22" s="153">
        <v>7280</v>
      </c>
      <c r="X22" s="153">
        <v>2640</v>
      </c>
      <c r="Y22" s="154">
        <v>2250</v>
      </c>
      <c r="Z22" s="153">
        <v>1820</v>
      </c>
      <c r="AA22" s="153">
        <v>1670</v>
      </c>
      <c r="AB22" s="154">
        <v>2030</v>
      </c>
      <c r="AC22" s="155">
        <v>700</v>
      </c>
    </row>
    <row r="23" spans="2:29" ht="16" x14ac:dyDescent="0.25">
      <c r="B23" s="227"/>
      <c r="C23" s="156" t="s">
        <v>397</v>
      </c>
      <c r="D23" s="157">
        <f t="shared" si="3"/>
        <v>3.5419999999999998</v>
      </c>
      <c r="E23" s="157"/>
      <c r="F23" s="157"/>
      <c r="G23" s="157"/>
      <c r="H23" s="157"/>
      <c r="I23" s="157"/>
      <c r="J23" s="157"/>
      <c r="K23" s="157">
        <v>0.25949</v>
      </c>
      <c r="L23" s="157">
        <v>0.55979000000000001</v>
      </c>
      <c r="M23" s="157">
        <v>0.99714999999999998</v>
      </c>
      <c r="N23" s="157">
        <v>0.39732000000000001</v>
      </c>
      <c r="O23" s="157">
        <v>0.94325000000000003</v>
      </c>
      <c r="P23" s="157">
        <v>0.38500000000000001</v>
      </c>
      <c r="Q23" s="157">
        <f t="shared" si="5"/>
        <v>4.9122150000000007</v>
      </c>
      <c r="R23" s="158">
        <v>1.153845</v>
      </c>
      <c r="S23" s="158">
        <v>0.86394000000000004</v>
      </c>
      <c r="T23" s="158">
        <v>0.82159000000000004</v>
      </c>
      <c r="U23" s="158">
        <v>0.28952</v>
      </c>
      <c r="V23" s="158">
        <v>0.36729000000000001</v>
      </c>
      <c r="W23" s="158">
        <v>0.56055999999999995</v>
      </c>
      <c r="X23" s="158">
        <v>0.20327999999999999</v>
      </c>
      <c r="Y23" s="159">
        <v>0.17324999999999999</v>
      </c>
      <c r="Z23" s="158">
        <v>0.14013999999999999</v>
      </c>
      <c r="AA23" s="158">
        <v>0.12859000000000001</v>
      </c>
      <c r="AB23" s="159">
        <v>0.15631</v>
      </c>
      <c r="AC23" s="160">
        <v>5.3900000000000003E-2</v>
      </c>
    </row>
    <row r="24" spans="2:29" ht="17" x14ac:dyDescent="0.25">
      <c r="B24" s="228"/>
      <c r="C24" s="170" t="s">
        <v>398</v>
      </c>
      <c r="D24" s="166">
        <f t="shared" si="3"/>
        <v>2.2999999999999998</v>
      </c>
      <c r="E24" s="166">
        <v>0</v>
      </c>
      <c r="F24" s="166">
        <v>0</v>
      </c>
      <c r="G24" s="166">
        <v>0</v>
      </c>
      <c r="H24" s="166">
        <v>0</v>
      </c>
      <c r="I24" s="166">
        <v>0</v>
      </c>
      <c r="J24" s="166">
        <v>0</v>
      </c>
      <c r="K24" s="166">
        <v>0.16850000000000001</v>
      </c>
      <c r="L24" s="166">
        <v>0.36349999999999999</v>
      </c>
      <c r="M24" s="166">
        <v>0.64749999999999996</v>
      </c>
      <c r="N24" s="166">
        <v>0.25800000000000001</v>
      </c>
      <c r="O24" s="166">
        <v>0.61250000000000004</v>
      </c>
      <c r="P24" s="166">
        <v>0.25</v>
      </c>
      <c r="Q24" s="166">
        <f t="shared" si="5"/>
        <v>3.1897500000000005</v>
      </c>
      <c r="R24" s="167">
        <v>0.74924999999999997</v>
      </c>
      <c r="S24" s="167">
        <v>0.56100000000000005</v>
      </c>
      <c r="T24" s="167">
        <v>0.53349999999999997</v>
      </c>
      <c r="U24" s="167">
        <v>0.188</v>
      </c>
      <c r="V24" s="167">
        <v>0.23850000000000002</v>
      </c>
      <c r="W24" s="167">
        <v>0.36399999999999999</v>
      </c>
      <c r="X24" s="167">
        <v>0.13200000000000001</v>
      </c>
      <c r="Y24" s="168">
        <v>0.1125</v>
      </c>
      <c r="Z24" s="167">
        <v>9.0999999999999998E-2</v>
      </c>
      <c r="AA24" s="167">
        <v>8.3500000000000005E-2</v>
      </c>
      <c r="AB24" s="168">
        <v>0.10150000000000001</v>
      </c>
      <c r="AC24" s="169">
        <v>3.5000000000000003E-2</v>
      </c>
    </row>
  </sheetData>
  <mergeCells count="7">
    <mergeCell ref="B22:B24"/>
    <mergeCell ref="B2:AC2"/>
    <mergeCell ref="B7:B9"/>
    <mergeCell ref="B10:B12"/>
    <mergeCell ref="B13:B15"/>
    <mergeCell ref="B16:B18"/>
    <mergeCell ref="B19:B2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18</vt:i4>
      </vt:variant>
      <vt:variant>
        <vt:lpstr>이름 지정된 범위</vt:lpstr>
      </vt:variant>
      <vt:variant>
        <vt:i4>13</vt:i4>
      </vt:variant>
    </vt:vector>
  </HeadingPairs>
  <TitlesOfParts>
    <vt:vector size="31" baseType="lpstr">
      <vt:lpstr>종합</vt:lpstr>
      <vt:lpstr>1월</vt:lpstr>
      <vt:lpstr>2월</vt:lpstr>
      <vt:lpstr>3월</vt:lpstr>
      <vt:lpstr>4월</vt:lpstr>
      <vt:lpstr>5월</vt:lpstr>
      <vt:lpstr>6월</vt:lpstr>
      <vt:lpstr>7월</vt:lpstr>
      <vt:lpstr>8월</vt:lpstr>
      <vt:lpstr>9월</vt:lpstr>
      <vt:lpstr>10월</vt:lpstr>
      <vt:lpstr>11월</vt:lpstr>
      <vt:lpstr>12월</vt:lpstr>
      <vt:lpstr>유통플랫폼</vt:lpstr>
      <vt:lpstr>플랫폼1</vt:lpstr>
      <vt:lpstr>플랫폼2</vt:lpstr>
      <vt:lpstr>모바일</vt:lpstr>
      <vt:lpstr>※ 유심</vt:lpstr>
      <vt:lpstr>'10월'!Print_Area</vt:lpstr>
      <vt:lpstr>'11월'!Print_Area</vt:lpstr>
      <vt:lpstr>'12월'!Print_Area</vt:lpstr>
      <vt:lpstr>'1월'!Print_Area</vt:lpstr>
      <vt:lpstr>'2월'!Print_Area</vt:lpstr>
      <vt:lpstr>'3월'!Print_Area</vt:lpstr>
      <vt:lpstr>'4월'!Print_Area</vt:lpstr>
      <vt:lpstr>'5월'!Print_Area</vt:lpstr>
      <vt:lpstr>'6월'!Print_Area</vt:lpstr>
      <vt:lpstr>'7월'!Print_Area</vt:lpstr>
      <vt:lpstr>'8월'!Print_Area</vt:lpstr>
      <vt:lpstr>'9월'!Print_Area</vt:lpstr>
      <vt:lpstr>종합!Print_Area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Hong</dc:creator>
  <cp:lastModifiedBy>kt m&amp;s</cp:lastModifiedBy>
  <cp:lastPrinted>2025-04-22T07:27:45Z</cp:lastPrinted>
  <dcterms:created xsi:type="dcterms:W3CDTF">2019-02-19T04:47:07Z</dcterms:created>
  <dcterms:modified xsi:type="dcterms:W3CDTF">2026-01-19T01:30:24Z</dcterms:modified>
</cp:coreProperties>
</file>